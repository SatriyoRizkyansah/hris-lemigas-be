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430"/>
  <workbookPr codeName="ThisWorkbook" defaultThemeVersion="124226"/>
  <mc:AlternateContent xmlns:mc="http://schemas.openxmlformats.org/markup-compatibility/2006">
    <mc:Choice Requires="x15">
      <x15ac:absPath xmlns:x15ac="http://schemas.microsoft.com/office/spreadsheetml/2010/11/ac" url="C:\Users\rio\Downloads\"/>
    </mc:Choice>
  </mc:AlternateContent>
  <xr:revisionPtr revIDLastSave="0" documentId="13_ncr:1_{988FD704-F084-423C-868D-9BD1DD395FB4}" xr6:coauthVersionLast="47" xr6:coauthVersionMax="47" xr10:uidLastSave="{00000000-0000-0000-0000-000000000000}"/>
  <bookViews>
    <workbookView xWindow="-110" yWindow="-110" windowWidth="19420" windowHeight="12220" tabRatio="583" xr2:uid="{00000000-000D-0000-FFFF-FFFF00000000}"/>
  </bookViews>
  <sheets>
    <sheet name="BAHAN RAPAT" sheetId="257" r:id="rId1"/>
    <sheet name="PER DPM" sheetId="69"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1" i="69" l="1"/>
  <c r="C22" i="257" l="1"/>
  <c r="M30" i="69"/>
  <c r="H30" i="69"/>
  <c r="G30" i="69"/>
  <c r="I30" i="69" s="1"/>
  <c r="J30" i="69" s="1"/>
  <c r="N30" i="69" s="1"/>
  <c r="O30" i="69" s="1"/>
  <c r="P30" i="69" s="1"/>
  <c r="Q30" i="69" s="1"/>
  <c r="R30" i="69" s="1"/>
  <c r="S30" i="69" s="1"/>
  <c r="L29" i="69"/>
  <c r="L31" i="69" s="1"/>
  <c r="K29" i="69"/>
  <c r="K31" i="69" s="1"/>
  <c r="M31" i="69" s="1"/>
  <c r="H29" i="69"/>
  <c r="H31" i="69" s="1"/>
  <c r="G29" i="69"/>
  <c r="G31" i="69" s="1"/>
  <c r="P78" i="257"/>
  <c r="M78" i="257"/>
  <c r="Q78" i="257" s="1"/>
  <c r="J78" i="257"/>
  <c r="R78" i="257" s="1"/>
  <c r="G78" i="257"/>
  <c r="O77" i="257"/>
  <c r="O79" i="257" s="1"/>
  <c r="N77" i="257"/>
  <c r="N79" i="257" s="1"/>
  <c r="L77" i="257"/>
  <c r="L79" i="257" s="1"/>
  <c r="K77" i="257"/>
  <c r="K79" i="257" s="1"/>
  <c r="I77" i="257"/>
  <c r="I79" i="257" s="1"/>
  <c r="H77" i="257"/>
  <c r="H79" i="257" s="1"/>
  <c r="F77" i="257"/>
  <c r="F79" i="257" s="1"/>
  <c r="E77" i="257"/>
  <c r="E79" i="257" s="1"/>
  <c r="L49" i="257"/>
  <c r="L51" i="257" s="1"/>
  <c r="K49" i="257"/>
  <c r="K51" i="257" s="1"/>
  <c r="I49" i="257"/>
  <c r="I51" i="257" s="1"/>
  <c r="H49" i="257"/>
  <c r="H51" i="257" s="1"/>
  <c r="F49" i="257"/>
  <c r="F51" i="257" s="1"/>
  <c r="E49" i="257"/>
  <c r="E51" i="257" s="1"/>
  <c r="M29" i="69" l="1"/>
  <c r="Q82" i="257" l="1"/>
  <c r="Q81" i="257"/>
  <c r="J76" i="257"/>
  <c r="J75" i="257"/>
  <c r="J74" i="257"/>
  <c r="J73" i="257"/>
  <c r="J72" i="257"/>
  <c r="J71" i="257"/>
  <c r="J70" i="257"/>
  <c r="J69" i="257"/>
  <c r="J68" i="257"/>
  <c r="J67" i="257"/>
  <c r="J66" i="257"/>
  <c r="J65" i="257"/>
  <c r="J64" i="257"/>
  <c r="J63" i="257"/>
  <c r="J62" i="257"/>
  <c r="M48" i="257"/>
  <c r="M47" i="257"/>
  <c r="M46" i="257"/>
  <c r="M45" i="257"/>
  <c r="M44" i="257"/>
  <c r="M43" i="257"/>
  <c r="M42" i="257"/>
  <c r="M41" i="257"/>
  <c r="M40" i="257"/>
  <c r="M39" i="257"/>
  <c r="M38" i="257"/>
  <c r="M37" i="257"/>
  <c r="M36" i="257"/>
  <c r="M35" i="257"/>
  <c r="J48" i="257"/>
  <c r="J47" i="257"/>
  <c r="J46" i="257"/>
  <c r="J45" i="257"/>
  <c r="J44" i="257"/>
  <c r="J43" i="257"/>
  <c r="J42" i="257"/>
  <c r="J41" i="257"/>
  <c r="J40" i="257"/>
  <c r="J39" i="257"/>
  <c r="J38" i="257"/>
  <c r="J37" i="257"/>
  <c r="J36" i="257"/>
  <c r="J35" i="257"/>
  <c r="J34" i="257"/>
  <c r="G48" i="257"/>
  <c r="G47" i="257"/>
  <c r="G46" i="257"/>
  <c r="G45" i="257"/>
  <c r="G44" i="257"/>
  <c r="G43" i="257"/>
  <c r="G42" i="257"/>
  <c r="G41" i="257"/>
  <c r="G40" i="257"/>
  <c r="G39" i="257"/>
  <c r="G38" i="257"/>
  <c r="G37" i="257"/>
  <c r="G36" i="257"/>
  <c r="G35" i="257"/>
  <c r="G34" i="257"/>
  <c r="J10" i="257"/>
  <c r="I10" i="257"/>
  <c r="G10" i="257"/>
  <c r="F10" i="257"/>
  <c r="E10" i="257"/>
  <c r="K9" i="257"/>
  <c r="K10" i="257" s="1"/>
  <c r="H9" i="257"/>
  <c r="H10" i="257" s="1"/>
  <c r="D5" i="257"/>
  <c r="D30" i="257" s="1"/>
  <c r="B5" i="257"/>
  <c r="B30" i="257" s="1"/>
  <c r="J77" i="257" l="1"/>
  <c r="J79" i="257" s="1"/>
  <c r="G77" i="257"/>
  <c r="G79" i="257" s="1"/>
  <c r="J49" i="257"/>
  <c r="J51" i="257" s="1"/>
  <c r="G49" i="257"/>
  <c r="M49" i="257"/>
  <c r="M51" i="257" s="1"/>
  <c r="C32" i="69"/>
  <c r="B82" i="257" l="1"/>
  <c r="M22" i="69" l="1"/>
  <c r="M27" i="69" l="1"/>
  <c r="G50" i="257" l="1"/>
  <c r="G51" i="257" s="1"/>
  <c r="N50" i="257" l="1"/>
  <c r="M13" i="69" l="1"/>
  <c r="I80" i="257" l="1"/>
  <c r="M62" i="257"/>
  <c r="B66" i="257"/>
  <c r="B67" i="257" s="1"/>
  <c r="B68" i="257" s="1"/>
  <c r="B69" i="257" s="1"/>
  <c r="B70" i="257" l="1"/>
  <c r="B71" i="257" s="1"/>
  <c r="B72" i="257" s="1"/>
  <c r="B73" i="257" s="1"/>
  <c r="B74" i="257" s="1"/>
  <c r="B75" i="257" s="1"/>
  <c r="B76" i="257" s="1"/>
  <c r="P66" i="257"/>
  <c r="Q20" i="69" l="1"/>
  <c r="Q17" i="69"/>
  <c r="Q16" i="69"/>
  <c r="Q15" i="69"/>
  <c r="R20" i="69"/>
  <c r="R17" i="69"/>
  <c r="R16" i="69"/>
  <c r="R15" i="69"/>
  <c r="R14" i="69"/>
  <c r="P20" i="69"/>
  <c r="P17" i="69"/>
  <c r="P16" i="69"/>
  <c r="O20" i="69"/>
  <c r="O17" i="69"/>
  <c r="O16" i="69"/>
  <c r="O15" i="69"/>
  <c r="O14" i="69"/>
  <c r="S20" i="69" l="1"/>
  <c r="P14" i="69"/>
  <c r="P15" i="69"/>
  <c r="S17" i="69"/>
  <c r="S14" i="69"/>
  <c r="S15" i="69"/>
  <c r="S16" i="69"/>
  <c r="Q14" i="69"/>
  <c r="S10" i="69"/>
  <c r="R10" i="69"/>
  <c r="Q10" i="69"/>
  <c r="P10" i="69"/>
  <c r="O10" i="69"/>
  <c r="T10" i="69" l="1"/>
  <c r="B38" i="257" l="1"/>
  <c r="B39" i="257" s="1"/>
  <c r="B40" i="257" s="1"/>
  <c r="B41" i="257" s="1"/>
  <c r="B42" i="257" s="1"/>
  <c r="B43" i="257" s="1"/>
  <c r="B44" i="257" s="1"/>
  <c r="B45" i="257" s="1"/>
  <c r="B46" i="257" s="1"/>
  <c r="B47" i="257" s="1"/>
  <c r="B48" i="257" s="1"/>
  <c r="I81" i="257" l="1"/>
  <c r="M19" i="69" l="1"/>
  <c r="N40" i="257" l="1"/>
  <c r="I19" i="69"/>
  <c r="J19" i="69" s="1"/>
  <c r="N19" i="69" s="1"/>
  <c r="P19" i="69" l="1"/>
  <c r="S19" i="69"/>
  <c r="O19" i="69"/>
  <c r="R19" i="69"/>
  <c r="Q19" i="69"/>
  <c r="T19" i="69" l="1"/>
  <c r="G18" i="257" l="1"/>
  <c r="Q80" i="257" s="1"/>
  <c r="L18" i="257" l="1"/>
  <c r="L21" i="257" s="1"/>
  <c r="D58" i="257"/>
  <c r="I22" i="69" l="1"/>
  <c r="N42" i="257" l="1"/>
  <c r="M70" i="257"/>
  <c r="Q70" i="257" s="1"/>
  <c r="N22" i="69"/>
  <c r="R70" i="257" l="1"/>
  <c r="R22" i="69"/>
  <c r="S22" i="69"/>
  <c r="O22" i="69"/>
  <c r="P22" i="69"/>
  <c r="Q22" i="69"/>
  <c r="T22" i="69" l="1"/>
  <c r="L11" i="69" l="1"/>
  <c r="N5" i="69" s="1"/>
  <c r="M18" i="69" l="1"/>
  <c r="M25" i="69"/>
  <c r="M26" i="69"/>
  <c r="M21" i="69"/>
  <c r="M23" i="69"/>
  <c r="M24" i="69"/>
  <c r="B20" i="69"/>
  <c r="B21" i="69" s="1"/>
  <c r="B22" i="69" s="1"/>
  <c r="B23" i="69" s="1"/>
  <c r="B24" i="69" s="1"/>
  <c r="M20" i="69"/>
  <c r="M28" i="69"/>
  <c r="M12" i="69"/>
  <c r="K9" i="69" l="1"/>
  <c r="L5" i="69" s="1"/>
  <c r="G21" i="257"/>
  <c r="T16" i="69"/>
  <c r="B25" i="69"/>
  <c r="B26" i="69" s="1"/>
  <c r="B27" i="69" s="1"/>
  <c r="B28" i="69" s="1"/>
  <c r="T15" i="69"/>
  <c r="T14" i="69"/>
  <c r="T17" i="69"/>
  <c r="I12" i="69"/>
  <c r="L9" i="69"/>
  <c r="M9" i="69"/>
  <c r="M11" i="69"/>
  <c r="J12" i="69" l="1"/>
  <c r="P63" i="257"/>
  <c r="N12" i="69"/>
  <c r="N35" i="257"/>
  <c r="T20" i="69"/>
  <c r="Q63" i="257" l="1"/>
  <c r="R63" i="257" s="1"/>
  <c r="Q12" i="69"/>
  <c r="P12" i="69"/>
  <c r="S12" i="69"/>
  <c r="P76" i="257"/>
  <c r="P69" i="257"/>
  <c r="P72" i="257"/>
  <c r="O12" i="69"/>
  <c r="R12" i="69"/>
  <c r="I20" i="69"/>
  <c r="I27" i="69" l="1"/>
  <c r="J27" i="69" s="1"/>
  <c r="N27" i="69" s="1"/>
  <c r="Q83" i="257"/>
  <c r="P74" i="257"/>
  <c r="P73" i="257"/>
  <c r="L9" i="257"/>
  <c r="N38" i="257"/>
  <c r="Q27" i="69" l="1"/>
  <c r="R27" i="69"/>
  <c r="S27" i="69"/>
  <c r="P27" i="69"/>
  <c r="O27" i="69"/>
  <c r="M66" i="257"/>
  <c r="P71" i="257"/>
  <c r="B58" i="257"/>
  <c r="L10" i="257"/>
  <c r="N36" i="257"/>
  <c r="N37" i="257"/>
  <c r="T12" i="69"/>
  <c r="Q66" i="257" l="1"/>
  <c r="R66" i="257" s="1"/>
  <c r="T27" i="69"/>
  <c r="I28" i="69"/>
  <c r="J28" i="69" s="1"/>
  <c r="N28" i="69" s="1"/>
  <c r="M67" i="257"/>
  <c r="S28" i="69" l="1"/>
  <c r="Q28" i="69"/>
  <c r="P28" i="69"/>
  <c r="P65" i="257"/>
  <c r="P64" i="257"/>
  <c r="N48" i="257"/>
  <c r="R28" i="69"/>
  <c r="O28" i="69"/>
  <c r="Q64" i="257" l="1"/>
  <c r="R64" i="257" s="1"/>
  <c r="Q65" i="257"/>
  <c r="R65" i="257" s="1"/>
  <c r="N44" i="257"/>
  <c r="T28" i="69"/>
  <c r="N39" i="257" l="1"/>
  <c r="I24" i="69" l="1"/>
  <c r="J24" i="69" l="1"/>
  <c r="N24" i="69" s="1"/>
  <c r="S24" i="69" l="1"/>
  <c r="P24" i="69"/>
  <c r="Q24" i="69"/>
  <c r="O24" i="69" l="1"/>
  <c r="R24" i="69"/>
  <c r="T24" i="69" l="1"/>
  <c r="N45" i="257" l="1"/>
  <c r="I13" i="69" l="1"/>
  <c r="J13" i="69" l="1"/>
  <c r="N13" i="69" s="1"/>
  <c r="Q13" i="69"/>
  <c r="P13" i="69"/>
  <c r="S13" i="69"/>
  <c r="O13" i="69"/>
  <c r="R13" i="69"/>
  <c r="T13" i="69" l="1"/>
  <c r="M68" i="257" l="1"/>
  <c r="M73" i="257"/>
  <c r="Q73" i="257" s="1"/>
  <c r="M72" i="257"/>
  <c r="Q72" i="257" s="1"/>
  <c r="M76" i="257"/>
  <c r="P67" i="257"/>
  <c r="P68" i="257"/>
  <c r="P77" i="257" l="1"/>
  <c r="P79" i="257" s="1"/>
  <c r="Q76" i="257"/>
  <c r="Q67" i="257"/>
  <c r="R67" i="257" s="1"/>
  <c r="Q68" i="257"/>
  <c r="R76" i="257"/>
  <c r="R72" i="257"/>
  <c r="R73" i="257"/>
  <c r="R68" i="257" l="1"/>
  <c r="N34" i="257" l="1"/>
  <c r="R62" i="257" l="1"/>
  <c r="J81" i="257"/>
  <c r="H81" i="257" l="1"/>
  <c r="I21" i="69" l="1"/>
  <c r="M69" i="257"/>
  <c r="Q69" i="257" l="1"/>
  <c r="J21" i="69"/>
  <c r="N21" i="69" s="1"/>
  <c r="N41" i="257"/>
  <c r="P21" i="69" l="1"/>
  <c r="S21" i="69"/>
  <c r="Q21" i="69"/>
  <c r="O21" i="69"/>
  <c r="R21" i="69"/>
  <c r="R69" i="257"/>
  <c r="T21" i="69" l="1"/>
  <c r="M74" i="257" l="1"/>
  <c r="Q74" i="257" s="1"/>
  <c r="M75" i="257"/>
  <c r="Q75" i="257" s="1"/>
  <c r="R75" i="257" l="1"/>
  <c r="R74" i="257"/>
  <c r="N47" i="257" l="1"/>
  <c r="N46" i="257"/>
  <c r="I25" i="69" l="1"/>
  <c r="J25" i="69" s="1"/>
  <c r="N25" i="69" s="1"/>
  <c r="S25" i="69" l="1"/>
  <c r="Q25" i="69"/>
  <c r="P25" i="69"/>
  <c r="R25" i="69"/>
  <c r="O25" i="69"/>
  <c r="T25" i="69" l="1"/>
  <c r="I23" i="69" l="1"/>
  <c r="M71" i="257" l="1"/>
  <c r="J23" i="69"/>
  <c r="N23" i="69" s="1"/>
  <c r="Q71" i="257" l="1"/>
  <c r="Q77" i="257" s="1"/>
  <c r="Q79" i="257" s="1"/>
  <c r="M77" i="257"/>
  <c r="M79" i="257" s="1"/>
  <c r="P23" i="69"/>
  <c r="Q23" i="69"/>
  <c r="S23" i="69"/>
  <c r="N43" i="257"/>
  <c r="N49" i="257" s="1"/>
  <c r="N51" i="257" s="1"/>
  <c r="R23" i="69"/>
  <c r="O23" i="69"/>
  <c r="R71" i="257" l="1"/>
  <c r="R77" i="257" s="1"/>
  <c r="R79" i="257" s="1"/>
  <c r="T23" i="69"/>
  <c r="I26" i="69" l="1"/>
  <c r="H11" i="69" l="1"/>
  <c r="J26" i="69"/>
  <c r="N26" i="69" s="1"/>
  <c r="P26" i="69" l="1"/>
  <c r="S26" i="69"/>
  <c r="Q26" i="69"/>
  <c r="H9" i="69"/>
  <c r="R26" i="69"/>
  <c r="O26" i="69"/>
  <c r="T26" i="69" l="1"/>
  <c r="I18" i="69" l="1"/>
  <c r="I29" i="69" s="1"/>
  <c r="G11" i="69"/>
  <c r="J29" i="69" l="1"/>
  <c r="I31" i="69"/>
  <c r="J31" i="69" s="1"/>
  <c r="G9" i="69"/>
  <c r="I11" i="69"/>
  <c r="J18" i="69"/>
  <c r="N18" i="69" s="1"/>
  <c r="N29" i="69" s="1"/>
  <c r="N31" i="69" s="1"/>
  <c r="Q18" i="69" l="1"/>
  <c r="P18" i="69"/>
  <c r="S18" i="69"/>
  <c r="R18" i="69"/>
  <c r="Q11" i="69"/>
  <c r="N11" i="69"/>
  <c r="N9" i="69" s="1"/>
  <c r="O18" i="69"/>
  <c r="I9" i="69"/>
  <c r="J9" i="69" s="1"/>
  <c r="J11" i="69"/>
  <c r="O29" i="69" l="1"/>
  <c r="O31" i="69" s="1"/>
  <c r="R29" i="69"/>
  <c r="R31" i="69" s="1"/>
  <c r="S29" i="69"/>
  <c r="S31" i="69" s="1"/>
  <c r="P29" i="69"/>
  <c r="P31" i="69" s="1"/>
  <c r="Q29" i="69"/>
  <c r="Q31" i="69" s="1"/>
  <c r="Q9" i="69"/>
  <c r="T18" i="69"/>
  <c r="O11" i="69"/>
  <c r="S11" i="69"/>
  <c r="R11" i="69"/>
  <c r="R9" i="69" s="1"/>
  <c r="P11" i="69"/>
  <c r="P9" i="69" s="1"/>
  <c r="T30" i="69" l="1"/>
  <c r="T29" i="69"/>
  <c r="T31" i="69" s="1"/>
  <c r="S9" i="69"/>
  <c r="O9" i="69"/>
  <c r="T11" i="69"/>
  <c r="T9" i="69" s="1"/>
  <c r="R5" i="69" l="1"/>
</calcChain>
</file>

<file path=xl/sharedStrings.xml><?xml version="1.0" encoding="utf-8"?>
<sst xmlns="http://schemas.openxmlformats.org/spreadsheetml/2006/main" count="257" uniqueCount="178">
  <si>
    <t>JUMLAH</t>
  </si>
  <si>
    <t>Operasional Perkantoran</t>
  </si>
  <si>
    <t>Silva/Cadangan Kas</t>
  </si>
  <si>
    <t>MULOS</t>
  </si>
  <si>
    <t>a</t>
  </si>
  <si>
    <t>c</t>
  </si>
  <si>
    <t>b</t>
  </si>
  <si>
    <t>P1 PNS, Gaji Non PNS dan P2 MULOS</t>
  </si>
  <si>
    <t>d</t>
  </si>
  <si>
    <t>%</t>
  </si>
  <si>
    <t>48 %                              (P1 PNS &amp; Non PNS)</t>
  </si>
  <si>
    <t>Jumlah</t>
  </si>
  <si>
    <t>Saldo</t>
  </si>
  <si>
    <t>Unit Kerja</t>
  </si>
  <si>
    <t>Uraian</t>
  </si>
  <si>
    <t>PPB/PPJ</t>
  </si>
  <si>
    <t>No</t>
  </si>
  <si>
    <t>Slip</t>
  </si>
  <si>
    <t xml:space="preserve">Biaya Umum </t>
  </si>
  <si>
    <t>Margin</t>
  </si>
  <si>
    <t>10  (8-9)</t>
  </si>
  <si>
    <t>Dibayar</t>
  </si>
  <si>
    <t>Piutang</t>
  </si>
  <si>
    <t>Nilai Kontrak sesuai RO</t>
  </si>
  <si>
    <t>BERDASARKAN KARTU PENGAWASAN ANGGARAN</t>
  </si>
  <si>
    <t>6  (4-5)</t>
  </si>
  <si>
    <t>Keterangan</t>
  </si>
  <si>
    <t>Direc Cost</t>
  </si>
  <si>
    <t>Kinerja / Capaian</t>
  </si>
  <si>
    <t>Belanja BLU</t>
  </si>
  <si>
    <t>Nilai Kontrak</t>
  </si>
  <si>
    <t>8</t>
  </si>
  <si>
    <t>3</t>
  </si>
  <si>
    <t>18  (12 s/d 17)</t>
  </si>
  <si>
    <t>Belanja Operasional</t>
  </si>
  <si>
    <t>Belanja</t>
  </si>
  <si>
    <t>Penerimaan BLU</t>
  </si>
  <si>
    <t>-</t>
  </si>
  <si>
    <t>1010013141500</t>
  </si>
  <si>
    <t>1010002727772</t>
  </si>
  <si>
    <t>5</t>
  </si>
  <si>
    <t>7</t>
  </si>
  <si>
    <t>4</t>
  </si>
  <si>
    <t>6 (4-5)</t>
  </si>
  <si>
    <t>KODE DPM</t>
  </si>
  <si>
    <t>DPMU</t>
  </si>
  <si>
    <t>DPMS</t>
  </si>
  <si>
    <t>DPMR</t>
  </si>
  <si>
    <t>DPMT</t>
  </si>
  <si>
    <t>DPMP</t>
  </si>
  <si>
    <t>DPMA</t>
  </si>
  <si>
    <t>DPMG</t>
  </si>
  <si>
    <t>Kontrak</t>
  </si>
  <si>
    <t>DPMR  Eksplorasi</t>
  </si>
  <si>
    <t>DPMT Eksploitasi</t>
  </si>
  <si>
    <t>DPMP Proses</t>
  </si>
  <si>
    <t>DPMA Aplikasi</t>
  </si>
  <si>
    <t xml:space="preserve">DPMG Gas </t>
  </si>
  <si>
    <t>DPMS Sarana Litbang</t>
  </si>
  <si>
    <t>DPM UI  Informasi</t>
  </si>
  <si>
    <t>DPMU Bagian Umum Pemanfaatan Aset dll</t>
  </si>
  <si>
    <t>Data Bendahara</t>
  </si>
  <si>
    <t>DPME Tekno Ekonomi</t>
  </si>
  <si>
    <t>Eksplorasi</t>
  </si>
  <si>
    <t>Eksploitasi</t>
  </si>
  <si>
    <t>Aplikasi</t>
  </si>
  <si>
    <t>Pengolahan gas</t>
  </si>
  <si>
    <t>Tekno Ekonomi</t>
  </si>
  <si>
    <t>DPME</t>
  </si>
  <si>
    <t xml:space="preserve">   Based on Invoice | Satuan: Juta Rupiah</t>
  </si>
  <si>
    <t>Pengolahan Minyak</t>
  </si>
  <si>
    <t>Nomor Rekening</t>
  </si>
  <si>
    <t>9 (7-8)</t>
  </si>
  <si>
    <t>Sarana dan Prasarana</t>
  </si>
  <si>
    <t>Saldo Awal</t>
  </si>
  <si>
    <t>Bagian Umum  (MULOS)</t>
  </si>
  <si>
    <t xml:space="preserve">10 </t>
  </si>
  <si>
    <t>Blm Disahkan</t>
  </si>
  <si>
    <t>10 (4-7)</t>
  </si>
  <si>
    <t xml:space="preserve">Penerimaan dan Belanja BLU </t>
  </si>
  <si>
    <t>RPL 019 BLU LEMIGAS UNTUK OPS P.</t>
  </si>
  <si>
    <t>RPL 019 BLU LEMIGAS UNTUK OPS P.(Vallas)</t>
  </si>
  <si>
    <t>Kas Tunai</t>
  </si>
  <si>
    <t>Nomor Rekening 1010069969960</t>
  </si>
  <si>
    <t>Saldo Rekening Dana Kelola</t>
  </si>
  <si>
    <t>Bag.Umum Split dari DPM Lain</t>
  </si>
  <si>
    <t>DPMS Sarana Litbang Split dari DPM Teknis</t>
  </si>
  <si>
    <t>Split dari DPM Teknis</t>
  </si>
  <si>
    <t>17 %                              (Biaya Ops  Kantor)</t>
  </si>
  <si>
    <t>Keterangan :Yang Belum Teridentifikasi / belum dapat diakui sebagai Pendapatan Penerimaan BLU</t>
  </si>
  <si>
    <t xml:space="preserve">   Based on Penerimaan dan Belanja  | Satuan: Juta Rupiah</t>
  </si>
  <si>
    <t xml:space="preserve">Kinerja Invoice </t>
  </si>
  <si>
    <t>Sebelumya</t>
  </si>
  <si>
    <t>Hari ini</t>
  </si>
  <si>
    <t>Kas Masuk</t>
  </si>
  <si>
    <t>9 (7+8)</t>
  </si>
  <si>
    <t>6 (4+5)</t>
  </si>
  <si>
    <t xml:space="preserve">11 </t>
  </si>
  <si>
    <t>Rincian Pengawasan Penambahan Penerimaan dan Belanja BLU Harian Per DPM</t>
  </si>
  <si>
    <t>Selisih Kinerja dengan Belanja</t>
  </si>
  <si>
    <t>13 (6-12)</t>
  </si>
  <si>
    <t>Direc Cost atas Pekerjaan</t>
  </si>
  <si>
    <t xml:space="preserve">DPMU Split Projec dari DPM Lain </t>
  </si>
  <si>
    <t>13</t>
  </si>
  <si>
    <t>Invoice</t>
  </si>
  <si>
    <t xml:space="preserve">Kinerja </t>
  </si>
  <si>
    <t>Terbayar</t>
  </si>
  <si>
    <t>Belanja Direc Cost Berdasarkan</t>
  </si>
  <si>
    <t>14</t>
  </si>
  <si>
    <t>15 (13+14)</t>
  </si>
  <si>
    <t>Selisih (Kinerja Invoice dikurangi Belanja)</t>
  </si>
  <si>
    <t>Jumlah Bel. Direc Cost &amp; Ops</t>
  </si>
  <si>
    <t>1. Saldo Akhir Kas BLU Berdasarkan R/K dan Deposito  saat ini</t>
  </si>
  <si>
    <t>Selisih (1-2-3)</t>
  </si>
  <si>
    <t>3. Uang Pajak yang belum dapat disetorkan Bagian dari saldo. No.1</t>
  </si>
  <si>
    <t>16 (12+15)</t>
  </si>
  <si>
    <t>3. Pajak blm disetor</t>
  </si>
  <si>
    <t>4. Saldo akhir Kas BLU (1-2-3)</t>
  </si>
  <si>
    <t>Maksimal saldo yg dapat digunakan (1-2-3)</t>
  </si>
  <si>
    <t>2.Blokir Jaminan Bank Garansi (BG)</t>
  </si>
  <si>
    <t>1.Jumlah Saldo (1 s/d 5)</t>
  </si>
  <si>
    <t>12 (10+11)</t>
  </si>
  <si>
    <t>1.Saldo Kas BLU Saat ini</t>
  </si>
  <si>
    <t>Tahun 2026</t>
  </si>
  <si>
    <t>DPMG Gas   ( Swakelola ABT )</t>
  </si>
  <si>
    <t>DPMR  Eksplorasi  ( Swakelola ABT )</t>
  </si>
  <si>
    <t>Pengolahan gas  ( Swakelola ABT )</t>
  </si>
  <si>
    <t>Eksplorasi ( Swakelola ABT )</t>
  </si>
  <si>
    <t>Pengolahan gas (Swakelola ABT)</t>
  </si>
  <si>
    <t>17 (7-16)</t>
  </si>
  <si>
    <t>Belanja 48 % Semua DPM</t>
  </si>
  <si>
    <t>Belanja 17 % Semua DPM</t>
  </si>
  <si>
    <t>Belanja 3 % MULOS</t>
  </si>
  <si>
    <t>1010012070882</t>
  </si>
  <si>
    <t xml:space="preserve"> Tahun 2026</t>
  </si>
  <si>
    <t>Berdasarkan Projec  Tahun 2026</t>
  </si>
  <si>
    <t>Invoice Tahun 2026</t>
  </si>
  <si>
    <t>PEKERJAAN SESUAI KONTRAK /JOB / RO  TAHUN 2026</t>
  </si>
  <si>
    <t>Pelunasan Piutang Tahun 2025</t>
  </si>
  <si>
    <t>Pelunasas Piutang Tahun 2025</t>
  </si>
  <si>
    <t>Monitoring  Saldo BLU Berdasarkan Rekening Koran dan Saldo Kas Tunai tahun 2026</t>
  </si>
  <si>
    <t>2. Saldo Awal BLU 2026</t>
  </si>
  <si>
    <t>Pengesahan SP3B</t>
  </si>
  <si>
    <t>Pengesahan   SP3B</t>
  </si>
  <si>
    <t>11 (8 X 7/%)</t>
  </si>
  <si>
    <t>(…................)</t>
  </si>
  <si>
    <t xml:space="preserve">Surat Berharga DEPOSITO </t>
  </si>
  <si>
    <t>REKAPITULASI REALISASI BLU TAHUN 2026</t>
  </si>
  <si>
    <t xml:space="preserve">3.Surat Berharga </t>
  </si>
  <si>
    <t>xz</t>
  </si>
  <si>
    <t>30 %                              (P2 KP3)</t>
  </si>
  <si>
    <t>2,5 %                              (Biaya Ops KP3)</t>
  </si>
  <si>
    <t>2,5 %                                    (Ops MULOS &amp; SPI)</t>
  </si>
  <si>
    <t xml:space="preserve">Surat Keputusan Pemimpin BLU   No.40.K/KAU.01/DPM/2026 tanggal,2 Juni 2026                                                                        Tentang : Penggunaan Saldo Awal dan Alokasi Margin </t>
  </si>
  <si>
    <t>2. Saldo Awal Kas BLU Tahun 2026</t>
  </si>
  <si>
    <t>Monitoring Pengesahan Pendapatan dan Belanja  BLU Tahun 2026</t>
  </si>
  <si>
    <t>Berdasarkan Surat Perintah Pengesahan Pendapatan dan Belanja BLU (SP3B)</t>
  </si>
  <si>
    <t>Rekapitulasi Pengawasan  Penerimaan dan Belanja BLU Per DPM</t>
  </si>
  <si>
    <t xml:space="preserve">Catatan : Saran dan masukan diperlukan dukungan Pimpinan dan kerjasama seluruh Koordinator DPM Teknis untuk segera melakukan identifikasi atas Projec projec yang sudah selesai dikerjakan untuk segera mendorong diterbitkan Invoice untuk menutupi minus </t>
  </si>
  <si>
    <t>2,5%</t>
  </si>
  <si>
    <t>RPL 019 BLU LEMIGAS UNTUK OPS K.</t>
  </si>
  <si>
    <t>I</t>
  </si>
  <si>
    <t>II</t>
  </si>
  <si>
    <t>Jumlah Projec Reguler</t>
  </si>
  <si>
    <t>Jumlah Projec Non Reguler</t>
  </si>
  <si>
    <t>TOTAL</t>
  </si>
  <si>
    <t>Reguler</t>
  </si>
  <si>
    <t>Non Reguler</t>
  </si>
  <si>
    <t xml:space="preserve">Jumlah </t>
  </si>
  <si>
    <t>Projec Reguler</t>
  </si>
  <si>
    <t>Projec Non Reguler</t>
  </si>
  <si>
    <t>Hari Senin 3 AGS 2026</t>
  </si>
  <si>
    <t>Pukul : 17.00</t>
  </si>
  <si>
    <t>Defisit</t>
  </si>
  <si>
    <t>Catatan : Saldo Kas Defisit 211 Juta tetapi masih ada kewajiban kepada pihak ke 3 yang belum dibayar kurang lebih sekitar 21 M dokumen dalam proses persetujuan</t>
  </si>
  <si>
    <t>Saldo Kas BLU Defisit</t>
  </si>
  <si>
    <t>Menu belanja BLU</t>
  </si>
  <si>
    <t>(Pengadaan)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</si>
</sst>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5">
    <numFmt numFmtId="5" formatCode="&quot;Rp&quot;#,##0;\-&quot;Rp&quot;#,##0"/>
    <numFmt numFmtId="42" formatCode="_-&quot;Rp&quot;* #,##0_-;\-&quot;Rp&quot;* #,##0_-;_-&quot;Rp&quot;* &quot;-&quot;_-;_-@_-"/>
    <numFmt numFmtId="41" formatCode="_-* #,##0_-;\-* #,##0_-;_-* &quot;-&quot;_-;_-@_-"/>
    <numFmt numFmtId="44" formatCode="_-&quot;Rp&quot;* #,##0.00_-;\-&quot;Rp&quot;* #,##0.00_-;_-&quot;Rp&quot;* &quot;-&quot;??_-;_-@_-"/>
    <numFmt numFmtId="43" formatCode="_-* #,##0.00_-;\-* #,##0.00_-;_-* &quot;-&quot;??_-;_-@_-"/>
    <numFmt numFmtId="164" formatCode="&quot;$&quot;#,##0_);\(&quot;$&quot;#,##0\)"/>
    <numFmt numFmtId="165" formatCode="&quot;$&quot;#,##0_);[Red]\(&quot;$&quot;#,##0\)"/>
    <numFmt numFmtId="166" formatCode="&quot;$&quot;#,##0.00_);\(&quot;$&quot;#,##0.00\)"/>
    <numFmt numFmtId="167" formatCode="_(&quot;$&quot;* #,##0_);_(&quot;$&quot;* \(#,##0\);_(&quot;$&quot;* &quot;-&quot;_);_(@_)"/>
    <numFmt numFmtId="168" formatCode="_(* #,##0_);_(* \(#,##0\);_(* &quot;-&quot;_);_(@_)"/>
    <numFmt numFmtId="169" formatCode="_(&quot;$&quot;* #,##0.00_);_(&quot;$&quot;* \(#,##0.00\);_(&quot;$&quot;* &quot;-&quot;??_);_(@_)"/>
    <numFmt numFmtId="170" formatCode="_(* #,##0.00_);_(* \(#,##0.00\);_(* &quot;-&quot;??_);_(@_)"/>
    <numFmt numFmtId="171" formatCode="&quot;Rp&quot;#,##0_);\(&quot;Rp&quot;#,##0\)"/>
    <numFmt numFmtId="172" formatCode="_(&quot;Rp&quot;* #,##0_);_(&quot;Rp&quot;* \(#,##0\);_(&quot;Rp&quot;* &quot;-&quot;_);_(@_)"/>
    <numFmt numFmtId="173" formatCode="_(* #,##0_);_(* \(#,##0\);_(* &quot;-&quot;??_);_(@_)"/>
    <numFmt numFmtId="174" formatCode="_(* #,##0.0000_);_(* \(#,##0.0000\);_(* &quot;-&quot;??_);_(@_)"/>
    <numFmt numFmtId="175" formatCode="&quot;Rp&quot;#,##0.00_);[Red]&quot;(Rp&quot;#,##0.00\)"/>
    <numFmt numFmtId="176" formatCode="&quot;Rp&quot;#,##0_);&quot;(Rp&quot;#,##0\)"/>
    <numFmt numFmtId="177" formatCode="_(* #,##0.00_);_(* \(#,##0.00\);_(* &quot;-&quot;_);_(@_)"/>
    <numFmt numFmtId="178" formatCode="[$-421]dd\ mmmm\ yyyy;@"/>
    <numFmt numFmtId="179" formatCode="_-* #,##0_-;\-* #,##0_-;_-* &quot;-&quot;??_-;_-@_-"/>
    <numFmt numFmtId="180" formatCode="[$-409]d\-mmm\-yy;@"/>
    <numFmt numFmtId="181" formatCode="_([$Rp-421]* #,##0.00_);_([$Rp-421]* \(#,##0.00\);_([$Rp-421]* &quot;-&quot;??_);_(@_)"/>
    <numFmt numFmtId="182" formatCode="&quot;$&quot;#,##0.00;[Red]\-&quot;$&quot;#,##0.00"/>
    <numFmt numFmtId="183" formatCode="_(* #.##0_);_(* \(#.##0\);_(* &quot;-&quot;_);_(@_)"/>
    <numFmt numFmtId="184" formatCode="_(* #.##0.00_);_(* \(#.##0.00\);_(* &quot;-&quot;??_);_(@_)"/>
    <numFmt numFmtId="185" formatCode="_-&quot;$&quot;* #,##0.00_-;\-&quot;$&quot;* #,##0.00_-;_-&quot;$&quot;* &quot;-&quot;??_-;_-@_-"/>
    <numFmt numFmtId="186" formatCode="h:mm;@"/>
    <numFmt numFmtId="187" formatCode="dd\-mmmm\-yyyy"/>
    <numFmt numFmtId="188" formatCode="_-* #.##0_-;\-* #.##0_-;_-* &quot;-&quot;_-;_-@_-"/>
    <numFmt numFmtId="189" formatCode="&quot;Rp&quot;#.##0_);[Red]\(&quot;Rp&quot;#.##0\)"/>
    <numFmt numFmtId="190" formatCode="_-* #.##0.00_-;\-* #.##0.00_-;_-* &quot;-&quot;??_-;_-@_-"/>
    <numFmt numFmtId="191" formatCode="&quot;Rp&quot;#.##0.00_);[Red]\(&quot;Rp&quot;#.##0.00\)"/>
    <numFmt numFmtId="192" formatCode="_-&quot;$&quot;* #.##0.00_-;\-&quot;$&quot;* #.##0.00_-;_-&quot;$&quot;* &quot;-&quot;??_-;_-@_-"/>
    <numFmt numFmtId="193" formatCode="&quot;True&quot;;&quot;True&quot;;&quot;False&quot;"/>
  </numFmts>
  <fonts count="129">
    <font>
      <sz val="11"/>
      <color theme="1"/>
      <name val="Calibri"/>
      <family val="2"/>
      <scheme val="minor"/>
    </font>
    <font>
      <sz val="11"/>
      <color theme="1"/>
      <name val="Calibri"/>
      <family val="2"/>
      <charset val="1"/>
      <scheme val="minor"/>
    </font>
    <font>
      <sz val="11"/>
      <color theme="1"/>
      <name val="Calibri"/>
      <family val="2"/>
      <charset val="1"/>
      <scheme val="minor"/>
    </font>
    <font>
      <sz val="11"/>
      <color theme="1"/>
      <name val="Calibri"/>
      <family val="2"/>
      <charset val="1"/>
      <scheme val="minor"/>
    </font>
    <font>
      <sz val="11"/>
      <color theme="1"/>
      <name val="Calibri"/>
      <family val="2"/>
      <charset val="1"/>
      <scheme val="minor"/>
    </font>
    <font>
      <sz val="11"/>
      <color theme="1"/>
      <name val="Calibri"/>
      <family val="2"/>
      <charset val="1"/>
      <scheme val="minor"/>
    </font>
    <font>
      <sz val="11"/>
      <color theme="1"/>
      <name val="Calibri"/>
      <family val="2"/>
      <charset val="1"/>
      <scheme val="minor"/>
    </font>
    <font>
      <sz val="11"/>
      <color theme="1"/>
      <name val="Calibri"/>
      <family val="2"/>
      <charset val="1"/>
      <scheme val="minor"/>
    </font>
    <font>
      <sz val="11"/>
      <color theme="1"/>
      <name val="Calibri"/>
      <family val="2"/>
      <charset val="1"/>
      <scheme val="minor"/>
    </font>
    <font>
      <sz val="11"/>
      <color theme="1"/>
      <name val="Calibri"/>
      <family val="2"/>
      <charset val="1"/>
      <scheme val="minor"/>
    </font>
    <font>
      <sz val="11"/>
      <color theme="1"/>
      <name val="Calibri"/>
      <family val="2"/>
      <charset val="1"/>
      <scheme val="minor"/>
    </font>
    <font>
      <sz val="11"/>
      <color theme="1"/>
      <name val="Calibri"/>
      <family val="2"/>
      <charset val="1"/>
      <scheme val="minor"/>
    </font>
    <font>
      <sz val="11"/>
      <color theme="1"/>
      <name val="Calibri"/>
      <family val="2"/>
      <charset val="1"/>
      <scheme val="minor"/>
    </font>
    <font>
      <sz val="11"/>
      <color theme="1"/>
      <name val="Calibri"/>
      <family val="2"/>
      <charset val="1"/>
      <scheme val="minor"/>
    </font>
    <font>
      <sz val="11"/>
      <color theme="1"/>
      <name val="Calibri"/>
      <family val="2"/>
      <charset val="1"/>
      <scheme val="minor"/>
    </font>
    <font>
      <sz val="11"/>
      <color theme="1"/>
      <name val="Calibri"/>
      <family val="2"/>
      <charset val="1"/>
      <scheme val="minor"/>
    </font>
    <font>
      <sz val="11"/>
      <color theme="1"/>
      <name val="Calibri"/>
      <family val="2"/>
      <charset val="1"/>
      <scheme val="minor"/>
    </font>
    <font>
      <sz val="11"/>
      <color theme="1"/>
      <name val="Calibri"/>
      <family val="2"/>
      <charset val="1"/>
      <scheme val="minor"/>
    </font>
    <font>
      <sz val="11"/>
      <color theme="1"/>
      <name val="Calibri"/>
      <family val="2"/>
      <charset val="1"/>
      <scheme val="minor"/>
    </font>
    <font>
      <sz val="11"/>
      <color theme="1"/>
      <name val="Calibri"/>
      <family val="2"/>
      <charset val="1"/>
      <scheme val="minor"/>
    </font>
    <font>
      <sz val="11"/>
      <color theme="1"/>
      <name val="Calibri"/>
      <family val="2"/>
      <charset val="1"/>
      <scheme val="minor"/>
    </font>
    <font>
      <sz val="11"/>
      <color theme="1"/>
      <name val="Calibri"/>
      <family val="2"/>
      <charset val="1"/>
      <scheme val="minor"/>
    </font>
    <font>
      <sz val="11"/>
      <color theme="1"/>
      <name val="Calibri"/>
      <family val="2"/>
      <charset val="1"/>
      <scheme val="minor"/>
    </font>
    <font>
      <sz val="11"/>
      <color theme="1"/>
      <name val="Calibri"/>
      <family val="2"/>
      <charset val="1"/>
      <scheme val="minor"/>
    </font>
    <font>
      <sz val="11"/>
      <color theme="1"/>
      <name val="Calibri"/>
      <family val="2"/>
      <charset val="1"/>
      <scheme val="minor"/>
    </font>
    <font>
      <sz val="11"/>
      <color theme="1"/>
      <name val="Calibri"/>
      <family val="2"/>
      <charset val="1"/>
      <scheme val="minor"/>
    </font>
    <font>
      <sz val="11"/>
      <color theme="1"/>
      <name val="Calibri"/>
      <family val="2"/>
      <charset val="1"/>
      <scheme val="minor"/>
    </font>
    <font>
      <sz val="11"/>
      <color theme="1"/>
      <name val="Calibri"/>
      <family val="2"/>
      <charset val="1"/>
      <scheme val="minor"/>
    </font>
    <font>
      <sz val="11"/>
      <color theme="1"/>
      <name val="Calibri"/>
      <family val="2"/>
      <charset val="1"/>
      <scheme val="minor"/>
    </font>
    <font>
      <sz val="11"/>
      <color theme="1"/>
      <name val="Calibri"/>
      <family val="2"/>
      <charset val="1"/>
      <scheme val="minor"/>
    </font>
    <font>
      <sz val="11"/>
      <color theme="1"/>
      <name val="Calibri"/>
      <family val="2"/>
      <charset val="1"/>
      <scheme val="minor"/>
    </font>
    <font>
      <sz val="11"/>
      <color theme="1"/>
      <name val="Calibri"/>
      <family val="2"/>
      <charset val="1"/>
      <scheme val="minor"/>
    </font>
    <font>
      <sz val="11"/>
      <color indexed="8"/>
      <name val="Calibri"/>
      <family val="2"/>
      <charset val="1"/>
    </font>
    <font>
      <sz val="10"/>
      <name val="Arial"/>
      <family val="2"/>
    </font>
    <font>
      <sz val="10"/>
      <name val="MS Sans Serif"/>
      <family val="2"/>
    </font>
    <font>
      <sz val="11"/>
      <color indexed="8"/>
      <name val="Calibri"/>
      <family val="2"/>
      <charset val="1"/>
    </font>
    <font>
      <sz val="12"/>
      <name val="Arial"/>
      <family val="2"/>
    </font>
    <font>
      <b/>
      <sz val="12"/>
      <name val="Arial Narrow"/>
      <family val="2"/>
    </font>
    <font>
      <b/>
      <sz val="14"/>
      <name val="Arial Narrow"/>
      <family val="2"/>
    </font>
    <font>
      <sz val="11"/>
      <color indexed="8"/>
      <name val="Calibri"/>
      <family val="2"/>
    </font>
    <font>
      <b/>
      <sz val="11"/>
      <color indexed="8"/>
      <name val="Arial Narrow"/>
      <family val="2"/>
    </font>
    <font>
      <sz val="11"/>
      <color indexed="8"/>
      <name val="Arial Narrow"/>
      <family val="2"/>
    </font>
    <font>
      <sz val="10"/>
      <name val="Arial"/>
      <family val="2"/>
    </font>
    <font>
      <b/>
      <sz val="10"/>
      <name val="Arial Narrow"/>
      <family val="2"/>
    </font>
    <font>
      <sz val="11"/>
      <name val="Arial Narrow"/>
      <family val="2"/>
    </font>
    <font>
      <b/>
      <sz val="11"/>
      <name val="Arial Narrow"/>
      <family val="2"/>
    </font>
    <font>
      <sz val="11"/>
      <color indexed="8"/>
      <name val="Calibri"/>
      <family val="2"/>
    </font>
    <font>
      <sz val="11"/>
      <color indexed="8"/>
      <name val="Calibri"/>
      <family val="2"/>
      <charset val="1"/>
    </font>
    <font>
      <sz val="11"/>
      <color indexed="8"/>
      <name val="Arial"/>
      <family val="2"/>
    </font>
    <font>
      <sz val="11"/>
      <color theme="1"/>
      <name val="Calibri"/>
      <family val="2"/>
      <charset val="1"/>
      <scheme val="minor"/>
    </font>
    <font>
      <sz val="11"/>
      <color theme="0"/>
      <name val="Calibri"/>
      <family val="2"/>
      <charset val="1"/>
      <scheme val="minor"/>
    </font>
    <font>
      <sz val="11"/>
      <color rgb="FF006100"/>
      <name val="Calibri"/>
      <family val="2"/>
      <charset val="1"/>
      <scheme val="minor"/>
    </font>
    <font>
      <sz val="11"/>
      <color theme="1"/>
      <name val="Calibri"/>
      <family val="2"/>
      <scheme val="minor"/>
    </font>
    <font>
      <sz val="11"/>
      <color theme="1"/>
      <name val="Arial"/>
      <family val="2"/>
    </font>
    <font>
      <b/>
      <sz val="11"/>
      <color rgb="FFFF0000"/>
      <name val="Arial Narrow"/>
      <family val="2"/>
    </font>
    <font>
      <b/>
      <sz val="11"/>
      <color theme="1"/>
      <name val="Arial Narrow"/>
      <family val="2"/>
    </font>
    <font>
      <sz val="11"/>
      <color rgb="FFFF0000"/>
      <name val="Arial Narrow"/>
      <family val="2"/>
    </font>
    <font>
      <sz val="11"/>
      <color theme="1"/>
      <name val="Arial Narrow"/>
      <family val="2"/>
    </font>
    <font>
      <b/>
      <sz val="12"/>
      <color theme="1"/>
      <name val="Arial Narrow"/>
      <family val="2"/>
    </font>
    <font>
      <b/>
      <sz val="12"/>
      <color rgb="FFFF0000"/>
      <name val="Arial Narrow"/>
      <family val="2"/>
    </font>
    <font>
      <b/>
      <sz val="11"/>
      <color rgb="FF3333FF"/>
      <name val="Arial Narrow"/>
      <family val="2"/>
    </font>
    <font>
      <sz val="24"/>
      <color theme="1"/>
      <name val="Calibri"/>
      <family val="2"/>
      <scheme val="minor"/>
    </font>
    <font>
      <sz val="24"/>
      <color theme="1"/>
      <name val="Arial Narrow"/>
      <family val="2"/>
    </font>
    <font>
      <b/>
      <sz val="16"/>
      <color rgb="FF3333FF"/>
      <name val="Arial Narrow"/>
      <family val="2"/>
    </font>
    <font>
      <b/>
      <sz val="11"/>
      <color theme="1"/>
      <name val="Calibri"/>
      <family val="2"/>
      <scheme val="minor"/>
    </font>
    <font>
      <b/>
      <sz val="14"/>
      <color theme="1"/>
      <name val="Arial Narrow"/>
      <family val="2"/>
    </font>
    <font>
      <b/>
      <sz val="9"/>
      <color rgb="FF0000FF"/>
      <name val="Arial"/>
      <family val="2"/>
    </font>
    <font>
      <sz val="9"/>
      <color rgb="FF000000"/>
      <name val="Arial"/>
      <family val="2"/>
    </font>
    <font>
      <sz val="11"/>
      <color theme="0"/>
      <name val="Calibri"/>
      <family val="2"/>
      <scheme val="minor"/>
    </font>
    <font>
      <sz val="11"/>
      <color rgb="FF9C0006"/>
      <name val="Calibri"/>
      <family val="2"/>
      <scheme val="minor"/>
    </font>
    <font>
      <sz val="11"/>
      <color rgb="FF3F3F76"/>
      <name val="Calibri"/>
      <family val="2"/>
      <scheme val="minor"/>
    </font>
    <font>
      <b/>
      <sz val="11"/>
      <color rgb="FFFA7D00"/>
      <name val="Calibri"/>
      <family val="2"/>
      <scheme val="minor"/>
    </font>
    <font>
      <b/>
      <sz val="26"/>
      <color rgb="FF3333FF"/>
      <name val="Arial"/>
      <family val="2"/>
    </font>
    <font>
      <b/>
      <sz val="10"/>
      <color rgb="FFFF0000"/>
      <name val="Arial Narrow"/>
      <family val="2"/>
    </font>
    <font>
      <b/>
      <sz val="10"/>
      <color rgb="FF3333FF"/>
      <name val="Arial Black"/>
      <family val="2"/>
    </font>
    <font>
      <sz val="8"/>
      <color rgb="FF000000"/>
      <name val="Arial"/>
      <family val="2"/>
    </font>
    <font>
      <b/>
      <sz val="8"/>
      <color rgb="FF000000"/>
      <name val="Arial"/>
      <family val="2"/>
    </font>
    <font>
      <b/>
      <sz val="11"/>
      <color rgb="FF0000FF"/>
      <name val="Arial Narrow"/>
      <family val="2"/>
    </font>
    <font>
      <b/>
      <sz val="12"/>
      <color rgb="FF0000FF"/>
      <name val="Arial Narrow"/>
      <family val="2"/>
    </font>
    <font>
      <sz val="11"/>
      <color rgb="FF9C6500"/>
      <name val="Calibri"/>
      <family val="2"/>
      <scheme val="minor"/>
    </font>
    <font>
      <b/>
      <sz val="9"/>
      <color rgb="FF000000"/>
      <name val="Arial"/>
      <family val="2"/>
    </font>
    <font>
      <sz val="11"/>
      <color rgb="FF006100"/>
      <name val="Calibri"/>
      <family val="2"/>
      <scheme val="minor"/>
    </font>
    <font>
      <sz val="11"/>
      <color indexed="8"/>
      <name val="Calibri"/>
      <family val="2"/>
      <scheme val="minor"/>
    </font>
    <font>
      <b/>
      <sz val="16"/>
      <color rgb="FF3333FF"/>
      <name val="Arial"/>
      <family val="2"/>
    </font>
    <font>
      <sz val="7"/>
      <color rgb="FF000000"/>
      <name val="Arial"/>
      <family val="2"/>
    </font>
    <font>
      <b/>
      <sz val="12"/>
      <color rgb="FF000000"/>
      <name val="Arial"/>
      <family val="2"/>
    </font>
    <font>
      <b/>
      <sz val="14"/>
      <color rgb="FF000000"/>
      <name val="Arial"/>
      <family val="2"/>
    </font>
    <font>
      <b/>
      <sz val="7"/>
      <color rgb="FF0000CC"/>
      <name val="Arial"/>
      <family val="2"/>
    </font>
    <font>
      <b/>
      <sz val="10"/>
      <color rgb="FF000000"/>
      <name val="Arial"/>
      <family val="2"/>
    </font>
    <font>
      <sz val="11"/>
      <color indexed="9"/>
      <name val="Calibri"/>
      <family val="2"/>
    </font>
    <font>
      <b/>
      <sz val="11"/>
      <color indexed="9"/>
      <name val="Calibri"/>
      <family val="2"/>
    </font>
    <font>
      <i/>
      <sz val="11"/>
      <color indexed="23"/>
      <name val="Calibri"/>
      <family val="2"/>
    </font>
    <font>
      <b/>
      <sz val="11"/>
      <color indexed="8"/>
      <name val="Calibri"/>
      <family val="2"/>
    </font>
    <font>
      <sz val="11"/>
      <color indexed="10"/>
      <name val="Calibri"/>
      <family val="2"/>
    </font>
    <font>
      <sz val="11"/>
      <color rgb="FF9C0006"/>
      <name val="Calibri"/>
      <family val="2"/>
    </font>
    <font>
      <b/>
      <sz val="11"/>
      <color rgb="FFFA7D00"/>
      <name val="Calibri"/>
      <family val="2"/>
    </font>
    <font>
      <sz val="11"/>
      <color rgb="FF006100"/>
      <name val="Calibri"/>
      <family val="2"/>
    </font>
    <font>
      <b/>
      <sz val="15"/>
      <color rgb="FF1F4A7E"/>
      <name val="Calibri"/>
      <family val="2"/>
    </font>
    <font>
      <b/>
      <sz val="13"/>
      <color rgb="FF1F4A7E"/>
      <name val="Calibri"/>
      <family val="2"/>
    </font>
    <font>
      <b/>
      <sz val="11"/>
      <color rgb="FF1F4A7E"/>
      <name val="Calibri"/>
      <family val="2"/>
    </font>
    <font>
      <sz val="11"/>
      <color rgb="FF3F3F76"/>
      <name val="Calibri"/>
      <family val="2"/>
    </font>
    <font>
      <sz val="11"/>
      <color rgb="FFFA7D00"/>
      <name val="Calibri"/>
      <family val="2"/>
    </font>
    <font>
      <sz val="11"/>
      <color rgb="FF9C6500"/>
      <name val="Calibri"/>
      <family val="2"/>
    </font>
    <font>
      <b/>
      <sz val="11"/>
      <color rgb="FF3F3F3F"/>
      <name val="Calibri"/>
      <family val="2"/>
    </font>
    <font>
      <b/>
      <sz val="18"/>
      <color rgb="FF1F4A7E"/>
      <name val="Cambria"/>
      <family val="2"/>
    </font>
    <font>
      <sz val="8"/>
      <color indexed="8"/>
      <name val="Arial"/>
      <family val="2"/>
    </font>
    <font>
      <b/>
      <sz val="11"/>
      <color theme="0"/>
      <name val="Calibri"/>
      <family val="2"/>
      <scheme val="minor"/>
    </font>
    <font>
      <b/>
      <sz val="10"/>
      <color theme="0"/>
      <name val="Arial Narrow"/>
      <family val="2"/>
    </font>
    <font>
      <b/>
      <sz val="12"/>
      <color theme="0"/>
      <name val="Arial Narrow"/>
      <family val="2"/>
    </font>
    <font>
      <b/>
      <sz val="11"/>
      <color indexed="8"/>
      <name val="Arial Black"/>
      <family val="2"/>
    </font>
    <font>
      <b/>
      <sz val="14"/>
      <color theme="0"/>
      <name val="Arial Black"/>
      <family val="2"/>
    </font>
    <font>
      <b/>
      <sz val="9"/>
      <color theme="0"/>
      <name val="Arial Narrow"/>
      <family val="2"/>
    </font>
    <font>
      <b/>
      <sz val="14"/>
      <color theme="0"/>
      <name val="Arial Narrow"/>
      <family val="2"/>
    </font>
    <font>
      <b/>
      <sz val="14"/>
      <color theme="0"/>
      <name val="Arial"/>
      <family val="2"/>
    </font>
    <font>
      <sz val="11"/>
      <color theme="0"/>
      <name val="Arial"/>
      <family val="2"/>
    </font>
    <font>
      <sz val="11"/>
      <color theme="0"/>
      <name val="Arial Narrow"/>
      <family val="2"/>
    </font>
    <font>
      <b/>
      <sz val="11"/>
      <color rgb="FFFF0000"/>
      <name val="Arial Black"/>
      <family val="2"/>
    </font>
    <font>
      <b/>
      <sz val="11"/>
      <color rgb="FFEE0000"/>
      <name val="Arial Narrow"/>
      <family val="2"/>
    </font>
    <font>
      <b/>
      <sz val="14"/>
      <color rgb="FFEE0000"/>
      <name val="Arial Narrow"/>
      <family val="2"/>
    </font>
    <font>
      <b/>
      <sz val="11"/>
      <color rgb="FFEE0000"/>
      <name val="Calibri"/>
      <family val="2"/>
      <scheme val="minor"/>
    </font>
    <font>
      <sz val="11"/>
      <color rgb="FFEE0000"/>
      <name val="Calibri"/>
      <family val="2"/>
      <scheme val="minor"/>
    </font>
    <font>
      <sz val="10"/>
      <name val="MS Sans Serif"/>
      <charset val="134"/>
    </font>
    <font>
      <b/>
      <sz val="18"/>
      <color rgb="FF1F4A7E"/>
      <name val="Cambria"/>
      <family val="1"/>
    </font>
    <font>
      <sz val="11"/>
      <color rgb="FFFF0000"/>
      <name val="Arial"/>
      <family val="2"/>
    </font>
    <font>
      <b/>
      <i/>
      <sz val="12"/>
      <color rgb="FFEE0000"/>
      <name val="Arial Narrow"/>
      <family val="2"/>
    </font>
    <font>
      <b/>
      <sz val="10"/>
      <color theme="1"/>
      <name val="Arial Narrow"/>
      <family val="2"/>
    </font>
    <font>
      <b/>
      <i/>
      <sz val="11"/>
      <color rgb="FFFF0000"/>
      <name val="Arial Narrow"/>
      <family val="2"/>
    </font>
    <font>
      <b/>
      <i/>
      <sz val="12"/>
      <color rgb="FFFF0000"/>
      <name val="Arial Narrow"/>
      <family val="2"/>
    </font>
    <font>
      <b/>
      <sz val="14"/>
      <color rgb="FFFF0000"/>
      <name val="Arial Narrow"/>
      <family val="2"/>
    </font>
  </fonts>
  <fills count="85">
    <fill>
      <patternFill patternType="none"/>
    </fill>
    <fill>
      <patternFill patternType="gray125"/>
    </fill>
    <fill>
      <patternFill patternType="solid">
        <fgColor indexed="9"/>
        <bgColor indexed="64"/>
      </patternFill>
    </fill>
    <fill>
      <patternFill patternType="solid">
        <fgColor indexed="13"/>
        <bgColor indexed="64"/>
      </patternFill>
    </fill>
    <fill>
      <patternFill patternType="solid">
        <fgColor theme="5"/>
      </patternFill>
    </fill>
    <fill>
      <patternFill patternType="solid">
        <fgColor rgb="FFC6EFCE"/>
      </patternFill>
    </fill>
    <fill>
      <patternFill patternType="solid">
        <fgColor rgb="FFFFFF00"/>
        <bgColor indexed="64"/>
      </patternFill>
    </fill>
    <fill>
      <patternFill patternType="solid">
        <fgColor rgb="FF66FFFF"/>
        <bgColor indexed="64"/>
      </patternFill>
    </fill>
    <fill>
      <patternFill patternType="solid">
        <fgColor rgb="FFFF9999"/>
        <bgColor indexed="64"/>
      </patternFill>
    </fill>
    <fill>
      <patternFill patternType="solid">
        <fgColor rgb="FF66FF66"/>
        <bgColor indexed="64"/>
      </patternFill>
    </fill>
    <fill>
      <patternFill patternType="solid">
        <fgColor rgb="FFFFFFCC"/>
        <bgColor indexed="64"/>
      </patternFill>
    </fill>
    <fill>
      <patternFill patternType="solid">
        <fgColor theme="0"/>
        <bgColor indexed="64"/>
      </patternFill>
    </fill>
    <fill>
      <patternFill patternType="solid">
        <fgColor rgb="FFFFC7CE"/>
      </patternFill>
    </fill>
    <fill>
      <patternFill patternType="solid">
        <fgColor rgb="FFFFCC99"/>
      </patternFill>
    </fill>
    <fill>
      <patternFill patternType="solid">
        <fgColor rgb="FFF2F2F2"/>
      </patternFill>
    </fill>
    <fill>
      <patternFill patternType="solid">
        <fgColor theme="5" tint="0.79998168889431442"/>
        <bgColor indexed="65"/>
      </patternFill>
    </fill>
    <fill>
      <patternFill patternType="solid">
        <fgColor theme="7"/>
      </patternFill>
    </fill>
    <fill>
      <patternFill patternType="solid">
        <fgColor rgb="FFFFEB9C"/>
      </patternFill>
    </fill>
    <fill>
      <patternFill patternType="solid">
        <fgColor theme="9" tint="0.79998168889431442"/>
        <bgColor indexed="64"/>
      </patternFill>
    </fill>
    <fill>
      <patternFill patternType="solid">
        <fgColor theme="9" tint="0.59999389629810485"/>
        <bgColor indexed="64"/>
      </patternFill>
    </fill>
    <fill>
      <patternFill patternType="solid">
        <fgColor rgb="FFC6EFCE"/>
        <bgColor indexed="64"/>
      </patternFill>
    </fill>
    <fill>
      <patternFill patternType="solid">
        <fgColor rgb="FFFFC7CE"/>
        <bgColor indexed="64"/>
      </patternFill>
    </fill>
    <fill>
      <patternFill patternType="solid">
        <fgColor rgb="FFA5A5A5"/>
      </patternFill>
    </fill>
    <fill>
      <patternFill patternType="solid">
        <fgColor rgb="FFFFFFCC"/>
      </patternFill>
    </fill>
    <fill>
      <patternFill patternType="solid">
        <fgColor rgb="FFDCE5F1"/>
      </patternFill>
    </fill>
    <fill>
      <patternFill patternType="solid">
        <fgColor rgb="FFF2DCDB"/>
      </patternFill>
    </fill>
    <fill>
      <patternFill patternType="solid">
        <fgColor rgb="FFEAF1DD"/>
      </patternFill>
    </fill>
    <fill>
      <patternFill patternType="solid">
        <fgColor rgb="FFE5DFEC"/>
      </patternFill>
    </fill>
    <fill>
      <patternFill patternType="solid">
        <fgColor rgb="FFDBEEF3"/>
      </patternFill>
    </fill>
    <fill>
      <patternFill patternType="solid">
        <fgColor rgb="FFFDE9D9"/>
      </patternFill>
    </fill>
    <fill>
      <patternFill patternType="solid">
        <fgColor rgb="FFB9CCE4"/>
      </patternFill>
    </fill>
    <fill>
      <patternFill patternType="solid">
        <fgColor rgb="FFE6B9B8"/>
      </patternFill>
    </fill>
    <fill>
      <patternFill patternType="solid">
        <fgColor rgb="FFD6E3BC"/>
      </patternFill>
    </fill>
    <fill>
      <patternFill patternType="solid">
        <fgColor rgb="FFCBC0D9"/>
      </patternFill>
    </fill>
    <fill>
      <patternFill patternType="solid">
        <fgColor rgb="FFB7DDE8"/>
      </patternFill>
    </fill>
    <fill>
      <patternFill patternType="solid">
        <fgColor rgb="FFFBD4B4"/>
      </patternFill>
    </fill>
    <fill>
      <patternFill patternType="solid">
        <fgColor rgb="FF96B3D7"/>
      </patternFill>
    </fill>
    <fill>
      <patternFill patternType="solid">
        <fgColor rgb="FFD99694"/>
      </patternFill>
    </fill>
    <fill>
      <patternFill patternType="solid">
        <fgColor rgb="FFC2D69B"/>
      </patternFill>
    </fill>
    <fill>
      <patternFill patternType="solid">
        <fgColor rgb="FFB2A1C6"/>
      </patternFill>
    </fill>
    <fill>
      <patternFill patternType="solid">
        <fgColor rgb="FF94CDDD"/>
      </patternFill>
    </fill>
    <fill>
      <patternFill patternType="solid">
        <fgColor rgb="FFFABF8F"/>
      </patternFill>
    </fill>
    <fill>
      <patternFill patternType="solid">
        <fgColor rgb="FF5181BD"/>
      </patternFill>
    </fill>
    <fill>
      <patternFill patternType="solid">
        <fgColor rgb="FFC0514D"/>
      </patternFill>
    </fill>
    <fill>
      <patternFill patternType="solid">
        <fgColor rgb="FF9ABA58"/>
      </patternFill>
    </fill>
    <fill>
      <patternFill patternType="solid">
        <fgColor rgb="FF7E62A1"/>
      </patternFill>
    </fill>
    <fill>
      <patternFill patternType="solid">
        <fgColor rgb="FF4CACC6"/>
      </patternFill>
    </fill>
    <fill>
      <patternFill patternType="solid">
        <fgColor rgb="FFF79544"/>
      </patternFill>
    </fill>
    <fill>
      <patternFill patternType="solid">
        <fgColor theme="6" tint="0.79998168889431442"/>
        <bgColor indexed="64"/>
      </patternFill>
    </fill>
    <fill>
      <patternFill patternType="solid">
        <fgColor theme="4" tint="0.59999389629810485"/>
        <bgColor indexed="64"/>
      </patternFill>
    </fill>
    <fill>
      <patternFill patternType="solid">
        <fgColor rgb="FF0000FF"/>
        <bgColor indexed="64"/>
      </patternFill>
    </fill>
    <fill>
      <patternFill patternType="solid">
        <fgColor theme="3" tint="0.79998168889431442"/>
        <bgColor indexed="64"/>
      </patternFill>
    </fill>
    <fill>
      <patternFill patternType="solid">
        <fgColor theme="6" tint="0.59999389629810485"/>
        <bgColor indexed="64"/>
      </patternFill>
    </fill>
    <fill>
      <patternFill patternType="solid">
        <fgColor theme="6" tint="0.39997558519241921"/>
        <bgColor indexed="64"/>
      </patternFill>
    </fill>
    <fill>
      <patternFill patternType="solid">
        <fgColor rgb="FFDCE5F1"/>
        <bgColor indexed="64"/>
      </patternFill>
    </fill>
    <fill>
      <patternFill patternType="solid">
        <fgColor theme="5" tint="0.79992065187536243"/>
        <bgColor indexed="64"/>
      </patternFill>
    </fill>
    <fill>
      <patternFill patternType="solid">
        <fgColor rgb="FFF2DCDB"/>
        <bgColor indexed="64"/>
      </patternFill>
    </fill>
    <fill>
      <patternFill patternType="solid">
        <fgColor rgb="FFEAF1DD"/>
        <bgColor indexed="64"/>
      </patternFill>
    </fill>
    <fill>
      <patternFill patternType="solid">
        <fgColor rgb="FFE5DFEC"/>
        <bgColor indexed="64"/>
      </patternFill>
    </fill>
    <fill>
      <patternFill patternType="solid">
        <fgColor rgb="FFDBEEF3"/>
        <bgColor indexed="64"/>
      </patternFill>
    </fill>
    <fill>
      <patternFill patternType="solid">
        <fgColor rgb="FFFDE9D9"/>
        <bgColor indexed="64"/>
      </patternFill>
    </fill>
    <fill>
      <patternFill patternType="solid">
        <fgColor rgb="FFB9CCE4"/>
        <bgColor indexed="64"/>
      </patternFill>
    </fill>
    <fill>
      <patternFill patternType="solid">
        <fgColor rgb="FFE6B9B8"/>
        <bgColor indexed="64"/>
      </patternFill>
    </fill>
    <fill>
      <patternFill patternType="solid">
        <fgColor rgb="FFD6E3BC"/>
        <bgColor indexed="64"/>
      </patternFill>
    </fill>
    <fill>
      <patternFill patternType="solid">
        <fgColor rgb="FFCBC0D9"/>
        <bgColor indexed="64"/>
      </patternFill>
    </fill>
    <fill>
      <patternFill patternType="solid">
        <fgColor rgb="FFB7DDE8"/>
        <bgColor indexed="64"/>
      </patternFill>
    </fill>
    <fill>
      <patternFill patternType="solid">
        <fgColor rgb="FFFBD4B4"/>
        <bgColor indexed="64"/>
      </patternFill>
    </fill>
    <fill>
      <patternFill patternType="solid">
        <fgColor rgb="FF96B3D7"/>
        <bgColor indexed="64"/>
      </patternFill>
    </fill>
    <fill>
      <patternFill patternType="solid">
        <fgColor rgb="FFD99694"/>
        <bgColor indexed="64"/>
      </patternFill>
    </fill>
    <fill>
      <patternFill patternType="solid">
        <fgColor rgb="FFC2D69B"/>
        <bgColor indexed="64"/>
      </patternFill>
    </fill>
    <fill>
      <patternFill patternType="solid">
        <fgColor rgb="FFB2A1C6"/>
        <bgColor indexed="64"/>
      </patternFill>
    </fill>
    <fill>
      <patternFill patternType="solid">
        <fgColor rgb="FF94CDDD"/>
        <bgColor indexed="64"/>
      </patternFill>
    </fill>
    <fill>
      <patternFill patternType="solid">
        <fgColor rgb="FFFABF8F"/>
        <bgColor indexed="64"/>
      </patternFill>
    </fill>
    <fill>
      <patternFill patternType="solid">
        <fgColor rgb="FF5181BD"/>
        <bgColor indexed="64"/>
      </patternFill>
    </fill>
    <fill>
      <patternFill patternType="solid">
        <fgColor theme="5"/>
        <bgColor indexed="64"/>
      </patternFill>
    </fill>
    <fill>
      <patternFill patternType="solid">
        <fgColor rgb="FFC0514D"/>
        <bgColor indexed="64"/>
      </patternFill>
    </fill>
    <fill>
      <patternFill patternType="solid">
        <fgColor rgb="FF9ABA58"/>
        <bgColor indexed="64"/>
      </patternFill>
    </fill>
    <fill>
      <patternFill patternType="solid">
        <fgColor theme="7"/>
        <bgColor indexed="64"/>
      </patternFill>
    </fill>
    <fill>
      <patternFill patternType="solid">
        <fgColor rgb="FF7E62A1"/>
        <bgColor indexed="64"/>
      </patternFill>
    </fill>
    <fill>
      <patternFill patternType="solid">
        <fgColor rgb="FF4CACC6"/>
        <bgColor indexed="64"/>
      </patternFill>
    </fill>
    <fill>
      <patternFill patternType="solid">
        <fgColor rgb="FFF79544"/>
        <bgColor indexed="64"/>
      </patternFill>
    </fill>
    <fill>
      <patternFill patternType="solid">
        <fgColor rgb="FFF2F2F2"/>
        <bgColor indexed="64"/>
      </patternFill>
    </fill>
    <fill>
      <patternFill patternType="solid">
        <fgColor rgb="FFA5A5A5"/>
        <bgColor indexed="64"/>
      </patternFill>
    </fill>
    <fill>
      <patternFill patternType="solid">
        <fgColor rgb="FFFFCC99"/>
        <bgColor indexed="64"/>
      </patternFill>
    </fill>
    <fill>
      <patternFill patternType="solid">
        <fgColor rgb="FFFFEB9C"/>
        <bgColor indexed="64"/>
      </patternFill>
    </fill>
  </fills>
  <borders count="129">
    <border>
      <left/>
      <right/>
      <top/>
      <bottom/>
      <diagonal/>
    </border>
    <border>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top/>
      <bottom style="thin">
        <color indexed="64"/>
      </bottom>
      <diagonal/>
    </border>
    <border>
      <left/>
      <right style="thin">
        <color indexed="64"/>
      </right>
      <top/>
      <bottom/>
      <diagonal/>
    </border>
    <border>
      <left style="medium">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thin">
        <color indexed="64"/>
      </top>
      <bottom style="thick">
        <color rgb="FFFF0000"/>
      </bottom>
      <diagonal/>
    </border>
    <border>
      <left style="thin">
        <color indexed="64"/>
      </left>
      <right/>
      <top style="thin">
        <color indexed="64"/>
      </top>
      <bottom style="thick">
        <color rgb="FFFF0000"/>
      </bottom>
      <diagonal/>
    </border>
    <border>
      <left/>
      <right style="thin">
        <color indexed="64"/>
      </right>
      <top style="thin">
        <color indexed="64"/>
      </top>
      <bottom style="thick">
        <color rgb="FFFF0000"/>
      </bottom>
      <diagonal/>
    </border>
    <border>
      <left style="medium">
        <color indexed="64"/>
      </left>
      <right style="thin">
        <color indexed="64"/>
      </right>
      <top/>
      <bottom/>
      <diagonal/>
    </border>
    <border>
      <left style="medium">
        <color indexed="64"/>
      </left>
      <right style="thin">
        <color indexed="64"/>
      </right>
      <top style="thin">
        <color indexed="64"/>
      </top>
      <bottom style="thick">
        <color rgb="FFFF0000"/>
      </bottom>
      <diagonal/>
    </border>
    <border>
      <left style="medium">
        <color indexed="64"/>
      </left>
      <right/>
      <top/>
      <bottom/>
      <diagonal/>
    </border>
    <border>
      <left style="thin">
        <color indexed="64"/>
      </left>
      <right/>
      <top style="thin">
        <color indexed="64"/>
      </top>
      <bottom style="medium">
        <color rgb="FFFF0000"/>
      </bottom>
      <diagonal/>
    </border>
    <border>
      <left style="thin">
        <color indexed="64"/>
      </left>
      <right style="thin">
        <color indexed="64"/>
      </right>
      <top/>
      <bottom style="thick">
        <color rgb="FFFF0000"/>
      </bottom>
      <diagonal/>
    </border>
    <border>
      <left/>
      <right/>
      <top style="medium">
        <color auto="1"/>
      </top>
      <bottom/>
      <diagonal/>
    </border>
    <border>
      <left/>
      <right style="thin">
        <color indexed="64"/>
      </right>
      <top style="medium">
        <color auto="1"/>
      </top>
      <bottom/>
      <diagonal/>
    </border>
    <border>
      <left/>
      <right/>
      <top style="thin">
        <color auto="1"/>
      </top>
      <bottom style="medium">
        <color auto="1"/>
      </bottom>
      <diagonal/>
    </border>
    <border>
      <left/>
      <right/>
      <top style="thin">
        <color auto="1"/>
      </top>
      <bottom/>
      <diagonal/>
    </border>
    <border>
      <left/>
      <right/>
      <top style="thin">
        <color auto="1"/>
      </top>
      <bottom style="thick">
        <color rgb="FFFF0000"/>
      </bottom>
      <diagonal/>
    </border>
    <border>
      <left style="thin">
        <color rgb="FF7F7F7F"/>
      </left>
      <right style="thin">
        <color rgb="FF7F7F7F"/>
      </right>
      <top style="thin">
        <color rgb="FF7F7F7F"/>
      </top>
      <bottom style="thin">
        <color rgb="FF7F7F7F"/>
      </bottom>
      <diagonal/>
    </border>
    <border>
      <left/>
      <right/>
      <top style="medium">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auto="1"/>
      </left>
      <right/>
      <top style="thin">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bottom style="medium">
        <color indexed="64"/>
      </bottom>
      <diagonal/>
    </border>
    <border>
      <left/>
      <right style="thin">
        <color indexed="64"/>
      </right>
      <top style="thin">
        <color indexed="64"/>
      </top>
      <bottom/>
      <diagonal/>
    </border>
    <border>
      <left/>
      <right style="thin">
        <color indexed="64"/>
      </right>
      <top style="thin">
        <color auto="1"/>
      </top>
      <bottom style="medium">
        <color auto="1"/>
      </bottom>
      <diagonal/>
    </border>
    <border>
      <left style="medium">
        <color rgb="FFFF0000"/>
      </left>
      <right style="thin">
        <color indexed="64"/>
      </right>
      <top/>
      <bottom style="thin">
        <color indexed="64"/>
      </bottom>
      <diagonal/>
    </border>
    <border>
      <left style="medium">
        <color rgb="FFFF0000"/>
      </left>
      <right style="thin">
        <color indexed="64"/>
      </right>
      <top style="thin">
        <color indexed="64"/>
      </top>
      <bottom/>
      <diagonal/>
    </border>
    <border>
      <left style="medium">
        <color rgb="FFFF0000"/>
      </left>
      <right style="thin">
        <color indexed="64"/>
      </right>
      <top/>
      <bottom/>
      <diagonal/>
    </border>
    <border>
      <left style="medium">
        <color indexed="64"/>
      </left>
      <right style="thin">
        <color indexed="64"/>
      </right>
      <top style="medium">
        <color indexed="64"/>
      </top>
      <bottom/>
      <diagonal/>
    </border>
    <border>
      <left/>
      <right style="medium">
        <color indexed="64"/>
      </right>
      <top style="medium">
        <color indexed="64"/>
      </top>
      <bottom/>
      <diagonal/>
    </border>
    <border>
      <left style="medium">
        <color auto="1"/>
      </left>
      <right/>
      <top style="medium">
        <color indexed="64"/>
      </top>
      <bottom style="thin">
        <color indexed="64"/>
      </bottom>
      <diagonal/>
    </border>
    <border>
      <left/>
      <right style="medium">
        <color indexed="64"/>
      </right>
      <top style="medium">
        <color indexed="64"/>
      </top>
      <bottom style="thin">
        <color auto="1"/>
      </bottom>
      <diagonal/>
    </border>
    <border>
      <left style="thin">
        <color indexed="64"/>
      </left>
      <right/>
      <top style="medium">
        <color indexed="64"/>
      </top>
      <bottom/>
      <diagonal/>
    </border>
    <border>
      <left style="medium">
        <color indexed="64"/>
      </left>
      <right style="thin">
        <color indexed="64"/>
      </right>
      <top style="thin">
        <color indexed="64"/>
      </top>
      <bottom style="medium">
        <color indexed="64"/>
      </bottom>
      <diagonal/>
    </border>
    <border>
      <left style="medium">
        <color rgb="FFFF0000"/>
      </left>
      <right style="thin">
        <color indexed="64"/>
      </right>
      <top style="thin">
        <color indexed="64"/>
      </top>
      <bottom style="medium">
        <color indexed="64"/>
      </bottom>
      <diagonal/>
    </border>
    <border>
      <left style="thin">
        <color auto="1"/>
      </left>
      <right style="thin">
        <color auto="1"/>
      </right>
      <top/>
      <bottom style="medium">
        <color auto="1"/>
      </bottom>
      <diagonal/>
    </border>
    <border>
      <left style="thin">
        <color indexed="64"/>
      </left>
      <right/>
      <top/>
      <bottom style="medium">
        <color indexed="64"/>
      </bottom>
      <diagonal/>
    </border>
    <border>
      <left style="medium">
        <color indexed="64"/>
      </left>
      <right style="thin">
        <color indexed="64"/>
      </right>
      <top style="thin">
        <color indexed="64"/>
      </top>
      <bottom style="thin">
        <color indexed="64"/>
      </bottom>
      <diagonal/>
    </border>
    <border>
      <left style="thin">
        <color auto="1"/>
      </left>
      <right style="thin">
        <color auto="1"/>
      </right>
      <top style="medium">
        <color auto="1"/>
      </top>
      <bottom/>
      <diagonal/>
    </border>
    <border>
      <left style="medium">
        <color auto="1"/>
      </left>
      <right/>
      <top style="thin">
        <color indexed="64"/>
      </top>
      <bottom style="thin">
        <color auto="1"/>
      </bottom>
      <diagonal/>
    </border>
    <border>
      <left/>
      <right style="medium">
        <color rgb="FFFF0000"/>
      </right>
      <top style="thin">
        <color indexed="64"/>
      </top>
      <bottom style="thin">
        <color auto="1"/>
      </bottom>
      <diagonal/>
    </border>
    <border>
      <left style="medium">
        <color rgb="FFFF0000"/>
      </left>
      <right/>
      <top style="thin">
        <color auto="1"/>
      </top>
      <bottom style="thin">
        <color auto="1"/>
      </bottom>
      <diagonal/>
    </border>
    <border>
      <left style="medium">
        <color rgb="FFFF0000"/>
      </left>
      <right/>
      <top style="thin">
        <color auto="1"/>
      </top>
      <bottom style="medium">
        <color indexed="64"/>
      </bottom>
      <diagonal/>
    </border>
    <border>
      <left style="medium">
        <color indexed="64"/>
      </left>
      <right/>
      <top/>
      <bottom style="medium">
        <color indexed="64"/>
      </bottom>
      <diagonal/>
    </border>
    <border>
      <left style="thin">
        <color indexed="64"/>
      </left>
      <right style="medium">
        <color indexed="64"/>
      </right>
      <top/>
      <bottom style="medium">
        <color indexed="64"/>
      </bottom>
      <diagonal/>
    </border>
    <border>
      <left style="thin">
        <color auto="1"/>
      </left>
      <right style="thin">
        <color indexed="64"/>
      </right>
      <top style="thin">
        <color auto="1"/>
      </top>
      <bottom/>
      <diagonal/>
    </border>
    <border>
      <left style="thin">
        <color indexed="64"/>
      </left>
      <right/>
      <top style="thin">
        <color indexed="64"/>
      </top>
      <bottom/>
      <diagonal/>
    </border>
    <border>
      <left style="medium">
        <color indexed="64"/>
      </left>
      <right style="thin">
        <color auto="1"/>
      </right>
      <top style="thick">
        <color rgb="FFFF0000"/>
      </top>
      <bottom style="medium">
        <color rgb="FFFF0000"/>
      </bottom>
      <diagonal/>
    </border>
    <border>
      <left/>
      <right/>
      <top style="thick">
        <color rgb="FFFF0000"/>
      </top>
      <bottom style="medium">
        <color rgb="FFFF0000"/>
      </bottom>
      <diagonal/>
    </border>
    <border>
      <left/>
      <right style="thin">
        <color indexed="64"/>
      </right>
      <top style="thick">
        <color rgb="FFFF0000"/>
      </top>
      <bottom style="medium">
        <color rgb="FFFF0000"/>
      </bottom>
      <diagonal/>
    </border>
    <border>
      <left style="thin">
        <color auto="1"/>
      </left>
      <right style="thin">
        <color auto="1"/>
      </right>
      <top style="thick">
        <color rgb="FFFF0000"/>
      </top>
      <bottom style="medium">
        <color rgb="FFFF0000"/>
      </bottom>
      <diagonal/>
    </border>
    <border>
      <left style="thin">
        <color indexed="64"/>
      </left>
      <right style="medium">
        <color indexed="64"/>
      </right>
      <top/>
      <bottom style="thin">
        <color indexed="64"/>
      </bottom>
      <diagonal/>
    </border>
    <border>
      <left/>
      <right/>
      <top style="medium">
        <color rgb="FFFF0000"/>
      </top>
      <bottom style="thick">
        <color rgb="FFFF0000"/>
      </bottom>
      <diagonal/>
    </border>
    <border>
      <left/>
      <right style="thin">
        <color indexed="64"/>
      </right>
      <top style="medium">
        <color rgb="FFFF0000"/>
      </top>
      <bottom style="thick">
        <color rgb="FFFF0000"/>
      </bottom>
      <diagonal/>
    </border>
    <border>
      <left style="thin">
        <color auto="1"/>
      </left>
      <right style="thin">
        <color indexed="64"/>
      </right>
      <top style="medium">
        <color rgb="FFFF0000"/>
      </top>
      <bottom style="thick">
        <color rgb="FFFF0000"/>
      </bottom>
      <diagonal/>
    </border>
    <border>
      <left style="medium">
        <color indexed="64"/>
      </left>
      <right style="thin">
        <color indexed="64"/>
      </right>
      <top style="medium">
        <color rgb="FFFF0000"/>
      </top>
      <bottom style="thick">
        <color rgb="FFFF0000"/>
      </bottom>
      <diagonal/>
    </border>
    <border>
      <left/>
      <right/>
      <top/>
      <bottom style="medium">
        <color indexed="64"/>
      </bottom>
      <diagonal/>
    </border>
    <border>
      <left style="thin">
        <color auto="1"/>
      </left>
      <right style="thin">
        <color indexed="64"/>
      </right>
      <top/>
      <bottom/>
      <diagonal/>
    </border>
    <border>
      <left style="thin">
        <color indexed="64"/>
      </left>
      <right/>
      <top/>
      <bottom/>
      <diagonal/>
    </border>
    <border>
      <left style="medium">
        <color rgb="FFFF0000"/>
      </left>
      <right style="thin">
        <color indexed="64"/>
      </right>
      <top/>
      <bottom style="medium">
        <color indexed="64"/>
      </bottom>
      <diagonal/>
    </border>
    <border>
      <left style="thin">
        <color indexed="64"/>
      </left>
      <right style="medium">
        <color rgb="FFFF0000"/>
      </right>
      <top/>
      <bottom style="medium">
        <color indexed="64"/>
      </bottom>
      <diagonal/>
    </border>
    <border>
      <left style="thin">
        <color indexed="64"/>
      </left>
      <right style="medium">
        <color rgb="FFFF0000"/>
      </right>
      <top style="thin">
        <color indexed="64"/>
      </top>
      <bottom style="medium">
        <color indexed="64"/>
      </bottom>
      <diagonal/>
    </border>
    <border>
      <left style="thin">
        <color indexed="64"/>
      </left>
      <right style="thin">
        <color indexed="64"/>
      </right>
      <top style="medium">
        <color indexed="64"/>
      </top>
      <bottom style="medium">
        <color rgb="FFFF0000"/>
      </bottom>
      <diagonal/>
    </border>
    <border>
      <left/>
      <right/>
      <top style="medium">
        <color indexed="64"/>
      </top>
      <bottom style="medium">
        <color rgb="FFFF0000"/>
      </bottom>
      <diagonal/>
    </border>
    <border>
      <left/>
      <right style="thin">
        <color indexed="64"/>
      </right>
      <top style="thin">
        <color indexed="64"/>
      </top>
      <bottom style="thin">
        <color indexed="64"/>
      </bottom>
      <diagonal/>
    </border>
    <border>
      <left style="medium">
        <color rgb="FFFF0000"/>
      </left>
      <right style="thin">
        <color indexed="64"/>
      </right>
      <top style="thin">
        <color auto="1"/>
      </top>
      <bottom style="thin">
        <color auto="1"/>
      </bottom>
      <diagonal/>
    </border>
    <border>
      <left style="thin">
        <color indexed="64"/>
      </left>
      <right style="medium">
        <color rgb="FFFF0000"/>
      </right>
      <top style="thin">
        <color auto="1"/>
      </top>
      <bottom style="thin">
        <color auto="1"/>
      </bottom>
      <diagonal/>
    </border>
    <border>
      <left style="thin">
        <color indexed="64"/>
      </left>
      <right style="medium">
        <color indexed="64"/>
      </right>
      <top style="thin">
        <color indexed="64"/>
      </top>
      <bottom style="thin">
        <color indexed="64"/>
      </bottom>
      <diagonal/>
    </border>
    <border>
      <left style="thin">
        <color auto="1"/>
      </left>
      <right style="thin">
        <color auto="1"/>
      </right>
      <top style="thin">
        <color indexed="64"/>
      </top>
      <bottom style="thin">
        <color indexed="64"/>
      </bottom>
      <diagonal/>
    </border>
    <border>
      <left style="thin">
        <color indexed="64"/>
      </left>
      <right/>
      <top style="thin">
        <color auto="1"/>
      </top>
      <bottom style="thin">
        <color auto="1"/>
      </bottom>
      <diagonal/>
    </border>
    <border>
      <left/>
      <right/>
      <top style="thin">
        <color auto="1"/>
      </top>
      <bottom style="thin">
        <color indexed="64"/>
      </bottom>
      <diagonal/>
    </border>
    <border>
      <left style="thin">
        <color rgb="FFB2B2B2"/>
      </left>
      <right style="thin">
        <color rgb="FFB2B2B2"/>
      </right>
      <top style="thin">
        <color rgb="FFB2B2B2"/>
      </top>
      <bottom style="thin">
        <color rgb="FFB2B2B2"/>
      </bottom>
      <diagonal/>
    </border>
    <border>
      <left style="medium">
        <color indexed="64"/>
      </left>
      <right/>
      <top style="medium">
        <color indexed="64"/>
      </top>
      <bottom/>
      <diagonal/>
    </border>
    <border>
      <left style="thin">
        <color auto="1"/>
      </left>
      <right style="thin">
        <color auto="1"/>
      </right>
      <top style="thin">
        <color indexed="64"/>
      </top>
      <bottom style="medium">
        <color indexed="64"/>
      </bottom>
      <diagonal/>
    </border>
    <border>
      <left style="thin">
        <color indexed="64"/>
      </left>
      <right/>
      <top style="thin">
        <color auto="1"/>
      </top>
      <bottom style="medium">
        <color indexed="64"/>
      </bottom>
      <diagonal/>
    </border>
    <border>
      <left/>
      <right style="medium">
        <color indexed="64"/>
      </right>
      <top/>
      <bottom/>
      <diagonal/>
    </border>
    <border>
      <left/>
      <right style="medium">
        <color indexed="64"/>
      </right>
      <top/>
      <bottom style="medium">
        <color indexed="64"/>
      </bottom>
      <diagonal/>
    </border>
    <border>
      <left style="thin">
        <color auto="1"/>
      </left>
      <right style="thin">
        <color auto="1"/>
      </right>
      <top/>
      <bottom style="thin">
        <color indexed="64"/>
      </bottom>
      <diagonal/>
    </border>
    <border>
      <left style="thin">
        <color indexed="64"/>
      </left>
      <right/>
      <top/>
      <bottom style="thin">
        <color indexed="64"/>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right/>
      <top/>
      <bottom style="thick">
        <color rgb="FF5181BD"/>
      </bottom>
      <diagonal/>
    </border>
    <border>
      <left/>
      <right/>
      <top/>
      <bottom style="thick">
        <color rgb="FFA8C0DE"/>
      </bottom>
      <diagonal/>
    </border>
    <border>
      <left/>
      <right/>
      <top/>
      <bottom style="medium">
        <color rgb="FF96B3D7"/>
      </bottom>
      <diagonal/>
    </border>
    <border>
      <left/>
      <right/>
      <top style="thin">
        <color rgb="FF5181BD"/>
      </top>
      <bottom style="double">
        <color rgb="FF5181BD"/>
      </bottom>
      <diagonal/>
    </border>
    <border>
      <left style="medium">
        <color indexed="64"/>
      </left>
      <right/>
      <top style="medium">
        <color rgb="FFFF0000"/>
      </top>
      <bottom style="medium">
        <color indexed="64"/>
      </bottom>
      <diagonal/>
    </border>
    <border>
      <left style="thin">
        <color indexed="64"/>
      </left>
      <right style="medium">
        <color indexed="64"/>
      </right>
      <top style="medium">
        <color indexed="64"/>
      </top>
      <bottom style="medium">
        <color rgb="FFFF0000"/>
      </bottom>
      <diagonal/>
    </border>
    <border>
      <left style="thin">
        <color theme="1"/>
      </left>
      <right/>
      <top/>
      <bottom style="medium">
        <color indexed="64"/>
      </bottom>
      <diagonal/>
    </border>
    <border>
      <left style="thin">
        <color theme="1"/>
      </left>
      <right/>
      <top style="medium">
        <color indexed="64"/>
      </top>
      <bottom style="medium">
        <color rgb="FFFF0000"/>
      </bottom>
      <diagonal/>
    </border>
    <border>
      <left/>
      <right style="medium">
        <color indexed="64"/>
      </right>
      <top style="medium">
        <color indexed="64"/>
      </top>
      <bottom style="medium">
        <color rgb="FFFF0000"/>
      </bottom>
      <diagonal/>
    </border>
    <border>
      <left style="medium">
        <color rgb="FFEE0000"/>
      </left>
      <right/>
      <top style="thin">
        <color auto="1"/>
      </top>
      <bottom style="thin">
        <color auto="1"/>
      </bottom>
      <diagonal/>
    </border>
    <border>
      <left style="medium">
        <color rgb="FFEE0000"/>
      </left>
      <right/>
      <top style="thin">
        <color indexed="64"/>
      </top>
      <bottom/>
      <diagonal/>
    </border>
    <border>
      <left style="medium">
        <color rgb="FFEE0000"/>
      </left>
      <right/>
      <top/>
      <bottom/>
      <diagonal/>
    </border>
    <border>
      <left style="medium">
        <color rgb="FFEE0000"/>
      </left>
      <right/>
      <top style="thin">
        <color auto="1"/>
      </top>
      <bottom style="medium">
        <color indexed="64"/>
      </bottom>
      <diagonal/>
    </border>
    <border>
      <left/>
      <right style="thin">
        <color indexed="64"/>
      </right>
      <top/>
      <bottom style="medium">
        <color auto="1"/>
      </bottom>
      <diagonal/>
    </border>
    <border>
      <left style="medium">
        <color indexed="64"/>
      </left>
      <right style="thin">
        <color indexed="64"/>
      </right>
      <top style="thin">
        <color indexed="64"/>
      </top>
      <bottom style="medium">
        <color rgb="FFFF0000"/>
      </bottom>
      <diagonal/>
    </border>
    <border>
      <left style="thin">
        <color auto="1"/>
      </left>
      <right style="thin">
        <color auto="1"/>
      </right>
      <top style="thin">
        <color indexed="64"/>
      </top>
      <bottom style="medium">
        <color rgb="FFFF0000"/>
      </bottom>
      <diagonal/>
    </border>
    <border>
      <left style="thin">
        <color indexed="64"/>
      </left>
      <right style="medium">
        <color indexed="64"/>
      </right>
      <top style="thin">
        <color indexed="64"/>
      </top>
      <bottom style="medium">
        <color rgb="FFFF0000"/>
      </bottom>
      <diagonal/>
    </border>
    <border>
      <left/>
      <right style="medium">
        <color indexed="64"/>
      </right>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rgb="FFFF0000"/>
      </bottom>
      <diagonal/>
    </border>
    <border>
      <left style="thin">
        <color theme="1"/>
      </left>
      <right style="thin">
        <color indexed="64"/>
      </right>
      <top/>
      <bottom style="medium">
        <color indexed="64"/>
      </bottom>
      <diagonal/>
    </border>
    <border>
      <left/>
      <right style="thin">
        <color indexed="64"/>
      </right>
      <top style="medium">
        <color indexed="64"/>
      </top>
      <bottom style="medium">
        <color rgb="FFFF0000"/>
      </bottom>
      <diagonal/>
    </border>
    <border>
      <left style="medium">
        <color indexed="64"/>
      </left>
      <right style="medium">
        <color indexed="64"/>
      </right>
      <top style="medium">
        <color indexed="64"/>
      </top>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auto="1"/>
      </bottom>
      <diagonal/>
    </border>
    <border>
      <left style="medium">
        <color indexed="64"/>
      </left>
      <right style="medium">
        <color indexed="64"/>
      </right>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style="medium">
        <color indexed="64"/>
      </bottom>
      <diagonal/>
    </border>
    <border>
      <left style="thin">
        <color auto="1"/>
      </left>
      <right style="medium">
        <color indexed="64"/>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thin">
        <color auto="1"/>
      </left>
      <right/>
      <top style="thick">
        <color rgb="FFFF0000"/>
      </top>
      <bottom style="medium">
        <color rgb="FFFF0000"/>
      </bottom>
      <diagonal/>
    </border>
    <border>
      <left style="thin">
        <color indexed="64"/>
      </left>
      <right/>
      <top/>
      <bottom style="thick">
        <color rgb="FFFF0000"/>
      </bottom>
      <diagonal/>
    </border>
    <border>
      <left/>
      <right style="thin">
        <color indexed="64"/>
      </right>
      <top/>
      <bottom style="thick">
        <color rgb="FFFF0000"/>
      </bottom>
      <diagonal/>
    </border>
    <border>
      <left style="thin">
        <color indexed="64"/>
      </left>
      <right style="medium">
        <color indexed="64"/>
      </right>
      <top style="thin">
        <color indexed="64"/>
      </top>
      <bottom style="thick">
        <color rgb="FFFF0000"/>
      </bottom>
      <diagonal/>
    </border>
    <border>
      <left style="thin">
        <color auto="1"/>
      </left>
      <right style="medium">
        <color indexed="64"/>
      </right>
      <top style="thick">
        <color rgb="FFFF0000"/>
      </top>
      <bottom style="medium">
        <color rgb="FFFF0000"/>
      </bottom>
      <diagonal/>
    </border>
    <border>
      <left style="medium">
        <color indexed="64"/>
      </left>
      <right style="thin">
        <color indexed="64"/>
      </right>
      <top/>
      <bottom style="thick">
        <color rgb="FFFF0000"/>
      </bottom>
      <diagonal/>
    </border>
    <border>
      <left style="thin">
        <color indexed="64"/>
      </left>
      <right style="medium">
        <color indexed="64"/>
      </right>
      <top/>
      <bottom style="thick">
        <color rgb="FFFF0000"/>
      </bottom>
      <diagonal/>
    </border>
    <border>
      <left style="medium">
        <color indexed="64"/>
      </left>
      <right style="medium">
        <color indexed="64"/>
      </right>
      <top/>
      <bottom/>
      <diagonal/>
    </border>
  </borders>
  <cellStyleXfs count="49099">
    <xf numFmtId="0" fontId="0" fillId="0" borderId="0"/>
    <xf numFmtId="180" fontId="50" fillId="4" borderId="0" applyNumberFormat="0" applyBorder="0" applyAlignment="0" applyProtection="0"/>
    <xf numFmtId="170" fontId="46" fillId="0" borderId="0" applyFont="0" applyFill="0" applyBorder="0" applyAlignment="0" applyProtection="0"/>
    <xf numFmtId="168" fontId="46" fillId="0" borderId="0" applyFont="0" applyFill="0" applyBorder="0" applyAlignment="0" applyProtection="0"/>
    <xf numFmtId="168" fontId="33" fillId="0" borderId="0" applyFont="0" applyFill="0" applyBorder="0" applyAlignment="0" applyProtection="0"/>
    <xf numFmtId="168" fontId="34" fillId="0" borderId="0" applyFont="0" applyFill="0" applyBorder="0" applyAlignment="0" applyProtection="0"/>
    <xf numFmtId="168" fontId="42" fillId="0" borderId="0" applyFont="0" applyFill="0" applyBorder="0" applyAlignment="0" applyProtection="0"/>
    <xf numFmtId="168" fontId="33" fillId="0" borderId="0" applyFont="0" applyFill="0" applyBorder="0" applyAlignment="0" applyProtection="0"/>
    <xf numFmtId="168" fontId="33" fillId="0" borderId="0" applyFont="0" applyFill="0" applyBorder="0" applyAlignment="0" applyProtection="0"/>
    <xf numFmtId="168" fontId="33" fillId="0" borderId="0" applyFont="0" applyFill="0" applyBorder="0" applyAlignment="0" applyProtection="0"/>
    <xf numFmtId="168" fontId="33" fillId="0" borderId="0" applyFont="0" applyFill="0" applyBorder="0" applyAlignment="0" applyProtection="0"/>
    <xf numFmtId="168" fontId="33" fillId="0" borderId="0" applyFont="0" applyFill="0" applyBorder="0" applyAlignment="0" applyProtection="0"/>
    <xf numFmtId="168" fontId="33" fillId="0" borderId="0" applyFont="0" applyFill="0" applyBorder="0" applyAlignment="0" applyProtection="0"/>
    <xf numFmtId="168" fontId="33" fillId="0" borderId="0" applyFont="0" applyFill="0" applyBorder="0" applyAlignment="0" applyProtection="0"/>
    <xf numFmtId="168" fontId="33" fillId="0" borderId="0" applyFont="0" applyFill="0" applyBorder="0" applyAlignment="0" applyProtection="0"/>
    <xf numFmtId="168" fontId="33" fillId="0" borderId="0" applyFont="0" applyFill="0" applyBorder="0" applyAlignment="0" applyProtection="0"/>
    <xf numFmtId="168" fontId="33" fillId="0" borderId="0" applyFont="0" applyFill="0" applyBorder="0" applyAlignment="0" applyProtection="0"/>
    <xf numFmtId="168" fontId="33" fillId="0" borderId="0" applyFont="0" applyFill="0" applyBorder="0" applyAlignment="0" applyProtection="0"/>
    <xf numFmtId="168" fontId="33" fillId="0" borderId="0" applyFont="0" applyFill="0" applyBorder="0" applyAlignment="0" applyProtection="0"/>
    <xf numFmtId="168" fontId="33" fillId="0" borderId="0" applyFont="0" applyFill="0" applyBorder="0" applyAlignment="0" applyProtection="0"/>
    <xf numFmtId="168" fontId="33" fillId="0" borderId="0" applyFont="0" applyFill="0" applyBorder="0" applyAlignment="0" applyProtection="0"/>
    <xf numFmtId="168" fontId="33" fillId="0" borderId="0" applyFont="0" applyFill="0" applyBorder="0" applyAlignment="0" applyProtection="0"/>
    <xf numFmtId="168" fontId="33" fillId="0" borderId="0" applyFont="0" applyFill="0" applyBorder="0" applyAlignment="0" applyProtection="0"/>
    <xf numFmtId="168" fontId="33" fillId="0" borderId="0" applyFont="0" applyFill="0" applyBorder="0" applyAlignment="0" applyProtection="0"/>
    <xf numFmtId="168" fontId="33" fillId="0" borderId="0" applyFont="0" applyFill="0" applyBorder="0" applyAlignment="0" applyProtection="0"/>
    <xf numFmtId="168" fontId="33" fillId="0" borderId="0" applyFont="0" applyFill="0" applyBorder="0" applyAlignment="0" applyProtection="0"/>
    <xf numFmtId="168" fontId="33" fillId="0" borderId="0" applyFont="0" applyFill="0" applyBorder="0" applyAlignment="0" applyProtection="0"/>
    <xf numFmtId="168" fontId="33" fillId="0" borderId="0" applyFont="0" applyFill="0" applyBorder="0" applyAlignment="0" applyProtection="0"/>
    <xf numFmtId="168" fontId="33" fillId="0" borderId="0" applyFont="0" applyFill="0" applyBorder="0" applyAlignment="0" applyProtection="0"/>
    <xf numFmtId="168" fontId="33" fillId="0" borderId="0" applyFont="0" applyFill="0" applyBorder="0" applyAlignment="0" applyProtection="0"/>
    <xf numFmtId="168" fontId="33" fillId="0" borderId="0" applyFont="0" applyFill="0" applyBorder="0" applyAlignment="0" applyProtection="0"/>
    <xf numFmtId="168" fontId="33" fillId="0" borderId="0" applyFont="0" applyFill="0" applyBorder="0" applyAlignment="0" applyProtection="0"/>
    <xf numFmtId="168" fontId="33" fillId="0" borderId="0" applyFont="0" applyFill="0" applyBorder="0" applyAlignment="0" applyProtection="0"/>
    <xf numFmtId="168" fontId="33" fillId="0" borderId="0" applyFont="0" applyFill="0" applyBorder="0" applyAlignment="0" applyProtection="0"/>
    <xf numFmtId="168" fontId="33" fillId="0" borderId="0" applyFont="0" applyFill="0" applyBorder="0" applyAlignment="0" applyProtection="0"/>
    <xf numFmtId="168" fontId="33" fillId="0" borderId="0" applyFont="0" applyFill="0" applyBorder="0" applyAlignment="0" applyProtection="0"/>
    <xf numFmtId="168" fontId="33" fillId="0" borderId="0" applyFont="0" applyFill="0" applyBorder="0" applyAlignment="0" applyProtection="0"/>
    <xf numFmtId="168" fontId="33" fillId="0" borderId="0" applyFont="0" applyFill="0" applyBorder="0" applyAlignment="0" applyProtection="0"/>
    <xf numFmtId="168" fontId="33" fillId="0" borderId="0" applyFont="0" applyFill="0" applyBorder="0" applyAlignment="0" applyProtection="0"/>
    <xf numFmtId="168" fontId="34" fillId="0" borderId="0" applyFont="0" applyFill="0" applyBorder="0" applyAlignment="0" applyProtection="0"/>
    <xf numFmtId="168" fontId="33" fillId="0" borderId="0" applyFont="0" applyFill="0" applyBorder="0" applyAlignment="0" applyProtection="0"/>
    <xf numFmtId="168" fontId="33" fillId="0" borderId="0" applyFont="0" applyFill="0" applyBorder="0" applyAlignment="0" applyProtection="0"/>
    <xf numFmtId="168" fontId="34" fillId="0" borderId="0" applyFont="0" applyFill="0" applyBorder="0" applyAlignment="0" applyProtection="0"/>
    <xf numFmtId="168" fontId="32" fillId="0" borderId="0" applyFont="0" applyFill="0" applyBorder="0" applyAlignment="0" applyProtection="0"/>
    <xf numFmtId="168" fontId="39" fillId="0" borderId="0" applyFont="0" applyFill="0" applyBorder="0" applyAlignment="0" applyProtection="0"/>
    <xf numFmtId="168" fontId="33" fillId="0" borderId="0" applyFont="0" applyFill="0" applyBorder="0" applyAlignment="0" applyProtection="0"/>
    <xf numFmtId="168" fontId="33" fillId="0" borderId="0" applyFont="0" applyFill="0" applyBorder="0" applyAlignment="0" applyProtection="0"/>
    <xf numFmtId="168" fontId="34" fillId="0" borderId="0" applyFont="0" applyFill="0" applyBorder="0" applyAlignment="0" applyProtection="0"/>
    <xf numFmtId="168" fontId="47" fillId="0" borderId="0" applyFont="0" applyFill="0" applyBorder="0" applyAlignment="0" applyProtection="0"/>
    <xf numFmtId="168" fontId="33" fillId="0" borderId="0" applyFont="0" applyFill="0" applyBorder="0" applyAlignment="0" applyProtection="0"/>
    <xf numFmtId="168" fontId="33" fillId="0" borderId="0" applyFont="0" applyFill="0" applyBorder="0" applyAlignment="0" applyProtection="0"/>
    <xf numFmtId="168" fontId="33" fillId="0" borderId="0" applyFont="0" applyFill="0" applyBorder="0" applyAlignment="0" applyProtection="0"/>
    <xf numFmtId="168" fontId="47"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3"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47"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3"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70" fontId="34" fillId="0" borderId="0" applyFill="0" applyBorder="0" applyAlignment="0" applyProtection="0"/>
    <xf numFmtId="168" fontId="33" fillId="0" borderId="0" applyFont="0" applyFill="0" applyBorder="0" applyAlignment="0" applyProtection="0"/>
    <xf numFmtId="170" fontId="34" fillId="0" borderId="0" applyFill="0" applyBorder="0" applyAlignment="0" applyProtection="0"/>
    <xf numFmtId="168" fontId="33" fillId="0" borderId="0" applyFont="0" applyFill="0" applyBorder="0" applyAlignment="0" applyProtection="0"/>
    <xf numFmtId="170" fontId="34" fillId="0" borderId="0" applyFill="0" applyBorder="0" applyAlignment="0" applyProtection="0"/>
    <xf numFmtId="168" fontId="33" fillId="0" borderId="0" applyFont="0" applyFill="0" applyBorder="0" applyAlignment="0" applyProtection="0"/>
    <xf numFmtId="170" fontId="34" fillId="0" borderId="0" applyFill="0" applyBorder="0" applyAlignment="0" applyProtection="0"/>
    <xf numFmtId="168" fontId="33" fillId="0" borderId="0" applyFont="0" applyFill="0" applyBorder="0" applyAlignment="0" applyProtection="0"/>
    <xf numFmtId="170" fontId="34" fillId="0" borderId="0" applyFill="0" applyBorder="0" applyAlignment="0" applyProtection="0"/>
    <xf numFmtId="168" fontId="33" fillId="0" borderId="0" applyFont="0" applyFill="0" applyBorder="0" applyAlignment="0" applyProtection="0"/>
    <xf numFmtId="174" fontId="33" fillId="0" borderId="0" applyFill="0" applyBorder="0" applyAlignment="0" applyProtection="0"/>
    <xf numFmtId="168" fontId="33" fillId="0" borderId="0" applyFont="0" applyFill="0" applyBorder="0" applyAlignment="0" applyProtection="0"/>
    <xf numFmtId="168" fontId="47"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47"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6" fontId="34" fillId="0" borderId="0" applyFill="0" applyBorder="0" applyAlignment="0" applyProtection="0"/>
    <xf numFmtId="166" fontId="34" fillId="0" borderId="0" applyFill="0" applyBorder="0" applyAlignment="0" applyProtection="0"/>
    <xf numFmtId="166" fontId="34" fillId="0" borderId="0" applyFill="0" applyBorder="0" applyAlignment="0" applyProtection="0"/>
    <xf numFmtId="166" fontId="34" fillId="0" borderId="0" applyFill="0" applyBorder="0" applyAlignment="0" applyProtection="0"/>
    <xf numFmtId="166" fontId="34" fillId="0" borderId="0" applyFill="0" applyBorder="0" applyAlignment="0" applyProtection="0"/>
    <xf numFmtId="166" fontId="34" fillId="0" borderId="0" applyFill="0" applyBorder="0" applyAlignment="0" applyProtection="0"/>
    <xf numFmtId="168" fontId="33" fillId="0" borderId="0" applyFont="0" applyFill="0" applyBorder="0" applyAlignment="0" applyProtection="0"/>
    <xf numFmtId="170" fontId="34" fillId="0" borderId="0" applyFill="0" applyBorder="0" applyAlignment="0" applyProtection="0"/>
    <xf numFmtId="166" fontId="34" fillId="0" borderId="0" applyFill="0" applyBorder="0" applyAlignment="0" applyProtection="0"/>
    <xf numFmtId="170" fontId="34" fillId="0" borderId="0" applyFill="0" applyBorder="0" applyAlignment="0" applyProtection="0"/>
    <xf numFmtId="166" fontId="34" fillId="0" borderId="0" applyFill="0" applyBorder="0" applyAlignment="0" applyProtection="0"/>
    <xf numFmtId="166" fontId="34" fillId="0" borderId="0" applyFill="0" applyBorder="0" applyAlignment="0" applyProtection="0"/>
    <xf numFmtId="166" fontId="34" fillId="0" borderId="0" applyFill="0" applyBorder="0" applyAlignment="0" applyProtection="0"/>
    <xf numFmtId="174" fontId="33" fillId="0" borderId="0" applyFill="0" applyBorder="0" applyAlignment="0" applyProtection="0"/>
    <xf numFmtId="170" fontId="34" fillId="0" borderId="0" applyFill="0" applyBorder="0" applyAlignment="0" applyProtection="0"/>
    <xf numFmtId="170" fontId="34" fillId="0" borderId="0" applyFill="0" applyBorder="0" applyAlignment="0" applyProtection="0"/>
    <xf numFmtId="166" fontId="34" fillId="0" borderId="0" applyFill="0" applyBorder="0" applyAlignment="0" applyProtection="0"/>
    <xf numFmtId="166" fontId="34" fillId="0" borderId="0" applyFill="0" applyBorder="0" applyAlignment="0" applyProtection="0"/>
    <xf numFmtId="166" fontId="34" fillId="0" borderId="0" applyFill="0" applyBorder="0" applyAlignment="0" applyProtection="0"/>
    <xf numFmtId="166" fontId="34" fillId="0" borderId="0" applyFill="0" applyBorder="0" applyAlignment="0" applyProtection="0"/>
    <xf numFmtId="166" fontId="34" fillId="0" borderId="0" applyFill="0" applyBorder="0" applyAlignment="0" applyProtection="0"/>
    <xf numFmtId="166" fontId="34" fillId="0" borderId="0" applyFill="0" applyBorder="0" applyAlignment="0" applyProtection="0"/>
    <xf numFmtId="168" fontId="32" fillId="0" borderId="0" applyFont="0" applyFill="0" applyBorder="0" applyAlignment="0" applyProtection="0"/>
    <xf numFmtId="174" fontId="33" fillId="0" borderId="0" applyFill="0" applyBorder="0" applyAlignment="0" applyProtection="0"/>
    <xf numFmtId="166" fontId="34" fillId="0" borderId="0" applyFill="0" applyBorder="0" applyAlignment="0" applyProtection="0"/>
    <xf numFmtId="166" fontId="34" fillId="0" borderId="0" applyFill="0" applyBorder="0" applyAlignment="0" applyProtection="0"/>
    <xf numFmtId="166" fontId="34" fillId="0" borderId="0" applyFill="0" applyBorder="0" applyAlignment="0" applyProtection="0"/>
    <xf numFmtId="166" fontId="34" fillId="0" borderId="0" applyFill="0" applyBorder="0" applyAlignment="0" applyProtection="0"/>
    <xf numFmtId="166" fontId="34" fillId="0" borderId="0" applyFill="0" applyBorder="0" applyAlignment="0" applyProtection="0"/>
    <xf numFmtId="166" fontId="34" fillId="0" borderId="0" applyFill="0" applyBorder="0" applyAlignment="0" applyProtection="0"/>
    <xf numFmtId="166" fontId="34" fillId="0" borderId="0" applyFill="0" applyBorder="0" applyAlignment="0" applyProtection="0"/>
    <xf numFmtId="166" fontId="34" fillId="0" borderId="0" applyFill="0" applyBorder="0" applyAlignment="0" applyProtection="0"/>
    <xf numFmtId="166" fontId="34" fillId="0" borderId="0" applyFill="0" applyBorder="0" applyAlignment="0" applyProtection="0"/>
    <xf numFmtId="166" fontId="34" fillId="0" borderId="0" applyFill="0" applyBorder="0" applyAlignment="0" applyProtection="0"/>
    <xf numFmtId="166" fontId="34" fillId="0" borderId="0" applyFill="0" applyBorder="0" applyAlignment="0" applyProtection="0"/>
    <xf numFmtId="166" fontId="34" fillId="0" borderId="0" applyFill="0" applyBorder="0" applyAlignment="0" applyProtection="0"/>
    <xf numFmtId="174" fontId="33" fillId="0" borderId="0" applyFill="0" applyBorder="0" applyAlignment="0" applyProtection="0"/>
    <xf numFmtId="166" fontId="34" fillId="0" borderId="0" applyFill="0" applyBorder="0" applyAlignment="0" applyProtection="0"/>
    <xf numFmtId="166" fontId="34" fillId="0" borderId="0" applyFill="0" applyBorder="0" applyAlignment="0" applyProtection="0"/>
    <xf numFmtId="166" fontId="34" fillId="0" borderId="0" applyFill="0" applyBorder="0" applyAlignment="0" applyProtection="0"/>
    <xf numFmtId="166" fontId="34" fillId="0" borderId="0" applyFill="0" applyBorder="0" applyAlignment="0" applyProtection="0"/>
    <xf numFmtId="166" fontId="34" fillId="0" borderId="0" applyFill="0" applyBorder="0" applyAlignment="0" applyProtection="0"/>
    <xf numFmtId="166" fontId="34" fillId="0" borderId="0" applyFill="0" applyBorder="0" applyAlignment="0" applyProtection="0"/>
    <xf numFmtId="166" fontId="34" fillId="0" borderId="0" applyFill="0" applyBorder="0" applyAlignment="0" applyProtection="0"/>
    <xf numFmtId="166" fontId="34" fillId="0" borderId="0" applyFill="0" applyBorder="0" applyAlignment="0" applyProtection="0"/>
    <xf numFmtId="166" fontId="34" fillId="0" borderId="0" applyFill="0" applyBorder="0" applyAlignment="0" applyProtection="0"/>
    <xf numFmtId="168" fontId="33" fillId="0" borderId="0" applyFont="0" applyFill="0" applyBorder="0" applyAlignment="0" applyProtection="0"/>
    <xf numFmtId="168" fontId="33" fillId="0" borderId="0" applyFont="0" applyFill="0" applyBorder="0" applyAlignment="0" applyProtection="0"/>
    <xf numFmtId="168" fontId="33" fillId="0" borderId="0" applyFont="0" applyFill="0" applyBorder="0" applyAlignment="0" applyProtection="0"/>
    <xf numFmtId="168" fontId="33" fillId="0" borderId="0" applyFont="0" applyFill="0" applyBorder="0" applyAlignment="0" applyProtection="0"/>
    <xf numFmtId="168" fontId="33" fillId="0" borderId="0" applyFont="0" applyFill="0" applyBorder="0" applyAlignment="0" applyProtection="0"/>
    <xf numFmtId="168" fontId="33" fillId="0" borderId="0" applyFont="0" applyFill="0" applyBorder="0" applyAlignment="0" applyProtection="0"/>
    <xf numFmtId="168" fontId="33" fillId="0" borderId="0" applyFont="0" applyFill="0" applyBorder="0" applyAlignment="0" applyProtection="0"/>
    <xf numFmtId="170" fontId="34" fillId="0" borderId="0" applyFill="0" applyBorder="0" applyAlignment="0" applyProtection="0"/>
    <xf numFmtId="168" fontId="33" fillId="0" borderId="0" applyFont="0" applyFill="0" applyBorder="0" applyAlignment="0" applyProtection="0"/>
    <xf numFmtId="168" fontId="33" fillId="0" borderId="0" applyFont="0" applyFill="0" applyBorder="0" applyAlignment="0" applyProtection="0"/>
    <xf numFmtId="168" fontId="33" fillId="0" borderId="0" applyFont="0" applyFill="0" applyBorder="0" applyAlignment="0" applyProtection="0"/>
    <xf numFmtId="168" fontId="33" fillId="0" borderId="0" applyFont="0" applyFill="0" applyBorder="0" applyAlignment="0" applyProtection="0"/>
    <xf numFmtId="168" fontId="33" fillId="0" borderId="0" applyFont="0" applyFill="0" applyBorder="0" applyAlignment="0" applyProtection="0"/>
    <xf numFmtId="168" fontId="33" fillId="0" borderId="0" applyFont="0" applyFill="0" applyBorder="0" applyAlignment="0" applyProtection="0"/>
    <xf numFmtId="182" fontId="34" fillId="0" borderId="0" applyFill="0" applyBorder="0" applyAlignment="0" applyProtection="0"/>
    <xf numFmtId="182" fontId="34" fillId="0" borderId="0" applyFill="0" applyBorder="0" applyAlignment="0" applyProtection="0"/>
    <xf numFmtId="182" fontId="34" fillId="0" borderId="0" applyFill="0" applyBorder="0" applyAlignment="0" applyProtection="0"/>
    <xf numFmtId="182" fontId="34" fillId="0" borderId="0" applyFill="0" applyBorder="0" applyAlignment="0" applyProtection="0"/>
    <xf numFmtId="182" fontId="34" fillId="0" borderId="0" applyFill="0" applyBorder="0" applyAlignment="0" applyProtection="0"/>
    <xf numFmtId="182" fontId="34" fillId="0" borderId="0" applyFill="0" applyBorder="0" applyAlignment="0" applyProtection="0"/>
    <xf numFmtId="168" fontId="39" fillId="0" borderId="0" applyFont="0" applyFill="0" applyBorder="0" applyAlignment="0" applyProtection="0"/>
    <xf numFmtId="168" fontId="32" fillId="0" borderId="0" applyFont="0" applyFill="0" applyBorder="0" applyAlignment="0" applyProtection="0"/>
    <xf numFmtId="182" fontId="34" fillId="0" borderId="0" applyFill="0" applyBorder="0" applyAlignment="0" applyProtection="0"/>
    <xf numFmtId="182" fontId="34" fillId="0" borderId="0" applyFill="0" applyBorder="0" applyAlignment="0" applyProtection="0"/>
    <xf numFmtId="182" fontId="34" fillId="0" borderId="0" applyFill="0" applyBorder="0" applyAlignment="0" applyProtection="0"/>
    <xf numFmtId="182" fontId="34" fillId="0" borderId="0" applyFill="0" applyBorder="0" applyAlignment="0" applyProtection="0"/>
    <xf numFmtId="182" fontId="34" fillId="0" borderId="0" applyFill="0" applyBorder="0" applyAlignment="0" applyProtection="0"/>
    <xf numFmtId="182" fontId="34" fillId="0" borderId="0" applyFill="0" applyBorder="0" applyAlignment="0" applyProtection="0"/>
    <xf numFmtId="182" fontId="34" fillId="0" borderId="0" applyFill="0" applyBorder="0" applyAlignment="0" applyProtection="0"/>
    <xf numFmtId="182" fontId="34" fillId="0" borderId="0" applyFill="0" applyBorder="0" applyAlignment="0" applyProtection="0"/>
    <xf numFmtId="182" fontId="34" fillId="0" borderId="0" applyFill="0" applyBorder="0" applyAlignment="0" applyProtection="0"/>
    <xf numFmtId="182" fontId="34" fillId="0" borderId="0" applyFill="0" applyBorder="0" applyAlignment="0" applyProtection="0"/>
    <xf numFmtId="182" fontId="34" fillId="0" borderId="0" applyFill="0" applyBorder="0" applyAlignment="0" applyProtection="0"/>
    <xf numFmtId="182" fontId="34" fillId="0" borderId="0" applyFill="0" applyBorder="0" applyAlignment="0" applyProtection="0"/>
    <xf numFmtId="168" fontId="32" fillId="0" borderId="0" applyFont="0" applyFill="0" applyBorder="0" applyAlignment="0" applyProtection="0"/>
    <xf numFmtId="182" fontId="34" fillId="0" borderId="0" applyFill="0" applyBorder="0" applyAlignment="0" applyProtection="0"/>
    <xf numFmtId="182" fontId="34" fillId="0" borderId="0" applyFill="0" applyBorder="0" applyAlignment="0" applyProtection="0"/>
    <xf numFmtId="182" fontId="34" fillId="0" borderId="0" applyFill="0" applyBorder="0" applyAlignment="0" applyProtection="0"/>
    <xf numFmtId="182" fontId="34" fillId="0" borderId="0" applyFill="0" applyBorder="0" applyAlignment="0" applyProtection="0"/>
    <xf numFmtId="182" fontId="34" fillId="0" borderId="0" applyFill="0" applyBorder="0" applyAlignment="0" applyProtection="0"/>
    <xf numFmtId="182" fontId="34" fillId="0" borderId="0" applyFill="0" applyBorder="0" applyAlignment="0" applyProtection="0"/>
    <xf numFmtId="182" fontId="34" fillId="0" borderId="0" applyFill="0" applyBorder="0" applyAlignment="0" applyProtection="0"/>
    <xf numFmtId="182" fontId="34" fillId="0" borderId="0" applyFill="0" applyBorder="0" applyAlignment="0" applyProtection="0"/>
    <xf numFmtId="168" fontId="32" fillId="0" borderId="0" applyFont="0" applyFill="0" applyBorder="0" applyAlignment="0" applyProtection="0"/>
    <xf numFmtId="182" fontId="34" fillId="0" borderId="0" applyFill="0" applyBorder="0" applyAlignment="0" applyProtection="0"/>
    <xf numFmtId="168" fontId="32" fillId="0" borderId="0" applyFont="0" applyFill="0" applyBorder="0" applyAlignment="0" applyProtection="0"/>
    <xf numFmtId="168" fontId="33" fillId="0" borderId="0" applyFont="0" applyFill="0" applyBorder="0" applyAlignment="0" applyProtection="0"/>
    <xf numFmtId="170" fontId="34" fillId="0" borderId="0" applyFill="0" applyBorder="0" applyAlignment="0" applyProtection="0"/>
    <xf numFmtId="170" fontId="34" fillId="0" borderId="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3"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3" fillId="0" borderId="0" applyFont="0" applyFill="0" applyBorder="0" applyAlignment="0" applyProtection="0"/>
    <xf numFmtId="168" fontId="32" fillId="0" borderId="0" applyFont="0" applyFill="0" applyBorder="0" applyAlignment="0" applyProtection="0"/>
    <xf numFmtId="168" fontId="33" fillId="0" borderId="0" applyFont="0" applyFill="0" applyBorder="0" applyAlignment="0" applyProtection="0"/>
    <xf numFmtId="168" fontId="33" fillId="0" borderId="0" applyFont="0" applyFill="0" applyBorder="0" applyAlignment="0" applyProtection="0"/>
    <xf numFmtId="168" fontId="33" fillId="0" borderId="0" applyFont="0" applyFill="0" applyBorder="0" applyAlignment="0" applyProtection="0"/>
    <xf numFmtId="168" fontId="33" fillId="0" borderId="0" applyFont="0" applyFill="0" applyBorder="0" applyAlignment="0" applyProtection="0"/>
    <xf numFmtId="168" fontId="33" fillId="0" borderId="0" applyFont="0" applyFill="0" applyBorder="0" applyAlignment="0" applyProtection="0"/>
    <xf numFmtId="168" fontId="34" fillId="0" borderId="0" applyFont="0" applyFill="0" applyBorder="0" applyAlignment="0" applyProtection="0"/>
    <xf numFmtId="168" fontId="39" fillId="0" borderId="0" applyFont="0" applyFill="0" applyBorder="0" applyAlignment="0" applyProtection="0"/>
    <xf numFmtId="168" fontId="34" fillId="0" borderId="0" applyFont="0" applyFill="0" applyBorder="0" applyAlignment="0" applyProtection="0"/>
    <xf numFmtId="168" fontId="39" fillId="0" borderId="0" applyFont="0" applyFill="0" applyBorder="0" applyAlignment="0" applyProtection="0"/>
    <xf numFmtId="168" fontId="47" fillId="0" borderId="0" applyFont="0" applyFill="0" applyBorder="0" applyAlignment="0" applyProtection="0"/>
    <xf numFmtId="168" fontId="46" fillId="0" borderId="0" applyFont="0" applyFill="0" applyBorder="0" applyAlignment="0" applyProtection="0"/>
    <xf numFmtId="168" fontId="39" fillId="0" borderId="0" applyFont="0" applyFill="0" applyBorder="0" applyAlignment="0" applyProtection="0"/>
    <xf numFmtId="168" fontId="39" fillId="0" borderId="0" applyFont="0" applyFill="0" applyBorder="0" applyAlignment="0" applyProtection="0"/>
    <xf numFmtId="168" fontId="39" fillId="0" borderId="0" applyFont="0" applyFill="0" applyBorder="0" applyAlignment="0" applyProtection="0"/>
    <xf numFmtId="168" fontId="39" fillId="0" borderId="0" applyFont="0" applyFill="0" applyBorder="0" applyAlignment="0" applyProtection="0"/>
    <xf numFmtId="168" fontId="39" fillId="0" borderId="0" applyFont="0" applyFill="0" applyBorder="0" applyAlignment="0" applyProtection="0"/>
    <xf numFmtId="168" fontId="39" fillId="0" borderId="0" applyFont="0" applyFill="0" applyBorder="0" applyAlignment="0" applyProtection="0"/>
    <xf numFmtId="168" fontId="39" fillId="0" borderId="0" applyFont="0" applyFill="0" applyBorder="0" applyAlignment="0" applyProtection="0"/>
    <xf numFmtId="168" fontId="39" fillId="0" borderId="0" applyFont="0" applyFill="0" applyBorder="0" applyAlignment="0" applyProtection="0"/>
    <xf numFmtId="168" fontId="39" fillId="0" borderId="0" applyFont="0" applyFill="0" applyBorder="0" applyAlignment="0" applyProtection="0"/>
    <xf numFmtId="168" fontId="39" fillId="0" borderId="0" applyFont="0" applyFill="0" applyBorder="0" applyAlignment="0" applyProtection="0"/>
    <xf numFmtId="168" fontId="39" fillId="0" borderId="0" applyFont="0" applyFill="0" applyBorder="0" applyAlignment="0" applyProtection="0"/>
    <xf numFmtId="168" fontId="39" fillId="0" borderId="0" applyFont="0" applyFill="0" applyBorder="0" applyAlignment="0" applyProtection="0"/>
    <xf numFmtId="168" fontId="39" fillId="0" borderId="0" applyFont="0" applyFill="0" applyBorder="0" applyAlignment="0" applyProtection="0"/>
    <xf numFmtId="168" fontId="39" fillId="0" borderId="0" applyFont="0" applyFill="0" applyBorder="0" applyAlignment="0" applyProtection="0"/>
    <xf numFmtId="168" fontId="39" fillId="0" borderId="0" applyFont="0" applyFill="0" applyBorder="0" applyAlignment="0" applyProtection="0"/>
    <xf numFmtId="168" fontId="39" fillId="0" borderId="0" applyFont="0" applyFill="0" applyBorder="0" applyAlignment="0" applyProtection="0"/>
    <xf numFmtId="168" fontId="39" fillId="0" borderId="0" applyFont="0" applyFill="0" applyBorder="0" applyAlignment="0" applyProtection="0"/>
    <xf numFmtId="168" fontId="39" fillId="0" borderId="0" applyFont="0" applyFill="0" applyBorder="0" applyAlignment="0" applyProtection="0"/>
    <xf numFmtId="168" fontId="39" fillId="0" borderId="0" applyFont="0" applyFill="0" applyBorder="0" applyAlignment="0" applyProtection="0"/>
    <xf numFmtId="168" fontId="39" fillId="0" borderId="0" applyFont="0" applyFill="0" applyBorder="0" applyAlignment="0" applyProtection="0"/>
    <xf numFmtId="168" fontId="39" fillId="0" borderId="0" applyFont="0" applyFill="0" applyBorder="0" applyAlignment="0" applyProtection="0"/>
    <xf numFmtId="168" fontId="39" fillId="0" borderId="0" applyFont="0" applyFill="0" applyBorder="0" applyAlignment="0" applyProtection="0"/>
    <xf numFmtId="168" fontId="46" fillId="0" borderId="0" applyFont="0" applyFill="0" applyBorder="0" applyAlignment="0" applyProtection="0"/>
    <xf numFmtId="168" fontId="39" fillId="0" borderId="0" applyFont="0" applyFill="0" applyBorder="0" applyAlignment="0" applyProtection="0"/>
    <xf numFmtId="168" fontId="39" fillId="0" borderId="0" applyFont="0" applyFill="0" applyBorder="0" applyAlignment="0" applyProtection="0"/>
    <xf numFmtId="168" fontId="39" fillId="0" borderId="0" applyFont="0" applyFill="0" applyBorder="0" applyAlignment="0" applyProtection="0"/>
    <xf numFmtId="168" fontId="39" fillId="0" borderId="0" applyFont="0" applyFill="0" applyBorder="0" applyAlignment="0" applyProtection="0"/>
    <xf numFmtId="168" fontId="39" fillId="0" borderId="0" applyFont="0" applyFill="0" applyBorder="0" applyAlignment="0" applyProtection="0"/>
    <xf numFmtId="168" fontId="39" fillId="0" borderId="0" applyFont="0" applyFill="0" applyBorder="0" applyAlignment="0" applyProtection="0"/>
    <xf numFmtId="168" fontId="39" fillId="0" borderId="0" applyFont="0" applyFill="0" applyBorder="0" applyAlignment="0" applyProtection="0"/>
    <xf numFmtId="168" fontId="39" fillId="0" borderId="0" applyFont="0" applyFill="0" applyBorder="0" applyAlignment="0" applyProtection="0"/>
    <xf numFmtId="168" fontId="39" fillId="0" borderId="0" applyFont="0" applyFill="0" applyBorder="0" applyAlignment="0" applyProtection="0"/>
    <xf numFmtId="168" fontId="39" fillId="0" borderId="0" applyFont="0" applyFill="0" applyBorder="0" applyAlignment="0" applyProtection="0"/>
    <xf numFmtId="168" fontId="39" fillId="0" borderId="0" applyFont="0" applyFill="0" applyBorder="0" applyAlignment="0" applyProtection="0"/>
    <xf numFmtId="168" fontId="39" fillId="0" borderId="0" applyFont="0" applyFill="0" applyBorder="0" applyAlignment="0" applyProtection="0"/>
    <xf numFmtId="168" fontId="39" fillId="0" borderId="0" applyFont="0" applyFill="0" applyBorder="0" applyAlignment="0" applyProtection="0"/>
    <xf numFmtId="168" fontId="39" fillId="0" borderId="0" applyFont="0" applyFill="0" applyBorder="0" applyAlignment="0" applyProtection="0"/>
    <xf numFmtId="168" fontId="39" fillId="0" borderId="0" applyFont="0" applyFill="0" applyBorder="0" applyAlignment="0" applyProtection="0"/>
    <xf numFmtId="168" fontId="39" fillId="0" borderId="0" applyFont="0" applyFill="0" applyBorder="0" applyAlignment="0" applyProtection="0"/>
    <xf numFmtId="168" fontId="39" fillId="0" borderId="0" applyFont="0" applyFill="0" applyBorder="0" applyAlignment="0" applyProtection="0"/>
    <xf numFmtId="168" fontId="39" fillId="0" borderId="0" applyFont="0" applyFill="0" applyBorder="0" applyAlignment="0" applyProtection="0"/>
    <xf numFmtId="168" fontId="39" fillId="0" borderId="0" applyFont="0" applyFill="0" applyBorder="0" applyAlignment="0" applyProtection="0"/>
    <xf numFmtId="168" fontId="39" fillId="0" borderId="0" applyFont="0" applyFill="0" applyBorder="0" applyAlignment="0" applyProtection="0"/>
    <xf numFmtId="168" fontId="39" fillId="0" borderId="0" applyFont="0" applyFill="0" applyBorder="0" applyAlignment="0" applyProtection="0"/>
    <xf numFmtId="168" fontId="39" fillId="0" borderId="0" applyFont="0" applyFill="0" applyBorder="0" applyAlignment="0" applyProtection="0"/>
    <xf numFmtId="168" fontId="33" fillId="0" borderId="0" applyNumberFormat="0" applyFill="0" applyBorder="0" applyAlignment="0" applyProtection="0"/>
    <xf numFmtId="182" fontId="34" fillId="0" borderId="0" applyFill="0" applyBorder="0" applyAlignment="0" applyProtection="0"/>
    <xf numFmtId="182" fontId="34" fillId="0" borderId="0" applyFill="0" applyBorder="0" applyAlignment="0" applyProtection="0"/>
    <xf numFmtId="182" fontId="34" fillId="0" borderId="0" applyFill="0" applyBorder="0" applyAlignment="0" applyProtection="0"/>
    <xf numFmtId="182" fontId="34" fillId="0" borderId="0" applyFill="0" applyBorder="0" applyAlignment="0" applyProtection="0"/>
    <xf numFmtId="182" fontId="34" fillId="0" borderId="0" applyFill="0" applyBorder="0" applyAlignment="0" applyProtection="0"/>
    <xf numFmtId="182" fontId="34" fillId="0" borderId="0" applyFill="0" applyBorder="0" applyAlignment="0" applyProtection="0"/>
    <xf numFmtId="168" fontId="32" fillId="0" borderId="0" applyFont="0" applyFill="0" applyBorder="0" applyAlignment="0" applyProtection="0"/>
    <xf numFmtId="182" fontId="34" fillId="0" borderId="0" applyFill="0" applyBorder="0" applyAlignment="0" applyProtection="0"/>
    <xf numFmtId="182" fontId="34" fillId="0" borderId="0" applyFill="0" applyBorder="0" applyAlignment="0" applyProtection="0"/>
    <xf numFmtId="182" fontId="34" fillId="0" borderId="0" applyFill="0" applyBorder="0" applyAlignment="0" applyProtection="0"/>
    <xf numFmtId="182" fontId="34" fillId="0" borderId="0" applyFill="0" applyBorder="0" applyAlignment="0" applyProtection="0"/>
    <xf numFmtId="182" fontId="34" fillId="0" borderId="0" applyFill="0" applyBorder="0" applyAlignment="0" applyProtection="0"/>
    <xf numFmtId="182" fontId="34" fillId="0" borderId="0" applyFill="0" applyBorder="0" applyAlignment="0" applyProtection="0"/>
    <xf numFmtId="182" fontId="34" fillId="0" borderId="0" applyFill="0" applyBorder="0" applyAlignment="0" applyProtection="0"/>
    <xf numFmtId="182" fontId="34" fillId="0" borderId="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75" fontId="34" fillId="0" borderId="0" applyFill="0" applyBorder="0" applyAlignment="0" applyProtection="0"/>
    <xf numFmtId="168" fontId="35"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3"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5"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3"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5"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5"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5"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5"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5"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5"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9" fillId="0" borderId="0" applyFont="0" applyFill="0" applyBorder="0" applyAlignment="0" applyProtection="0"/>
    <xf numFmtId="168" fontId="39" fillId="0" borderId="0" applyFont="0" applyFill="0" applyBorder="0" applyAlignment="0" applyProtection="0"/>
    <xf numFmtId="168" fontId="48" fillId="0" borderId="0" applyFont="0" applyFill="0" applyBorder="0" applyAlignment="0" applyProtection="0"/>
    <xf numFmtId="168" fontId="33" fillId="0" borderId="0" applyFont="0" applyFill="0" applyBorder="0" applyAlignment="0" applyProtection="0"/>
    <xf numFmtId="168" fontId="33" fillId="0" borderId="0" applyFont="0" applyFill="0" applyBorder="0" applyAlignment="0" applyProtection="0"/>
    <xf numFmtId="168" fontId="33" fillId="0" borderId="0" applyFont="0" applyFill="0" applyBorder="0" applyAlignment="0" applyProtection="0"/>
    <xf numFmtId="168" fontId="33" fillId="0" borderId="0" applyFont="0" applyFill="0" applyBorder="0" applyAlignment="0" applyProtection="0"/>
    <xf numFmtId="168" fontId="33" fillId="0" borderId="0" applyFont="0" applyFill="0" applyBorder="0" applyAlignment="0" applyProtection="0"/>
    <xf numFmtId="168" fontId="33" fillId="0" borderId="0" applyFont="0" applyFill="0" applyBorder="0" applyAlignment="0" applyProtection="0"/>
    <xf numFmtId="168" fontId="33" fillId="0" borderId="0" applyFont="0" applyFill="0" applyBorder="0" applyAlignment="0" applyProtection="0"/>
    <xf numFmtId="168" fontId="33" fillId="0" borderId="0" applyFont="0" applyFill="0" applyBorder="0" applyAlignment="0" applyProtection="0"/>
    <xf numFmtId="168" fontId="33" fillId="0" borderId="0" applyFont="0" applyFill="0" applyBorder="0" applyAlignment="0" applyProtection="0"/>
    <xf numFmtId="168" fontId="39" fillId="0" borderId="0" applyFont="0" applyFill="0" applyBorder="0" applyAlignment="0" applyProtection="0"/>
    <xf numFmtId="168" fontId="39" fillId="0" borderId="0" applyFont="0" applyFill="0" applyBorder="0" applyAlignment="0" applyProtection="0"/>
    <xf numFmtId="168" fontId="39" fillId="0" borderId="0" applyFont="0" applyFill="0" applyBorder="0" applyAlignment="0" applyProtection="0"/>
    <xf numFmtId="168" fontId="39" fillId="0" borderId="0" applyFont="0" applyFill="0" applyBorder="0" applyAlignment="0" applyProtection="0"/>
    <xf numFmtId="168" fontId="47" fillId="0" borderId="0" applyFont="0" applyFill="0" applyBorder="0" applyAlignment="0" applyProtection="0"/>
    <xf numFmtId="168" fontId="35"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5"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9"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3"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3"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8" fontId="33" fillId="0" borderId="0" applyFont="0" applyFill="0" applyBorder="0" applyAlignment="0" applyProtection="0"/>
    <xf numFmtId="168" fontId="33" fillId="0" borderId="0" applyFont="0" applyFill="0" applyBorder="0" applyAlignment="0" applyProtection="0"/>
    <xf numFmtId="168" fontId="33" fillId="0" borderId="0" applyFont="0" applyFill="0" applyBorder="0" applyAlignment="0" applyProtection="0"/>
    <xf numFmtId="168" fontId="33" fillId="0" borderId="0" applyFont="0" applyFill="0" applyBorder="0" applyAlignment="0" applyProtection="0"/>
    <xf numFmtId="168" fontId="33" fillId="0" borderId="0" applyFont="0" applyFill="0" applyBorder="0" applyAlignment="0" applyProtection="0"/>
    <xf numFmtId="168" fontId="33" fillId="0" borderId="0" applyFont="0" applyFill="0" applyBorder="0" applyAlignment="0" applyProtection="0"/>
    <xf numFmtId="168" fontId="33" fillId="0" borderId="0" applyFont="0" applyFill="0" applyBorder="0" applyAlignment="0" applyProtection="0"/>
    <xf numFmtId="168" fontId="34" fillId="0" borderId="0" applyFont="0" applyFill="0" applyBorder="0" applyAlignment="0" applyProtection="0"/>
    <xf numFmtId="168" fontId="34" fillId="0" borderId="0" applyFont="0" applyFill="0" applyBorder="0" applyAlignment="0" applyProtection="0"/>
    <xf numFmtId="168" fontId="39" fillId="0" borderId="0" applyFont="0" applyFill="0" applyBorder="0" applyAlignment="0" applyProtection="0"/>
    <xf numFmtId="168" fontId="33" fillId="0" borderId="0" applyFont="0" applyFill="0" applyBorder="0" applyAlignment="0" applyProtection="0"/>
    <xf numFmtId="168" fontId="33" fillId="0" borderId="0" applyFont="0" applyFill="0" applyBorder="0" applyAlignment="0" applyProtection="0"/>
    <xf numFmtId="168" fontId="33" fillId="0" borderId="0" applyFont="0" applyFill="0" applyBorder="0" applyAlignment="0" applyProtection="0"/>
    <xf numFmtId="168" fontId="33" fillId="0" borderId="0" applyFont="0" applyFill="0" applyBorder="0" applyAlignment="0" applyProtection="0"/>
    <xf numFmtId="168" fontId="33" fillId="0" borderId="0" applyFont="0" applyFill="0" applyBorder="0" applyAlignment="0" applyProtection="0"/>
    <xf numFmtId="168" fontId="33" fillId="0" borderId="0" applyFont="0" applyFill="0" applyBorder="0" applyAlignment="0" applyProtection="0"/>
    <xf numFmtId="168" fontId="33" fillId="0" borderId="0" applyFont="0" applyFill="0" applyBorder="0" applyAlignment="0" applyProtection="0"/>
    <xf numFmtId="168" fontId="33" fillId="0" borderId="0" applyFont="0" applyFill="0" applyBorder="0" applyAlignment="0" applyProtection="0"/>
    <xf numFmtId="168" fontId="33" fillId="0" borderId="0" applyFont="0" applyFill="0" applyBorder="0" applyAlignment="0" applyProtection="0"/>
    <xf numFmtId="168" fontId="46" fillId="0" borderId="0" applyFont="0" applyFill="0" applyBorder="0" applyAlignment="0" applyProtection="0"/>
    <xf numFmtId="168" fontId="39" fillId="0" borderId="0" applyFont="0" applyFill="0" applyBorder="0" applyAlignment="0" applyProtection="0"/>
    <xf numFmtId="168" fontId="39" fillId="0" borderId="0" applyFont="0" applyFill="0" applyBorder="0" applyAlignment="0" applyProtection="0"/>
    <xf numFmtId="168" fontId="39" fillId="0" borderId="0" applyFont="0" applyFill="0" applyBorder="0" applyAlignment="0" applyProtection="0"/>
    <xf numFmtId="168" fontId="39" fillId="0" borderId="0" applyFont="0" applyFill="0" applyBorder="0" applyAlignment="0" applyProtection="0"/>
    <xf numFmtId="168" fontId="39" fillId="0" borderId="0" applyFont="0" applyFill="0" applyBorder="0" applyAlignment="0" applyProtection="0"/>
    <xf numFmtId="168" fontId="39" fillId="0" borderId="0" applyFont="0" applyFill="0" applyBorder="0" applyAlignment="0" applyProtection="0"/>
    <xf numFmtId="168" fontId="39" fillId="0" borderId="0" applyFont="0" applyFill="0" applyBorder="0" applyAlignment="0" applyProtection="0"/>
    <xf numFmtId="168" fontId="39" fillId="0" borderId="0" applyFont="0" applyFill="0" applyBorder="0" applyAlignment="0" applyProtection="0"/>
    <xf numFmtId="168" fontId="39" fillId="0" borderId="0" applyFont="0" applyFill="0" applyBorder="0" applyAlignment="0" applyProtection="0"/>
    <xf numFmtId="168" fontId="39" fillId="0" borderId="0" applyFont="0" applyFill="0" applyBorder="0" applyAlignment="0" applyProtection="0"/>
    <xf numFmtId="168" fontId="39" fillId="0" borderId="0" applyFont="0" applyFill="0" applyBorder="0" applyAlignment="0" applyProtection="0"/>
    <xf numFmtId="168" fontId="39" fillId="0" borderId="0" applyFont="0" applyFill="0" applyBorder="0" applyAlignment="0" applyProtection="0"/>
    <xf numFmtId="168" fontId="39" fillId="0" borderId="0" applyFont="0" applyFill="0" applyBorder="0" applyAlignment="0" applyProtection="0"/>
    <xf numFmtId="168" fontId="39" fillId="0" borderId="0" applyFont="0" applyFill="0" applyBorder="0" applyAlignment="0" applyProtection="0"/>
    <xf numFmtId="168" fontId="39" fillId="0" borderId="0" applyFont="0" applyFill="0" applyBorder="0" applyAlignment="0" applyProtection="0"/>
    <xf numFmtId="168" fontId="39" fillId="0" borderId="0" applyFont="0" applyFill="0" applyBorder="0" applyAlignment="0" applyProtection="0"/>
    <xf numFmtId="168" fontId="39" fillId="0" borderId="0" applyFont="0" applyFill="0" applyBorder="0" applyAlignment="0" applyProtection="0"/>
    <xf numFmtId="168" fontId="39" fillId="0" borderId="0" applyFont="0" applyFill="0" applyBorder="0" applyAlignment="0" applyProtection="0"/>
    <xf numFmtId="168" fontId="39" fillId="0" borderId="0" applyFont="0" applyFill="0" applyBorder="0" applyAlignment="0" applyProtection="0"/>
    <xf numFmtId="168" fontId="39" fillId="0" borderId="0" applyFont="0" applyFill="0" applyBorder="0" applyAlignment="0" applyProtection="0"/>
    <xf numFmtId="168" fontId="39" fillId="0" borderId="0" applyFont="0" applyFill="0" applyBorder="0" applyAlignment="0" applyProtection="0"/>
    <xf numFmtId="168" fontId="39" fillId="0" borderId="0" applyFont="0" applyFill="0" applyBorder="0" applyAlignment="0" applyProtection="0"/>
    <xf numFmtId="168" fontId="46" fillId="0" borderId="0" applyFont="0" applyFill="0" applyBorder="0" applyAlignment="0" applyProtection="0"/>
    <xf numFmtId="168" fontId="39" fillId="0" borderId="0" applyFont="0" applyFill="0" applyBorder="0" applyAlignment="0" applyProtection="0"/>
    <xf numFmtId="168" fontId="39" fillId="0" borderId="0" applyFont="0" applyFill="0" applyBorder="0" applyAlignment="0" applyProtection="0"/>
    <xf numFmtId="168" fontId="39" fillId="0" borderId="0" applyFont="0" applyFill="0" applyBorder="0" applyAlignment="0" applyProtection="0"/>
    <xf numFmtId="168" fontId="39" fillId="0" borderId="0" applyFont="0" applyFill="0" applyBorder="0" applyAlignment="0" applyProtection="0"/>
    <xf numFmtId="168" fontId="39" fillId="0" borderId="0" applyFont="0" applyFill="0" applyBorder="0" applyAlignment="0" applyProtection="0"/>
    <xf numFmtId="168" fontId="39" fillId="0" borderId="0" applyFont="0" applyFill="0" applyBorder="0" applyAlignment="0" applyProtection="0"/>
    <xf numFmtId="168" fontId="39" fillId="0" borderId="0" applyFont="0" applyFill="0" applyBorder="0" applyAlignment="0" applyProtection="0"/>
    <xf numFmtId="168" fontId="39" fillId="0" borderId="0" applyFont="0" applyFill="0" applyBorder="0" applyAlignment="0" applyProtection="0"/>
    <xf numFmtId="168" fontId="39" fillId="0" borderId="0" applyFont="0" applyFill="0" applyBorder="0" applyAlignment="0" applyProtection="0"/>
    <xf numFmtId="168" fontId="39" fillId="0" borderId="0" applyFont="0" applyFill="0" applyBorder="0" applyAlignment="0" applyProtection="0"/>
    <xf numFmtId="168" fontId="39" fillId="0" borderId="0" applyFont="0" applyFill="0" applyBorder="0" applyAlignment="0" applyProtection="0"/>
    <xf numFmtId="168" fontId="39" fillId="0" borderId="0" applyFont="0" applyFill="0" applyBorder="0" applyAlignment="0" applyProtection="0"/>
    <xf numFmtId="168" fontId="39" fillId="0" borderId="0" applyFont="0" applyFill="0" applyBorder="0" applyAlignment="0" applyProtection="0"/>
    <xf numFmtId="168" fontId="39" fillId="0" borderId="0" applyFont="0" applyFill="0" applyBorder="0" applyAlignment="0" applyProtection="0"/>
    <xf numFmtId="168" fontId="39" fillId="0" borderId="0" applyFont="0" applyFill="0" applyBorder="0" applyAlignment="0" applyProtection="0"/>
    <xf numFmtId="168" fontId="39" fillId="0" borderId="0" applyFont="0" applyFill="0" applyBorder="0" applyAlignment="0" applyProtection="0"/>
    <xf numFmtId="168" fontId="39" fillId="0" borderId="0" applyFont="0" applyFill="0" applyBorder="0" applyAlignment="0" applyProtection="0"/>
    <xf numFmtId="168" fontId="39" fillId="0" borderId="0" applyFont="0" applyFill="0" applyBorder="0" applyAlignment="0" applyProtection="0"/>
    <xf numFmtId="168" fontId="39" fillId="0" borderId="0" applyFont="0" applyFill="0" applyBorder="0" applyAlignment="0" applyProtection="0"/>
    <xf numFmtId="168" fontId="39" fillId="0" borderId="0" applyFont="0" applyFill="0" applyBorder="0" applyAlignment="0" applyProtection="0"/>
    <xf numFmtId="168" fontId="39" fillId="0" borderId="0" applyFont="0" applyFill="0" applyBorder="0" applyAlignment="0" applyProtection="0"/>
    <xf numFmtId="168" fontId="39" fillId="0" borderId="0" applyFont="0" applyFill="0" applyBorder="0" applyAlignment="0" applyProtection="0"/>
    <xf numFmtId="168" fontId="32" fillId="0" borderId="0" applyFont="0" applyFill="0" applyBorder="0" applyAlignment="0" applyProtection="0"/>
    <xf numFmtId="168" fontId="33" fillId="0" borderId="0" applyFont="0" applyFill="0" applyBorder="0" applyAlignment="0" applyProtection="0"/>
    <xf numFmtId="168" fontId="33" fillId="0" borderId="0" applyFont="0" applyFill="0" applyBorder="0" applyAlignment="0" applyProtection="0"/>
    <xf numFmtId="168" fontId="33" fillId="0" borderId="0" applyFont="0" applyFill="0" applyBorder="0" applyAlignment="0" applyProtection="0"/>
    <xf numFmtId="168" fontId="33" fillId="0" borderId="0" applyFont="0" applyFill="0" applyBorder="0" applyAlignment="0" applyProtection="0"/>
    <xf numFmtId="168" fontId="33" fillId="0" borderId="0" applyFont="0" applyFill="0" applyBorder="0" applyAlignment="0" applyProtection="0"/>
    <xf numFmtId="168" fontId="33" fillId="0" borderId="0" applyFont="0" applyFill="0" applyBorder="0" applyAlignment="0" applyProtection="0"/>
    <xf numFmtId="168" fontId="33" fillId="0" borderId="0" applyFont="0" applyFill="0" applyBorder="0" applyAlignment="0" applyProtection="0"/>
    <xf numFmtId="168" fontId="33" fillId="0" borderId="0" applyFont="0" applyFill="0" applyBorder="0" applyAlignment="0" applyProtection="0"/>
    <xf numFmtId="168" fontId="34" fillId="0" borderId="0" applyFont="0" applyFill="0" applyBorder="0" applyAlignment="0" applyProtection="0"/>
    <xf numFmtId="168" fontId="33" fillId="0" borderId="0" applyFont="0" applyFill="0" applyBorder="0" applyAlignment="0" applyProtection="0"/>
    <xf numFmtId="170" fontId="47" fillId="0" borderId="0" applyFont="0" applyFill="0" applyBorder="0" applyAlignment="0" applyProtection="0"/>
    <xf numFmtId="170" fontId="32" fillId="0" borderId="0" applyFont="0" applyFill="0" applyBorder="0" applyAlignment="0" applyProtection="0"/>
    <xf numFmtId="170" fontId="32" fillId="0" borderId="0" applyFont="0" applyFill="0" applyBorder="0" applyAlignment="0" applyProtection="0"/>
    <xf numFmtId="170" fontId="32" fillId="0" borderId="0" applyFont="0" applyFill="0" applyBorder="0" applyAlignment="0" applyProtection="0"/>
    <xf numFmtId="170" fontId="32" fillId="0" borderId="0" applyFont="0" applyFill="0" applyBorder="0" applyAlignment="0" applyProtection="0"/>
    <xf numFmtId="170" fontId="32" fillId="0" borderId="0" applyFont="0" applyFill="0" applyBorder="0" applyAlignment="0" applyProtection="0"/>
    <xf numFmtId="170" fontId="32" fillId="0" borderId="0" applyFont="0" applyFill="0" applyBorder="0" applyAlignment="0" applyProtection="0"/>
    <xf numFmtId="170" fontId="32" fillId="0" borderId="0" applyFont="0" applyFill="0" applyBorder="0" applyAlignment="0" applyProtection="0"/>
    <xf numFmtId="170" fontId="32" fillId="0" borderId="0" applyFont="0" applyFill="0" applyBorder="0" applyAlignment="0" applyProtection="0"/>
    <xf numFmtId="170" fontId="32" fillId="0" borderId="0" applyFont="0" applyFill="0" applyBorder="0" applyAlignment="0" applyProtection="0"/>
    <xf numFmtId="170" fontId="32" fillId="0" borderId="0" applyFont="0" applyFill="0" applyBorder="0" applyAlignment="0" applyProtection="0"/>
    <xf numFmtId="170" fontId="33" fillId="0" borderId="0" applyFont="0" applyFill="0" applyBorder="0" applyAlignment="0" applyProtection="0"/>
    <xf numFmtId="170" fontId="32" fillId="0" borderId="0" applyFont="0" applyFill="0" applyBorder="0" applyAlignment="0" applyProtection="0"/>
    <xf numFmtId="170" fontId="32" fillId="0" borderId="0" applyFont="0" applyFill="0" applyBorder="0" applyAlignment="0" applyProtection="0"/>
    <xf numFmtId="170" fontId="32" fillId="0" borderId="0" applyFont="0" applyFill="0" applyBorder="0" applyAlignment="0" applyProtection="0"/>
    <xf numFmtId="170" fontId="32" fillId="0" borderId="0" applyFont="0" applyFill="0" applyBorder="0" applyAlignment="0" applyProtection="0"/>
    <xf numFmtId="170" fontId="32" fillId="0" borderId="0" applyFont="0" applyFill="0" applyBorder="0" applyAlignment="0" applyProtection="0"/>
    <xf numFmtId="170" fontId="32" fillId="0" borderId="0" applyFont="0" applyFill="0" applyBorder="0" applyAlignment="0" applyProtection="0"/>
    <xf numFmtId="170" fontId="32" fillId="0" borderId="0" applyFont="0" applyFill="0" applyBorder="0" applyAlignment="0" applyProtection="0"/>
    <xf numFmtId="170" fontId="32" fillId="0" borderId="0" applyFont="0" applyFill="0" applyBorder="0" applyAlignment="0" applyProtection="0"/>
    <xf numFmtId="170" fontId="32" fillId="0" borderId="0" applyFont="0" applyFill="0" applyBorder="0" applyAlignment="0" applyProtection="0"/>
    <xf numFmtId="170" fontId="32" fillId="0" borderId="0" applyFont="0" applyFill="0" applyBorder="0" applyAlignment="0" applyProtection="0"/>
    <xf numFmtId="170" fontId="32" fillId="0" borderId="0" applyFont="0" applyFill="0" applyBorder="0" applyAlignment="0" applyProtection="0"/>
    <xf numFmtId="170" fontId="32" fillId="0" borderId="0" applyFont="0" applyFill="0" applyBorder="0" applyAlignment="0" applyProtection="0"/>
    <xf numFmtId="170" fontId="47" fillId="0" borderId="0" applyFont="0" applyFill="0" applyBorder="0" applyAlignment="0" applyProtection="0"/>
    <xf numFmtId="170" fontId="32" fillId="0" borderId="0" applyFont="0" applyFill="0" applyBorder="0" applyAlignment="0" applyProtection="0"/>
    <xf numFmtId="170" fontId="32" fillId="0" borderId="0" applyFont="0" applyFill="0" applyBorder="0" applyAlignment="0" applyProtection="0"/>
    <xf numFmtId="170" fontId="32" fillId="0" borderId="0" applyFont="0" applyFill="0" applyBorder="0" applyAlignment="0" applyProtection="0"/>
    <xf numFmtId="170" fontId="32" fillId="0" borderId="0" applyFont="0" applyFill="0" applyBorder="0" applyAlignment="0" applyProtection="0"/>
    <xf numFmtId="170" fontId="32" fillId="0" borderId="0" applyFont="0" applyFill="0" applyBorder="0" applyAlignment="0" applyProtection="0"/>
    <xf numFmtId="170" fontId="32" fillId="0" borderId="0" applyFont="0" applyFill="0" applyBorder="0" applyAlignment="0" applyProtection="0"/>
    <xf numFmtId="170" fontId="32" fillId="0" borderId="0" applyFont="0" applyFill="0" applyBorder="0" applyAlignment="0" applyProtection="0"/>
    <xf numFmtId="170" fontId="32" fillId="0" borderId="0" applyFont="0" applyFill="0" applyBorder="0" applyAlignment="0" applyProtection="0"/>
    <xf numFmtId="170" fontId="32" fillId="0" borderId="0" applyFont="0" applyFill="0" applyBorder="0" applyAlignment="0" applyProtection="0"/>
    <xf numFmtId="170" fontId="32" fillId="0" borderId="0" applyFont="0" applyFill="0" applyBorder="0" applyAlignment="0" applyProtection="0"/>
    <xf numFmtId="170" fontId="33" fillId="0" borderId="0" applyFont="0" applyFill="0" applyBorder="0" applyAlignment="0" applyProtection="0"/>
    <xf numFmtId="170" fontId="32" fillId="0" borderId="0" applyFont="0" applyFill="0" applyBorder="0" applyAlignment="0" applyProtection="0"/>
    <xf numFmtId="170" fontId="32" fillId="0" borderId="0" applyFont="0" applyFill="0" applyBorder="0" applyAlignment="0" applyProtection="0"/>
    <xf numFmtId="170" fontId="32" fillId="0" borderId="0" applyFont="0" applyFill="0" applyBorder="0" applyAlignment="0" applyProtection="0"/>
    <xf numFmtId="170" fontId="32" fillId="0" borderId="0" applyFont="0" applyFill="0" applyBorder="0" applyAlignment="0" applyProtection="0"/>
    <xf numFmtId="170" fontId="32" fillId="0" borderId="0" applyFont="0" applyFill="0" applyBorder="0" applyAlignment="0" applyProtection="0"/>
    <xf numFmtId="170" fontId="32" fillId="0" borderId="0" applyFont="0" applyFill="0" applyBorder="0" applyAlignment="0" applyProtection="0"/>
    <xf numFmtId="170" fontId="32" fillId="0" borderId="0" applyFont="0" applyFill="0" applyBorder="0" applyAlignment="0" applyProtection="0"/>
    <xf numFmtId="170" fontId="32" fillId="0" borderId="0" applyFont="0" applyFill="0" applyBorder="0" applyAlignment="0" applyProtection="0"/>
    <xf numFmtId="170" fontId="32" fillId="0" borderId="0" applyFont="0" applyFill="0" applyBorder="0" applyAlignment="0" applyProtection="0"/>
    <xf numFmtId="170" fontId="32" fillId="0" borderId="0" applyFont="0" applyFill="0" applyBorder="0" applyAlignment="0" applyProtection="0"/>
    <xf numFmtId="170" fontId="32" fillId="0" borderId="0" applyFont="0" applyFill="0" applyBorder="0" applyAlignment="0" applyProtection="0"/>
    <xf numFmtId="170" fontId="32" fillId="0" borderId="0" applyFont="0" applyFill="0" applyBorder="0" applyAlignment="0" applyProtection="0"/>
    <xf numFmtId="170" fontId="47" fillId="0" borderId="0" applyFont="0" applyFill="0" applyBorder="0" applyAlignment="0" applyProtection="0"/>
    <xf numFmtId="170" fontId="32" fillId="0" borderId="0" applyFont="0" applyFill="0" applyBorder="0" applyAlignment="0" applyProtection="0"/>
    <xf numFmtId="170" fontId="32" fillId="0" borderId="0" applyFont="0" applyFill="0" applyBorder="0" applyAlignment="0" applyProtection="0"/>
    <xf numFmtId="170" fontId="32" fillId="0" borderId="0" applyFont="0" applyFill="0" applyBorder="0" applyAlignment="0" applyProtection="0"/>
    <xf numFmtId="170" fontId="32" fillId="0" borderId="0" applyFont="0" applyFill="0" applyBorder="0" applyAlignment="0" applyProtection="0"/>
    <xf numFmtId="170" fontId="32" fillId="0" borderId="0" applyFont="0" applyFill="0" applyBorder="0" applyAlignment="0" applyProtection="0"/>
    <xf numFmtId="170" fontId="32" fillId="0" borderId="0" applyFont="0" applyFill="0" applyBorder="0" applyAlignment="0" applyProtection="0"/>
    <xf numFmtId="170" fontId="32" fillId="0" borderId="0" applyFont="0" applyFill="0" applyBorder="0" applyAlignment="0" applyProtection="0"/>
    <xf numFmtId="170" fontId="32" fillId="0" borderId="0" applyFont="0" applyFill="0" applyBorder="0" applyAlignment="0" applyProtection="0"/>
    <xf numFmtId="170" fontId="32" fillId="0" borderId="0" applyFont="0" applyFill="0" applyBorder="0" applyAlignment="0" applyProtection="0"/>
    <xf numFmtId="170" fontId="32" fillId="0" borderId="0" applyFont="0" applyFill="0" applyBorder="0" applyAlignment="0" applyProtection="0"/>
    <xf numFmtId="170" fontId="33" fillId="0" borderId="0" applyFont="0" applyFill="0" applyBorder="0" applyAlignment="0" applyProtection="0"/>
    <xf numFmtId="170" fontId="32" fillId="0" borderId="0" applyFont="0" applyFill="0" applyBorder="0" applyAlignment="0" applyProtection="0"/>
    <xf numFmtId="170" fontId="32" fillId="0" borderId="0" applyFont="0" applyFill="0" applyBorder="0" applyAlignment="0" applyProtection="0"/>
    <xf numFmtId="170" fontId="32" fillId="0" borderId="0" applyFont="0" applyFill="0" applyBorder="0" applyAlignment="0" applyProtection="0"/>
    <xf numFmtId="170" fontId="32" fillId="0" borderId="0" applyFont="0" applyFill="0" applyBorder="0" applyAlignment="0" applyProtection="0"/>
    <xf numFmtId="170" fontId="32" fillId="0" borderId="0" applyFont="0" applyFill="0" applyBorder="0" applyAlignment="0" applyProtection="0"/>
    <xf numFmtId="170" fontId="32" fillId="0" borderId="0" applyFont="0" applyFill="0" applyBorder="0" applyAlignment="0" applyProtection="0"/>
    <xf numFmtId="170" fontId="32" fillId="0" borderId="0" applyFont="0" applyFill="0" applyBorder="0" applyAlignment="0" applyProtection="0"/>
    <xf numFmtId="170" fontId="32" fillId="0" borderId="0" applyFont="0" applyFill="0" applyBorder="0" applyAlignment="0" applyProtection="0"/>
    <xf numFmtId="170" fontId="32" fillId="0" borderId="0" applyFont="0" applyFill="0" applyBorder="0" applyAlignment="0" applyProtection="0"/>
    <xf numFmtId="170" fontId="32" fillId="0" borderId="0" applyFont="0" applyFill="0" applyBorder="0" applyAlignment="0" applyProtection="0"/>
    <xf numFmtId="170" fontId="32" fillId="0" borderId="0" applyFont="0" applyFill="0" applyBorder="0" applyAlignment="0" applyProtection="0"/>
    <xf numFmtId="170" fontId="32" fillId="0" borderId="0" applyFont="0" applyFill="0" applyBorder="0" applyAlignment="0" applyProtection="0"/>
    <xf numFmtId="170" fontId="47" fillId="0" borderId="0" applyFont="0" applyFill="0" applyBorder="0" applyAlignment="0" applyProtection="0"/>
    <xf numFmtId="170" fontId="32" fillId="0" borderId="0" applyFont="0" applyFill="0" applyBorder="0" applyAlignment="0" applyProtection="0"/>
    <xf numFmtId="170" fontId="32" fillId="0" borderId="0" applyFont="0" applyFill="0" applyBorder="0" applyAlignment="0" applyProtection="0"/>
    <xf numFmtId="170" fontId="32" fillId="0" borderId="0" applyFont="0" applyFill="0" applyBorder="0" applyAlignment="0" applyProtection="0"/>
    <xf numFmtId="170" fontId="32" fillId="0" borderId="0" applyFont="0" applyFill="0" applyBorder="0" applyAlignment="0" applyProtection="0"/>
    <xf numFmtId="170" fontId="32" fillId="0" borderId="0" applyFont="0" applyFill="0" applyBorder="0" applyAlignment="0" applyProtection="0"/>
    <xf numFmtId="170" fontId="32" fillId="0" borderId="0" applyFont="0" applyFill="0" applyBorder="0" applyAlignment="0" applyProtection="0"/>
    <xf numFmtId="170" fontId="32" fillId="0" borderId="0" applyFont="0" applyFill="0" applyBorder="0" applyAlignment="0" applyProtection="0"/>
    <xf numFmtId="170" fontId="32" fillId="0" borderId="0" applyFont="0" applyFill="0" applyBorder="0" applyAlignment="0" applyProtection="0"/>
    <xf numFmtId="170" fontId="32" fillId="0" borderId="0" applyFont="0" applyFill="0" applyBorder="0" applyAlignment="0" applyProtection="0"/>
    <xf numFmtId="170" fontId="32" fillId="0" borderId="0" applyFont="0" applyFill="0" applyBorder="0" applyAlignment="0" applyProtection="0"/>
    <xf numFmtId="170" fontId="33" fillId="0" borderId="0" applyFont="0" applyFill="0" applyBorder="0" applyAlignment="0" applyProtection="0"/>
    <xf numFmtId="170" fontId="32" fillId="0" borderId="0" applyFont="0" applyFill="0" applyBorder="0" applyAlignment="0" applyProtection="0"/>
    <xf numFmtId="170" fontId="32" fillId="0" borderId="0" applyFont="0" applyFill="0" applyBorder="0" applyAlignment="0" applyProtection="0"/>
    <xf numFmtId="170" fontId="32" fillId="0" borderId="0" applyFont="0" applyFill="0" applyBorder="0" applyAlignment="0" applyProtection="0"/>
    <xf numFmtId="170" fontId="32" fillId="0" borderId="0" applyFont="0" applyFill="0" applyBorder="0" applyAlignment="0" applyProtection="0"/>
    <xf numFmtId="170" fontId="32" fillId="0" borderId="0" applyFont="0" applyFill="0" applyBorder="0" applyAlignment="0" applyProtection="0"/>
    <xf numFmtId="170" fontId="32" fillId="0" borderId="0" applyFont="0" applyFill="0" applyBorder="0" applyAlignment="0" applyProtection="0"/>
    <xf numFmtId="170" fontId="32" fillId="0" borderId="0" applyFont="0" applyFill="0" applyBorder="0" applyAlignment="0" applyProtection="0"/>
    <xf numFmtId="170" fontId="32" fillId="0" borderId="0" applyFont="0" applyFill="0" applyBorder="0" applyAlignment="0" applyProtection="0"/>
    <xf numFmtId="170" fontId="32" fillId="0" borderId="0" applyFont="0" applyFill="0" applyBorder="0" applyAlignment="0" applyProtection="0"/>
    <xf numFmtId="170" fontId="32" fillId="0" borderId="0" applyFont="0" applyFill="0" applyBorder="0" applyAlignment="0" applyProtection="0"/>
    <xf numFmtId="170" fontId="32" fillId="0" borderId="0" applyFont="0" applyFill="0" applyBorder="0" applyAlignment="0" applyProtection="0"/>
    <xf numFmtId="170" fontId="32" fillId="0" borderId="0" applyFont="0" applyFill="0" applyBorder="0" applyAlignment="0" applyProtection="0"/>
    <xf numFmtId="170" fontId="47" fillId="0" borderId="0" applyFont="0" applyFill="0" applyBorder="0" applyAlignment="0" applyProtection="0"/>
    <xf numFmtId="170" fontId="32" fillId="0" borderId="0" applyFont="0" applyFill="0" applyBorder="0" applyAlignment="0" applyProtection="0"/>
    <xf numFmtId="170" fontId="32" fillId="0" borderId="0" applyFont="0" applyFill="0" applyBorder="0" applyAlignment="0" applyProtection="0"/>
    <xf numFmtId="170" fontId="32" fillId="0" borderId="0" applyFont="0" applyFill="0" applyBorder="0" applyAlignment="0" applyProtection="0"/>
    <xf numFmtId="170" fontId="32" fillId="0" borderId="0" applyFont="0" applyFill="0" applyBorder="0" applyAlignment="0" applyProtection="0"/>
    <xf numFmtId="170" fontId="32" fillId="0" borderId="0" applyFont="0" applyFill="0" applyBorder="0" applyAlignment="0" applyProtection="0"/>
    <xf numFmtId="170" fontId="32" fillId="0" borderId="0" applyFont="0" applyFill="0" applyBorder="0" applyAlignment="0" applyProtection="0"/>
    <xf numFmtId="170" fontId="32" fillId="0" borderId="0" applyFont="0" applyFill="0" applyBorder="0" applyAlignment="0" applyProtection="0"/>
    <xf numFmtId="170" fontId="32" fillId="0" borderId="0" applyFont="0" applyFill="0" applyBorder="0" applyAlignment="0" applyProtection="0"/>
    <xf numFmtId="170" fontId="32" fillId="0" borderId="0" applyFont="0" applyFill="0" applyBorder="0" applyAlignment="0" applyProtection="0"/>
    <xf numFmtId="170" fontId="32" fillId="0" borderId="0" applyFont="0" applyFill="0" applyBorder="0" applyAlignment="0" applyProtection="0"/>
    <xf numFmtId="170" fontId="33" fillId="0" borderId="0" applyFont="0" applyFill="0" applyBorder="0" applyAlignment="0" applyProtection="0"/>
    <xf numFmtId="170" fontId="32" fillId="0" borderId="0" applyFont="0" applyFill="0" applyBorder="0" applyAlignment="0" applyProtection="0"/>
    <xf numFmtId="170" fontId="32" fillId="0" borderId="0" applyFont="0" applyFill="0" applyBorder="0" applyAlignment="0" applyProtection="0"/>
    <xf numFmtId="170" fontId="32" fillId="0" borderId="0" applyFont="0" applyFill="0" applyBorder="0" applyAlignment="0" applyProtection="0"/>
    <xf numFmtId="170" fontId="32" fillId="0" borderId="0" applyFont="0" applyFill="0" applyBorder="0" applyAlignment="0" applyProtection="0"/>
    <xf numFmtId="170" fontId="32" fillId="0" borderId="0" applyFont="0" applyFill="0" applyBorder="0" applyAlignment="0" applyProtection="0"/>
    <xf numFmtId="170" fontId="32" fillId="0" borderId="0" applyFont="0" applyFill="0" applyBorder="0" applyAlignment="0" applyProtection="0"/>
    <xf numFmtId="170" fontId="33" fillId="0" borderId="0" applyFont="0" applyFill="0" applyBorder="0" applyAlignment="0" applyProtection="0"/>
    <xf numFmtId="170" fontId="32" fillId="0" borderId="0" applyFont="0" applyFill="0" applyBorder="0" applyAlignment="0" applyProtection="0"/>
    <xf numFmtId="170" fontId="32" fillId="0" borderId="0" applyFont="0" applyFill="0" applyBorder="0" applyAlignment="0" applyProtection="0"/>
    <xf numFmtId="170" fontId="32" fillId="0" borderId="0" applyFont="0" applyFill="0" applyBorder="0" applyAlignment="0" applyProtection="0"/>
    <xf numFmtId="170" fontId="32" fillId="0" borderId="0" applyFont="0" applyFill="0" applyBorder="0" applyAlignment="0" applyProtection="0"/>
    <xf numFmtId="170" fontId="32" fillId="0" borderId="0" applyFont="0" applyFill="0" applyBorder="0" applyAlignment="0" applyProtection="0"/>
    <xf numFmtId="170" fontId="32" fillId="0" borderId="0" applyFont="0" applyFill="0" applyBorder="0" applyAlignment="0" applyProtection="0"/>
    <xf numFmtId="170" fontId="42" fillId="0" borderId="0" applyFont="0" applyFill="0" applyBorder="0" applyAlignment="0" applyProtection="0"/>
    <xf numFmtId="170" fontId="33" fillId="0" borderId="0" applyFont="0" applyFill="0" applyBorder="0" applyAlignment="0" applyProtection="0"/>
    <xf numFmtId="170" fontId="33" fillId="0" borderId="0" applyFont="0" applyFill="0" applyBorder="0" applyAlignment="0" applyProtection="0"/>
    <xf numFmtId="170" fontId="33" fillId="0" borderId="0" applyFont="0" applyFill="0" applyBorder="0" applyAlignment="0" applyProtection="0"/>
    <xf numFmtId="170" fontId="33" fillId="0" borderId="0" applyFont="0" applyFill="0" applyBorder="0" applyAlignment="0" applyProtection="0"/>
    <xf numFmtId="170" fontId="33" fillId="0" borderId="0" applyFont="0" applyFill="0" applyBorder="0" applyAlignment="0" applyProtection="0"/>
    <xf numFmtId="170" fontId="33" fillId="0" borderId="0" applyFont="0" applyFill="0" applyBorder="0" applyAlignment="0" applyProtection="0"/>
    <xf numFmtId="170" fontId="33" fillId="0" borderId="0" applyFont="0" applyFill="0" applyBorder="0" applyAlignment="0" applyProtection="0"/>
    <xf numFmtId="170" fontId="33" fillId="0" borderId="0" applyFont="0" applyFill="0" applyBorder="0" applyAlignment="0" applyProtection="0"/>
    <xf numFmtId="170" fontId="33" fillId="0" borderId="0" applyFont="0" applyFill="0" applyBorder="0" applyAlignment="0" applyProtection="0"/>
    <xf numFmtId="170" fontId="33" fillId="0" borderId="0" applyFont="0" applyFill="0" applyBorder="0" applyAlignment="0" applyProtection="0"/>
    <xf numFmtId="170" fontId="33" fillId="0" borderId="0" applyFont="0" applyFill="0" applyBorder="0" applyAlignment="0" applyProtection="0"/>
    <xf numFmtId="170" fontId="33" fillId="0" borderId="0" applyFont="0" applyFill="0" applyBorder="0" applyAlignment="0" applyProtection="0"/>
    <xf numFmtId="170" fontId="33" fillId="0" borderId="0" applyFont="0" applyFill="0" applyBorder="0" applyAlignment="0" applyProtection="0"/>
    <xf numFmtId="170" fontId="33" fillId="0" borderId="0" applyFont="0" applyFill="0" applyBorder="0" applyAlignment="0" applyProtection="0"/>
    <xf numFmtId="170" fontId="33" fillId="0" borderId="0" applyFont="0" applyFill="0" applyBorder="0" applyAlignment="0" applyProtection="0"/>
    <xf numFmtId="170" fontId="33" fillId="0" borderId="0" applyFont="0" applyFill="0" applyBorder="0" applyAlignment="0" applyProtection="0"/>
    <xf numFmtId="170" fontId="33" fillId="0" borderId="0" applyFont="0" applyFill="0" applyBorder="0" applyAlignment="0" applyProtection="0"/>
    <xf numFmtId="170" fontId="33" fillId="0" borderId="0" applyFont="0" applyFill="0" applyBorder="0" applyAlignment="0" applyProtection="0"/>
    <xf numFmtId="170" fontId="33" fillId="0" borderId="0" applyFont="0" applyFill="0" applyBorder="0" applyAlignment="0" applyProtection="0"/>
    <xf numFmtId="170" fontId="33" fillId="0" borderId="0" applyFont="0" applyFill="0" applyBorder="0" applyAlignment="0" applyProtection="0"/>
    <xf numFmtId="170" fontId="33" fillId="0" borderId="0" applyFont="0" applyFill="0" applyBorder="0" applyAlignment="0" applyProtection="0"/>
    <xf numFmtId="170" fontId="33" fillId="0" borderId="0" applyFont="0" applyFill="0" applyBorder="0" applyAlignment="0" applyProtection="0"/>
    <xf numFmtId="170" fontId="33" fillId="0" borderId="0" applyFont="0" applyFill="0" applyBorder="0" applyAlignment="0" applyProtection="0"/>
    <xf numFmtId="170" fontId="33" fillId="0" borderId="0" applyFont="0" applyFill="0" applyBorder="0" applyAlignment="0" applyProtection="0"/>
    <xf numFmtId="170" fontId="33" fillId="0" borderId="0" applyFont="0" applyFill="0" applyBorder="0" applyAlignment="0" applyProtection="0"/>
    <xf numFmtId="170" fontId="33" fillId="0" borderId="0" applyFont="0" applyFill="0" applyBorder="0" applyAlignment="0" applyProtection="0"/>
    <xf numFmtId="170" fontId="33" fillId="0" borderId="0" applyFont="0" applyFill="0" applyBorder="0" applyAlignment="0" applyProtection="0"/>
    <xf numFmtId="170" fontId="33" fillId="0" borderId="0" applyFont="0" applyFill="0" applyBorder="0" applyAlignment="0" applyProtection="0"/>
    <xf numFmtId="170" fontId="33" fillId="0" borderId="0" applyFont="0" applyFill="0" applyBorder="0" applyAlignment="0" applyProtection="0"/>
    <xf numFmtId="170" fontId="33" fillId="0" borderId="0" applyFont="0" applyFill="0" applyBorder="0" applyAlignment="0" applyProtection="0"/>
    <xf numFmtId="170" fontId="33" fillId="0" borderId="0" applyFont="0" applyFill="0" applyBorder="0" applyAlignment="0" applyProtection="0"/>
    <xf numFmtId="170" fontId="33" fillId="0" borderId="0" applyFont="0" applyFill="0" applyBorder="0" applyAlignment="0" applyProtection="0"/>
    <xf numFmtId="170" fontId="33" fillId="0" borderId="0" applyFont="0" applyFill="0" applyBorder="0" applyAlignment="0" applyProtection="0"/>
    <xf numFmtId="170" fontId="33" fillId="0" borderId="0" applyFont="0" applyFill="0" applyBorder="0" applyAlignment="0" applyProtection="0"/>
    <xf numFmtId="170" fontId="33" fillId="0" borderId="0" applyNumberFormat="0" applyFill="0" applyBorder="0" applyAlignment="0" applyProtection="0"/>
    <xf numFmtId="170" fontId="33" fillId="0" borderId="0" applyNumberFormat="0" applyFill="0" applyBorder="0" applyAlignment="0" applyProtection="0"/>
    <xf numFmtId="170" fontId="33" fillId="0" borderId="0" applyNumberFormat="0" applyFill="0" applyBorder="0" applyAlignment="0" applyProtection="0"/>
    <xf numFmtId="170" fontId="33" fillId="0" borderId="0" applyNumberFormat="0" applyFill="0" applyBorder="0" applyAlignment="0" applyProtection="0"/>
    <xf numFmtId="170" fontId="33" fillId="0" borderId="0" applyNumberFormat="0" applyFill="0" applyBorder="0" applyAlignment="0" applyProtection="0"/>
    <xf numFmtId="170" fontId="33" fillId="0" borderId="0" applyNumberFormat="0" applyFill="0" applyBorder="0" applyAlignment="0" applyProtection="0"/>
    <xf numFmtId="170" fontId="33" fillId="0" borderId="0" applyNumberFormat="0" applyFill="0" applyBorder="0" applyAlignment="0" applyProtection="0"/>
    <xf numFmtId="170" fontId="33" fillId="0" borderId="0" applyNumberFormat="0" applyFill="0" applyBorder="0" applyAlignment="0" applyProtection="0"/>
    <xf numFmtId="170" fontId="33" fillId="0" borderId="0" applyNumberFormat="0" applyFill="0" applyBorder="0" applyAlignment="0" applyProtection="0"/>
    <xf numFmtId="170" fontId="33" fillId="0" borderId="0" applyNumberFormat="0" applyFill="0" applyBorder="0" applyAlignment="0" applyProtection="0"/>
    <xf numFmtId="170" fontId="46" fillId="0" borderId="0" applyFont="0" applyFill="0" applyBorder="0" applyAlignment="0" applyProtection="0"/>
    <xf numFmtId="170" fontId="33" fillId="0" borderId="0" applyFont="0" applyFill="0" applyBorder="0" applyAlignment="0" applyProtection="0"/>
    <xf numFmtId="170" fontId="33" fillId="0" borderId="0" applyFont="0" applyFill="0" applyBorder="0" applyAlignment="0" applyProtection="0"/>
    <xf numFmtId="170" fontId="33" fillId="0" borderId="0" applyFont="0" applyFill="0" applyBorder="0" applyAlignment="0" applyProtection="0"/>
    <xf numFmtId="170" fontId="33" fillId="0" borderId="0" applyFont="0" applyFill="0" applyBorder="0" applyAlignment="0" applyProtection="0"/>
    <xf numFmtId="170" fontId="33" fillId="0" borderId="0" applyFont="0" applyFill="0" applyBorder="0" applyAlignment="0" applyProtection="0"/>
    <xf numFmtId="170" fontId="33" fillId="0" borderId="0" applyFont="0" applyFill="0" applyBorder="0" applyAlignment="0" applyProtection="0"/>
    <xf numFmtId="170" fontId="33" fillId="0" borderId="0" applyFont="0" applyFill="0" applyBorder="0" applyAlignment="0" applyProtection="0"/>
    <xf numFmtId="170" fontId="33" fillId="0" borderId="0" applyFont="0" applyFill="0" applyBorder="0" applyAlignment="0" applyProtection="0"/>
    <xf numFmtId="170" fontId="33" fillId="0" borderId="0" applyFont="0" applyFill="0" applyBorder="0" applyAlignment="0" applyProtection="0"/>
    <xf numFmtId="170" fontId="33" fillId="0" borderId="0" applyFont="0" applyFill="0" applyBorder="0" applyAlignment="0" applyProtection="0"/>
    <xf numFmtId="170" fontId="33" fillId="0" borderId="0" applyFont="0" applyFill="0" applyBorder="0" applyAlignment="0" applyProtection="0"/>
    <xf numFmtId="164" fontId="34" fillId="0" borderId="0" applyFill="0" applyBorder="0" applyAlignment="0" applyProtection="0"/>
    <xf numFmtId="170" fontId="33" fillId="0" borderId="0" applyFont="0" applyFill="0" applyBorder="0" applyAlignment="0" applyProtection="0"/>
    <xf numFmtId="164" fontId="34" fillId="0" borderId="0" applyFill="0" applyBorder="0" applyAlignment="0" applyProtection="0"/>
    <xf numFmtId="170" fontId="33" fillId="0" borderId="0" applyFont="0" applyFill="0" applyBorder="0" applyAlignment="0" applyProtection="0"/>
    <xf numFmtId="170" fontId="33" fillId="0" borderId="0" applyFont="0" applyFill="0" applyBorder="0" applyAlignment="0" applyProtection="0"/>
    <xf numFmtId="170" fontId="33" fillId="0" borderId="0" applyFont="0" applyFill="0" applyBorder="0" applyAlignment="0" applyProtection="0"/>
    <xf numFmtId="170" fontId="33" fillId="0" borderId="0" applyFont="0" applyFill="0" applyBorder="0" applyAlignment="0" applyProtection="0"/>
    <xf numFmtId="164" fontId="34" fillId="0" borderId="0" applyFill="0" applyBorder="0" applyAlignment="0" applyProtection="0"/>
    <xf numFmtId="164" fontId="34" fillId="0" borderId="0" applyFill="0" applyBorder="0" applyAlignment="0" applyProtection="0"/>
    <xf numFmtId="170" fontId="33" fillId="0" borderId="0" applyFont="0" applyFill="0" applyBorder="0" applyAlignment="0" applyProtection="0"/>
    <xf numFmtId="170" fontId="39" fillId="0" borderId="0" applyFont="0" applyFill="0" applyBorder="0" applyAlignment="0" applyProtection="0"/>
    <xf numFmtId="170" fontId="33" fillId="0" borderId="0" applyFont="0" applyFill="0" applyBorder="0" applyAlignment="0" applyProtection="0"/>
    <xf numFmtId="170" fontId="33" fillId="0" borderId="0" applyFont="0" applyFill="0" applyBorder="0" applyAlignment="0" applyProtection="0"/>
    <xf numFmtId="170" fontId="33" fillId="0" borderId="0" applyFont="0" applyFill="0" applyBorder="0" applyAlignment="0" applyProtection="0"/>
    <xf numFmtId="170" fontId="33" fillId="0" borderId="0" applyFont="0" applyFill="0" applyBorder="0" applyAlignment="0" applyProtection="0"/>
    <xf numFmtId="170" fontId="33" fillId="0" borderId="0" applyFont="0" applyFill="0" applyBorder="0" applyAlignment="0" applyProtection="0"/>
    <xf numFmtId="170" fontId="33" fillId="0" borderId="0" applyFont="0" applyFill="0" applyBorder="0" applyAlignment="0" applyProtection="0"/>
    <xf numFmtId="170" fontId="33" fillId="0" borderId="0" applyFont="0" applyFill="0" applyBorder="0" applyAlignment="0" applyProtection="0"/>
    <xf numFmtId="164" fontId="34" fillId="0" borderId="0" applyFill="0" applyBorder="0" applyAlignment="0" applyProtection="0"/>
    <xf numFmtId="164" fontId="34" fillId="0" borderId="0" applyFill="0" applyBorder="0" applyAlignment="0" applyProtection="0"/>
    <xf numFmtId="164" fontId="34" fillId="0" borderId="0" applyFill="0" applyBorder="0" applyAlignment="0" applyProtection="0"/>
    <xf numFmtId="164" fontId="34" fillId="0" borderId="0" applyFill="0" applyBorder="0" applyAlignment="0" applyProtection="0"/>
    <xf numFmtId="164" fontId="34" fillId="0" borderId="0" applyFill="0" applyBorder="0" applyAlignment="0" applyProtection="0"/>
    <xf numFmtId="164" fontId="34" fillId="0" borderId="0" applyFill="0" applyBorder="0" applyAlignment="0" applyProtection="0"/>
    <xf numFmtId="170" fontId="33" fillId="0" borderId="0" applyFont="0" applyFill="0" applyBorder="0" applyAlignment="0" applyProtection="0"/>
    <xf numFmtId="170" fontId="39" fillId="0" borderId="0" applyFont="0" applyFill="0" applyBorder="0" applyAlignment="0" applyProtection="0"/>
    <xf numFmtId="164" fontId="34" fillId="0" borderId="0" applyFill="0" applyBorder="0" applyAlignment="0" applyProtection="0"/>
    <xf numFmtId="164" fontId="34" fillId="0" borderId="0" applyFill="0" applyBorder="0" applyAlignment="0" applyProtection="0"/>
    <xf numFmtId="164" fontId="34" fillId="0" borderId="0" applyFill="0" applyBorder="0" applyAlignment="0" applyProtection="0"/>
    <xf numFmtId="164" fontId="34" fillId="0" borderId="0" applyFill="0" applyBorder="0" applyAlignment="0" applyProtection="0"/>
    <xf numFmtId="164" fontId="34" fillId="0" borderId="0" applyFill="0" applyBorder="0" applyAlignment="0" applyProtection="0"/>
    <xf numFmtId="164" fontId="34" fillId="0" borderId="0" applyFill="0" applyBorder="0" applyAlignment="0" applyProtection="0"/>
    <xf numFmtId="164" fontId="34" fillId="0" borderId="0" applyFill="0" applyBorder="0" applyAlignment="0" applyProtection="0"/>
    <xf numFmtId="164" fontId="34" fillId="0" borderId="0" applyFill="0" applyBorder="0" applyAlignment="0" applyProtection="0"/>
    <xf numFmtId="164" fontId="34" fillId="0" borderId="0" applyFill="0" applyBorder="0" applyAlignment="0" applyProtection="0"/>
    <xf numFmtId="164" fontId="34" fillId="0" borderId="0" applyFill="0" applyBorder="0" applyAlignment="0" applyProtection="0"/>
    <xf numFmtId="164" fontId="34" fillId="0" borderId="0" applyFill="0" applyBorder="0" applyAlignment="0" applyProtection="0"/>
    <xf numFmtId="164" fontId="34" fillId="0" borderId="0" applyFill="0" applyBorder="0" applyAlignment="0" applyProtection="0"/>
    <xf numFmtId="170" fontId="39" fillId="0" borderId="0" applyFont="0" applyFill="0" applyBorder="0" applyAlignment="0" applyProtection="0"/>
    <xf numFmtId="164" fontId="34" fillId="0" borderId="0" applyFill="0" applyBorder="0" applyAlignment="0" applyProtection="0"/>
    <xf numFmtId="164" fontId="34" fillId="0" borderId="0" applyFill="0" applyBorder="0" applyAlignment="0" applyProtection="0"/>
    <xf numFmtId="164" fontId="34" fillId="0" borderId="0" applyFill="0" applyBorder="0" applyAlignment="0" applyProtection="0"/>
    <xf numFmtId="164" fontId="34" fillId="0" borderId="0" applyFill="0" applyBorder="0" applyAlignment="0" applyProtection="0"/>
    <xf numFmtId="164" fontId="34" fillId="0" borderId="0" applyFill="0" applyBorder="0" applyAlignment="0" applyProtection="0"/>
    <xf numFmtId="164" fontId="34" fillId="0" borderId="0" applyFill="0" applyBorder="0" applyAlignment="0" applyProtection="0"/>
    <xf numFmtId="164" fontId="34" fillId="0" borderId="0" applyFill="0" applyBorder="0" applyAlignment="0" applyProtection="0"/>
    <xf numFmtId="164" fontId="34" fillId="0" borderId="0" applyFill="0" applyBorder="0" applyAlignment="0" applyProtection="0"/>
    <xf numFmtId="170" fontId="39" fillId="0" borderId="0" applyFont="0" applyFill="0" applyBorder="0" applyAlignment="0" applyProtection="0"/>
    <xf numFmtId="164" fontId="34" fillId="0" borderId="0" applyFill="0" applyBorder="0" applyAlignment="0" applyProtection="0"/>
    <xf numFmtId="170" fontId="39" fillId="0" borderId="0" applyFont="0" applyFill="0" applyBorder="0" applyAlignment="0" applyProtection="0"/>
    <xf numFmtId="170" fontId="39" fillId="0" borderId="0" applyFont="0" applyFill="0" applyBorder="0" applyAlignment="0" applyProtection="0"/>
    <xf numFmtId="164" fontId="34" fillId="0" borderId="0" applyFill="0" applyBorder="0" applyAlignment="0" applyProtection="0"/>
    <xf numFmtId="170" fontId="33" fillId="0" borderId="0" applyFont="0" applyFill="0" applyBorder="0" applyAlignment="0" applyProtection="0"/>
    <xf numFmtId="170" fontId="39" fillId="0" borderId="0" applyFont="0" applyFill="0" applyBorder="0" applyAlignment="0" applyProtection="0"/>
    <xf numFmtId="170" fontId="39" fillId="0" borderId="0" applyFont="0" applyFill="0" applyBorder="0" applyAlignment="0" applyProtection="0"/>
    <xf numFmtId="170" fontId="39" fillId="0" borderId="0" applyFont="0" applyFill="0" applyBorder="0" applyAlignment="0" applyProtection="0"/>
    <xf numFmtId="170" fontId="39" fillId="0" borderId="0" applyFont="0" applyFill="0" applyBorder="0" applyAlignment="0" applyProtection="0"/>
    <xf numFmtId="170" fontId="39" fillId="0" borderId="0" applyFont="0" applyFill="0" applyBorder="0" applyAlignment="0" applyProtection="0"/>
    <xf numFmtId="170" fontId="39" fillId="0" borderId="0" applyFont="0" applyFill="0" applyBorder="0" applyAlignment="0" applyProtection="0"/>
    <xf numFmtId="170" fontId="39" fillId="0" borderId="0" applyFont="0" applyFill="0" applyBorder="0" applyAlignment="0" applyProtection="0"/>
    <xf numFmtId="170" fontId="39" fillId="0" borderId="0" applyFont="0" applyFill="0" applyBorder="0" applyAlignment="0" applyProtection="0"/>
    <xf numFmtId="170" fontId="39" fillId="0" borderId="0" applyFont="0" applyFill="0" applyBorder="0" applyAlignment="0" applyProtection="0"/>
    <xf numFmtId="170" fontId="39" fillId="0" borderId="0" applyFont="0" applyFill="0" applyBorder="0" applyAlignment="0" applyProtection="0"/>
    <xf numFmtId="164" fontId="34" fillId="0" borderId="0" applyFill="0" applyBorder="0" applyAlignment="0" applyProtection="0"/>
    <xf numFmtId="170" fontId="33" fillId="0" borderId="0" applyFont="0" applyFill="0" applyBorder="0" applyAlignment="0" applyProtection="0"/>
    <xf numFmtId="170" fontId="39" fillId="0" borderId="0" applyFont="0" applyFill="0" applyBorder="0" applyAlignment="0" applyProtection="0"/>
    <xf numFmtId="170" fontId="39" fillId="0" borderId="0" applyFont="0" applyFill="0" applyBorder="0" applyAlignment="0" applyProtection="0"/>
    <xf numFmtId="170" fontId="39" fillId="0" borderId="0" applyFont="0" applyFill="0" applyBorder="0" applyAlignment="0" applyProtection="0"/>
    <xf numFmtId="170" fontId="39" fillId="0" borderId="0" applyFont="0" applyFill="0" applyBorder="0" applyAlignment="0" applyProtection="0"/>
    <xf numFmtId="170" fontId="39" fillId="0" borderId="0" applyFont="0" applyFill="0" applyBorder="0" applyAlignment="0" applyProtection="0"/>
    <xf numFmtId="170" fontId="39" fillId="0" borderId="0" applyFont="0" applyFill="0" applyBorder="0" applyAlignment="0" applyProtection="0"/>
    <xf numFmtId="170" fontId="39" fillId="0" borderId="0" applyFont="0" applyFill="0" applyBorder="0" applyAlignment="0" applyProtection="0"/>
    <xf numFmtId="170" fontId="39" fillId="0" borderId="0" applyFont="0" applyFill="0" applyBorder="0" applyAlignment="0" applyProtection="0"/>
    <xf numFmtId="170" fontId="39" fillId="0" borderId="0" applyFont="0" applyFill="0" applyBorder="0" applyAlignment="0" applyProtection="0"/>
    <xf numFmtId="170" fontId="39" fillId="0" borderId="0" applyFont="0" applyFill="0" applyBorder="0" applyAlignment="0" applyProtection="0"/>
    <xf numFmtId="164" fontId="34" fillId="0" borderId="0" applyFill="0" applyBorder="0" applyAlignment="0" applyProtection="0"/>
    <xf numFmtId="170" fontId="33" fillId="0" borderId="0" applyFont="0" applyFill="0" applyBorder="0" applyAlignment="0" applyProtection="0"/>
    <xf numFmtId="164" fontId="34" fillId="0" borderId="0" applyFill="0" applyBorder="0" applyAlignment="0" applyProtection="0"/>
    <xf numFmtId="170" fontId="33" fillId="0" borderId="0" applyFont="0" applyFill="0" applyBorder="0" applyAlignment="0" applyProtection="0"/>
    <xf numFmtId="164" fontId="34" fillId="0" borderId="0" applyFill="0" applyBorder="0" applyAlignment="0" applyProtection="0"/>
    <xf numFmtId="170" fontId="33" fillId="0" borderId="0" applyFont="0" applyFill="0" applyBorder="0" applyAlignment="0" applyProtection="0"/>
    <xf numFmtId="164" fontId="34" fillId="0" borderId="0" applyFill="0" applyBorder="0" applyAlignment="0" applyProtection="0"/>
    <xf numFmtId="170" fontId="33" fillId="0" borderId="0" applyFont="0" applyFill="0" applyBorder="0" applyAlignment="0" applyProtection="0"/>
    <xf numFmtId="170" fontId="33" fillId="0" borderId="0" applyNumberFormat="0" applyFill="0" applyBorder="0" applyAlignment="0" applyProtection="0"/>
    <xf numFmtId="170" fontId="33" fillId="0" borderId="0" applyFont="0" applyFill="0" applyBorder="0" applyAlignment="0" applyProtection="0"/>
    <xf numFmtId="170" fontId="33" fillId="0" borderId="0" applyNumberFormat="0" applyFill="0" applyBorder="0" applyAlignment="0" applyProtection="0"/>
    <xf numFmtId="170" fontId="33" fillId="0" borderId="0" applyNumberFormat="0" applyFill="0" applyBorder="0" applyAlignment="0" applyProtection="0"/>
    <xf numFmtId="170" fontId="33" fillId="0" borderId="0" applyNumberFormat="0" applyFill="0" applyBorder="0" applyAlignment="0" applyProtection="0"/>
    <xf numFmtId="170" fontId="33" fillId="0" borderId="0" applyNumberFormat="0" applyFill="0" applyBorder="0" applyAlignment="0" applyProtection="0"/>
    <xf numFmtId="170" fontId="33" fillId="0" borderId="0" applyNumberFormat="0" applyFill="0" applyBorder="0" applyAlignment="0" applyProtection="0"/>
    <xf numFmtId="170" fontId="33" fillId="0" borderId="0" applyNumberFormat="0" applyFill="0" applyBorder="0" applyAlignment="0" applyProtection="0"/>
    <xf numFmtId="170" fontId="33" fillId="0" borderId="0" applyFont="0" applyFill="0" applyBorder="0" applyAlignment="0" applyProtection="0"/>
    <xf numFmtId="170" fontId="33" fillId="0" borderId="0" applyFont="0" applyFill="0" applyBorder="0" applyAlignment="0" applyProtection="0"/>
    <xf numFmtId="170" fontId="33" fillId="0" borderId="0" applyFont="0" applyFill="0" applyBorder="0" applyAlignment="0" applyProtection="0"/>
    <xf numFmtId="170" fontId="33" fillId="0" borderId="0" applyFont="0" applyFill="0" applyBorder="0" applyAlignment="0" applyProtection="0"/>
    <xf numFmtId="170" fontId="34" fillId="0" borderId="0" applyFont="0" applyFill="0" applyBorder="0" applyAlignment="0" applyProtection="0"/>
    <xf numFmtId="43" fontId="46"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46"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170" fontId="33" fillId="0" borderId="0" applyFont="0" applyFill="0" applyBorder="0" applyAlignment="0" applyProtection="0"/>
    <xf numFmtId="170" fontId="34" fillId="0" borderId="0" applyFont="0" applyFill="0" applyBorder="0" applyAlignment="0" applyProtection="0"/>
    <xf numFmtId="170" fontId="33" fillId="0" borderId="0" applyNumberFormat="0" applyFill="0" applyBorder="0" applyAlignment="0" applyProtection="0"/>
    <xf numFmtId="170" fontId="33" fillId="0" borderId="0" applyFont="0" applyFill="0" applyBorder="0" applyAlignment="0" applyProtection="0"/>
    <xf numFmtId="170" fontId="33" fillId="0" borderId="0" applyNumberFormat="0" applyFill="0" applyBorder="0" applyAlignment="0" applyProtection="0"/>
    <xf numFmtId="170" fontId="33" fillId="0" borderId="0" applyFont="0" applyFill="0" applyBorder="0" applyAlignment="0" applyProtection="0"/>
    <xf numFmtId="170" fontId="33" fillId="0" borderId="0" applyNumberFormat="0" applyFill="0" applyBorder="0" applyAlignment="0" applyProtection="0"/>
    <xf numFmtId="170" fontId="33" fillId="0" borderId="0" applyFont="0" applyFill="0" applyBorder="0" applyAlignment="0" applyProtection="0"/>
    <xf numFmtId="170" fontId="33" fillId="0" borderId="0" applyNumberFormat="0" applyFill="0" applyBorder="0" applyAlignment="0" applyProtection="0"/>
    <xf numFmtId="170" fontId="33" fillId="0" borderId="0" applyFont="0" applyFill="0" applyBorder="0" applyAlignment="0" applyProtection="0"/>
    <xf numFmtId="170" fontId="33" fillId="0" borderId="0" applyNumberFormat="0" applyFill="0" applyBorder="0" applyAlignment="0" applyProtection="0"/>
    <xf numFmtId="170" fontId="33" fillId="0" borderId="0" applyFont="0" applyFill="0" applyBorder="0" applyAlignment="0" applyProtection="0"/>
    <xf numFmtId="170" fontId="33" fillId="0" borderId="0" applyNumberFormat="0" applyFill="0" applyBorder="0" applyAlignment="0" applyProtection="0"/>
    <xf numFmtId="170" fontId="33" fillId="0" borderId="0" applyFont="0" applyFill="0" applyBorder="0" applyAlignment="0" applyProtection="0"/>
    <xf numFmtId="170" fontId="33" fillId="0" borderId="0" applyFont="0" applyFill="0" applyBorder="0" applyAlignment="0" applyProtection="0"/>
    <xf numFmtId="170" fontId="33" fillId="0" borderId="0" applyFont="0" applyFill="0" applyBorder="0" applyAlignment="0" applyProtection="0"/>
    <xf numFmtId="170" fontId="33" fillId="0" borderId="0" applyFont="0" applyFill="0" applyBorder="0" applyAlignment="0" applyProtection="0"/>
    <xf numFmtId="170" fontId="33" fillId="0" borderId="0" applyFont="0" applyFill="0" applyBorder="0" applyAlignment="0" applyProtection="0"/>
    <xf numFmtId="170" fontId="33" fillId="0" borderId="0" applyFont="0" applyFill="0" applyBorder="0" applyAlignment="0" applyProtection="0"/>
    <xf numFmtId="170" fontId="33" fillId="0" borderId="0" applyFont="0" applyFill="0" applyBorder="0" applyAlignment="0" applyProtection="0"/>
    <xf numFmtId="170" fontId="33" fillId="0" borderId="0" applyFont="0" applyFill="0" applyBorder="0" applyAlignment="0" applyProtection="0"/>
    <xf numFmtId="170" fontId="39" fillId="0" borderId="0" applyFont="0" applyFill="0" applyBorder="0" applyAlignment="0" applyProtection="0"/>
    <xf numFmtId="170" fontId="39" fillId="0" borderId="0" applyFont="0" applyFill="0" applyBorder="0" applyAlignment="0" applyProtection="0"/>
    <xf numFmtId="170" fontId="47" fillId="0" borderId="0" applyFont="0" applyFill="0" applyBorder="0" applyAlignment="0" applyProtection="0"/>
    <xf numFmtId="170" fontId="32" fillId="0" borderId="0" applyFont="0" applyFill="0" applyBorder="0" applyAlignment="0" applyProtection="0"/>
    <xf numFmtId="170" fontId="32" fillId="0" borderId="0" applyFont="0" applyFill="0" applyBorder="0" applyAlignment="0" applyProtection="0"/>
    <xf numFmtId="170" fontId="32" fillId="0" borderId="0" applyFont="0" applyFill="0" applyBorder="0" applyAlignment="0" applyProtection="0"/>
    <xf numFmtId="170" fontId="32" fillId="0" borderId="0" applyFont="0" applyFill="0" applyBorder="0" applyAlignment="0" applyProtection="0"/>
    <xf numFmtId="170" fontId="32" fillId="0" borderId="0" applyFont="0" applyFill="0" applyBorder="0" applyAlignment="0" applyProtection="0"/>
    <xf numFmtId="170" fontId="32" fillId="0" borderId="0" applyFont="0" applyFill="0" applyBorder="0" applyAlignment="0" applyProtection="0"/>
    <xf numFmtId="170" fontId="32" fillId="0" borderId="0" applyFont="0" applyFill="0" applyBorder="0" applyAlignment="0" applyProtection="0"/>
    <xf numFmtId="170" fontId="32" fillId="0" borderId="0" applyFont="0" applyFill="0" applyBorder="0" applyAlignment="0" applyProtection="0"/>
    <xf numFmtId="170" fontId="32" fillId="0" borderId="0" applyFont="0" applyFill="0" applyBorder="0" applyAlignment="0" applyProtection="0"/>
    <xf numFmtId="170" fontId="32" fillId="0" borderId="0" applyFont="0" applyFill="0" applyBorder="0" applyAlignment="0" applyProtection="0"/>
    <xf numFmtId="164" fontId="34" fillId="0" borderId="0" applyFill="0" applyBorder="0" applyAlignment="0" applyProtection="0"/>
    <xf numFmtId="165" fontId="34" fillId="0" borderId="0" applyFill="0" applyBorder="0" applyAlignment="0" applyProtection="0"/>
    <xf numFmtId="165" fontId="34" fillId="0" borderId="0" applyFill="0" applyBorder="0" applyAlignment="0" applyProtection="0"/>
    <xf numFmtId="165" fontId="34" fillId="0" borderId="0" applyFill="0" applyBorder="0" applyAlignment="0" applyProtection="0"/>
    <xf numFmtId="170" fontId="32" fillId="0" borderId="0" applyFont="0" applyFill="0" applyBorder="0" applyAlignment="0" applyProtection="0"/>
    <xf numFmtId="170" fontId="32" fillId="0" borderId="0" applyFont="0" applyFill="0" applyBorder="0" applyAlignment="0" applyProtection="0"/>
    <xf numFmtId="170" fontId="32" fillId="0" borderId="0" applyFont="0" applyFill="0" applyBorder="0" applyAlignment="0" applyProtection="0"/>
    <xf numFmtId="170" fontId="32" fillId="0" borderId="0" applyFont="0" applyFill="0" applyBorder="0" applyAlignment="0" applyProtection="0"/>
    <xf numFmtId="170" fontId="32" fillId="0" borderId="0" applyFont="0" applyFill="0" applyBorder="0" applyAlignment="0" applyProtection="0"/>
    <xf numFmtId="170" fontId="32" fillId="0" borderId="0" applyFont="0" applyFill="0" applyBorder="0" applyAlignment="0" applyProtection="0"/>
    <xf numFmtId="170" fontId="32" fillId="0" borderId="0" applyFont="0" applyFill="0" applyBorder="0" applyAlignment="0" applyProtection="0"/>
    <xf numFmtId="170" fontId="32" fillId="0" borderId="0" applyFont="0" applyFill="0" applyBorder="0" applyAlignment="0" applyProtection="0"/>
    <xf numFmtId="170" fontId="32" fillId="0" borderId="0" applyFont="0" applyFill="0" applyBorder="0" applyAlignment="0" applyProtection="0"/>
    <xf numFmtId="179" fontId="46" fillId="0" borderId="0" applyFont="0" applyFill="0" applyBorder="0" applyAlignment="0" applyProtection="0"/>
    <xf numFmtId="179" fontId="39" fillId="0" borderId="0" applyFont="0" applyFill="0" applyBorder="0" applyAlignment="0" applyProtection="0"/>
    <xf numFmtId="179" fontId="39" fillId="0" borderId="0" applyFont="0" applyFill="0" applyBorder="0" applyAlignment="0" applyProtection="0"/>
    <xf numFmtId="179" fontId="39" fillId="0" borderId="0" applyFont="0" applyFill="0" applyBorder="0" applyAlignment="0" applyProtection="0"/>
    <xf numFmtId="179" fontId="39" fillId="0" borderId="0" applyFont="0" applyFill="0" applyBorder="0" applyAlignment="0" applyProtection="0"/>
    <xf numFmtId="179" fontId="39" fillId="0" borderId="0" applyFont="0" applyFill="0" applyBorder="0" applyAlignment="0" applyProtection="0"/>
    <xf numFmtId="179" fontId="39" fillId="0" borderId="0" applyFont="0" applyFill="0" applyBorder="0" applyAlignment="0" applyProtection="0"/>
    <xf numFmtId="179" fontId="39" fillId="0" borderId="0" applyFont="0" applyFill="0" applyBorder="0" applyAlignment="0" applyProtection="0"/>
    <xf numFmtId="179" fontId="39" fillId="0" borderId="0" applyFont="0" applyFill="0" applyBorder="0" applyAlignment="0" applyProtection="0"/>
    <xf numFmtId="179" fontId="39" fillId="0" borderId="0" applyFont="0" applyFill="0" applyBorder="0" applyAlignment="0" applyProtection="0"/>
    <xf numFmtId="179" fontId="39" fillId="0" borderId="0" applyFont="0" applyFill="0" applyBorder="0" applyAlignment="0" applyProtection="0"/>
    <xf numFmtId="164" fontId="34" fillId="0" borderId="0" applyFill="0" applyBorder="0" applyAlignment="0" applyProtection="0"/>
    <xf numFmtId="179" fontId="39" fillId="0" borderId="0" applyFont="0" applyFill="0" applyBorder="0" applyAlignment="0" applyProtection="0"/>
    <xf numFmtId="179" fontId="39" fillId="0" borderId="0" applyFont="0" applyFill="0" applyBorder="0" applyAlignment="0" applyProtection="0"/>
    <xf numFmtId="179" fontId="39" fillId="0" borderId="0" applyFont="0" applyFill="0" applyBorder="0" applyAlignment="0" applyProtection="0"/>
    <xf numFmtId="179" fontId="39" fillId="0" borderId="0" applyFont="0" applyFill="0" applyBorder="0" applyAlignment="0" applyProtection="0"/>
    <xf numFmtId="179" fontId="39" fillId="0" borderId="0" applyFont="0" applyFill="0" applyBorder="0" applyAlignment="0" applyProtection="0"/>
    <xf numFmtId="164" fontId="34" fillId="0" borderId="0" applyFill="0" applyBorder="0" applyAlignment="0" applyProtection="0"/>
    <xf numFmtId="164" fontId="34" fillId="0" borderId="0" applyFill="0" applyBorder="0" applyAlignment="0" applyProtection="0"/>
    <xf numFmtId="164" fontId="34" fillId="0" borderId="0" applyFill="0" applyBorder="0" applyAlignment="0" applyProtection="0"/>
    <xf numFmtId="164" fontId="34" fillId="0" borderId="0" applyFill="0" applyBorder="0" applyAlignment="0" applyProtection="0"/>
    <xf numFmtId="164" fontId="34" fillId="0" borderId="0" applyFill="0" applyBorder="0" applyAlignment="0" applyProtection="0"/>
    <xf numFmtId="179" fontId="39" fillId="0" borderId="0" applyFont="0" applyFill="0" applyBorder="0" applyAlignment="0" applyProtection="0"/>
    <xf numFmtId="164" fontId="34" fillId="0" borderId="0" applyFill="0" applyBorder="0" applyAlignment="0" applyProtection="0"/>
    <xf numFmtId="164" fontId="34" fillId="0" borderId="0" applyFill="0" applyBorder="0" applyAlignment="0" applyProtection="0"/>
    <xf numFmtId="164" fontId="34" fillId="0" borderId="0" applyFill="0" applyBorder="0" applyAlignment="0" applyProtection="0"/>
    <xf numFmtId="164" fontId="34" fillId="0" borderId="0" applyFill="0" applyBorder="0" applyAlignment="0" applyProtection="0"/>
    <xf numFmtId="164" fontId="34" fillId="0" borderId="0" applyFill="0" applyBorder="0" applyAlignment="0" applyProtection="0"/>
    <xf numFmtId="164" fontId="34" fillId="0" borderId="0" applyFill="0" applyBorder="0" applyAlignment="0" applyProtection="0"/>
    <xf numFmtId="164" fontId="34" fillId="0" borderId="0" applyFill="0" applyBorder="0" applyAlignment="0" applyProtection="0"/>
    <xf numFmtId="164" fontId="34" fillId="0" borderId="0" applyFill="0" applyBorder="0" applyAlignment="0" applyProtection="0"/>
    <xf numFmtId="179" fontId="39" fillId="0" borderId="0" applyFont="0" applyFill="0" applyBorder="0" applyAlignment="0" applyProtection="0"/>
    <xf numFmtId="179" fontId="39" fillId="0" borderId="0" applyFont="0" applyFill="0" applyBorder="0" applyAlignment="0" applyProtection="0"/>
    <xf numFmtId="179" fontId="39" fillId="0" borderId="0" applyFont="0" applyFill="0" applyBorder="0" applyAlignment="0" applyProtection="0"/>
    <xf numFmtId="179" fontId="39" fillId="0" borderId="0" applyFont="0" applyFill="0" applyBorder="0" applyAlignment="0" applyProtection="0"/>
    <xf numFmtId="179" fontId="39" fillId="0" borderId="0" applyFont="0" applyFill="0" applyBorder="0" applyAlignment="0" applyProtection="0"/>
    <xf numFmtId="179" fontId="39" fillId="0" borderId="0" applyFont="0" applyFill="0" applyBorder="0" applyAlignment="0" applyProtection="0"/>
    <xf numFmtId="179" fontId="46" fillId="0" borderId="0" applyFont="0" applyFill="0" applyBorder="0" applyAlignment="0" applyProtection="0"/>
    <xf numFmtId="179" fontId="39" fillId="0" borderId="0" applyFont="0" applyFill="0" applyBorder="0" applyAlignment="0" applyProtection="0"/>
    <xf numFmtId="179" fontId="39" fillId="0" borderId="0" applyFont="0" applyFill="0" applyBorder="0" applyAlignment="0" applyProtection="0"/>
    <xf numFmtId="179" fontId="39" fillId="0" borderId="0" applyFont="0" applyFill="0" applyBorder="0" applyAlignment="0" applyProtection="0"/>
    <xf numFmtId="179" fontId="39" fillId="0" borderId="0" applyFont="0" applyFill="0" applyBorder="0" applyAlignment="0" applyProtection="0"/>
    <xf numFmtId="179" fontId="39" fillId="0" borderId="0" applyFont="0" applyFill="0" applyBorder="0" applyAlignment="0" applyProtection="0"/>
    <xf numFmtId="179" fontId="39" fillId="0" borderId="0" applyFont="0" applyFill="0" applyBorder="0" applyAlignment="0" applyProtection="0"/>
    <xf numFmtId="179" fontId="39" fillId="0" borderId="0" applyFont="0" applyFill="0" applyBorder="0" applyAlignment="0" applyProtection="0"/>
    <xf numFmtId="179" fontId="39" fillId="0" borderId="0" applyFont="0" applyFill="0" applyBorder="0" applyAlignment="0" applyProtection="0"/>
    <xf numFmtId="179" fontId="39" fillId="0" borderId="0" applyFont="0" applyFill="0" applyBorder="0" applyAlignment="0" applyProtection="0"/>
    <xf numFmtId="179" fontId="39" fillId="0" borderId="0" applyFont="0" applyFill="0" applyBorder="0" applyAlignment="0" applyProtection="0"/>
    <xf numFmtId="179" fontId="39" fillId="0" borderId="0" applyFont="0" applyFill="0" applyBorder="0" applyAlignment="0" applyProtection="0"/>
    <xf numFmtId="179" fontId="39" fillId="0" borderId="0" applyFont="0" applyFill="0" applyBorder="0" applyAlignment="0" applyProtection="0"/>
    <xf numFmtId="179" fontId="39" fillId="0" borderId="0" applyFont="0" applyFill="0" applyBorder="0" applyAlignment="0" applyProtection="0"/>
    <xf numFmtId="179" fontId="39" fillId="0" borderId="0" applyFont="0" applyFill="0" applyBorder="0" applyAlignment="0" applyProtection="0"/>
    <xf numFmtId="179" fontId="39" fillId="0" borderId="0" applyFont="0" applyFill="0" applyBorder="0" applyAlignment="0" applyProtection="0"/>
    <xf numFmtId="179" fontId="39" fillId="0" borderId="0" applyFont="0" applyFill="0" applyBorder="0" applyAlignment="0" applyProtection="0"/>
    <xf numFmtId="179" fontId="39" fillId="0" borderId="0" applyFont="0" applyFill="0" applyBorder="0" applyAlignment="0" applyProtection="0"/>
    <xf numFmtId="179" fontId="39" fillId="0" borderId="0" applyFont="0" applyFill="0" applyBorder="0" applyAlignment="0" applyProtection="0"/>
    <xf numFmtId="179" fontId="39" fillId="0" borderId="0" applyFont="0" applyFill="0" applyBorder="0" applyAlignment="0" applyProtection="0"/>
    <xf numFmtId="179" fontId="39" fillId="0" borderId="0" applyFont="0" applyFill="0" applyBorder="0" applyAlignment="0" applyProtection="0"/>
    <xf numFmtId="179" fontId="39" fillId="0" borderId="0" applyFont="0" applyFill="0" applyBorder="0" applyAlignment="0" applyProtection="0"/>
    <xf numFmtId="179" fontId="39" fillId="0" borderId="0" applyFont="0" applyFill="0" applyBorder="0" applyAlignment="0" applyProtection="0"/>
    <xf numFmtId="170" fontId="33" fillId="0" borderId="0" applyFont="0" applyFill="0" applyBorder="0" applyAlignment="0" applyProtection="0"/>
    <xf numFmtId="169" fontId="34" fillId="0" borderId="0" applyFill="0" applyBorder="0" applyAlignment="0" applyProtection="0"/>
    <xf numFmtId="169" fontId="34" fillId="0" borderId="0" applyFill="0" applyBorder="0" applyAlignment="0" applyProtection="0"/>
    <xf numFmtId="169" fontId="34" fillId="0" borderId="0" applyFill="0" applyBorder="0" applyAlignment="0" applyProtection="0"/>
    <xf numFmtId="169" fontId="34" fillId="0" borderId="0" applyFill="0" applyBorder="0" applyAlignment="0" applyProtection="0"/>
    <xf numFmtId="169" fontId="34" fillId="0" borderId="0" applyFill="0" applyBorder="0" applyAlignment="0" applyProtection="0"/>
    <xf numFmtId="169" fontId="34" fillId="0" borderId="0" applyFill="0" applyBorder="0" applyAlignment="0" applyProtection="0"/>
    <xf numFmtId="170" fontId="32" fillId="0" borderId="0" applyFont="0" applyFill="0" applyBorder="0" applyAlignment="0" applyProtection="0"/>
    <xf numFmtId="169" fontId="34" fillId="0" borderId="0" applyFill="0" applyBorder="0" applyAlignment="0" applyProtection="0"/>
    <xf numFmtId="169" fontId="34" fillId="0" borderId="0" applyFill="0" applyBorder="0" applyAlignment="0" applyProtection="0"/>
    <xf numFmtId="169" fontId="34" fillId="0" borderId="0" applyFill="0" applyBorder="0" applyAlignment="0" applyProtection="0"/>
    <xf numFmtId="169" fontId="34" fillId="0" borderId="0" applyFill="0" applyBorder="0" applyAlignment="0" applyProtection="0"/>
    <xf numFmtId="169" fontId="34" fillId="0" borderId="0" applyFill="0" applyBorder="0" applyAlignment="0" applyProtection="0"/>
    <xf numFmtId="169" fontId="34" fillId="0" borderId="0" applyFill="0" applyBorder="0" applyAlignment="0" applyProtection="0"/>
    <xf numFmtId="169" fontId="34" fillId="0" borderId="0" applyFill="0" applyBorder="0" applyAlignment="0" applyProtection="0"/>
    <xf numFmtId="169" fontId="34" fillId="0" borderId="0" applyFill="0" applyBorder="0" applyAlignment="0" applyProtection="0"/>
    <xf numFmtId="170" fontId="32" fillId="0" borderId="0" applyFont="0" applyFill="0" applyBorder="0" applyAlignment="0" applyProtection="0"/>
    <xf numFmtId="170" fontId="32" fillId="0" borderId="0" applyFont="0" applyFill="0" applyBorder="0" applyAlignment="0" applyProtection="0"/>
    <xf numFmtId="170" fontId="39" fillId="0" borderId="0" applyFont="0" applyFill="0" applyBorder="0" applyAlignment="0" applyProtection="0"/>
    <xf numFmtId="170" fontId="39" fillId="0" borderId="0" applyFont="0" applyFill="0" applyBorder="0" applyAlignment="0" applyProtection="0"/>
    <xf numFmtId="170" fontId="39" fillId="0" borderId="0" applyFont="0" applyFill="0" applyBorder="0" applyAlignment="0" applyProtection="0"/>
    <xf numFmtId="170" fontId="39" fillId="0" borderId="0" applyFont="0" applyFill="0" applyBorder="0" applyAlignment="0" applyProtection="0"/>
    <xf numFmtId="170" fontId="39" fillId="0" borderId="0" applyFont="0" applyFill="0" applyBorder="0" applyAlignment="0" applyProtection="0"/>
    <xf numFmtId="170" fontId="39" fillId="0" borderId="0" applyFont="0" applyFill="0" applyBorder="0" applyAlignment="0" applyProtection="0"/>
    <xf numFmtId="170" fontId="39" fillId="0" borderId="0" applyFont="0" applyFill="0" applyBorder="0" applyAlignment="0" applyProtection="0"/>
    <xf numFmtId="170" fontId="39" fillId="0" borderId="0" applyFont="0" applyFill="0" applyBorder="0" applyAlignment="0" applyProtection="0"/>
    <xf numFmtId="170" fontId="39" fillId="0" borderId="0" applyFont="0" applyFill="0" applyBorder="0" applyAlignment="0" applyProtection="0"/>
    <xf numFmtId="170" fontId="39" fillId="0" borderId="0" applyFont="0" applyFill="0" applyBorder="0" applyAlignment="0" applyProtection="0"/>
    <xf numFmtId="170" fontId="47" fillId="0" borderId="0" applyFont="0" applyFill="0" applyBorder="0" applyAlignment="0" applyProtection="0"/>
    <xf numFmtId="170" fontId="33" fillId="0" borderId="0" applyFont="0" applyFill="0" applyBorder="0" applyAlignment="0" applyProtection="0"/>
    <xf numFmtId="170" fontId="33" fillId="0" borderId="0" applyFont="0" applyFill="0" applyBorder="0" applyAlignment="0" applyProtection="0"/>
    <xf numFmtId="170" fontId="33" fillId="0" borderId="0" applyFont="0" applyFill="0" applyBorder="0" applyAlignment="0" applyProtection="0"/>
    <xf numFmtId="170" fontId="33" fillId="0" borderId="0" applyFont="0" applyFill="0" applyBorder="0" applyAlignment="0" applyProtection="0"/>
    <xf numFmtId="170" fontId="33" fillId="0" borderId="0" applyFont="0" applyFill="0" applyBorder="0" applyAlignment="0" applyProtection="0"/>
    <xf numFmtId="170" fontId="33" fillId="0" borderId="0" applyFont="0" applyFill="0" applyBorder="0" applyAlignment="0" applyProtection="0"/>
    <xf numFmtId="170" fontId="33" fillId="0" borderId="0" applyFont="0" applyFill="0" applyBorder="0" applyAlignment="0" applyProtection="0"/>
    <xf numFmtId="170" fontId="33" fillId="0" borderId="0" applyFont="0" applyFill="0" applyBorder="0" applyAlignment="0" applyProtection="0"/>
    <xf numFmtId="170" fontId="33" fillId="0" borderId="0" applyFont="0" applyFill="0" applyBorder="0" applyAlignment="0" applyProtection="0"/>
    <xf numFmtId="170" fontId="33" fillId="0" borderId="0" applyFont="0" applyFill="0" applyBorder="0" applyAlignment="0" applyProtection="0"/>
    <xf numFmtId="176" fontId="34" fillId="0" borderId="0" applyFill="0" applyBorder="0" applyAlignment="0" applyProtection="0"/>
    <xf numFmtId="170" fontId="33" fillId="0" borderId="0" applyFont="0" applyFill="0" applyBorder="0" applyAlignment="0" applyProtection="0"/>
    <xf numFmtId="170" fontId="33" fillId="0" borderId="0" applyFont="0" applyFill="0" applyBorder="0" applyAlignment="0" applyProtection="0"/>
    <xf numFmtId="170" fontId="33" fillId="0" borderId="0" applyFont="0" applyFill="0" applyBorder="0" applyAlignment="0" applyProtection="0"/>
    <xf numFmtId="170" fontId="33" fillId="0" borderId="0" applyFont="0" applyFill="0" applyBorder="0" applyAlignment="0" applyProtection="0"/>
    <xf numFmtId="171" fontId="34" fillId="0" borderId="0" applyFill="0" applyBorder="0" applyAlignment="0" applyProtection="0"/>
    <xf numFmtId="171" fontId="34" fillId="0" borderId="0" applyFill="0" applyBorder="0" applyAlignment="0" applyProtection="0"/>
    <xf numFmtId="170" fontId="33" fillId="0" borderId="0" applyFont="0" applyFill="0" applyBorder="0" applyAlignment="0" applyProtection="0"/>
    <xf numFmtId="169" fontId="34" fillId="0" borderId="0" applyFill="0" applyBorder="0" applyAlignment="0" applyProtection="0"/>
    <xf numFmtId="169" fontId="34" fillId="0" borderId="0" applyFill="0" applyBorder="0" applyAlignment="0" applyProtection="0"/>
    <xf numFmtId="169" fontId="34" fillId="0" borderId="0" applyFill="0" applyBorder="0" applyAlignment="0" applyProtection="0"/>
    <xf numFmtId="169" fontId="34" fillId="0" borderId="0" applyFill="0" applyBorder="0" applyAlignment="0" applyProtection="0"/>
    <xf numFmtId="169" fontId="34" fillId="0" borderId="0" applyFill="0" applyBorder="0" applyAlignment="0" applyProtection="0"/>
    <xf numFmtId="169" fontId="34" fillId="0" borderId="0" applyFill="0" applyBorder="0" applyAlignment="0" applyProtection="0"/>
    <xf numFmtId="170" fontId="32" fillId="0" borderId="0" applyFont="0" applyFill="0" applyBorder="0" applyAlignment="0" applyProtection="0"/>
    <xf numFmtId="169" fontId="34" fillId="0" borderId="0" applyFill="0" applyBorder="0" applyAlignment="0" applyProtection="0"/>
    <xf numFmtId="169" fontId="34" fillId="0" borderId="0" applyFill="0" applyBorder="0" applyAlignment="0" applyProtection="0"/>
    <xf numFmtId="169" fontId="34" fillId="0" borderId="0" applyFill="0" applyBorder="0" applyAlignment="0" applyProtection="0"/>
    <xf numFmtId="169" fontId="34" fillId="0" borderId="0" applyFill="0" applyBorder="0" applyAlignment="0" applyProtection="0"/>
    <xf numFmtId="169" fontId="34" fillId="0" borderId="0" applyFill="0" applyBorder="0" applyAlignment="0" applyProtection="0"/>
    <xf numFmtId="169" fontId="34" fillId="0" borderId="0" applyFill="0" applyBorder="0" applyAlignment="0" applyProtection="0"/>
    <xf numFmtId="169" fontId="34" fillId="0" borderId="0" applyFill="0" applyBorder="0" applyAlignment="0" applyProtection="0"/>
    <xf numFmtId="169" fontId="34" fillId="0" borderId="0" applyFill="0" applyBorder="0" applyAlignment="0" applyProtection="0"/>
    <xf numFmtId="170" fontId="32" fillId="0" borderId="0" applyFont="0" applyFill="0" applyBorder="0" applyAlignment="0" applyProtection="0"/>
    <xf numFmtId="170" fontId="32" fillId="0" borderId="0" applyFont="0" applyFill="0" applyBorder="0" applyAlignment="0" applyProtection="0"/>
    <xf numFmtId="170" fontId="33" fillId="0" borderId="0" applyFont="0" applyFill="0" applyBorder="0" applyAlignment="0" applyProtection="0"/>
    <xf numFmtId="170" fontId="32" fillId="0" borderId="0" applyFont="0" applyFill="0" applyBorder="0" applyAlignment="0" applyProtection="0"/>
    <xf numFmtId="170" fontId="32" fillId="0" borderId="0" applyFont="0" applyFill="0" applyBorder="0" applyAlignment="0" applyProtection="0"/>
    <xf numFmtId="170" fontId="32" fillId="0" borderId="0" applyFont="0" applyFill="0" applyBorder="0" applyAlignment="0" applyProtection="0"/>
    <xf numFmtId="170" fontId="32" fillId="0" borderId="0" applyFont="0" applyFill="0" applyBorder="0" applyAlignment="0" applyProtection="0"/>
    <xf numFmtId="170" fontId="32" fillId="0" borderId="0" applyFont="0" applyFill="0" applyBorder="0" applyAlignment="0" applyProtection="0"/>
    <xf numFmtId="170" fontId="32" fillId="0" borderId="0" applyFont="0" applyFill="0" applyBorder="0" applyAlignment="0" applyProtection="0"/>
    <xf numFmtId="170" fontId="32" fillId="0" borderId="0" applyFont="0" applyFill="0" applyBorder="0" applyAlignment="0" applyProtection="0"/>
    <xf numFmtId="170" fontId="32" fillId="0" borderId="0" applyFont="0" applyFill="0" applyBorder="0" applyAlignment="0" applyProtection="0"/>
    <xf numFmtId="170" fontId="32" fillId="0" borderId="0" applyFont="0" applyFill="0" applyBorder="0" applyAlignment="0" applyProtection="0"/>
    <xf numFmtId="170" fontId="32" fillId="0" borderId="0" applyFont="0" applyFill="0" applyBorder="0" applyAlignment="0" applyProtection="0"/>
    <xf numFmtId="170" fontId="33" fillId="0" borderId="0" applyFont="0" applyFill="0" applyBorder="0" applyAlignment="0" applyProtection="0"/>
    <xf numFmtId="170" fontId="32" fillId="0" borderId="0" applyFont="0" applyFill="0" applyBorder="0" applyAlignment="0" applyProtection="0"/>
    <xf numFmtId="170" fontId="32" fillId="0" borderId="0" applyFont="0" applyFill="0" applyBorder="0" applyAlignment="0" applyProtection="0"/>
    <xf numFmtId="170" fontId="32" fillId="0" borderId="0" applyFont="0" applyFill="0" applyBorder="0" applyAlignment="0" applyProtection="0"/>
    <xf numFmtId="170" fontId="32" fillId="0" borderId="0" applyFont="0" applyFill="0" applyBorder="0" applyAlignment="0" applyProtection="0"/>
    <xf numFmtId="170" fontId="32" fillId="0" borderId="0" applyFont="0" applyFill="0" applyBorder="0" applyAlignment="0" applyProtection="0"/>
    <xf numFmtId="170" fontId="32" fillId="0" borderId="0" applyFont="0" applyFill="0" applyBorder="0" applyAlignment="0" applyProtection="0"/>
    <xf numFmtId="170" fontId="32" fillId="0" borderId="0" applyFont="0" applyFill="0" applyBorder="0" applyAlignment="0" applyProtection="0"/>
    <xf numFmtId="170" fontId="32" fillId="0" borderId="0" applyFont="0" applyFill="0" applyBorder="0" applyAlignment="0" applyProtection="0"/>
    <xf numFmtId="170" fontId="32" fillId="0" borderId="0" applyFont="0" applyFill="0" applyBorder="0" applyAlignment="0" applyProtection="0"/>
    <xf numFmtId="170" fontId="33" fillId="0" borderId="0" applyFont="0" applyFill="0" applyBorder="0" applyAlignment="0" applyProtection="0"/>
    <xf numFmtId="170" fontId="33" fillId="0" borderId="0" applyFont="0" applyFill="0" applyBorder="0" applyAlignment="0" applyProtection="0"/>
    <xf numFmtId="170" fontId="33" fillId="0" borderId="0" applyFont="0" applyFill="0" applyBorder="0" applyAlignment="0" applyProtection="0"/>
    <xf numFmtId="170" fontId="33" fillId="0" borderId="0" applyFont="0" applyFill="0" applyBorder="0" applyAlignment="0" applyProtection="0"/>
    <xf numFmtId="170" fontId="33" fillId="0" borderId="0" applyFont="0" applyFill="0" applyBorder="0" applyAlignment="0" applyProtection="0"/>
    <xf numFmtId="170" fontId="39" fillId="0" borderId="0" applyFont="0" applyFill="0" applyBorder="0" applyAlignment="0" applyProtection="0"/>
    <xf numFmtId="170" fontId="39" fillId="0" borderId="0" applyFont="0" applyFill="0" applyBorder="0" applyAlignment="0" applyProtection="0"/>
    <xf numFmtId="170" fontId="39" fillId="0" borderId="0" applyFont="0" applyFill="0" applyBorder="0" applyAlignment="0" applyProtection="0"/>
    <xf numFmtId="170" fontId="39" fillId="0" borderId="0" applyFont="0" applyFill="0" applyBorder="0" applyAlignment="0" applyProtection="0"/>
    <xf numFmtId="170" fontId="39" fillId="0" borderId="0" applyFont="0" applyFill="0" applyBorder="0" applyAlignment="0" applyProtection="0"/>
    <xf numFmtId="170" fontId="39" fillId="0" borderId="0" applyFont="0" applyFill="0" applyBorder="0" applyAlignment="0" applyProtection="0"/>
    <xf numFmtId="170" fontId="39" fillId="0" borderId="0" applyFont="0" applyFill="0" applyBorder="0" applyAlignment="0" applyProtection="0"/>
    <xf numFmtId="170" fontId="39" fillId="0" borderId="0" applyFont="0" applyFill="0" applyBorder="0" applyAlignment="0" applyProtection="0"/>
    <xf numFmtId="170" fontId="39" fillId="0" borderId="0" applyFont="0" applyFill="0" applyBorder="0" applyAlignment="0" applyProtection="0"/>
    <xf numFmtId="170" fontId="39" fillId="0" borderId="0" applyFont="0" applyFill="0" applyBorder="0" applyAlignment="0" applyProtection="0"/>
    <xf numFmtId="170" fontId="46" fillId="0" borderId="0" applyFont="0" applyFill="0" applyBorder="0" applyAlignment="0" applyProtection="0"/>
    <xf numFmtId="170" fontId="39" fillId="0" borderId="0" applyFont="0" applyFill="0" applyBorder="0" applyAlignment="0" applyProtection="0"/>
    <xf numFmtId="170" fontId="39" fillId="0" borderId="0" applyFont="0" applyFill="0" applyBorder="0" applyAlignment="0" applyProtection="0"/>
    <xf numFmtId="170" fontId="39" fillId="0" borderId="0" applyFont="0" applyFill="0" applyBorder="0" applyAlignment="0" applyProtection="0"/>
    <xf numFmtId="170" fontId="39" fillId="0" borderId="0" applyFont="0" applyFill="0" applyBorder="0" applyAlignment="0" applyProtection="0"/>
    <xf numFmtId="170" fontId="39" fillId="0" borderId="0" applyFont="0" applyFill="0" applyBorder="0" applyAlignment="0" applyProtection="0"/>
    <xf numFmtId="170" fontId="39" fillId="0" borderId="0" applyFont="0" applyFill="0" applyBorder="0" applyAlignment="0" applyProtection="0"/>
    <xf numFmtId="170" fontId="39" fillId="0" borderId="0" applyFont="0" applyFill="0" applyBorder="0" applyAlignment="0" applyProtection="0"/>
    <xf numFmtId="170" fontId="39" fillId="0" borderId="0" applyFont="0" applyFill="0" applyBorder="0" applyAlignment="0" applyProtection="0"/>
    <xf numFmtId="170" fontId="39" fillId="0" borderId="0" applyFont="0" applyFill="0" applyBorder="0" applyAlignment="0" applyProtection="0"/>
    <xf numFmtId="170" fontId="39" fillId="0" borderId="0" applyFont="0" applyFill="0" applyBorder="0" applyAlignment="0" applyProtection="0"/>
    <xf numFmtId="164" fontId="34" fillId="0" borderId="0" applyFill="0" applyBorder="0" applyAlignment="0" applyProtection="0"/>
    <xf numFmtId="170" fontId="34" fillId="0" borderId="0" applyFont="0" applyFill="0" applyBorder="0" applyAlignment="0" applyProtection="0"/>
    <xf numFmtId="170" fontId="39" fillId="0" borderId="0" applyFont="0" applyFill="0" applyBorder="0" applyAlignment="0" applyProtection="0"/>
    <xf numFmtId="170" fontId="39" fillId="0" borderId="0" applyFont="0" applyFill="0" applyBorder="0" applyAlignment="0" applyProtection="0"/>
    <xf numFmtId="170" fontId="39" fillId="0" borderId="0" applyFont="0" applyFill="0" applyBorder="0" applyAlignment="0" applyProtection="0"/>
    <xf numFmtId="170" fontId="39" fillId="0" borderId="0" applyFont="0" applyFill="0" applyBorder="0" applyAlignment="0" applyProtection="0"/>
    <xf numFmtId="170" fontId="39" fillId="0" borderId="0" applyFont="0" applyFill="0" applyBorder="0" applyAlignment="0" applyProtection="0"/>
    <xf numFmtId="170" fontId="39" fillId="0" borderId="0" applyFont="0" applyFill="0" applyBorder="0" applyAlignment="0" applyProtection="0"/>
    <xf numFmtId="170" fontId="39" fillId="0" borderId="0" applyFont="0" applyFill="0" applyBorder="0" applyAlignment="0" applyProtection="0"/>
    <xf numFmtId="170" fontId="39" fillId="0" borderId="0" applyFont="0" applyFill="0" applyBorder="0" applyAlignment="0" applyProtection="0"/>
    <xf numFmtId="170" fontId="34" fillId="0" borderId="0" applyFont="0" applyFill="0" applyBorder="0" applyAlignment="0" applyProtection="0"/>
    <xf numFmtId="170" fontId="33" fillId="0" borderId="0" applyFont="0" applyFill="0" applyBorder="0" applyAlignment="0" applyProtection="0"/>
    <xf numFmtId="164" fontId="34" fillId="0" borderId="0" applyFill="0" applyBorder="0" applyAlignment="0" applyProtection="0"/>
    <xf numFmtId="164" fontId="34" fillId="0" borderId="0" applyFill="0" applyBorder="0" applyAlignment="0" applyProtection="0"/>
    <xf numFmtId="164" fontId="34" fillId="0" borderId="0" applyFill="0" applyBorder="0" applyAlignment="0" applyProtection="0"/>
    <xf numFmtId="164" fontId="34" fillId="0" borderId="0" applyFill="0" applyBorder="0" applyAlignment="0" applyProtection="0"/>
    <xf numFmtId="164" fontId="34" fillId="0" borderId="0" applyFill="0" applyBorder="0" applyAlignment="0" applyProtection="0"/>
    <xf numFmtId="164" fontId="34" fillId="0" borderId="0" applyFill="0" applyBorder="0" applyAlignment="0" applyProtection="0"/>
    <xf numFmtId="170" fontId="39" fillId="0" borderId="0" applyFont="0" applyFill="0" applyBorder="0" applyAlignment="0" applyProtection="0"/>
    <xf numFmtId="164" fontId="34" fillId="0" borderId="0" applyFill="0" applyBorder="0" applyAlignment="0" applyProtection="0"/>
    <xf numFmtId="164" fontId="34" fillId="0" borderId="0" applyFill="0" applyBorder="0" applyAlignment="0" applyProtection="0"/>
    <xf numFmtId="164" fontId="34" fillId="0" borderId="0" applyFill="0" applyBorder="0" applyAlignment="0" applyProtection="0"/>
    <xf numFmtId="164" fontId="34" fillId="0" borderId="0" applyFill="0" applyBorder="0" applyAlignment="0" applyProtection="0"/>
    <xf numFmtId="164" fontId="34" fillId="0" borderId="0" applyFill="0" applyBorder="0" applyAlignment="0" applyProtection="0"/>
    <xf numFmtId="164" fontId="34" fillId="0" borderId="0" applyFill="0" applyBorder="0" applyAlignment="0" applyProtection="0"/>
    <xf numFmtId="164" fontId="34" fillId="0" borderId="0" applyFill="0" applyBorder="0" applyAlignment="0" applyProtection="0"/>
    <xf numFmtId="164" fontId="34" fillId="0" borderId="0" applyFill="0" applyBorder="0" applyAlignment="0" applyProtection="0"/>
    <xf numFmtId="170" fontId="39" fillId="0" borderId="0" applyFont="0" applyFill="0" applyBorder="0" applyAlignment="0" applyProtection="0"/>
    <xf numFmtId="170" fontId="39" fillId="0" borderId="0" applyFont="0" applyFill="0" applyBorder="0" applyAlignment="0" applyProtection="0"/>
    <xf numFmtId="170" fontId="39" fillId="0" borderId="0" applyFont="0" applyFill="0" applyBorder="0" applyAlignment="0" applyProtection="0"/>
    <xf numFmtId="170" fontId="39" fillId="0" borderId="0" applyFont="0" applyFill="0" applyBorder="0" applyAlignment="0" applyProtection="0"/>
    <xf numFmtId="170" fontId="39" fillId="0" borderId="0" applyFont="0" applyFill="0" applyBorder="0" applyAlignment="0" applyProtection="0"/>
    <xf numFmtId="170" fontId="39" fillId="0" borderId="0" applyFont="0" applyFill="0" applyBorder="0" applyAlignment="0" applyProtection="0"/>
    <xf numFmtId="170" fontId="39" fillId="0" borderId="0" applyFont="0" applyFill="0" applyBorder="0" applyAlignment="0" applyProtection="0"/>
    <xf numFmtId="170" fontId="39" fillId="0" borderId="0" applyFont="0" applyFill="0" applyBorder="0" applyAlignment="0" applyProtection="0"/>
    <xf numFmtId="170" fontId="39" fillId="0" borderId="0" applyFont="0" applyFill="0" applyBorder="0" applyAlignment="0" applyProtection="0"/>
    <xf numFmtId="170" fontId="39" fillId="0" borderId="0" applyFont="0" applyFill="0" applyBorder="0" applyAlignment="0" applyProtection="0"/>
    <xf numFmtId="170" fontId="39" fillId="0" borderId="0" applyFont="0" applyFill="0" applyBorder="0" applyAlignment="0" applyProtection="0"/>
    <xf numFmtId="170" fontId="39" fillId="0" borderId="0" applyFont="0" applyFill="0" applyBorder="0" applyAlignment="0" applyProtection="0"/>
    <xf numFmtId="170" fontId="39" fillId="0" borderId="0" applyFont="0" applyFill="0" applyBorder="0" applyAlignment="0" applyProtection="0"/>
    <xf numFmtId="170" fontId="47" fillId="0" borderId="0" applyFont="0" applyFill="0" applyBorder="0" applyAlignment="0" applyProtection="0"/>
    <xf numFmtId="170" fontId="32" fillId="0" borderId="0" applyFont="0" applyFill="0" applyBorder="0" applyAlignment="0" applyProtection="0"/>
    <xf numFmtId="170" fontId="32" fillId="0" borderId="0" applyFont="0" applyFill="0" applyBorder="0" applyAlignment="0" applyProtection="0"/>
    <xf numFmtId="170" fontId="32" fillId="0" borderId="0" applyFont="0" applyFill="0" applyBorder="0" applyAlignment="0" applyProtection="0"/>
    <xf numFmtId="170" fontId="32" fillId="0" borderId="0" applyFont="0" applyFill="0" applyBorder="0" applyAlignment="0" applyProtection="0"/>
    <xf numFmtId="170" fontId="32" fillId="0" borderId="0" applyFont="0" applyFill="0" applyBorder="0" applyAlignment="0" applyProtection="0"/>
    <xf numFmtId="170" fontId="32" fillId="0" borderId="0" applyFont="0" applyFill="0" applyBorder="0" applyAlignment="0" applyProtection="0"/>
    <xf numFmtId="170" fontId="32" fillId="0" borderId="0" applyFont="0" applyFill="0" applyBorder="0" applyAlignment="0" applyProtection="0"/>
    <xf numFmtId="170" fontId="32" fillId="0" borderId="0" applyFont="0" applyFill="0" applyBorder="0" applyAlignment="0" applyProtection="0"/>
    <xf numFmtId="170" fontId="32" fillId="0" borderId="0" applyFont="0" applyFill="0" applyBorder="0" applyAlignment="0" applyProtection="0"/>
    <xf numFmtId="170" fontId="32" fillId="0" borderId="0" applyFont="0" applyFill="0" applyBorder="0" applyAlignment="0" applyProtection="0"/>
    <xf numFmtId="164" fontId="34" fillId="0" borderId="0" applyFill="0" applyBorder="0" applyAlignment="0" applyProtection="0"/>
    <xf numFmtId="43" fontId="46"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170" fontId="32" fillId="0" borderId="0" applyFont="0" applyFill="0" applyBorder="0" applyAlignment="0" applyProtection="0"/>
    <xf numFmtId="170" fontId="32" fillId="0" borderId="0" applyFont="0" applyFill="0" applyBorder="0" applyAlignment="0" applyProtection="0"/>
    <xf numFmtId="170" fontId="32" fillId="0" borderId="0" applyFont="0" applyFill="0" applyBorder="0" applyAlignment="0" applyProtection="0"/>
    <xf numFmtId="170" fontId="32" fillId="0" borderId="0" applyFont="0" applyFill="0" applyBorder="0" applyAlignment="0" applyProtection="0"/>
    <xf numFmtId="170" fontId="32" fillId="0" borderId="0" applyFont="0" applyFill="0" applyBorder="0" applyAlignment="0" applyProtection="0"/>
    <xf numFmtId="170" fontId="32" fillId="0" borderId="0" applyFont="0" applyFill="0" applyBorder="0" applyAlignment="0" applyProtection="0"/>
    <xf numFmtId="170" fontId="32" fillId="0" borderId="0" applyFont="0" applyFill="0" applyBorder="0" applyAlignment="0" applyProtection="0"/>
    <xf numFmtId="170" fontId="32" fillId="0" borderId="0" applyFont="0" applyFill="0" applyBorder="0" applyAlignment="0" applyProtection="0"/>
    <xf numFmtId="43" fontId="46"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170" fontId="33" fillId="0" borderId="0" applyFont="0" applyFill="0" applyBorder="0" applyAlignment="0" applyProtection="0"/>
    <xf numFmtId="164" fontId="34" fillId="0" borderId="0" applyFill="0" applyBorder="0" applyAlignment="0" applyProtection="0"/>
    <xf numFmtId="164" fontId="34" fillId="0" borderId="0" applyFill="0" applyBorder="0" applyAlignment="0" applyProtection="0"/>
    <xf numFmtId="164" fontId="34" fillId="0" borderId="0" applyFill="0" applyBorder="0" applyAlignment="0" applyProtection="0"/>
    <xf numFmtId="164" fontId="34" fillId="0" borderId="0" applyFill="0" applyBorder="0" applyAlignment="0" applyProtection="0"/>
    <xf numFmtId="164" fontId="34" fillId="0" borderId="0" applyFill="0" applyBorder="0" applyAlignment="0" applyProtection="0"/>
    <xf numFmtId="164" fontId="34" fillId="0" borderId="0" applyFill="0" applyBorder="0" applyAlignment="0" applyProtection="0"/>
    <xf numFmtId="170" fontId="32" fillId="0" borderId="0" applyFont="0" applyFill="0" applyBorder="0" applyAlignment="0" applyProtection="0"/>
    <xf numFmtId="164" fontId="34" fillId="0" borderId="0" applyFill="0" applyBorder="0" applyAlignment="0" applyProtection="0"/>
    <xf numFmtId="164" fontId="34" fillId="0" borderId="0" applyFill="0" applyBorder="0" applyAlignment="0" applyProtection="0"/>
    <xf numFmtId="164" fontId="34" fillId="0" borderId="0" applyFill="0" applyBorder="0" applyAlignment="0" applyProtection="0"/>
    <xf numFmtId="164" fontId="34" fillId="0" borderId="0" applyFill="0" applyBorder="0" applyAlignment="0" applyProtection="0"/>
    <xf numFmtId="164" fontId="34" fillId="0" borderId="0" applyFill="0" applyBorder="0" applyAlignment="0" applyProtection="0"/>
    <xf numFmtId="164" fontId="34" fillId="0" borderId="0" applyFill="0" applyBorder="0" applyAlignment="0" applyProtection="0"/>
    <xf numFmtId="164" fontId="34" fillId="0" borderId="0" applyFill="0" applyBorder="0" applyAlignment="0" applyProtection="0"/>
    <xf numFmtId="164" fontId="34" fillId="0" borderId="0" applyFill="0" applyBorder="0" applyAlignment="0" applyProtection="0"/>
    <xf numFmtId="170" fontId="32" fillId="0" borderId="0" applyFont="0" applyFill="0" applyBorder="0" applyAlignment="0" applyProtection="0"/>
    <xf numFmtId="170" fontId="32" fillId="0" borderId="0" applyFont="0" applyFill="0" applyBorder="0" applyAlignment="0" applyProtection="0"/>
    <xf numFmtId="170" fontId="32" fillId="0" borderId="0" applyFont="0" applyFill="0" applyBorder="0" applyAlignment="0" applyProtection="0"/>
    <xf numFmtId="170" fontId="39" fillId="0" borderId="0" applyFont="0" applyFill="0" applyBorder="0" applyAlignment="0" applyProtection="0"/>
    <xf numFmtId="170" fontId="39" fillId="0" borderId="0" applyFont="0" applyFill="0" applyBorder="0" applyAlignment="0" applyProtection="0"/>
    <xf numFmtId="170" fontId="39" fillId="0" borderId="0" applyFont="0" applyFill="0" applyBorder="0" applyAlignment="0" applyProtection="0"/>
    <xf numFmtId="170" fontId="39" fillId="0" borderId="0" applyFont="0" applyFill="0" applyBorder="0" applyAlignment="0" applyProtection="0"/>
    <xf numFmtId="170" fontId="39" fillId="0" borderId="0" applyFont="0" applyFill="0" applyBorder="0" applyAlignment="0" applyProtection="0"/>
    <xf numFmtId="170" fontId="39" fillId="0" borderId="0" applyFont="0" applyFill="0" applyBorder="0" applyAlignment="0" applyProtection="0"/>
    <xf numFmtId="170" fontId="39" fillId="0" borderId="0" applyFont="0" applyFill="0" applyBorder="0" applyAlignment="0" applyProtection="0"/>
    <xf numFmtId="170" fontId="39" fillId="0" borderId="0" applyFont="0" applyFill="0" applyBorder="0" applyAlignment="0" applyProtection="0"/>
    <xf numFmtId="170" fontId="47" fillId="0" borderId="0" applyFont="0" applyFill="0" applyBorder="0" applyAlignment="0" applyProtection="0"/>
    <xf numFmtId="170" fontId="32" fillId="0" borderId="0" applyFont="0" applyFill="0" applyBorder="0" applyAlignment="0" applyProtection="0"/>
    <xf numFmtId="170" fontId="32" fillId="0" borderId="0" applyFont="0" applyFill="0" applyBorder="0" applyAlignment="0" applyProtection="0"/>
    <xf numFmtId="170" fontId="32" fillId="0" borderId="0" applyFont="0" applyFill="0" applyBorder="0" applyAlignment="0" applyProtection="0"/>
    <xf numFmtId="170" fontId="32" fillId="0" borderId="0" applyFont="0" applyFill="0" applyBorder="0" applyAlignment="0" applyProtection="0"/>
    <xf numFmtId="170" fontId="32" fillId="0" borderId="0" applyFont="0" applyFill="0" applyBorder="0" applyAlignment="0" applyProtection="0"/>
    <xf numFmtId="170" fontId="32" fillId="0" borderId="0" applyFont="0" applyFill="0" applyBorder="0" applyAlignment="0" applyProtection="0"/>
    <xf numFmtId="170" fontId="32" fillId="0" borderId="0" applyFont="0" applyFill="0" applyBorder="0" applyAlignment="0" applyProtection="0"/>
    <xf numFmtId="170" fontId="32" fillId="0" borderId="0" applyFont="0" applyFill="0" applyBorder="0" applyAlignment="0" applyProtection="0"/>
    <xf numFmtId="170" fontId="32" fillId="0" borderId="0" applyFont="0" applyFill="0" applyBorder="0" applyAlignment="0" applyProtection="0"/>
    <xf numFmtId="170" fontId="32" fillId="0" borderId="0" applyFont="0" applyFill="0" applyBorder="0" applyAlignment="0" applyProtection="0"/>
    <xf numFmtId="164" fontId="34" fillId="0" borderId="0" applyFill="0" applyBorder="0" applyAlignment="0" applyProtection="0"/>
    <xf numFmtId="43" fontId="46"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170" fontId="32" fillId="0" borderId="0" applyFont="0" applyFill="0" applyBorder="0" applyAlignment="0" applyProtection="0"/>
    <xf numFmtId="170" fontId="32" fillId="0" borderId="0" applyFont="0" applyFill="0" applyBorder="0" applyAlignment="0" applyProtection="0"/>
    <xf numFmtId="170" fontId="32" fillId="0" borderId="0" applyFont="0" applyFill="0" applyBorder="0" applyAlignment="0" applyProtection="0"/>
    <xf numFmtId="170" fontId="32" fillId="0" borderId="0" applyFont="0" applyFill="0" applyBorder="0" applyAlignment="0" applyProtection="0"/>
    <xf numFmtId="170" fontId="32" fillId="0" borderId="0" applyFont="0" applyFill="0" applyBorder="0" applyAlignment="0" applyProtection="0"/>
    <xf numFmtId="170" fontId="32" fillId="0" borderId="0" applyFont="0" applyFill="0" applyBorder="0" applyAlignment="0" applyProtection="0"/>
    <xf numFmtId="170" fontId="32" fillId="0" borderId="0" applyFont="0" applyFill="0" applyBorder="0" applyAlignment="0" applyProtection="0"/>
    <xf numFmtId="170" fontId="32" fillId="0" borderId="0" applyFont="0" applyFill="0" applyBorder="0" applyAlignment="0" applyProtection="0"/>
    <xf numFmtId="43" fontId="46"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170" fontId="33" fillId="0" borderId="0" applyFont="0" applyFill="0" applyBorder="0" applyAlignment="0" applyProtection="0"/>
    <xf numFmtId="164" fontId="34" fillId="0" borderId="0" applyFill="0" applyBorder="0" applyAlignment="0" applyProtection="0"/>
    <xf numFmtId="164" fontId="34" fillId="0" borderId="0" applyFill="0" applyBorder="0" applyAlignment="0" applyProtection="0"/>
    <xf numFmtId="164" fontId="34" fillId="0" borderId="0" applyFill="0" applyBorder="0" applyAlignment="0" applyProtection="0"/>
    <xf numFmtId="164" fontId="34" fillId="0" borderId="0" applyFill="0" applyBorder="0" applyAlignment="0" applyProtection="0"/>
    <xf numFmtId="164" fontId="34" fillId="0" borderId="0" applyFill="0" applyBorder="0" applyAlignment="0" applyProtection="0"/>
    <xf numFmtId="164" fontId="34" fillId="0" borderId="0" applyFill="0" applyBorder="0" applyAlignment="0" applyProtection="0"/>
    <xf numFmtId="170" fontId="32" fillId="0" borderId="0" applyFont="0" applyFill="0" applyBorder="0" applyAlignment="0" applyProtection="0"/>
    <xf numFmtId="164" fontId="34" fillId="0" borderId="0" applyFill="0" applyBorder="0" applyAlignment="0" applyProtection="0"/>
    <xf numFmtId="164" fontId="34" fillId="0" borderId="0" applyFill="0" applyBorder="0" applyAlignment="0" applyProtection="0"/>
    <xf numFmtId="164" fontId="34" fillId="0" borderId="0" applyFill="0" applyBorder="0" applyAlignment="0" applyProtection="0"/>
    <xf numFmtId="164" fontId="34" fillId="0" borderId="0" applyFill="0" applyBorder="0" applyAlignment="0" applyProtection="0"/>
    <xf numFmtId="164" fontId="34" fillId="0" borderId="0" applyFill="0" applyBorder="0" applyAlignment="0" applyProtection="0"/>
    <xf numFmtId="164" fontId="34" fillId="0" borderId="0" applyFill="0" applyBorder="0" applyAlignment="0" applyProtection="0"/>
    <xf numFmtId="164" fontId="34" fillId="0" borderId="0" applyFill="0" applyBorder="0" applyAlignment="0" applyProtection="0"/>
    <xf numFmtId="164" fontId="34" fillId="0" borderId="0" applyFill="0" applyBorder="0" applyAlignment="0" applyProtection="0"/>
    <xf numFmtId="170" fontId="32" fillId="0" borderId="0" applyFont="0" applyFill="0" applyBorder="0" applyAlignment="0" applyProtection="0"/>
    <xf numFmtId="170" fontId="32" fillId="0" borderId="0" applyFont="0" applyFill="0" applyBorder="0" applyAlignment="0" applyProtection="0"/>
    <xf numFmtId="170" fontId="32" fillId="0" borderId="0" applyFont="0" applyFill="0" applyBorder="0" applyAlignment="0" applyProtection="0"/>
    <xf numFmtId="170" fontId="34" fillId="0" borderId="0" applyFont="0" applyFill="0" applyBorder="0" applyAlignment="0" applyProtection="0"/>
    <xf numFmtId="170" fontId="47" fillId="0" borderId="0" applyFont="0" applyFill="0" applyBorder="0" applyAlignment="0" applyProtection="0"/>
    <xf numFmtId="170" fontId="32" fillId="0" borderId="0" applyFont="0" applyFill="0" applyBorder="0" applyAlignment="0" applyProtection="0"/>
    <xf numFmtId="170" fontId="32" fillId="0" borderId="0" applyFont="0" applyFill="0" applyBorder="0" applyAlignment="0" applyProtection="0"/>
    <xf numFmtId="170" fontId="32" fillId="0" borderId="0" applyFont="0" applyFill="0" applyBorder="0" applyAlignment="0" applyProtection="0"/>
    <xf numFmtId="170" fontId="32" fillId="0" borderId="0" applyFont="0" applyFill="0" applyBorder="0" applyAlignment="0" applyProtection="0"/>
    <xf numFmtId="170" fontId="32" fillId="0" borderId="0" applyFont="0" applyFill="0" applyBorder="0" applyAlignment="0" applyProtection="0"/>
    <xf numFmtId="170" fontId="32" fillId="0" borderId="0" applyFont="0" applyFill="0" applyBorder="0" applyAlignment="0" applyProtection="0"/>
    <xf numFmtId="170" fontId="32" fillId="0" borderId="0" applyFont="0" applyFill="0" applyBorder="0" applyAlignment="0" applyProtection="0"/>
    <xf numFmtId="170" fontId="32" fillId="0" borderId="0" applyFont="0" applyFill="0" applyBorder="0" applyAlignment="0" applyProtection="0"/>
    <xf numFmtId="170" fontId="32" fillId="0" borderId="0" applyFont="0" applyFill="0" applyBorder="0" applyAlignment="0" applyProtection="0"/>
    <xf numFmtId="170" fontId="32" fillId="0" borderId="0" applyFont="0" applyFill="0" applyBorder="0" applyAlignment="0" applyProtection="0"/>
    <xf numFmtId="170" fontId="34" fillId="0" borderId="0" applyFont="0" applyFill="0" applyBorder="0" applyAlignment="0" applyProtection="0"/>
    <xf numFmtId="170" fontId="32" fillId="0" borderId="0" applyFont="0" applyFill="0" applyBorder="0" applyAlignment="0" applyProtection="0"/>
    <xf numFmtId="170" fontId="32" fillId="0" borderId="0" applyFont="0" applyFill="0" applyBorder="0" applyAlignment="0" applyProtection="0"/>
    <xf numFmtId="170" fontId="32" fillId="0" borderId="0" applyFont="0" applyFill="0" applyBorder="0" applyAlignment="0" applyProtection="0"/>
    <xf numFmtId="170" fontId="32" fillId="0" borderId="0" applyFont="0" applyFill="0" applyBorder="0" applyAlignment="0" applyProtection="0"/>
    <xf numFmtId="170" fontId="32" fillId="0" borderId="0" applyFont="0" applyFill="0" applyBorder="0" applyAlignment="0" applyProtection="0"/>
    <xf numFmtId="170" fontId="32" fillId="0" borderId="0" applyFont="0" applyFill="0" applyBorder="0" applyAlignment="0" applyProtection="0"/>
    <xf numFmtId="170" fontId="33" fillId="0" borderId="0" applyFont="0" applyFill="0" applyBorder="0" applyAlignment="0" applyProtection="0"/>
    <xf numFmtId="170" fontId="32" fillId="0" borderId="0" applyFont="0" applyFill="0" applyBorder="0" applyAlignment="0" applyProtection="0"/>
    <xf numFmtId="170" fontId="32" fillId="0" borderId="0" applyFont="0" applyFill="0" applyBorder="0" applyAlignment="0" applyProtection="0"/>
    <xf numFmtId="170" fontId="32" fillId="0" borderId="0" applyFont="0" applyFill="0" applyBorder="0" applyAlignment="0" applyProtection="0"/>
    <xf numFmtId="170" fontId="32" fillId="0" borderId="0" applyFont="0" applyFill="0" applyBorder="0" applyAlignment="0" applyProtection="0"/>
    <xf numFmtId="170" fontId="32" fillId="0" borderId="0" applyFont="0" applyFill="0" applyBorder="0" applyAlignment="0" applyProtection="0"/>
    <xf numFmtId="170" fontId="32" fillId="0" borderId="0" applyFont="0" applyFill="0" applyBorder="0" applyAlignment="0" applyProtection="0"/>
    <xf numFmtId="170" fontId="47" fillId="0" borderId="0" applyFont="0" applyFill="0" applyBorder="0" applyAlignment="0" applyProtection="0"/>
    <xf numFmtId="170" fontId="32" fillId="0" borderId="0" applyFont="0" applyFill="0" applyBorder="0" applyAlignment="0" applyProtection="0"/>
    <xf numFmtId="170" fontId="32" fillId="0" borderId="0" applyFont="0" applyFill="0" applyBorder="0" applyAlignment="0" applyProtection="0"/>
    <xf numFmtId="170" fontId="32" fillId="0" borderId="0" applyFont="0" applyFill="0" applyBorder="0" applyAlignment="0" applyProtection="0"/>
    <xf numFmtId="170" fontId="32" fillId="0" borderId="0" applyFont="0" applyFill="0" applyBorder="0" applyAlignment="0" applyProtection="0"/>
    <xf numFmtId="170" fontId="32" fillId="0" borderId="0" applyFont="0" applyFill="0" applyBorder="0" applyAlignment="0" applyProtection="0"/>
    <xf numFmtId="170" fontId="32" fillId="0" borderId="0" applyFont="0" applyFill="0" applyBorder="0" applyAlignment="0" applyProtection="0"/>
    <xf numFmtId="170" fontId="32" fillId="0" borderId="0" applyFont="0" applyFill="0" applyBorder="0" applyAlignment="0" applyProtection="0"/>
    <xf numFmtId="170" fontId="32" fillId="0" borderId="0" applyFont="0" applyFill="0" applyBorder="0" applyAlignment="0" applyProtection="0"/>
    <xf numFmtId="170" fontId="32" fillId="0" borderId="0" applyFont="0" applyFill="0" applyBorder="0" applyAlignment="0" applyProtection="0"/>
    <xf numFmtId="170" fontId="32" fillId="0" borderId="0" applyFont="0" applyFill="0" applyBorder="0" applyAlignment="0" applyProtection="0"/>
    <xf numFmtId="170" fontId="34" fillId="0" borderId="0" applyFont="0" applyFill="0" applyBorder="0" applyAlignment="0" applyProtection="0"/>
    <xf numFmtId="170" fontId="32" fillId="0" borderId="0" applyFont="0" applyFill="0" applyBorder="0" applyAlignment="0" applyProtection="0"/>
    <xf numFmtId="170" fontId="32" fillId="0" borderId="0" applyFont="0" applyFill="0" applyBorder="0" applyAlignment="0" applyProtection="0"/>
    <xf numFmtId="170" fontId="32" fillId="0" borderId="0" applyFont="0" applyFill="0" applyBorder="0" applyAlignment="0" applyProtection="0"/>
    <xf numFmtId="170" fontId="32" fillId="0" borderId="0" applyFont="0" applyFill="0" applyBorder="0" applyAlignment="0" applyProtection="0"/>
    <xf numFmtId="170" fontId="32" fillId="0" borderId="0" applyFont="0" applyFill="0" applyBorder="0" applyAlignment="0" applyProtection="0"/>
    <xf numFmtId="170" fontId="32" fillId="0" borderId="0" applyFont="0" applyFill="0" applyBorder="0" applyAlignment="0" applyProtection="0"/>
    <xf numFmtId="170" fontId="33" fillId="0" borderId="0" applyFont="0" applyFill="0" applyBorder="0" applyAlignment="0" applyProtection="0"/>
    <xf numFmtId="170" fontId="32" fillId="0" borderId="0" applyFont="0" applyFill="0" applyBorder="0" applyAlignment="0" applyProtection="0"/>
    <xf numFmtId="170" fontId="32" fillId="0" borderId="0" applyFont="0" applyFill="0" applyBorder="0" applyAlignment="0" applyProtection="0"/>
    <xf numFmtId="170" fontId="32" fillId="0" borderId="0" applyFont="0" applyFill="0" applyBorder="0" applyAlignment="0" applyProtection="0"/>
    <xf numFmtId="170" fontId="32" fillId="0" borderId="0" applyFont="0" applyFill="0" applyBorder="0" applyAlignment="0" applyProtection="0"/>
    <xf numFmtId="170" fontId="32" fillId="0" borderId="0" applyFont="0" applyFill="0" applyBorder="0" applyAlignment="0" applyProtection="0"/>
    <xf numFmtId="170" fontId="32" fillId="0" borderId="0" applyFont="0" applyFill="0" applyBorder="0" applyAlignment="0" applyProtection="0"/>
    <xf numFmtId="172" fontId="33" fillId="0" borderId="0" applyFont="0" applyFill="0" applyBorder="0" applyAlignment="0" applyProtection="0"/>
    <xf numFmtId="172" fontId="33" fillId="0" borderId="0" applyFont="0" applyFill="0" applyBorder="0" applyAlignment="0" applyProtection="0"/>
    <xf numFmtId="172" fontId="33" fillId="0" borderId="0" applyFont="0" applyFill="0" applyBorder="0" applyAlignment="0" applyProtection="0"/>
    <xf numFmtId="172" fontId="47" fillId="0" borderId="0" applyFont="0" applyFill="0" applyBorder="0" applyAlignment="0" applyProtection="0"/>
    <xf numFmtId="172" fontId="32" fillId="0" borderId="0" applyFont="0" applyFill="0" applyBorder="0" applyAlignment="0" applyProtection="0"/>
    <xf numFmtId="172" fontId="32" fillId="0" borderId="0" applyFont="0" applyFill="0" applyBorder="0" applyAlignment="0" applyProtection="0"/>
    <xf numFmtId="172" fontId="32" fillId="0" borderId="0" applyFont="0" applyFill="0" applyBorder="0" applyAlignment="0" applyProtection="0"/>
    <xf numFmtId="172" fontId="32" fillId="0" borderId="0" applyFont="0" applyFill="0" applyBorder="0" applyAlignment="0" applyProtection="0"/>
    <xf numFmtId="172" fontId="32" fillId="0" borderId="0" applyFont="0" applyFill="0" applyBorder="0" applyAlignment="0" applyProtection="0"/>
    <xf numFmtId="172" fontId="32" fillId="0" borderId="0" applyFont="0" applyFill="0" applyBorder="0" applyAlignment="0" applyProtection="0"/>
    <xf numFmtId="172" fontId="32" fillId="0" borderId="0" applyFont="0" applyFill="0" applyBorder="0" applyAlignment="0" applyProtection="0"/>
    <xf numFmtId="172" fontId="32" fillId="0" borderId="0" applyFont="0" applyFill="0" applyBorder="0" applyAlignment="0" applyProtection="0"/>
    <xf numFmtId="172" fontId="32" fillId="0" borderId="0" applyFont="0" applyFill="0" applyBorder="0" applyAlignment="0" applyProtection="0"/>
    <xf numFmtId="172" fontId="32" fillId="0" borderId="0" applyFont="0" applyFill="0" applyBorder="0" applyAlignment="0" applyProtection="0"/>
    <xf numFmtId="173" fontId="47" fillId="0" borderId="0" applyFont="0" applyFill="0" applyBorder="0" applyAlignment="0" applyProtection="0"/>
    <xf numFmtId="173" fontId="32" fillId="0" borderId="0" applyFont="0" applyFill="0" applyBorder="0" applyAlignment="0" applyProtection="0"/>
    <xf numFmtId="173" fontId="32" fillId="0" borderId="0" applyFont="0" applyFill="0" applyBorder="0" applyAlignment="0" applyProtection="0"/>
    <xf numFmtId="173" fontId="32" fillId="0" borderId="0" applyFont="0" applyFill="0" applyBorder="0" applyAlignment="0" applyProtection="0"/>
    <xf numFmtId="173" fontId="32" fillId="0" borderId="0" applyFont="0" applyFill="0" applyBorder="0" applyAlignment="0" applyProtection="0"/>
    <xf numFmtId="173" fontId="32" fillId="0" borderId="0" applyFont="0" applyFill="0" applyBorder="0" applyAlignment="0" applyProtection="0"/>
    <xf numFmtId="173" fontId="32" fillId="0" borderId="0" applyFont="0" applyFill="0" applyBorder="0" applyAlignment="0" applyProtection="0"/>
    <xf numFmtId="173" fontId="32" fillId="0" borderId="0" applyFont="0" applyFill="0" applyBorder="0" applyAlignment="0" applyProtection="0"/>
    <xf numFmtId="173" fontId="32" fillId="0" borderId="0" applyFont="0" applyFill="0" applyBorder="0" applyAlignment="0" applyProtection="0"/>
    <xf numFmtId="173" fontId="32" fillId="0" borderId="0" applyFont="0" applyFill="0" applyBorder="0" applyAlignment="0" applyProtection="0"/>
    <xf numFmtId="173" fontId="32" fillId="0" borderId="0" applyFont="0" applyFill="0" applyBorder="0" applyAlignment="0" applyProtection="0"/>
    <xf numFmtId="172" fontId="35" fillId="0" borderId="0" applyFont="0" applyFill="0" applyBorder="0" applyAlignment="0" applyProtection="0"/>
    <xf numFmtId="172" fontId="32" fillId="0" borderId="0" applyFont="0" applyFill="0" applyBorder="0" applyAlignment="0" applyProtection="0"/>
    <xf numFmtId="172" fontId="32" fillId="0" borderId="0" applyFont="0" applyFill="0" applyBorder="0" applyAlignment="0" applyProtection="0"/>
    <xf numFmtId="172" fontId="32" fillId="0" borderId="0" applyFont="0" applyFill="0" applyBorder="0" applyAlignment="0" applyProtection="0"/>
    <xf numFmtId="172" fontId="32" fillId="0" borderId="0" applyFont="0" applyFill="0" applyBorder="0" applyAlignment="0" applyProtection="0"/>
    <xf numFmtId="172" fontId="32" fillId="0" borderId="0" applyFont="0" applyFill="0" applyBorder="0" applyAlignment="0" applyProtection="0"/>
    <xf numFmtId="172" fontId="32" fillId="0" borderId="0" applyFont="0" applyFill="0" applyBorder="0" applyAlignment="0" applyProtection="0"/>
    <xf numFmtId="172" fontId="32" fillId="0" borderId="0" applyFont="0" applyFill="0" applyBorder="0" applyAlignment="0" applyProtection="0"/>
    <xf numFmtId="172" fontId="32" fillId="0" borderId="0" applyFont="0" applyFill="0" applyBorder="0" applyAlignment="0" applyProtection="0"/>
    <xf numFmtId="172" fontId="32" fillId="0" borderId="0" applyFont="0" applyFill="0" applyBorder="0" applyAlignment="0" applyProtection="0"/>
    <xf numFmtId="172" fontId="32" fillId="0" borderId="0" applyFont="0" applyFill="0" applyBorder="0" applyAlignment="0" applyProtection="0"/>
    <xf numFmtId="172" fontId="32" fillId="0" borderId="0" applyFont="0" applyFill="0" applyBorder="0" applyAlignment="0" applyProtection="0"/>
    <xf numFmtId="172" fontId="32" fillId="0" borderId="0" applyFont="0" applyFill="0" applyBorder="0" applyAlignment="0" applyProtection="0"/>
    <xf numFmtId="172" fontId="32" fillId="0" borderId="0" applyFont="0" applyFill="0" applyBorder="0" applyAlignment="0" applyProtection="0"/>
    <xf numFmtId="172" fontId="32" fillId="0" borderId="0" applyFont="0" applyFill="0" applyBorder="0" applyAlignment="0" applyProtection="0"/>
    <xf numFmtId="172" fontId="32" fillId="0" borderId="0" applyFont="0" applyFill="0" applyBorder="0" applyAlignment="0" applyProtection="0"/>
    <xf numFmtId="172" fontId="32" fillId="0" borderId="0" applyFont="0" applyFill="0" applyBorder="0" applyAlignment="0" applyProtection="0"/>
    <xf numFmtId="172" fontId="32" fillId="0" borderId="0" applyFont="0" applyFill="0" applyBorder="0" applyAlignment="0" applyProtection="0"/>
    <xf numFmtId="172" fontId="32" fillId="0" borderId="0" applyFont="0" applyFill="0" applyBorder="0" applyAlignment="0" applyProtection="0"/>
    <xf numFmtId="172" fontId="32" fillId="0" borderId="0" applyFont="0" applyFill="0" applyBorder="0" applyAlignment="0" applyProtection="0"/>
    <xf numFmtId="172" fontId="32" fillId="0" borderId="0" applyFont="0" applyFill="0" applyBorder="0" applyAlignment="0" applyProtection="0"/>
    <xf numFmtId="172" fontId="32" fillId="0" borderId="0" applyFont="0" applyFill="0" applyBorder="0" applyAlignment="0" applyProtection="0"/>
    <xf numFmtId="172" fontId="32" fillId="0" borderId="0" applyFont="0" applyFill="0" applyBorder="0" applyAlignment="0" applyProtection="0"/>
    <xf numFmtId="172" fontId="32" fillId="0" borderId="0" applyFont="0" applyFill="0" applyBorder="0" applyAlignment="0" applyProtection="0"/>
    <xf numFmtId="172" fontId="32" fillId="0" borderId="0" applyFont="0" applyFill="0" applyBorder="0" applyAlignment="0" applyProtection="0"/>
    <xf numFmtId="172" fontId="32" fillId="0" borderId="0" applyFont="0" applyFill="0" applyBorder="0" applyAlignment="0" applyProtection="0"/>
    <xf numFmtId="172" fontId="32" fillId="0" borderId="0" applyFont="0" applyFill="0" applyBorder="0" applyAlignment="0" applyProtection="0"/>
    <xf numFmtId="172" fontId="32" fillId="0" borderId="0" applyFont="0" applyFill="0" applyBorder="0" applyAlignment="0" applyProtection="0"/>
    <xf numFmtId="173" fontId="32" fillId="0" borderId="0" applyFont="0" applyFill="0" applyBorder="0" applyAlignment="0" applyProtection="0"/>
    <xf numFmtId="173" fontId="32" fillId="0" borderId="0" applyFont="0" applyFill="0" applyBorder="0" applyAlignment="0" applyProtection="0"/>
    <xf numFmtId="173" fontId="32" fillId="0" borderId="0" applyFont="0" applyFill="0" applyBorder="0" applyAlignment="0" applyProtection="0"/>
    <xf numFmtId="173" fontId="32" fillId="0" borderId="0" applyFont="0" applyFill="0" applyBorder="0" applyAlignment="0" applyProtection="0"/>
    <xf numFmtId="173" fontId="32" fillId="0" borderId="0" applyFont="0" applyFill="0" applyBorder="0" applyAlignment="0" applyProtection="0"/>
    <xf numFmtId="173" fontId="32" fillId="0" borderId="0" applyFont="0" applyFill="0" applyBorder="0" applyAlignment="0" applyProtection="0"/>
    <xf numFmtId="173" fontId="32" fillId="0" borderId="0" applyFont="0" applyFill="0" applyBorder="0" applyAlignment="0" applyProtection="0"/>
    <xf numFmtId="173" fontId="32" fillId="0" borderId="0" applyFont="0" applyFill="0" applyBorder="0" applyAlignment="0" applyProtection="0"/>
    <xf numFmtId="173" fontId="32" fillId="0" borderId="0" applyFont="0" applyFill="0" applyBorder="0" applyAlignment="0" applyProtection="0"/>
    <xf numFmtId="173" fontId="32" fillId="0" borderId="0" applyFont="0" applyFill="0" applyBorder="0" applyAlignment="0" applyProtection="0"/>
    <xf numFmtId="173" fontId="32" fillId="0" borderId="0" applyFont="0" applyFill="0" applyBorder="0" applyAlignment="0" applyProtection="0"/>
    <xf numFmtId="173" fontId="32" fillId="0" borderId="0" applyFont="0" applyFill="0" applyBorder="0" applyAlignment="0" applyProtection="0"/>
    <xf numFmtId="172" fontId="32" fillId="0" borderId="0" applyFont="0" applyFill="0" applyBorder="0" applyAlignment="0" applyProtection="0"/>
    <xf numFmtId="172" fontId="32" fillId="0" borderId="0" applyFont="0" applyFill="0" applyBorder="0" applyAlignment="0" applyProtection="0"/>
    <xf numFmtId="172" fontId="32" fillId="0" borderId="0" applyFont="0" applyFill="0" applyBorder="0" applyAlignment="0" applyProtection="0"/>
    <xf numFmtId="172" fontId="32" fillId="0" borderId="0" applyFont="0" applyFill="0" applyBorder="0" applyAlignment="0" applyProtection="0"/>
    <xf numFmtId="172" fontId="32" fillId="0" borderId="0" applyFont="0" applyFill="0" applyBorder="0" applyAlignment="0" applyProtection="0"/>
    <xf numFmtId="172" fontId="32" fillId="0" borderId="0" applyFont="0" applyFill="0" applyBorder="0" applyAlignment="0" applyProtection="0"/>
    <xf numFmtId="172" fontId="32" fillId="0" borderId="0" applyFont="0" applyFill="0" applyBorder="0" applyAlignment="0" applyProtection="0"/>
    <xf numFmtId="172" fontId="32" fillId="0" borderId="0" applyFont="0" applyFill="0" applyBorder="0" applyAlignment="0" applyProtection="0"/>
    <xf numFmtId="172" fontId="32" fillId="0" borderId="0" applyFont="0" applyFill="0" applyBorder="0" applyAlignment="0" applyProtection="0"/>
    <xf numFmtId="172" fontId="32" fillId="0" borderId="0" applyFont="0" applyFill="0" applyBorder="0" applyAlignment="0" applyProtection="0"/>
    <xf numFmtId="172" fontId="35" fillId="0" borderId="0" applyFont="0" applyFill="0" applyBorder="0" applyAlignment="0" applyProtection="0"/>
    <xf numFmtId="172" fontId="32" fillId="0" borderId="0" applyFont="0" applyFill="0" applyBorder="0" applyAlignment="0" applyProtection="0"/>
    <xf numFmtId="172" fontId="32" fillId="0" borderId="0" applyFont="0" applyFill="0" applyBorder="0" applyAlignment="0" applyProtection="0"/>
    <xf numFmtId="172" fontId="32" fillId="0" borderId="0" applyFont="0" applyFill="0" applyBorder="0" applyAlignment="0" applyProtection="0"/>
    <xf numFmtId="172" fontId="32" fillId="0" borderId="0" applyFont="0" applyFill="0" applyBorder="0" applyAlignment="0" applyProtection="0"/>
    <xf numFmtId="172" fontId="32" fillId="0" borderId="0" applyFont="0" applyFill="0" applyBorder="0" applyAlignment="0" applyProtection="0"/>
    <xf numFmtId="172" fontId="32" fillId="0" borderId="0" applyFont="0" applyFill="0" applyBorder="0" applyAlignment="0" applyProtection="0"/>
    <xf numFmtId="172" fontId="32" fillId="0" borderId="0" applyFont="0" applyFill="0" applyBorder="0" applyAlignment="0" applyProtection="0"/>
    <xf numFmtId="172" fontId="32" fillId="0" borderId="0" applyFont="0" applyFill="0" applyBorder="0" applyAlignment="0" applyProtection="0"/>
    <xf numFmtId="172" fontId="32" fillId="0" borderId="0" applyFont="0" applyFill="0" applyBorder="0" applyAlignment="0" applyProtection="0"/>
    <xf numFmtId="172" fontId="32" fillId="0" borderId="0" applyFont="0" applyFill="0" applyBorder="0" applyAlignment="0" applyProtection="0"/>
    <xf numFmtId="172" fontId="32" fillId="0" borderId="0" applyFont="0" applyFill="0" applyBorder="0" applyAlignment="0" applyProtection="0"/>
    <xf numFmtId="172" fontId="32" fillId="0" borderId="0" applyFont="0" applyFill="0" applyBorder="0" applyAlignment="0" applyProtection="0"/>
    <xf numFmtId="172" fontId="32" fillId="0" borderId="0" applyFont="0" applyFill="0" applyBorder="0" applyAlignment="0" applyProtection="0"/>
    <xf numFmtId="172" fontId="32" fillId="0" borderId="0" applyFont="0" applyFill="0" applyBorder="0" applyAlignment="0" applyProtection="0"/>
    <xf numFmtId="172" fontId="32" fillId="0" borderId="0" applyFont="0" applyFill="0" applyBorder="0" applyAlignment="0" applyProtection="0"/>
    <xf numFmtId="172" fontId="32" fillId="0" borderId="0" applyFont="0" applyFill="0" applyBorder="0" applyAlignment="0" applyProtection="0"/>
    <xf numFmtId="172" fontId="32" fillId="0" borderId="0" applyFont="0" applyFill="0" applyBorder="0" applyAlignment="0" applyProtection="0"/>
    <xf numFmtId="172" fontId="32" fillId="0" borderId="0" applyFont="0" applyFill="0" applyBorder="0" applyAlignment="0" applyProtection="0"/>
    <xf numFmtId="172" fontId="32" fillId="0" borderId="0" applyFont="0" applyFill="0" applyBorder="0" applyAlignment="0" applyProtection="0"/>
    <xf numFmtId="172" fontId="32" fillId="0" borderId="0" applyFont="0" applyFill="0" applyBorder="0" applyAlignment="0" applyProtection="0"/>
    <xf numFmtId="172" fontId="32" fillId="0" borderId="0" applyFont="0" applyFill="0" applyBorder="0" applyAlignment="0" applyProtection="0"/>
    <xf numFmtId="172" fontId="32" fillId="0" borderId="0" applyFont="0" applyFill="0" applyBorder="0" applyAlignment="0" applyProtection="0"/>
    <xf numFmtId="172" fontId="32" fillId="0" borderId="0" applyFont="0" applyFill="0" applyBorder="0" applyAlignment="0" applyProtection="0"/>
    <xf numFmtId="172" fontId="32" fillId="0" borderId="0" applyFont="0" applyFill="0" applyBorder="0" applyAlignment="0" applyProtection="0"/>
    <xf numFmtId="172" fontId="32" fillId="0" borderId="0" applyFont="0" applyFill="0" applyBorder="0" applyAlignment="0" applyProtection="0"/>
    <xf numFmtId="172" fontId="32" fillId="0" borderId="0" applyFont="0" applyFill="0" applyBorder="0" applyAlignment="0" applyProtection="0"/>
    <xf numFmtId="172" fontId="32" fillId="0" borderId="0" applyFont="0" applyFill="0" applyBorder="0" applyAlignment="0" applyProtection="0"/>
    <xf numFmtId="172" fontId="32" fillId="0" borderId="0" applyFont="0" applyFill="0" applyBorder="0" applyAlignment="0" applyProtection="0"/>
    <xf numFmtId="172" fontId="32" fillId="0" borderId="0" applyFont="0" applyFill="0" applyBorder="0" applyAlignment="0" applyProtection="0"/>
    <xf numFmtId="172" fontId="35" fillId="0" borderId="0" applyFont="0" applyFill="0" applyBorder="0" applyAlignment="0" applyProtection="0"/>
    <xf numFmtId="172" fontId="32" fillId="0" borderId="0" applyFont="0" applyFill="0" applyBorder="0" applyAlignment="0" applyProtection="0"/>
    <xf numFmtId="172" fontId="32" fillId="0" borderId="0" applyFont="0" applyFill="0" applyBorder="0" applyAlignment="0" applyProtection="0"/>
    <xf numFmtId="172" fontId="32" fillId="0" borderId="0" applyFont="0" applyFill="0" applyBorder="0" applyAlignment="0" applyProtection="0"/>
    <xf numFmtId="172" fontId="32" fillId="0" borderId="0" applyFont="0" applyFill="0" applyBorder="0" applyAlignment="0" applyProtection="0"/>
    <xf numFmtId="172" fontId="32" fillId="0" borderId="0" applyFont="0" applyFill="0" applyBorder="0" applyAlignment="0" applyProtection="0"/>
    <xf numFmtId="172" fontId="32" fillId="0" borderId="0" applyFont="0" applyFill="0" applyBorder="0" applyAlignment="0" applyProtection="0"/>
    <xf numFmtId="172" fontId="32" fillId="0" borderId="0" applyFont="0" applyFill="0" applyBorder="0" applyAlignment="0" applyProtection="0"/>
    <xf numFmtId="172" fontId="32" fillId="0" borderId="0" applyFont="0" applyFill="0" applyBorder="0" applyAlignment="0" applyProtection="0"/>
    <xf numFmtId="172" fontId="32" fillId="0" borderId="0" applyFont="0" applyFill="0" applyBorder="0" applyAlignment="0" applyProtection="0"/>
    <xf numFmtId="172" fontId="32" fillId="0" borderId="0" applyFont="0" applyFill="0" applyBorder="0" applyAlignment="0" applyProtection="0"/>
    <xf numFmtId="172" fontId="32" fillId="0" borderId="0" applyFont="0" applyFill="0" applyBorder="0" applyAlignment="0" applyProtection="0"/>
    <xf numFmtId="172" fontId="32" fillId="0" borderId="0" applyFont="0" applyFill="0" applyBorder="0" applyAlignment="0" applyProtection="0"/>
    <xf numFmtId="172" fontId="32" fillId="0" borderId="0" applyFont="0" applyFill="0" applyBorder="0" applyAlignment="0" applyProtection="0"/>
    <xf numFmtId="172" fontId="32" fillId="0" borderId="0" applyFont="0" applyFill="0" applyBorder="0" applyAlignment="0" applyProtection="0"/>
    <xf numFmtId="172" fontId="32" fillId="0" borderId="0" applyFont="0" applyFill="0" applyBorder="0" applyAlignment="0" applyProtection="0"/>
    <xf numFmtId="172" fontId="32" fillId="0" borderId="0" applyFont="0" applyFill="0" applyBorder="0" applyAlignment="0" applyProtection="0"/>
    <xf numFmtId="172" fontId="32" fillId="0" borderId="0" applyFont="0" applyFill="0" applyBorder="0" applyAlignment="0" applyProtection="0"/>
    <xf numFmtId="172" fontId="32" fillId="0" borderId="0" applyFont="0" applyFill="0" applyBorder="0" applyAlignment="0" applyProtection="0"/>
    <xf numFmtId="172" fontId="32" fillId="0" borderId="0" applyFont="0" applyFill="0" applyBorder="0" applyAlignment="0" applyProtection="0"/>
    <xf numFmtId="172" fontId="32" fillId="0" borderId="0" applyFont="0" applyFill="0" applyBorder="0" applyAlignment="0" applyProtection="0"/>
    <xf numFmtId="172" fontId="32" fillId="0" borderId="0" applyFont="0" applyFill="0" applyBorder="0" applyAlignment="0" applyProtection="0"/>
    <xf numFmtId="172" fontId="32" fillId="0" borderId="0" applyFont="0" applyFill="0" applyBorder="0" applyAlignment="0" applyProtection="0"/>
    <xf numFmtId="172" fontId="32" fillId="0" borderId="0" applyFont="0" applyFill="0" applyBorder="0" applyAlignment="0" applyProtection="0"/>
    <xf numFmtId="172" fontId="32" fillId="0" borderId="0" applyFont="0" applyFill="0" applyBorder="0" applyAlignment="0" applyProtection="0"/>
    <xf numFmtId="172" fontId="32" fillId="0" borderId="0" applyFont="0" applyFill="0" applyBorder="0" applyAlignment="0" applyProtection="0"/>
    <xf numFmtId="172" fontId="32" fillId="0" borderId="0" applyFont="0" applyFill="0" applyBorder="0" applyAlignment="0" applyProtection="0"/>
    <xf numFmtId="172" fontId="32" fillId="0" borderId="0" applyFont="0" applyFill="0" applyBorder="0" applyAlignment="0" applyProtection="0"/>
    <xf numFmtId="172" fontId="35" fillId="0" borderId="0" applyFont="0" applyFill="0" applyBorder="0" applyAlignment="0" applyProtection="0"/>
    <xf numFmtId="172" fontId="32" fillId="0" borderId="0" applyFont="0" applyFill="0" applyBorder="0" applyAlignment="0" applyProtection="0"/>
    <xf numFmtId="172" fontId="32" fillId="0" borderId="0" applyFont="0" applyFill="0" applyBorder="0" applyAlignment="0" applyProtection="0"/>
    <xf numFmtId="172" fontId="32" fillId="0" borderId="0" applyFont="0" applyFill="0" applyBorder="0" applyAlignment="0" applyProtection="0"/>
    <xf numFmtId="172" fontId="32" fillId="0" borderId="0" applyFont="0" applyFill="0" applyBorder="0" applyAlignment="0" applyProtection="0"/>
    <xf numFmtId="172" fontId="32" fillId="0" borderId="0" applyFont="0" applyFill="0" applyBorder="0" applyAlignment="0" applyProtection="0"/>
    <xf numFmtId="172" fontId="32" fillId="0" borderId="0" applyFont="0" applyFill="0" applyBorder="0" applyAlignment="0" applyProtection="0"/>
    <xf numFmtId="172" fontId="32" fillId="0" borderId="0" applyFont="0" applyFill="0" applyBorder="0" applyAlignment="0" applyProtection="0"/>
    <xf numFmtId="172" fontId="32" fillId="0" borderId="0" applyFont="0" applyFill="0" applyBorder="0" applyAlignment="0" applyProtection="0"/>
    <xf numFmtId="172" fontId="32" fillId="0" borderId="0" applyFont="0" applyFill="0" applyBorder="0" applyAlignment="0" applyProtection="0"/>
    <xf numFmtId="172" fontId="32" fillId="0" borderId="0" applyFont="0" applyFill="0" applyBorder="0" applyAlignment="0" applyProtection="0"/>
    <xf numFmtId="172" fontId="32" fillId="0" borderId="0" applyFont="0" applyFill="0" applyBorder="0" applyAlignment="0" applyProtection="0"/>
    <xf numFmtId="172" fontId="32" fillId="0" borderId="0" applyFont="0" applyFill="0" applyBorder="0" applyAlignment="0" applyProtection="0"/>
    <xf numFmtId="172" fontId="32" fillId="0" borderId="0" applyFont="0" applyFill="0" applyBorder="0" applyAlignment="0" applyProtection="0"/>
    <xf numFmtId="172" fontId="32" fillId="0" borderId="0" applyFont="0" applyFill="0" applyBorder="0" applyAlignment="0" applyProtection="0"/>
    <xf numFmtId="172" fontId="32" fillId="0" borderId="0" applyFont="0" applyFill="0" applyBorder="0" applyAlignment="0" applyProtection="0"/>
    <xf numFmtId="172" fontId="32" fillId="0" borderId="0" applyFont="0" applyFill="0" applyBorder="0" applyAlignment="0" applyProtection="0"/>
    <xf numFmtId="172" fontId="32" fillId="0" borderId="0" applyFont="0" applyFill="0" applyBorder="0" applyAlignment="0" applyProtection="0"/>
    <xf numFmtId="172" fontId="32" fillId="0" borderId="0" applyFont="0" applyFill="0" applyBorder="0" applyAlignment="0" applyProtection="0"/>
    <xf numFmtId="172" fontId="32" fillId="0" borderId="0" applyFont="0" applyFill="0" applyBorder="0" applyAlignment="0" applyProtection="0"/>
    <xf numFmtId="172" fontId="32" fillId="0" borderId="0" applyFont="0" applyFill="0" applyBorder="0" applyAlignment="0" applyProtection="0"/>
    <xf numFmtId="172" fontId="32" fillId="0" borderId="0" applyFont="0" applyFill="0" applyBorder="0" applyAlignment="0" applyProtection="0"/>
    <xf numFmtId="172" fontId="32" fillId="0" borderId="0" applyFont="0" applyFill="0" applyBorder="0" applyAlignment="0" applyProtection="0"/>
    <xf numFmtId="172" fontId="32" fillId="0" borderId="0" applyFont="0" applyFill="0" applyBorder="0" applyAlignment="0" applyProtection="0"/>
    <xf numFmtId="172" fontId="32" fillId="0" borderId="0" applyFont="0" applyFill="0" applyBorder="0" applyAlignment="0" applyProtection="0"/>
    <xf numFmtId="172" fontId="32" fillId="0" borderId="0" applyFont="0" applyFill="0" applyBorder="0" applyAlignment="0" applyProtection="0"/>
    <xf numFmtId="172" fontId="32" fillId="0" borderId="0" applyFont="0" applyFill="0" applyBorder="0" applyAlignment="0" applyProtection="0"/>
    <xf numFmtId="172" fontId="32" fillId="0" borderId="0" applyFont="0" applyFill="0" applyBorder="0" applyAlignment="0" applyProtection="0"/>
    <xf numFmtId="172" fontId="35" fillId="0" borderId="0" applyFont="0" applyFill="0" applyBorder="0" applyAlignment="0" applyProtection="0"/>
    <xf numFmtId="172" fontId="32" fillId="0" borderId="0" applyFont="0" applyFill="0" applyBorder="0" applyAlignment="0" applyProtection="0"/>
    <xf numFmtId="172" fontId="32" fillId="0" borderId="0" applyFont="0" applyFill="0" applyBorder="0" applyAlignment="0" applyProtection="0"/>
    <xf numFmtId="172" fontId="32" fillId="0" borderId="0" applyFont="0" applyFill="0" applyBorder="0" applyAlignment="0" applyProtection="0"/>
    <xf numFmtId="172" fontId="32" fillId="0" borderId="0" applyFont="0" applyFill="0" applyBorder="0" applyAlignment="0" applyProtection="0"/>
    <xf numFmtId="172" fontId="32" fillId="0" borderId="0" applyFont="0" applyFill="0" applyBorder="0" applyAlignment="0" applyProtection="0"/>
    <xf numFmtId="172" fontId="32" fillId="0" borderId="0" applyFont="0" applyFill="0" applyBorder="0" applyAlignment="0" applyProtection="0"/>
    <xf numFmtId="172" fontId="32" fillId="0" borderId="0" applyFont="0" applyFill="0" applyBorder="0" applyAlignment="0" applyProtection="0"/>
    <xf numFmtId="172" fontId="32" fillId="0" borderId="0" applyFont="0" applyFill="0" applyBorder="0" applyAlignment="0" applyProtection="0"/>
    <xf numFmtId="172" fontId="32" fillId="0" borderId="0" applyFont="0" applyFill="0" applyBorder="0" applyAlignment="0" applyProtection="0"/>
    <xf numFmtId="172" fontId="32" fillId="0" borderId="0" applyFont="0" applyFill="0" applyBorder="0" applyAlignment="0" applyProtection="0"/>
    <xf numFmtId="172" fontId="32" fillId="0" borderId="0" applyFont="0" applyFill="0" applyBorder="0" applyAlignment="0" applyProtection="0"/>
    <xf numFmtId="172" fontId="32" fillId="0" borderId="0" applyFont="0" applyFill="0" applyBorder="0" applyAlignment="0" applyProtection="0"/>
    <xf numFmtId="172" fontId="32" fillId="0" borderId="0" applyFont="0" applyFill="0" applyBorder="0" applyAlignment="0" applyProtection="0"/>
    <xf numFmtId="172" fontId="32" fillId="0" borderId="0" applyFont="0" applyFill="0" applyBorder="0" applyAlignment="0" applyProtection="0"/>
    <xf numFmtId="172" fontId="32" fillId="0" borderId="0" applyFont="0" applyFill="0" applyBorder="0" applyAlignment="0" applyProtection="0"/>
    <xf numFmtId="172" fontId="32" fillId="0" borderId="0" applyFont="0" applyFill="0" applyBorder="0" applyAlignment="0" applyProtection="0"/>
    <xf numFmtId="172" fontId="32" fillId="0" borderId="0" applyFont="0" applyFill="0" applyBorder="0" applyAlignment="0" applyProtection="0"/>
    <xf numFmtId="172" fontId="32" fillId="0" borderId="0" applyFont="0" applyFill="0" applyBorder="0" applyAlignment="0" applyProtection="0"/>
    <xf numFmtId="172" fontId="32" fillId="0" borderId="0" applyFont="0" applyFill="0" applyBorder="0" applyAlignment="0" applyProtection="0"/>
    <xf numFmtId="172" fontId="32" fillId="0" borderId="0" applyFont="0" applyFill="0" applyBorder="0" applyAlignment="0" applyProtection="0"/>
    <xf numFmtId="172" fontId="32" fillId="0" borderId="0" applyFont="0" applyFill="0" applyBorder="0" applyAlignment="0" applyProtection="0"/>
    <xf numFmtId="172" fontId="32" fillId="0" borderId="0" applyFont="0" applyFill="0" applyBorder="0" applyAlignment="0" applyProtection="0"/>
    <xf numFmtId="172" fontId="32" fillId="0" borderId="0" applyFont="0" applyFill="0" applyBorder="0" applyAlignment="0" applyProtection="0"/>
    <xf numFmtId="172" fontId="32" fillId="0" borderId="0" applyFont="0" applyFill="0" applyBorder="0" applyAlignment="0" applyProtection="0"/>
    <xf numFmtId="172" fontId="32" fillId="0" borderId="0" applyFont="0" applyFill="0" applyBorder="0" applyAlignment="0" applyProtection="0"/>
    <xf numFmtId="172" fontId="32" fillId="0" borderId="0" applyFont="0" applyFill="0" applyBorder="0" applyAlignment="0" applyProtection="0"/>
    <xf numFmtId="172" fontId="32" fillId="0" borderId="0" applyFont="0" applyFill="0" applyBorder="0" applyAlignment="0" applyProtection="0"/>
    <xf numFmtId="172" fontId="35" fillId="0" borderId="0" applyFont="0" applyFill="0" applyBorder="0" applyAlignment="0" applyProtection="0"/>
    <xf numFmtId="172" fontId="32" fillId="0" borderId="0" applyFont="0" applyFill="0" applyBorder="0" applyAlignment="0" applyProtection="0"/>
    <xf numFmtId="172" fontId="32" fillId="0" borderId="0" applyFont="0" applyFill="0" applyBorder="0" applyAlignment="0" applyProtection="0"/>
    <xf numFmtId="172" fontId="32" fillId="0" borderId="0" applyFont="0" applyFill="0" applyBorder="0" applyAlignment="0" applyProtection="0"/>
    <xf numFmtId="172" fontId="32" fillId="0" borderId="0" applyFont="0" applyFill="0" applyBorder="0" applyAlignment="0" applyProtection="0"/>
    <xf numFmtId="172" fontId="32" fillId="0" borderId="0" applyFont="0" applyFill="0" applyBorder="0" applyAlignment="0" applyProtection="0"/>
    <xf numFmtId="172" fontId="32" fillId="0" borderId="0" applyFont="0" applyFill="0" applyBorder="0" applyAlignment="0" applyProtection="0"/>
    <xf numFmtId="172" fontId="32" fillId="0" borderId="0" applyFont="0" applyFill="0" applyBorder="0" applyAlignment="0" applyProtection="0"/>
    <xf numFmtId="172" fontId="32" fillId="0" borderId="0" applyFont="0" applyFill="0" applyBorder="0" applyAlignment="0" applyProtection="0"/>
    <xf numFmtId="172" fontId="32" fillId="0" borderId="0" applyFont="0" applyFill="0" applyBorder="0" applyAlignment="0" applyProtection="0"/>
    <xf numFmtId="172" fontId="32" fillId="0" borderId="0" applyFont="0" applyFill="0" applyBorder="0" applyAlignment="0" applyProtection="0"/>
    <xf numFmtId="172" fontId="32" fillId="0" borderId="0" applyFont="0" applyFill="0" applyBorder="0" applyAlignment="0" applyProtection="0"/>
    <xf numFmtId="172" fontId="32" fillId="0" borderId="0" applyFont="0" applyFill="0" applyBorder="0" applyAlignment="0" applyProtection="0"/>
    <xf numFmtId="172" fontId="32" fillId="0" borderId="0" applyFont="0" applyFill="0" applyBorder="0" applyAlignment="0" applyProtection="0"/>
    <xf numFmtId="172" fontId="32" fillId="0" borderId="0" applyFont="0" applyFill="0" applyBorder="0" applyAlignment="0" applyProtection="0"/>
    <xf numFmtId="172" fontId="32" fillId="0" borderId="0" applyFont="0" applyFill="0" applyBorder="0" applyAlignment="0" applyProtection="0"/>
    <xf numFmtId="172" fontId="32" fillId="0" borderId="0" applyFont="0" applyFill="0" applyBorder="0" applyAlignment="0" applyProtection="0"/>
    <xf numFmtId="172" fontId="32" fillId="0" borderId="0" applyFont="0" applyFill="0" applyBorder="0" applyAlignment="0" applyProtection="0"/>
    <xf numFmtId="172" fontId="32" fillId="0" borderId="0" applyFont="0" applyFill="0" applyBorder="0" applyAlignment="0" applyProtection="0"/>
    <xf numFmtId="172" fontId="32" fillId="0" borderId="0" applyFont="0" applyFill="0" applyBorder="0" applyAlignment="0" applyProtection="0"/>
    <xf numFmtId="172" fontId="32" fillId="0" borderId="0" applyFont="0" applyFill="0" applyBorder="0" applyAlignment="0" applyProtection="0"/>
    <xf numFmtId="172" fontId="32" fillId="0" borderId="0" applyFont="0" applyFill="0" applyBorder="0" applyAlignment="0" applyProtection="0"/>
    <xf numFmtId="172" fontId="32" fillId="0" borderId="0" applyFont="0" applyFill="0" applyBorder="0" applyAlignment="0" applyProtection="0"/>
    <xf numFmtId="172" fontId="32" fillId="0" borderId="0" applyFont="0" applyFill="0" applyBorder="0" applyAlignment="0" applyProtection="0"/>
    <xf numFmtId="172" fontId="32" fillId="0" borderId="0" applyFont="0" applyFill="0" applyBorder="0" applyAlignment="0" applyProtection="0"/>
    <xf numFmtId="172" fontId="32" fillId="0" borderId="0" applyFont="0" applyFill="0" applyBorder="0" applyAlignment="0" applyProtection="0"/>
    <xf numFmtId="172" fontId="32" fillId="0" borderId="0" applyFont="0" applyFill="0" applyBorder="0" applyAlignment="0" applyProtection="0"/>
    <xf numFmtId="172" fontId="32" fillId="0" borderId="0" applyFont="0" applyFill="0" applyBorder="0" applyAlignment="0" applyProtection="0"/>
    <xf numFmtId="172" fontId="35" fillId="0" borderId="0" applyFont="0" applyFill="0" applyBorder="0" applyAlignment="0" applyProtection="0"/>
    <xf numFmtId="172" fontId="32" fillId="0" borderId="0" applyFont="0" applyFill="0" applyBorder="0" applyAlignment="0" applyProtection="0"/>
    <xf numFmtId="172" fontId="32" fillId="0" borderId="0" applyFont="0" applyFill="0" applyBorder="0" applyAlignment="0" applyProtection="0"/>
    <xf numFmtId="172" fontId="32" fillId="0" borderId="0" applyFont="0" applyFill="0" applyBorder="0" applyAlignment="0" applyProtection="0"/>
    <xf numFmtId="172" fontId="32" fillId="0" borderId="0" applyFont="0" applyFill="0" applyBorder="0" applyAlignment="0" applyProtection="0"/>
    <xf numFmtId="172" fontId="32" fillId="0" borderId="0" applyFont="0" applyFill="0" applyBorder="0" applyAlignment="0" applyProtection="0"/>
    <xf numFmtId="172" fontId="32" fillId="0" borderId="0" applyFont="0" applyFill="0" applyBorder="0" applyAlignment="0" applyProtection="0"/>
    <xf numFmtId="172" fontId="32" fillId="0" borderId="0" applyFont="0" applyFill="0" applyBorder="0" applyAlignment="0" applyProtection="0"/>
    <xf numFmtId="172" fontId="32" fillId="0" borderId="0" applyFont="0" applyFill="0" applyBorder="0" applyAlignment="0" applyProtection="0"/>
    <xf numFmtId="172" fontId="32" fillId="0" borderId="0" applyFont="0" applyFill="0" applyBorder="0" applyAlignment="0" applyProtection="0"/>
    <xf numFmtId="172" fontId="32" fillId="0" borderId="0" applyFont="0" applyFill="0" applyBorder="0" applyAlignment="0" applyProtection="0"/>
    <xf numFmtId="172" fontId="32" fillId="0" borderId="0" applyFont="0" applyFill="0" applyBorder="0" applyAlignment="0" applyProtection="0"/>
    <xf numFmtId="172" fontId="32" fillId="0" borderId="0" applyFont="0" applyFill="0" applyBorder="0" applyAlignment="0" applyProtection="0"/>
    <xf numFmtId="172" fontId="32" fillId="0" borderId="0" applyFont="0" applyFill="0" applyBorder="0" applyAlignment="0" applyProtection="0"/>
    <xf numFmtId="172" fontId="32" fillId="0" borderId="0" applyFont="0" applyFill="0" applyBorder="0" applyAlignment="0" applyProtection="0"/>
    <xf numFmtId="172" fontId="32" fillId="0" borderId="0" applyFont="0" applyFill="0" applyBorder="0" applyAlignment="0" applyProtection="0"/>
    <xf numFmtId="172" fontId="32" fillId="0" borderId="0" applyFont="0" applyFill="0" applyBorder="0" applyAlignment="0" applyProtection="0"/>
    <xf numFmtId="172" fontId="32" fillId="0" borderId="0" applyFont="0" applyFill="0" applyBorder="0" applyAlignment="0" applyProtection="0"/>
    <xf numFmtId="172" fontId="32" fillId="0" borderId="0" applyFont="0" applyFill="0" applyBorder="0" applyAlignment="0" applyProtection="0"/>
    <xf numFmtId="172" fontId="32" fillId="0" borderId="0" applyFont="0" applyFill="0" applyBorder="0" applyAlignment="0" applyProtection="0"/>
    <xf numFmtId="172" fontId="32" fillId="0" borderId="0" applyFont="0" applyFill="0" applyBorder="0" applyAlignment="0" applyProtection="0"/>
    <xf numFmtId="172" fontId="32" fillId="0" borderId="0" applyFont="0" applyFill="0" applyBorder="0" applyAlignment="0" applyProtection="0"/>
    <xf numFmtId="172" fontId="32" fillId="0" borderId="0" applyFont="0" applyFill="0" applyBorder="0" applyAlignment="0" applyProtection="0"/>
    <xf numFmtId="172" fontId="32" fillId="0" borderId="0" applyFont="0" applyFill="0" applyBorder="0" applyAlignment="0" applyProtection="0"/>
    <xf numFmtId="172" fontId="32" fillId="0" borderId="0" applyFont="0" applyFill="0" applyBorder="0" applyAlignment="0" applyProtection="0"/>
    <xf numFmtId="172" fontId="32" fillId="0" borderId="0" applyFont="0" applyFill="0" applyBorder="0" applyAlignment="0" applyProtection="0"/>
    <xf numFmtId="172" fontId="32" fillId="0" borderId="0" applyFont="0" applyFill="0" applyBorder="0" applyAlignment="0" applyProtection="0"/>
    <xf numFmtId="172" fontId="32" fillId="0" borderId="0" applyFont="0" applyFill="0" applyBorder="0" applyAlignment="0" applyProtection="0"/>
    <xf numFmtId="172" fontId="35" fillId="0" borderId="0" applyFont="0" applyFill="0" applyBorder="0" applyAlignment="0" applyProtection="0"/>
    <xf numFmtId="172" fontId="32" fillId="0" borderId="0" applyFont="0" applyFill="0" applyBorder="0" applyAlignment="0" applyProtection="0"/>
    <xf numFmtId="172" fontId="32" fillId="0" borderId="0" applyFont="0" applyFill="0" applyBorder="0" applyAlignment="0" applyProtection="0"/>
    <xf numFmtId="172" fontId="32" fillId="0" borderId="0" applyFont="0" applyFill="0" applyBorder="0" applyAlignment="0" applyProtection="0"/>
    <xf numFmtId="172" fontId="32" fillId="0" borderId="0" applyFont="0" applyFill="0" applyBorder="0" applyAlignment="0" applyProtection="0"/>
    <xf numFmtId="172" fontId="32" fillId="0" borderId="0" applyFont="0" applyFill="0" applyBorder="0" applyAlignment="0" applyProtection="0"/>
    <xf numFmtId="172" fontId="32" fillId="0" borderId="0" applyFont="0" applyFill="0" applyBorder="0" applyAlignment="0" applyProtection="0"/>
    <xf numFmtId="172" fontId="32" fillId="0" borderId="0" applyFont="0" applyFill="0" applyBorder="0" applyAlignment="0" applyProtection="0"/>
    <xf numFmtId="172" fontId="32" fillId="0" borderId="0" applyFont="0" applyFill="0" applyBorder="0" applyAlignment="0" applyProtection="0"/>
    <xf numFmtId="172" fontId="32" fillId="0" borderId="0" applyFont="0" applyFill="0" applyBorder="0" applyAlignment="0" applyProtection="0"/>
    <xf numFmtId="172" fontId="32" fillId="0" borderId="0" applyFont="0" applyFill="0" applyBorder="0" applyAlignment="0" applyProtection="0"/>
    <xf numFmtId="172" fontId="32" fillId="0" borderId="0" applyFont="0" applyFill="0" applyBorder="0" applyAlignment="0" applyProtection="0"/>
    <xf numFmtId="172" fontId="32" fillId="0" borderId="0" applyFont="0" applyFill="0" applyBorder="0" applyAlignment="0" applyProtection="0"/>
    <xf numFmtId="172" fontId="32" fillId="0" borderId="0" applyFont="0" applyFill="0" applyBorder="0" applyAlignment="0" applyProtection="0"/>
    <xf numFmtId="172" fontId="32" fillId="0" borderId="0" applyFont="0" applyFill="0" applyBorder="0" applyAlignment="0" applyProtection="0"/>
    <xf numFmtId="172" fontId="32" fillId="0" borderId="0" applyFont="0" applyFill="0" applyBorder="0" applyAlignment="0" applyProtection="0"/>
    <xf numFmtId="172" fontId="32" fillId="0" borderId="0" applyFont="0" applyFill="0" applyBorder="0" applyAlignment="0" applyProtection="0"/>
    <xf numFmtId="172" fontId="32" fillId="0" borderId="0" applyFont="0" applyFill="0" applyBorder="0" applyAlignment="0" applyProtection="0"/>
    <xf numFmtId="172" fontId="32" fillId="0" borderId="0" applyFont="0" applyFill="0" applyBorder="0" applyAlignment="0" applyProtection="0"/>
    <xf numFmtId="172" fontId="32" fillId="0" borderId="0" applyFont="0" applyFill="0" applyBorder="0" applyAlignment="0" applyProtection="0"/>
    <xf numFmtId="172" fontId="32" fillId="0" borderId="0" applyFont="0" applyFill="0" applyBorder="0" applyAlignment="0" applyProtection="0"/>
    <xf numFmtId="172" fontId="32" fillId="0" borderId="0" applyFont="0" applyFill="0" applyBorder="0" applyAlignment="0" applyProtection="0"/>
    <xf numFmtId="172" fontId="32" fillId="0" borderId="0" applyFont="0" applyFill="0" applyBorder="0" applyAlignment="0" applyProtection="0"/>
    <xf numFmtId="172" fontId="32" fillId="0" borderId="0" applyFont="0" applyFill="0" applyBorder="0" applyAlignment="0" applyProtection="0"/>
    <xf numFmtId="172" fontId="32" fillId="0" borderId="0" applyFont="0" applyFill="0" applyBorder="0" applyAlignment="0" applyProtection="0"/>
    <xf numFmtId="172" fontId="32" fillId="0" borderId="0" applyFont="0" applyFill="0" applyBorder="0" applyAlignment="0" applyProtection="0"/>
    <xf numFmtId="172" fontId="32" fillId="0" borderId="0" applyFont="0" applyFill="0" applyBorder="0" applyAlignment="0" applyProtection="0"/>
    <xf numFmtId="172" fontId="32" fillId="0" borderId="0" applyFont="0" applyFill="0" applyBorder="0" applyAlignment="0" applyProtection="0"/>
    <xf numFmtId="172" fontId="33" fillId="0" borderId="0" applyFont="0" applyFill="0" applyBorder="0" applyAlignment="0" applyProtection="0"/>
    <xf numFmtId="167" fontId="33" fillId="0" borderId="0" applyFont="0" applyFill="0" applyBorder="0" applyAlignment="0" applyProtection="0"/>
    <xf numFmtId="172" fontId="33" fillId="0" borderId="0" applyFont="0" applyFill="0" applyBorder="0" applyAlignment="0" applyProtection="0"/>
    <xf numFmtId="172" fontId="33" fillId="0" borderId="0" applyFont="0" applyFill="0" applyBorder="0" applyAlignment="0" applyProtection="0"/>
    <xf numFmtId="169" fontId="33" fillId="0" borderId="0" applyFont="0" applyFill="0" applyBorder="0" applyAlignment="0" applyProtection="0"/>
    <xf numFmtId="180" fontId="51" fillId="5" borderId="0" applyNumberFormat="0" applyBorder="0" applyAlignment="0" applyProtection="0"/>
    <xf numFmtId="0" fontId="33" fillId="0" borderId="0"/>
    <xf numFmtId="180" fontId="49" fillId="0" borderId="0"/>
    <xf numFmtId="0" fontId="33" fillId="0" borderId="0"/>
    <xf numFmtId="0" fontId="33" fillId="0" borderId="0"/>
    <xf numFmtId="0" fontId="49" fillId="0" borderId="0"/>
    <xf numFmtId="0" fontId="49"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52" fillId="0" borderId="0"/>
    <xf numFmtId="0" fontId="34" fillId="0" borderId="0"/>
    <xf numFmtId="0" fontId="42"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49" fillId="0" borderId="0"/>
    <xf numFmtId="0" fontId="34" fillId="0" borderId="0"/>
    <xf numFmtId="0" fontId="33" fillId="0" borderId="0"/>
    <xf numFmtId="0" fontId="34" fillId="0" borderId="0"/>
    <xf numFmtId="0" fontId="49" fillId="0" borderId="0"/>
    <xf numFmtId="0" fontId="33" fillId="0" borderId="0"/>
    <xf numFmtId="0" fontId="33" fillId="0" borderId="0"/>
    <xf numFmtId="0" fontId="33" fillId="0" borderId="0"/>
    <xf numFmtId="0" fontId="34" fillId="0" borderId="0"/>
    <xf numFmtId="0" fontId="33" fillId="0" borderId="0"/>
    <xf numFmtId="0" fontId="34" fillId="0" borderId="0"/>
    <xf numFmtId="0" fontId="33" fillId="0" borderId="0"/>
    <xf numFmtId="0" fontId="34" fillId="0" borderId="0"/>
    <xf numFmtId="0" fontId="33" fillId="0" borderId="0"/>
    <xf numFmtId="0" fontId="34" fillId="0" borderId="0"/>
    <xf numFmtId="0" fontId="33" fillId="0" borderId="0"/>
    <xf numFmtId="0" fontId="34" fillId="0" borderId="0"/>
    <xf numFmtId="0" fontId="33" fillId="0" borderId="0"/>
    <xf numFmtId="0" fontId="34" fillId="0" borderId="0"/>
    <xf numFmtId="0" fontId="33" fillId="0" borderId="0"/>
    <xf numFmtId="0" fontId="34" fillId="0" borderId="0"/>
    <xf numFmtId="0" fontId="33" fillId="0" borderId="0"/>
    <xf numFmtId="0" fontId="33" fillId="0" borderId="0"/>
    <xf numFmtId="180" fontId="34" fillId="0" borderId="0"/>
    <xf numFmtId="180" fontId="34" fillId="0" borderId="0"/>
    <xf numFmtId="0" fontId="49" fillId="0" borderId="0"/>
    <xf numFmtId="0" fontId="33" fillId="0" borderId="0"/>
    <xf numFmtId="0" fontId="33" fillId="0" borderId="0"/>
    <xf numFmtId="0" fontId="34" fillId="0" borderId="0"/>
    <xf numFmtId="0" fontId="33" fillId="0" borderId="0"/>
    <xf numFmtId="180" fontId="33" fillId="0" borderId="0"/>
    <xf numFmtId="0" fontId="33" fillId="0" borderId="0"/>
    <xf numFmtId="180" fontId="33" fillId="0" borderId="0"/>
    <xf numFmtId="180" fontId="33" fillId="0" borderId="0"/>
    <xf numFmtId="180" fontId="33" fillId="0" borderId="0"/>
    <xf numFmtId="0" fontId="34" fillId="0" borderId="0"/>
    <xf numFmtId="0" fontId="33" fillId="0" borderId="0"/>
    <xf numFmtId="0" fontId="33" fillId="0" borderId="0"/>
    <xf numFmtId="180" fontId="33" fillId="0" borderId="0"/>
    <xf numFmtId="0" fontId="33" fillId="0" borderId="0"/>
    <xf numFmtId="0" fontId="33" fillId="0" borderId="0"/>
    <xf numFmtId="0" fontId="34" fillId="0" borderId="0"/>
    <xf numFmtId="0" fontId="34"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4" fillId="0" borderId="0"/>
    <xf numFmtId="0" fontId="33" fillId="0" borderId="0"/>
    <xf numFmtId="0" fontId="33" fillId="0" borderId="0"/>
    <xf numFmtId="0" fontId="33" fillId="0" borderId="0"/>
    <xf numFmtId="0" fontId="33" fillId="0" borderId="0"/>
    <xf numFmtId="0" fontId="33" fillId="0" borderId="0"/>
    <xf numFmtId="0" fontId="33" fillId="0" borderId="0"/>
    <xf numFmtId="0" fontId="34" fillId="0" borderId="0"/>
    <xf numFmtId="0" fontId="34" fillId="0" borderId="0"/>
    <xf numFmtId="0" fontId="34" fillId="0" borderId="0"/>
    <xf numFmtId="0" fontId="34" fillId="0" borderId="0"/>
    <xf numFmtId="0" fontId="34" fillId="0" borderId="0"/>
    <xf numFmtId="0" fontId="34" fillId="0" borderId="0"/>
    <xf numFmtId="0" fontId="52" fillId="0" borderId="0"/>
    <xf numFmtId="0" fontId="49"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49"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3" fillId="0" borderId="0"/>
    <xf numFmtId="181" fontId="52" fillId="0" borderId="0"/>
    <xf numFmtId="181" fontId="52" fillId="0" borderId="0"/>
    <xf numFmtId="0" fontId="33" fillId="0" borderId="0"/>
    <xf numFmtId="181" fontId="36" fillId="0" borderId="0"/>
    <xf numFmtId="181" fontId="36" fillId="0" borderId="0"/>
    <xf numFmtId="0" fontId="33" fillId="0" borderId="0"/>
    <xf numFmtId="180" fontId="34" fillId="0" borderId="0"/>
    <xf numFmtId="180" fontId="34" fillId="0" borderId="0"/>
    <xf numFmtId="0" fontId="33" fillId="0" borderId="0"/>
    <xf numFmtId="0" fontId="33" fillId="0" borderId="0"/>
    <xf numFmtId="0" fontId="33" fillId="0" borderId="0"/>
    <xf numFmtId="0" fontId="33" fillId="0" borderId="0"/>
    <xf numFmtId="181" fontId="33" fillId="0" borderId="0"/>
    <xf numFmtId="0" fontId="34" fillId="0" borderId="0"/>
    <xf numFmtId="0" fontId="34" fillId="0" borderId="0"/>
    <xf numFmtId="0" fontId="49" fillId="0" borderId="0"/>
    <xf numFmtId="0" fontId="49" fillId="0" borderId="0"/>
    <xf numFmtId="0" fontId="34" fillId="0" borderId="0"/>
    <xf numFmtId="0" fontId="34" fillId="0" borderId="0"/>
    <xf numFmtId="0" fontId="33" fillId="0" borderId="0"/>
    <xf numFmtId="0" fontId="53" fillId="0" borderId="0"/>
    <xf numFmtId="0" fontId="33" fillId="0" borderId="0"/>
    <xf numFmtId="180" fontId="52" fillId="0" borderId="0"/>
    <xf numFmtId="180" fontId="52" fillId="0" borderId="0"/>
    <xf numFmtId="0" fontId="52" fillId="0" borderId="0"/>
    <xf numFmtId="0" fontId="33" fillId="0" borderId="0"/>
    <xf numFmtId="180" fontId="49" fillId="0" borderId="0"/>
    <xf numFmtId="180" fontId="49" fillId="0" borderId="0"/>
    <xf numFmtId="0" fontId="33" fillId="0" borderId="0"/>
    <xf numFmtId="0" fontId="33" fillId="0" borderId="0"/>
    <xf numFmtId="0" fontId="33" fillId="0" borderId="0"/>
    <xf numFmtId="0" fontId="33" fillId="0" borderId="0"/>
    <xf numFmtId="0" fontId="33" fillId="0" borderId="0"/>
    <xf numFmtId="0" fontId="33" fillId="0" borderId="0"/>
    <xf numFmtId="173" fontId="33" fillId="0" borderId="0"/>
    <xf numFmtId="0" fontId="33" fillId="0" borderId="0"/>
    <xf numFmtId="0" fontId="33" fillId="0" borderId="0"/>
    <xf numFmtId="0" fontId="33" fillId="0" borderId="0"/>
    <xf numFmtId="0" fontId="33" fillId="0" borderId="0"/>
    <xf numFmtId="0" fontId="33" fillId="0" borderId="0"/>
    <xf numFmtId="0" fontId="33" fillId="0" borderId="0"/>
    <xf numFmtId="177" fontId="33" fillId="0" borderId="0"/>
    <xf numFmtId="177" fontId="33" fillId="0" borderId="0"/>
    <xf numFmtId="0" fontId="33" fillId="0" borderId="0"/>
    <xf numFmtId="0" fontId="33" fillId="0" borderId="0"/>
    <xf numFmtId="177" fontId="33" fillId="0" borderId="0"/>
    <xf numFmtId="180" fontId="33" fillId="0" borderId="0"/>
    <xf numFmtId="180" fontId="33" fillId="0" borderId="0"/>
    <xf numFmtId="177" fontId="33" fillId="0" borderId="0"/>
    <xf numFmtId="0" fontId="33" fillId="0" borderId="0"/>
    <xf numFmtId="178" fontId="33" fillId="0" borderId="0"/>
    <xf numFmtId="178"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53" fillId="0" borderId="0"/>
    <xf numFmtId="0" fontId="52" fillId="0" borderId="0"/>
    <xf numFmtId="180" fontId="52" fillId="0" borderId="0"/>
    <xf numFmtId="0" fontId="33" fillId="0" borderId="0"/>
    <xf numFmtId="180" fontId="52" fillId="0" borderId="0"/>
    <xf numFmtId="180" fontId="52" fillId="0" borderId="0"/>
    <xf numFmtId="0" fontId="33" fillId="0" borderId="0"/>
    <xf numFmtId="180" fontId="52" fillId="0" borderId="0"/>
    <xf numFmtId="180" fontId="52" fillId="0" borderId="0"/>
    <xf numFmtId="0" fontId="33" fillId="0" borderId="0"/>
    <xf numFmtId="0" fontId="33" fillId="0" borderId="0"/>
    <xf numFmtId="0" fontId="33" fillId="0" borderId="0"/>
    <xf numFmtId="0" fontId="33" fillId="0" borderId="0"/>
    <xf numFmtId="0" fontId="33" fillId="0" borderId="0"/>
    <xf numFmtId="0" fontId="33" fillId="0" borderId="0"/>
    <xf numFmtId="0" fontId="49" fillId="0" borderId="0"/>
    <xf numFmtId="180" fontId="52" fillId="0" borderId="0"/>
    <xf numFmtId="180" fontId="52" fillId="0" borderId="0"/>
    <xf numFmtId="0" fontId="52" fillId="0" borderId="0"/>
    <xf numFmtId="0" fontId="33" fillId="0" borderId="0"/>
    <xf numFmtId="180" fontId="52" fillId="0" borderId="0"/>
    <xf numFmtId="180" fontId="52"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180" fontId="49" fillId="0" borderId="0"/>
    <xf numFmtId="0" fontId="33" fillId="0" borderId="0"/>
    <xf numFmtId="0" fontId="33" fillId="0" borderId="0"/>
    <xf numFmtId="0" fontId="33" fillId="0" borderId="0"/>
    <xf numFmtId="180" fontId="49" fillId="0" borderId="0"/>
    <xf numFmtId="180" fontId="49" fillId="0" borderId="0"/>
    <xf numFmtId="0" fontId="49" fillId="0" borderId="0"/>
    <xf numFmtId="0" fontId="33" fillId="0" borderId="0"/>
    <xf numFmtId="180" fontId="49" fillId="0" borderId="0"/>
    <xf numFmtId="180" fontId="49" fillId="0" borderId="0"/>
    <xf numFmtId="9" fontId="48" fillId="0" borderId="0" applyFont="0" applyFill="0" applyBorder="0" applyAlignment="0" applyProtection="0"/>
    <xf numFmtId="9" fontId="46" fillId="0" borderId="0" applyFont="0" applyFill="0" applyBorder="0" applyAlignment="0" applyProtection="0"/>
    <xf numFmtId="9" fontId="39" fillId="0" borderId="0" applyFont="0" applyFill="0" applyBorder="0" applyAlignment="0" applyProtection="0"/>
    <xf numFmtId="9" fontId="39" fillId="0" borderId="0" applyFont="0" applyFill="0" applyBorder="0" applyAlignment="0" applyProtection="0"/>
    <xf numFmtId="9" fontId="39" fillId="0" borderId="0" applyFont="0" applyFill="0" applyBorder="0" applyAlignment="0" applyProtection="0"/>
    <xf numFmtId="9" fontId="39" fillId="0" borderId="0" applyFont="0" applyFill="0" applyBorder="0" applyAlignment="0" applyProtection="0"/>
    <xf numFmtId="9" fontId="39" fillId="0" borderId="0" applyFont="0" applyFill="0" applyBorder="0" applyAlignment="0" applyProtection="0"/>
    <xf numFmtId="9" fontId="39" fillId="0" borderId="0" applyFont="0" applyFill="0" applyBorder="0" applyAlignment="0" applyProtection="0"/>
    <xf numFmtId="9" fontId="39" fillId="0" borderId="0" applyFont="0" applyFill="0" applyBorder="0" applyAlignment="0" applyProtection="0"/>
    <xf numFmtId="9" fontId="39" fillId="0" borderId="0" applyFont="0" applyFill="0" applyBorder="0" applyAlignment="0" applyProtection="0"/>
    <xf numFmtId="9" fontId="39" fillId="0" borderId="0" applyFont="0" applyFill="0" applyBorder="0" applyAlignment="0" applyProtection="0"/>
    <xf numFmtId="9" fontId="39" fillId="0" borderId="0" applyFont="0" applyFill="0" applyBorder="0" applyAlignment="0" applyProtection="0"/>
    <xf numFmtId="9" fontId="39" fillId="0" borderId="0" applyFont="0" applyFill="0" applyBorder="0" applyAlignment="0" applyProtection="0"/>
    <xf numFmtId="9" fontId="39" fillId="0" borderId="0" applyFont="0" applyFill="0" applyBorder="0" applyAlignment="0" applyProtection="0"/>
    <xf numFmtId="9" fontId="39" fillId="0" borderId="0" applyFont="0" applyFill="0" applyBorder="0" applyAlignment="0" applyProtection="0"/>
    <xf numFmtId="9" fontId="39" fillId="0" borderId="0" applyFont="0" applyFill="0" applyBorder="0" applyAlignment="0" applyProtection="0"/>
    <xf numFmtId="9" fontId="39" fillId="0" borderId="0" applyFont="0" applyFill="0" applyBorder="0" applyAlignment="0" applyProtection="0"/>
    <xf numFmtId="9" fontId="39" fillId="0" borderId="0" applyFont="0" applyFill="0" applyBorder="0" applyAlignment="0" applyProtection="0"/>
    <xf numFmtId="9" fontId="39" fillId="0" borderId="0" applyFont="0" applyFill="0" applyBorder="0" applyAlignment="0" applyProtection="0"/>
    <xf numFmtId="9" fontId="39" fillId="0" borderId="0" applyFont="0" applyFill="0" applyBorder="0" applyAlignment="0" applyProtection="0"/>
    <xf numFmtId="9" fontId="39" fillId="0" borderId="0" applyFont="0" applyFill="0" applyBorder="0" applyAlignment="0" applyProtection="0"/>
    <xf numFmtId="9" fontId="39" fillId="0" borderId="0" applyFont="0" applyFill="0" applyBorder="0" applyAlignment="0" applyProtection="0"/>
    <xf numFmtId="9" fontId="39" fillId="0" borderId="0" applyFont="0" applyFill="0" applyBorder="0" applyAlignment="0" applyProtection="0"/>
    <xf numFmtId="9" fontId="39" fillId="0" borderId="0" applyFont="0" applyFill="0" applyBorder="0" applyAlignment="0" applyProtection="0"/>
    <xf numFmtId="9" fontId="46" fillId="0" borderId="0" applyFont="0" applyFill="0" applyBorder="0" applyAlignment="0" applyProtection="0"/>
    <xf numFmtId="9" fontId="39" fillId="0" borderId="0" applyFont="0" applyFill="0" applyBorder="0" applyAlignment="0" applyProtection="0"/>
    <xf numFmtId="9" fontId="39" fillId="0" borderId="0" applyFont="0" applyFill="0" applyBorder="0" applyAlignment="0" applyProtection="0"/>
    <xf numFmtId="9" fontId="39" fillId="0" borderId="0" applyFont="0" applyFill="0" applyBorder="0" applyAlignment="0" applyProtection="0"/>
    <xf numFmtId="9" fontId="39" fillId="0" borderId="0" applyFont="0" applyFill="0" applyBorder="0" applyAlignment="0" applyProtection="0"/>
    <xf numFmtId="9" fontId="39" fillId="0" borderId="0" applyFont="0" applyFill="0" applyBorder="0" applyAlignment="0" applyProtection="0"/>
    <xf numFmtId="9" fontId="39" fillId="0" borderId="0" applyFont="0" applyFill="0" applyBorder="0" applyAlignment="0" applyProtection="0"/>
    <xf numFmtId="9" fontId="39" fillId="0" borderId="0" applyFont="0" applyFill="0" applyBorder="0" applyAlignment="0" applyProtection="0"/>
    <xf numFmtId="9" fontId="39" fillId="0" borderId="0" applyFont="0" applyFill="0" applyBorder="0" applyAlignment="0" applyProtection="0"/>
    <xf numFmtId="9" fontId="39" fillId="0" borderId="0" applyFont="0" applyFill="0" applyBorder="0" applyAlignment="0" applyProtection="0"/>
    <xf numFmtId="9" fontId="39" fillId="0" borderId="0" applyFont="0" applyFill="0" applyBorder="0" applyAlignment="0" applyProtection="0"/>
    <xf numFmtId="9" fontId="39" fillId="0" borderId="0" applyFont="0" applyFill="0" applyBorder="0" applyAlignment="0" applyProtection="0"/>
    <xf numFmtId="9" fontId="39" fillId="0" borderId="0" applyFont="0" applyFill="0" applyBorder="0" applyAlignment="0" applyProtection="0"/>
    <xf numFmtId="9" fontId="39" fillId="0" borderId="0" applyFont="0" applyFill="0" applyBorder="0" applyAlignment="0" applyProtection="0"/>
    <xf numFmtId="9" fontId="39" fillId="0" borderId="0" applyFont="0" applyFill="0" applyBorder="0" applyAlignment="0" applyProtection="0"/>
    <xf numFmtId="9" fontId="39" fillId="0" borderId="0" applyFont="0" applyFill="0" applyBorder="0" applyAlignment="0" applyProtection="0"/>
    <xf numFmtId="9" fontId="39" fillId="0" borderId="0" applyFont="0" applyFill="0" applyBorder="0" applyAlignment="0" applyProtection="0"/>
    <xf numFmtId="9" fontId="39" fillId="0" borderId="0" applyFont="0" applyFill="0" applyBorder="0" applyAlignment="0" applyProtection="0"/>
    <xf numFmtId="9" fontId="39" fillId="0" borderId="0" applyFont="0" applyFill="0" applyBorder="0" applyAlignment="0" applyProtection="0"/>
    <xf numFmtId="9" fontId="39" fillId="0" borderId="0" applyFont="0" applyFill="0" applyBorder="0" applyAlignment="0" applyProtection="0"/>
    <xf numFmtId="9" fontId="39" fillId="0" borderId="0" applyFont="0" applyFill="0" applyBorder="0" applyAlignment="0" applyProtection="0"/>
    <xf numFmtId="9" fontId="39" fillId="0" borderId="0" applyFont="0" applyFill="0" applyBorder="0" applyAlignment="0" applyProtection="0"/>
    <xf numFmtId="9" fontId="39" fillId="0" borderId="0" applyFont="0" applyFill="0" applyBorder="0" applyAlignment="0" applyProtection="0"/>
    <xf numFmtId="9" fontId="47"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52" fillId="0" borderId="0" applyFont="0" applyFill="0" applyBorder="0" applyAlignment="0" applyProtection="0"/>
    <xf numFmtId="170" fontId="52" fillId="0" borderId="0" applyFont="0" applyFill="0" applyBorder="0" applyAlignment="0" applyProtection="0"/>
    <xf numFmtId="168" fontId="52" fillId="0" borderId="0" applyFont="0" applyFill="0" applyBorder="0" applyAlignment="0" applyProtection="0"/>
    <xf numFmtId="168" fontId="31" fillId="0" borderId="0" applyFont="0" applyFill="0" applyBorder="0" applyAlignment="0" applyProtection="0"/>
    <xf numFmtId="168" fontId="31" fillId="0" borderId="0" applyFont="0" applyFill="0" applyBorder="0" applyAlignment="0" applyProtection="0"/>
    <xf numFmtId="168" fontId="31" fillId="0" borderId="0" applyFont="0" applyFill="0" applyBorder="0" applyAlignment="0" applyProtection="0"/>
    <xf numFmtId="168" fontId="31" fillId="0" borderId="0" applyFont="0" applyFill="0" applyBorder="0" applyAlignment="0" applyProtection="0"/>
    <xf numFmtId="168" fontId="31" fillId="0" borderId="0" applyFont="0" applyFill="0" applyBorder="0" applyAlignment="0" applyProtection="0"/>
    <xf numFmtId="168" fontId="31" fillId="0" borderId="0" applyFont="0" applyFill="0" applyBorder="0" applyAlignment="0" applyProtection="0"/>
    <xf numFmtId="168" fontId="52" fillId="0" borderId="0" applyFont="0" applyFill="0" applyBorder="0" applyAlignment="0" applyProtection="0"/>
    <xf numFmtId="168" fontId="52" fillId="0" borderId="0" applyFont="0" applyFill="0" applyBorder="0" applyAlignment="0" applyProtection="0"/>
    <xf numFmtId="168" fontId="53" fillId="0" borderId="0" applyFont="0" applyFill="0" applyBorder="0" applyAlignment="0" applyProtection="0"/>
    <xf numFmtId="168" fontId="31" fillId="0" borderId="0" applyFont="0" applyFill="0" applyBorder="0" applyAlignment="0" applyProtection="0"/>
    <xf numFmtId="168" fontId="52" fillId="0" borderId="0" applyFont="0" applyFill="0" applyBorder="0" applyAlignment="0" applyProtection="0"/>
    <xf numFmtId="168" fontId="52"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170" fontId="31" fillId="0" borderId="0" applyFont="0" applyFill="0" applyBorder="0" applyAlignment="0" applyProtection="0"/>
    <xf numFmtId="179" fontId="52" fillId="0" borderId="0" applyFont="0" applyFill="0" applyBorder="0" applyAlignment="0" applyProtection="0"/>
    <xf numFmtId="179" fontId="52" fillId="0" borderId="0" applyFont="0" applyFill="0" applyBorder="0" applyAlignment="0" applyProtection="0"/>
    <xf numFmtId="170" fontId="31" fillId="0" borderId="0" applyFont="0" applyFill="0" applyBorder="0" applyAlignment="0" applyProtection="0"/>
    <xf numFmtId="170" fontId="52" fillId="0" borderId="0" applyFont="0" applyFill="0" applyBorder="0" applyAlignment="0" applyProtection="0"/>
    <xf numFmtId="170" fontId="31"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170" fontId="31"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2" fontId="31" fillId="0" borderId="0" applyFont="0" applyFill="0" applyBorder="0" applyAlignment="0" applyProtection="0"/>
    <xf numFmtId="173" fontId="31" fillId="0" borderId="0" applyFont="0" applyFill="0" applyBorder="0" applyAlignment="0" applyProtection="0"/>
    <xf numFmtId="180" fontId="31" fillId="0" borderId="0"/>
    <xf numFmtId="0" fontId="31" fillId="0" borderId="0"/>
    <xf numFmtId="0" fontId="31" fillId="0" borderId="0"/>
    <xf numFmtId="0" fontId="31" fillId="0" borderId="0"/>
    <xf numFmtId="0" fontId="31" fillId="0" borderId="0"/>
    <xf numFmtId="0" fontId="31" fillId="0" borderId="0"/>
    <xf numFmtId="180" fontId="31" fillId="0" borderId="0"/>
    <xf numFmtId="180" fontId="31" fillId="0" borderId="0"/>
    <xf numFmtId="0" fontId="31" fillId="0" borderId="0"/>
    <xf numFmtId="180" fontId="31" fillId="0" borderId="0"/>
    <xf numFmtId="170" fontId="52" fillId="0" borderId="0" applyFont="0" applyFill="0" applyBorder="0" applyAlignment="0" applyProtection="0"/>
    <xf numFmtId="180" fontId="31" fillId="0" borderId="0"/>
    <xf numFmtId="180" fontId="31" fillId="0" borderId="0"/>
    <xf numFmtId="0" fontId="31" fillId="0" borderId="0"/>
    <xf numFmtId="180" fontId="31" fillId="0" borderId="0"/>
    <xf numFmtId="180" fontId="31" fillId="0" borderId="0"/>
    <xf numFmtId="9" fontId="53" fillId="0" borderId="0" applyFont="0" applyFill="0" applyBorder="0" applyAlignment="0" applyProtection="0"/>
    <xf numFmtId="9" fontId="52" fillId="0" borderId="0" applyFont="0" applyFill="0" applyBorder="0" applyAlignment="0" applyProtection="0"/>
    <xf numFmtId="9" fontId="52" fillId="0" borderId="0" applyFont="0" applyFill="0" applyBorder="0" applyAlignment="0" applyProtection="0"/>
    <xf numFmtId="9" fontId="31" fillId="0" borderId="0" applyFont="0" applyFill="0" applyBorder="0" applyAlignment="0" applyProtection="0"/>
    <xf numFmtId="170" fontId="52" fillId="0" borderId="0" applyFont="0" applyFill="0" applyBorder="0" applyAlignment="0" applyProtection="0"/>
    <xf numFmtId="170" fontId="52" fillId="0" borderId="0" applyFont="0" applyFill="0" applyBorder="0" applyAlignment="0" applyProtection="0"/>
    <xf numFmtId="43" fontId="52" fillId="0" borderId="0" applyFont="0" applyFill="0" applyBorder="0" applyAlignment="0" applyProtection="0"/>
    <xf numFmtId="0" fontId="66" fillId="0" borderId="0">
      <alignment horizontal="center" vertical="top"/>
    </xf>
    <xf numFmtId="0" fontId="67" fillId="0" borderId="0">
      <alignment horizontal="center" vertical="top"/>
    </xf>
    <xf numFmtId="41" fontId="52" fillId="0" borderId="0" applyFont="0" applyFill="0" applyBorder="0" applyAlignment="0" applyProtection="0"/>
    <xf numFmtId="0" fontId="69" fillId="12" borderId="0" applyNumberFormat="0" applyBorder="0" applyAlignment="0" applyProtection="0"/>
    <xf numFmtId="0" fontId="70" fillId="13" borderId="22" applyNumberFormat="0" applyAlignment="0" applyProtection="0"/>
    <xf numFmtId="0" fontId="71" fillId="14" borderId="22" applyNumberFormat="0" applyAlignment="0" applyProtection="0"/>
    <xf numFmtId="0" fontId="52" fillId="15" borderId="0" applyNumberFormat="0" applyBorder="0" applyAlignment="0" applyProtection="0"/>
    <xf numFmtId="0" fontId="68" fillId="16" borderId="0" applyNumberFormat="0" applyBorder="0" applyAlignment="0" applyProtection="0"/>
    <xf numFmtId="0" fontId="30" fillId="0" borderId="0"/>
    <xf numFmtId="168" fontId="30" fillId="0" borderId="0" applyFont="0" applyFill="0" applyBorder="0" applyAlignment="0" applyProtection="0"/>
    <xf numFmtId="170" fontId="52" fillId="0" borderId="0" applyFont="0" applyFill="0" applyBorder="0" applyAlignment="0" applyProtection="0"/>
    <xf numFmtId="168" fontId="29" fillId="0" borderId="0" applyFont="0" applyFill="0" applyBorder="0" applyAlignment="0" applyProtection="0"/>
    <xf numFmtId="168" fontId="29" fillId="0" borderId="0" applyFont="0" applyFill="0" applyBorder="0" applyAlignment="0" applyProtection="0"/>
    <xf numFmtId="168" fontId="29" fillId="0" borderId="0" applyFont="0" applyFill="0" applyBorder="0" applyAlignment="0" applyProtection="0"/>
    <xf numFmtId="168" fontId="29" fillId="0" borderId="0" applyFont="0" applyFill="0" applyBorder="0" applyAlignment="0" applyProtection="0"/>
    <xf numFmtId="168" fontId="29" fillId="0" borderId="0" applyFont="0" applyFill="0" applyBorder="0" applyAlignment="0" applyProtection="0"/>
    <xf numFmtId="168" fontId="29" fillId="0" borderId="0" applyFont="0" applyFill="0" applyBorder="0" applyAlignment="0" applyProtection="0"/>
    <xf numFmtId="168" fontId="29" fillId="0" borderId="0" applyFont="0" applyFill="0" applyBorder="0" applyAlignment="0" applyProtection="0"/>
    <xf numFmtId="170" fontId="29" fillId="0" borderId="0" applyFont="0" applyFill="0" applyBorder="0" applyAlignment="0" applyProtection="0"/>
    <xf numFmtId="170" fontId="29" fillId="0" borderId="0" applyFont="0" applyFill="0" applyBorder="0" applyAlignment="0" applyProtection="0"/>
    <xf numFmtId="170" fontId="29" fillId="0" borderId="0" applyFont="0" applyFill="0" applyBorder="0" applyAlignment="0" applyProtection="0"/>
    <xf numFmtId="170" fontId="29" fillId="0" borderId="0" applyFont="0" applyFill="0" applyBorder="0" applyAlignment="0" applyProtection="0"/>
    <xf numFmtId="170" fontId="29" fillId="0" borderId="0" applyFont="0" applyFill="0" applyBorder="0" applyAlignment="0" applyProtection="0"/>
    <xf numFmtId="170" fontId="29" fillId="0" borderId="0" applyFont="0" applyFill="0" applyBorder="0" applyAlignment="0" applyProtection="0"/>
    <xf numFmtId="170" fontId="29" fillId="0" borderId="0" applyFont="0" applyFill="0" applyBorder="0" applyAlignment="0" applyProtection="0"/>
    <xf numFmtId="170" fontId="29" fillId="0" borderId="0" applyFont="0" applyFill="0" applyBorder="0" applyAlignment="0" applyProtection="0"/>
    <xf numFmtId="170" fontId="29" fillId="0" borderId="0" applyFont="0" applyFill="0" applyBorder="0" applyAlignment="0" applyProtection="0"/>
    <xf numFmtId="170" fontId="29" fillId="0" borderId="0" applyFont="0" applyFill="0" applyBorder="0" applyAlignment="0" applyProtection="0"/>
    <xf numFmtId="170" fontId="29" fillId="0" borderId="0" applyFont="0" applyFill="0" applyBorder="0" applyAlignment="0" applyProtection="0"/>
    <xf numFmtId="172" fontId="29" fillId="0" borderId="0" applyFont="0" applyFill="0" applyBorder="0" applyAlignment="0" applyProtection="0"/>
    <xf numFmtId="173" fontId="29" fillId="0" borderId="0" applyFont="0" applyFill="0" applyBorder="0" applyAlignment="0" applyProtection="0"/>
    <xf numFmtId="180" fontId="29" fillId="0" borderId="0"/>
    <xf numFmtId="0" fontId="29" fillId="0" borderId="0"/>
    <xf numFmtId="0" fontId="29" fillId="0" borderId="0"/>
    <xf numFmtId="0" fontId="29" fillId="0" borderId="0"/>
    <xf numFmtId="0" fontId="29" fillId="0" borderId="0"/>
    <xf numFmtId="0" fontId="29" fillId="0" borderId="0"/>
    <xf numFmtId="180" fontId="29" fillId="0" borderId="0"/>
    <xf numFmtId="180" fontId="29" fillId="0" borderId="0"/>
    <xf numFmtId="0" fontId="29" fillId="0" borderId="0"/>
    <xf numFmtId="180" fontId="29" fillId="0" borderId="0"/>
    <xf numFmtId="180" fontId="29" fillId="0" borderId="0"/>
    <xf numFmtId="180" fontId="29" fillId="0" borderId="0"/>
    <xf numFmtId="0" fontId="29" fillId="0" borderId="0"/>
    <xf numFmtId="180" fontId="29" fillId="0" borderId="0"/>
    <xf numFmtId="180" fontId="29" fillId="0" borderId="0"/>
    <xf numFmtId="9" fontId="29" fillId="0" borderId="0" applyFont="0" applyFill="0" applyBorder="0" applyAlignment="0" applyProtection="0"/>
    <xf numFmtId="170" fontId="52" fillId="0" borderId="0" applyFont="0" applyFill="0" applyBorder="0" applyAlignment="0" applyProtection="0"/>
    <xf numFmtId="168" fontId="28" fillId="0" borderId="0" applyFont="0" applyFill="0" applyBorder="0" applyAlignment="0" applyProtection="0"/>
    <xf numFmtId="168" fontId="28" fillId="0" borderId="0" applyFont="0" applyFill="0" applyBorder="0" applyAlignment="0" applyProtection="0"/>
    <xf numFmtId="168" fontId="28" fillId="0" borderId="0" applyFont="0" applyFill="0" applyBorder="0" applyAlignment="0" applyProtection="0"/>
    <xf numFmtId="168" fontId="28" fillId="0" borderId="0" applyFont="0" applyFill="0" applyBorder="0" applyAlignment="0" applyProtection="0"/>
    <xf numFmtId="168" fontId="28" fillId="0" borderId="0" applyFont="0" applyFill="0" applyBorder="0" applyAlignment="0" applyProtection="0"/>
    <xf numFmtId="168" fontId="28" fillId="0" borderId="0" applyFont="0" applyFill="0" applyBorder="0" applyAlignment="0" applyProtection="0"/>
    <xf numFmtId="168"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2" fontId="28" fillId="0" borderId="0" applyFont="0" applyFill="0" applyBorder="0" applyAlignment="0" applyProtection="0"/>
    <xf numFmtId="173" fontId="28" fillId="0" borderId="0" applyFont="0" applyFill="0" applyBorder="0" applyAlignment="0" applyProtection="0"/>
    <xf numFmtId="180" fontId="28" fillId="0" borderId="0"/>
    <xf numFmtId="0" fontId="28" fillId="0" borderId="0"/>
    <xf numFmtId="0" fontId="28" fillId="0" borderId="0"/>
    <xf numFmtId="0" fontId="28" fillId="0" borderId="0"/>
    <xf numFmtId="0" fontId="28" fillId="0" borderId="0"/>
    <xf numFmtId="0" fontId="28" fillId="0" borderId="0"/>
    <xf numFmtId="180" fontId="28" fillId="0" borderId="0"/>
    <xf numFmtId="180" fontId="28" fillId="0" borderId="0"/>
    <xf numFmtId="0" fontId="28" fillId="0" borderId="0"/>
    <xf numFmtId="180" fontId="28" fillId="0" borderId="0"/>
    <xf numFmtId="180" fontId="28" fillId="0" borderId="0"/>
    <xf numFmtId="180" fontId="28" fillId="0" borderId="0"/>
    <xf numFmtId="0" fontId="28" fillId="0" borderId="0"/>
    <xf numFmtId="180" fontId="28" fillId="0" borderId="0"/>
    <xf numFmtId="180" fontId="28" fillId="0" borderId="0"/>
    <xf numFmtId="9" fontId="28" fillId="0" borderId="0" applyFont="0" applyFill="0" applyBorder="0" applyAlignment="0" applyProtection="0"/>
    <xf numFmtId="170" fontId="52" fillId="0" borderId="0" applyFont="0" applyFill="0" applyBorder="0" applyAlignment="0" applyProtection="0"/>
    <xf numFmtId="168" fontId="27" fillId="0" borderId="0" applyFont="0" applyFill="0" applyBorder="0" applyAlignment="0" applyProtection="0"/>
    <xf numFmtId="168" fontId="27" fillId="0" borderId="0" applyFont="0" applyFill="0" applyBorder="0" applyAlignment="0" applyProtection="0"/>
    <xf numFmtId="168" fontId="27" fillId="0" borderId="0" applyFont="0" applyFill="0" applyBorder="0" applyAlignment="0" applyProtection="0"/>
    <xf numFmtId="168" fontId="27" fillId="0" borderId="0" applyFont="0" applyFill="0" applyBorder="0" applyAlignment="0" applyProtection="0"/>
    <xf numFmtId="168" fontId="27" fillId="0" borderId="0" applyFont="0" applyFill="0" applyBorder="0" applyAlignment="0" applyProtection="0"/>
    <xf numFmtId="168" fontId="27" fillId="0" borderId="0" applyFont="0" applyFill="0" applyBorder="0" applyAlignment="0" applyProtection="0"/>
    <xf numFmtId="168" fontId="27" fillId="0" borderId="0" applyFont="0" applyFill="0" applyBorder="0" applyAlignment="0" applyProtection="0"/>
    <xf numFmtId="170" fontId="27" fillId="0" borderId="0" applyFont="0" applyFill="0" applyBorder="0" applyAlignment="0" applyProtection="0"/>
    <xf numFmtId="170" fontId="27" fillId="0" borderId="0" applyFont="0" applyFill="0" applyBorder="0" applyAlignment="0" applyProtection="0"/>
    <xf numFmtId="170" fontId="27" fillId="0" borderId="0" applyFont="0" applyFill="0" applyBorder="0" applyAlignment="0" applyProtection="0"/>
    <xf numFmtId="170" fontId="27" fillId="0" borderId="0" applyFont="0" applyFill="0" applyBorder="0" applyAlignment="0" applyProtection="0"/>
    <xf numFmtId="170" fontId="27" fillId="0" borderId="0" applyFont="0" applyFill="0" applyBorder="0" applyAlignment="0" applyProtection="0"/>
    <xf numFmtId="170" fontId="27" fillId="0" borderId="0" applyFont="0" applyFill="0" applyBorder="0" applyAlignment="0" applyProtection="0"/>
    <xf numFmtId="170" fontId="27" fillId="0" borderId="0" applyFont="0" applyFill="0" applyBorder="0" applyAlignment="0" applyProtection="0"/>
    <xf numFmtId="170" fontId="27" fillId="0" borderId="0" applyFont="0" applyFill="0" applyBorder="0" applyAlignment="0" applyProtection="0"/>
    <xf numFmtId="170" fontId="27" fillId="0" borderId="0" applyFont="0" applyFill="0" applyBorder="0" applyAlignment="0" applyProtection="0"/>
    <xf numFmtId="170" fontId="27" fillId="0" borderId="0" applyFont="0" applyFill="0" applyBorder="0" applyAlignment="0" applyProtection="0"/>
    <xf numFmtId="170" fontId="27" fillId="0" borderId="0" applyFont="0" applyFill="0" applyBorder="0" applyAlignment="0" applyProtection="0"/>
    <xf numFmtId="172" fontId="27" fillId="0" borderId="0" applyFont="0" applyFill="0" applyBorder="0" applyAlignment="0" applyProtection="0"/>
    <xf numFmtId="173" fontId="27" fillId="0" borderId="0" applyFont="0" applyFill="0" applyBorder="0" applyAlignment="0" applyProtection="0"/>
    <xf numFmtId="180" fontId="27" fillId="0" borderId="0"/>
    <xf numFmtId="0" fontId="27" fillId="0" borderId="0"/>
    <xf numFmtId="0" fontId="27" fillId="0" borderId="0"/>
    <xf numFmtId="0" fontId="27" fillId="0" borderId="0"/>
    <xf numFmtId="170" fontId="52" fillId="0" borderId="0" applyFont="0" applyFill="0" applyBorder="0" applyAlignment="0" applyProtection="0"/>
    <xf numFmtId="0" fontId="27" fillId="0" borderId="0"/>
    <xf numFmtId="0" fontId="27" fillId="0" borderId="0"/>
    <xf numFmtId="180" fontId="27" fillId="0" borderId="0"/>
    <xf numFmtId="180" fontId="27" fillId="0" borderId="0"/>
    <xf numFmtId="0" fontId="27" fillId="0" borderId="0"/>
    <xf numFmtId="180" fontId="27" fillId="0" borderId="0"/>
    <xf numFmtId="180" fontId="27" fillId="0" borderId="0"/>
    <xf numFmtId="180" fontId="27" fillId="0" borderId="0"/>
    <xf numFmtId="0" fontId="27" fillId="0" borderId="0"/>
    <xf numFmtId="180" fontId="27" fillId="0" borderId="0"/>
    <xf numFmtId="180" fontId="27" fillId="0" borderId="0"/>
    <xf numFmtId="9" fontId="27" fillId="0" borderId="0" applyFont="0" applyFill="0" applyBorder="0" applyAlignment="0" applyProtection="0"/>
    <xf numFmtId="170" fontId="52"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70" fontId="26" fillId="0" borderId="0" applyFont="0" applyFill="0" applyBorder="0" applyAlignment="0" applyProtection="0"/>
    <xf numFmtId="170" fontId="26" fillId="0" borderId="0" applyFont="0" applyFill="0" applyBorder="0" applyAlignment="0" applyProtection="0"/>
    <xf numFmtId="170" fontId="26" fillId="0" borderId="0" applyFont="0" applyFill="0" applyBorder="0" applyAlignment="0" applyProtection="0"/>
    <xf numFmtId="170" fontId="26" fillId="0" borderId="0" applyFont="0" applyFill="0" applyBorder="0" applyAlignment="0" applyProtection="0"/>
    <xf numFmtId="170" fontId="26" fillId="0" borderId="0" applyFont="0" applyFill="0" applyBorder="0" applyAlignment="0" applyProtection="0"/>
    <xf numFmtId="170" fontId="26" fillId="0" borderId="0" applyFont="0" applyFill="0" applyBorder="0" applyAlignment="0" applyProtection="0"/>
    <xf numFmtId="170" fontId="26" fillId="0" borderId="0" applyFont="0" applyFill="0" applyBorder="0" applyAlignment="0" applyProtection="0"/>
    <xf numFmtId="170" fontId="26" fillId="0" borderId="0" applyFont="0" applyFill="0" applyBorder="0" applyAlignment="0" applyProtection="0"/>
    <xf numFmtId="170" fontId="26" fillId="0" borderId="0" applyFont="0" applyFill="0" applyBorder="0" applyAlignment="0" applyProtection="0"/>
    <xf numFmtId="170" fontId="26" fillId="0" borderId="0" applyFont="0" applyFill="0" applyBorder="0" applyAlignment="0" applyProtection="0"/>
    <xf numFmtId="170" fontId="26" fillId="0" borderId="0" applyFont="0" applyFill="0" applyBorder="0" applyAlignment="0" applyProtection="0"/>
    <xf numFmtId="172" fontId="26" fillId="0" borderId="0" applyFont="0" applyFill="0" applyBorder="0" applyAlignment="0" applyProtection="0"/>
    <xf numFmtId="173" fontId="26" fillId="0" borderId="0" applyFont="0" applyFill="0" applyBorder="0" applyAlignment="0" applyProtection="0"/>
    <xf numFmtId="180" fontId="26" fillId="0" borderId="0"/>
    <xf numFmtId="0" fontId="26" fillId="0" borderId="0"/>
    <xf numFmtId="0" fontId="26" fillId="0" borderId="0"/>
    <xf numFmtId="0" fontId="26" fillId="0" borderId="0"/>
    <xf numFmtId="0" fontId="26" fillId="0" borderId="0"/>
    <xf numFmtId="0" fontId="26" fillId="0" borderId="0"/>
    <xf numFmtId="180" fontId="26" fillId="0" borderId="0"/>
    <xf numFmtId="180" fontId="26" fillId="0" borderId="0"/>
    <xf numFmtId="0" fontId="26" fillId="0" borderId="0"/>
    <xf numFmtId="180" fontId="26" fillId="0" borderId="0"/>
    <xf numFmtId="180" fontId="26" fillId="0" borderId="0"/>
    <xf numFmtId="180" fontId="26" fillId="0" borderId="0"/>
    <xf numFmtId="0" fontId="26" fillId="0" borderId="0"/>
    <xf numFmtId="180" fontId="26" fillId="0" borderId="0"/>
    <xf numFmtId="180" fontId="26" fillId="0" borderId="0"/>
    <xf numFmtId="9" fontId="26" fillId="0" borderId="0" applyFont="0" applyFill="0" applyBorder="0" applyAlignment="0" applyProtection="0"/>
    <xf numFmtId="170" fontId="52" fillId="0" borderId="0" applyFont="0" applyFill="0" applyBorder="0" applyAlignment="0" applyProtection="0"/>
    <xf numFmtId="168" fontId="25" fillId="0" borderId="0" applyFont="0" applyFill="0" applyBorder="0" applyAlignment="0" applyProtection="0"/>
    <xf numFmtId="168" fontId="25" fillId="0" borderId="0" applyFont="0" applyFill="0" applyBorder="0" applyAlignment="0" applyProtection="0"/>
    <xf numFmtId="168" fontId="25" fillId="0" borderId="0" applyFont="0" applyFill="0" applyBorder="0" applyAlignment="0" applyProtection="0"/>
    <xf numFmtId="168" fontId="25" fillId="0" borderId="0" applyFont="0" applyFill="0" applyBorder="0" applyAlignment="0" applyProtection="0"/>
    <xf numFmtId="168" fontId="25" fillId="0" borderId="0" applyFont="0" applyFill="0" applyBorder="0" applyAlignment="0" applyProtection="0"/>
    <xf numFmtId="168" fontId="25" fillId="0" borderId="0" applyFont="0" applyFill="0" applyBorder="0" applyAlignment="0" applyProtection="0"/>
    <xf numFmtId="168" fontId="25" fillId="0" borderId="0" applyFont="0" applyFill="0" applyBorder="0" applyAlignment="0" applyProtection="0"/>
    <xf numFmtId="170" fontId="25" fillId="0" borderId="0" applyFont="0" applyFill="0" applyBorder="0" applyAlignment="0" applyProtection="0"/>
    <xf numFmtId="170" fontId="25" fillId="0" borderId="0" applyFont="0" applyFill="0" applyBorder="0" applyAlignment="0" applyProtection="0"/>
    <xf numFmtId="170" fontId="25" fillId="0" borderId="0" applyFont="0" applyFill="0" applyBorder="0" applyAlignment="0" applyProtection="0"/>
    <xf numFmtId="170" fontId="25" fillId="0" borderId="0" applyFont="0" applyFill="0" applyBorder="0" applyAlignment="0" applyProtection="0"/>
    <xf numFmtId="170" fontId="25" fillId="0" borderId="0" applyFont="0" applyFill="0" applyBorder="0" applyAlignment="0" applyProtection="0"/>
    <xf numFmtId="170" fontId="25" fillId="0" borderId="0" applyFont="0" applyFill="0" applyBorder="0" applyAlignment="0" applyProtection="0"/>
    <xf numFmtId="170" fontId="25" fillId="0" borderId="0" applyFont="0" applyFill="0" applyBorder="0" applyAlignment="0" applyProtection="0"/>
    <xf numFmtId="170" fontId="25" fillId="0" borderId="0" applyFont="0" applyFill="0" applyBorder="0" applyAlignment="0" applyProtection="0"/>
    <xf numFmtId="170" fontId="25" fillId="0" borderId="0" applyFont="0" applyFill="0" applyBorder="0" applyAlignment="0" applyProtection="0"/>
    <xf numFmtId="170" fontId="25" fillId="0" borderId="0" applyFont="0" applyFill="0" applyBorder="0" applyAlignment="0" applyProtection="0"/>
    <xf numFmtId="170" fontId="25" fillId="0" borderId="0" applyFont="0" applyFill="0" applyBorder="0" applyAlignment="0" applyProtection="0"/>
    <xf numFmtId="172" fontId="25" fillId="0" borderId="0" applyFont="0" applyFill="0" applyBorder="0" applyAlignment="0" applyProtection="0"/>
    <xf numFmtId="173" fontId="25" fillId="0" borderId="0" applyFont="0" applyFill="0" applyBorder="0" applyAlignment="0" applyProtection="0"/>
    <xf numFmtId="180" fontId="25" fillId="0" borderId="0"/>
    <xf numFmtId="0" fontId="25" fillId="0" borderId="0"/>
    <xf numFmtId="0" fontId="25" fillId="0" borderId="0"/>
    <xf numFmtId="0" fontId="25" fillId="0" borderId="0"/>
    <xf numFmtId="170" fontId="52" fillId="0" borderId="0" applyFont="0" applyFill="0" applyBorder="0" applyAlignment="0" applyProtection="0"/>
    <xf numFmtId="0" fontId="25" fillId="0" borderId="0"/>
    <xf numFmtId="0" fontId="25" fillId="0" borderId="0"/>
    <xf numFmtId="180" fontId="25" fillId="0" borderId="0"/>
    <xf numFmtId="180" fontId="25" fillId="0" borderId="0"/>
    <xf numFmtId="0" fontId="25" fillId="0" borderId="0"/>
    <xf numFmtId="180" fontId="25" fillId="0" borderId="0"/>
    <xf numFmtId="180" fontId="25" fillId="0" borderId="0"/>
    <xf numFmtId="180" fontId="25" fillId="0" borderId="0"/>
    <xf numFmtId="0" fontId="25" fillId="0" borderId="0"/>
    <xf numFmtId="180" fontId="25" fillId="0" borderId="0"/>
    <xf numFmtId="180" fontId="25" fillId="0" borderId="0"/>
    <xf numFmtId="9" fontId="25" fillId="0" borderId="0" applyFont="0" applyFill="0" applyBorder="0" applyAlignment="0" applyProtection="0"/>
    <xf numFmtId="170" fontId="52" fillId="0" borderId="0" applyFont="0" applyFill="0" applyBorder="0" applyAlignment="0" applyProtection="0"/>
    <xf numFmtId="168" fontId="24" fillId="0" borderId="0" applyFont="0" applyFill="0" applyBorder="0" applyAlignment="0" applyProtection="0"/>
    <xf numFmtId="168" fontId="24" fillId="0" borderId="0" applyFont="0" applyFill="0" applyBorder="0" applyAlignment="0" applyProtection="0"/>
    <xf numFmtId="168" fontId="24" fillId="0" borderId="0" applyFont="0" applyFill="0" applyBorder="0" applyAlignment="0" applyProtection="0"/>
    <xf numFmtId="168" fontId="24" fillId="0" borderId="0" applyFont="0" applyFill="0" applyBorder="0" applyAlignment="0" applyProtection="0"/>
    <xf numFmtId="168" fontId="24" fillId="0" borderId="0" applyFont="0" applyFill="0" applyBorder="0" applyAlignment="0" applyProtection="0"/>
    <xf numFmtId="168" fontId="24" fillId="0" borderId="0" applyFont="0" applyFill="0" applyBorder="0" applyAlignment="0" applyProtection="0"/>
    <xf numFmtId="168" fontId="24" fillId="0" borderId="0" applyFont="0" applyFill="0" applyBorder="0" applyAlignment="0" applyProtection="0"/>
    <xf numFmtId="170" fontId="24" fillId="0" borderId="0" applyFont="0" applyFill="0" applyBorder="0" applyAlignment="0" applyProtection="0"/>
    <xf numFmtId="170" fontId="24" fillId="0" borderId="0" applyFont="0" applyFill="0" applyBorder="0" applyAlignment="0" applyProtection="0"/>
    <xf numFmtId="170" fontId="24" fillId="0" borderId="0" applyFont="0" applyFill="0" applyBorder="0" applyAlignment="0" applyProtection="0"/>
    <xf numFmtId="170" fontId="24" fillId="0" borderId="0" applyFont="0" applyFill="0" applyBorder="0" applyAlignment="0" applyProtection="0"/>
    <xf numFmtId="170" fontId="24" fillId="0" borderId="0" applyFont="0" applyFill="0" applyBorder="0" applyAlignment="0" applyProtection="0"/>
    <xf numFmtId="170" fontId="24" fillId="0" borderId="0" applyFont="0" applyFill="0" applyBorder="0" applyAlignment="0" applyProtection="0"/>
    <xf numFmtId="170" fontId="24" fillId="0" borderId="0" applyFont="0" applyFill="0" applyBorder="0" applyAlignment="0" applyProtection="0"/>
    <xf numFmtId="170" fontId="24" fillId="0" borderId="0" applyFont="0" applyFill="0" applyBorder="0" applyAlignment="0" applyProtection="0"/>
    <xf numFmtId="170" fontId="24" fillId="0" borderId="0" applyFont="0" applyFill="0" applyBorder="0" applyAlignment="0" applyProtection="0"/>
    <xf numFmtId="170" fontId="24" fillId="0" borderId="0" applyFont="0" applyFill="0" applyBorder="0" applyAlignment="0" applyProtection="0"/>
    <xf numFmtId="170" fontId="24" fillId="0" borderId="0" applyFont="0" applyFill="0" applyBorder="0" applyAlignment="0" applyProtection="0"/>
    <xf numFmtId="172" fontId="24" fillId="0" borderId="0" applyFont="0" applyFill="0" applyBorder="0" applyAlignment="0" applyProtection="0"/>
    <xf numFmtId="173" fontId="24" fillId="0" borderId="0" applyFont="0" applyFill="0" applyBorder="0" applyAlignment="0" applyProtection="0"/>
    <xf numFmtId="180" fontId="24" fillId="0" borderId="0"/>
    <xf numFmtId="0" fontId="24" fillId="0" borderId="0"/>
    <xf numFmtId="0" fontId="24" fillId="0" borderId="0"/>
    <xf numFmtId="0" fontId="24" fillId="0" borderId="0"/>
    <xf numFmtId="0" fontId="24" fillId="0" borderId="0"/>
    <xf numFmtId="0" fontId="24" fillId="0" borderId="0"/>
    <xf numFmtId="180" fontId="24" fillId="0" borderId="0"/>
    <xf numFmtId="180" fontId="24" fillId="0" borderId="0"/>
    <xf numFmtId="0" fontId="24" fillId="0" borderId="0"/>
    <xf numFmtId="180" fontId="24" fillId="0" borderId="0"/>
    <xf numFmtId="180" fontId="24" fillId="0" borderId="0"/>
    <xf numFmtId="180" fontId="24" fillId="0" borderId="0"/>
    <xf numFmtId="0" fontId="24" fillId="0" borderId="0"/>
    <xf numFmtId="180" fontId="24" fillId="0" borderId="0"/>
    <xf numFmtId="180" fontId="24" fillId="0" borderId="0"/>
    <xf numFmtId="9" fontId="24" fillId="0" borderId="0" applyFont="0" applyFill="0" applyBorder="0" applyAlignment="0" applyProtection="0"/>
    <xf numFmtId="170" fontId="52" fillId="0" borderId="0" applyFont="0" applyFill="0" applyBorder="0" applyAlignment="0" applyProtection="0"/>
    <xf numFmtId="168" fontId="23" fillId="0" borderId="0" applyFont="0" applyFill="0" applyBorder="0" applyAlignment="0" applyProtection="0"/>
    <xf numFmtId="168" fontId="23" fillId="0" borderId="0" applyFont="0" applyFill="0" applyBorder="0" applyAlignment="0" applyProtection="0"/>
    <xf numFmtId="168" fontId="23" fillId="0" borderId="0" applyFont="0" applyFill="0" applyBorder="0" applyAlignment="0" applyProtection="0"/>
    <xf numFmtId="168" fontId="23" fillId="0" borderId="0" applyFont="0" applyFill="0" applyBorder="0" applyAlignment="0" applyProtection="0"/>
    <xf numFmtId="168" fontId="23" fillId="0" borderId="0" applyFont="0" applyFill="0" applyBorder="0" applyAlignment="0" applyProtection="0"/>
    <xf numFmtId="168" fontId="23" fillId="0" borderId="0" applyFont="0" applyFill="0" applyBorder="0" applyAlignment="0" applyProtection="0"/>
    <xf numFmtId="168" fontId="23" fillId="0" borderId="0" applyFont="0" applyFill="0" applyBorder="0" applyAlignment="0" applyProtection="0"/>
    <xf numFmtId="170" fontId="23" fillId="0" borderId="0" applyFont="0" applyFill="0" applyBorder="0" applyAlignment="0" applyProtection="0"/>
    <xf numFmtId="170" fontId="23" fillId="0" borderId="0" applyFont="0" applyFill="0" applyBorder="0" applyAlignment="0" applyProtection="0"/>
    <xf numFmtId="170" fontId="23" fillId="0" borderId="0" applyFont="0" applyFill="0" applyBorder="0" applyAlignment="0" applyProtection="0"/>
    <xf numFmtId="170" fontId="23" fillId="0" borderId="0" applyFont="0" applyFill="0" applyBorder="0" applyAlignment="0" applyProtection="0"/>
    <xf numFmtId="170" fontId="23" fillId="0" borderId="0" applyFont="0" applyFill="0" applyBorder="0" applyAlignment="0" applyProtection="0"/>
    <xf numFmtId="170" fontId="23" fillId="0" borderId="0" applyFont="0" applyFill="0" applyBorder="0" applyAlignment="0" applyProtection="0"/>
    <xf numFmtId="170" fontId="23" fillId="0" borderId="0" applyFont="0" applyFill="0" applyBorder="0" applyAlignment="0" applyProtection="0"/>
    <xf numFmtId="170" fontId="23" fillId="0" borderId="0" applyFont="0" applyFill="0" applyBorder="0" applyAlignment="0" applyProtection="0"/>
    <xf numFmtId="170" fontId="23" fillId="0" borderId="0" applyFont="0" applyFill="0" applyBorder="0" applyAlignment="0" applyProtection="0"/>
    <xf numFmtId="170" fontId="23" fillId="0" borderId="0" applyFont="0" applyFill="0" applyBorder="0" applyAlignment="0" applyProtection="0"/>
    <xf numFmtId="170" fontId="23" fillId="0" borderId="0" applyFont="0" applyFill="0" applyBorder="0" applyAlignment="0" applyProtection="0"/>
    <xf numFmtId="172" fontId="23" fillId="0" borderId="0" applyFont="0" applyFill="0" applyBorder="0" applyAlignment="0" applyProtection="0"/>
    <xf numFmtId="173" fontId="23" fillId="0" borderId="0" applyFont="0" applyFill="0" applyBorder="0" applyAlignment="0" applyProtection="0"/>
    <xf numFmtId="180" fontId="23" fillId="0" borderId="0"/>
    <xf numFmtId="0" fontId="23" fillId="0" borderId="0"/>
    <xf numFmtId="0" fontId="23" fillId="0" borderId="0"/>
    <xf numFmtId="0" fontId="23" fillId="0" borderId="0"/>
    <xf numFmtId="0" fontId="23" fillId="0" borderId="0"/>
    <xf numFmtId="0" fontId="23" fillId="0" borderId="0"/>
    <xf numFmtId="180" fontId="23" fillId="0" borderId="0"/>
    <xf numFmtId="180" fontId="23" fillId="0" borderId="0"/>
    <xf numFmtId="0" fontId="23" fillId="0" borderId="0"/>
    <xf numFmtId="180" fontId="23" fillId="0" borderId="0"/>
    <xf numFmtId="180" fontId="23" fillId="0" borderId="0"/>
    <xf numFmtId="180" fontId="23" fillId="0" borderId="0"/>
    <xf numFmtId="0" fontId="23" fillId="0" borderId="0"/>
    <xf numFmtId="180" fontId="23" fillId="0" borderId="0"/>
    <xf numFmtId="180" fontId="23" fillId="0" borderId="0"/>
    <xf numFmtId="9" fontId="23" fillId="0" borderId="0" applyFont="0" applyFill="0" applyBorder="0" applyAlignment="0" applyProtection="0"/>
    <xf numFmtId="18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180" fontId="22" fillId="0" borderId="0"/>
    <xf numFmtId="180" fontId="22" fillId="0" borderId="0"/>
    <xf numFmtId="0" fontId="22" fillId="0" borderId="0"/>
    <xf numFmtId="180" fontId="22" fillId="0" borderId="0"/>
    <xf numFmtId="180" fontId="22" fillId="0" borderId="0"/>
    <xf numFmtId="180" fontId="22" fillId="0" borderId="0"/>
    <xf numFmtId="0" fontId="22" fillId="0" borderId="0"/>
    <xf numFmtId="180" fontId="22" fillId="0" borderId="0"/>
    <xf numFmtId="180" fontId="22" fillId="0" borderId="0"/>
    <xf numFmtId="168" fontId="22" fillId="0" borderId="0" applyFont="0" applyFill="0" applyBorder="0" applyAlignment="0" applyProtection="0"/>
    <xf numFmtId="168" fontId="22" fillId="0" borderId="0" applyFont="0" applyFill="0" applyBorder="0" applyAlignment="0" applyProtection="0"/>
    <xf numFmtId="168" fontId="22" fillId="0" borderId="0" applyFont="0" applyFill="0" applyBorder="0" applyAlignment="0" applyProtection="0"/>
    <xf numFmtId="168" fontId="22" fillId="0" borderId="0" applyFont="0" applyFill="0" applyBorder="0" applyAlignment="0" applyProtection="0"/>
    <xf numFmtId="168" fontId="22" fillId="0" borderId="0" applyFont="0" applyFill="0" applyBorder="0" applyAlignment="0" applyProtection="0"/>
    <xf numFmtId="168" fontId="22" fillId="0" borderId="0" applyFont="0" applyFill="0" applyBorder="0" applyAlignment="0" applyProtection="0"/>
    <xf numFmtId="168" fontId="22" fillId="0" borderId="0" applyFont="0" applyFill="0" applyBorder="0" applyAlignment="0" applyProtection="0"/>
    <xf numFmtId="170" fontId="22" fillId="0" borderId="0" applyFont="0" applyFill="0" applyBorder="0" applyAlignment="0" applyProtection="0"/>
    <xf numFmtId="170" fontId="22" fillId="0" borderId="0" applyFont="0" applyFill="0" applyBorder="0" applyAlignment="0" applyProtection="0"/>
    <xf numFmtId="170" fontId="22" fillId="0" borderId="0" applyFont="0" applyFill="0" applyBorder="0" applyAlignment="0" applyProtection="0"/>
    <xf numFmtId="170" fontId="22" fillId="0" borderId="0" applyFont="0" applyFill="0" applyBorder="0" applyAlignment="0" applyProtection="0"/>
    <xf numFmtId="170" fontId="22" fillId="0" borderId="0" applyFont="0" applyFill="0" applyBorder="0" applyAlignment="0" applyProtection="0"/>
    <xf numFmtId="170" fontId="22" fillId="0" borderId="0" applyFont="0" applyFill="0" applyBorder="0" applyAlignment="0" applyProtection="0"/>
    <xf numFmtId="170" fontId="22" fillId="0" borderId="0" applyFont="0" applyFill="0" applyBorder="0" applyAlignment="0" applyProtection="0"/>
    <xf numFmtId="170" fontId="22" fillId="0" borderId="0" applyFont="0" applyFill="0" applyBorder="0" applyAlignment="0" applyProtection="0"/>
    <xf numFmtId="170" fontId="22" fillId="0" borderId="0" applyFont="0" applyFill="0" applyBorder="0" applyAlignment="0" applyProtection="0"/>
    <xf numFmtId="170" fontId="22" fillId="0" borderId="0" applyFont="0" applyFill="0" applyBorder="0" applyAlignment="0" applyProtection="0"/>
    <xf numFmtId="170" fontId="22" fillId="0" borderId="0" applyFont="0" applyFill="0" applyBorder="0" applyAlignment="0" applyProtection="0"/>
    <xf numFmtId="172" fontId="22" fillId="0" borderId="0" applyFont="0" applyFill="0" applyBorder="0" applyAlignment="0" applyProtection="0"/>
    <xf numFmtId="173" fontId="22" fillId="0" borderId="0" applyFont="0" applyFill="0" applyBorder="0" applyAlignment="0" applyProtection="0"/>
    <xf numFmtId="180" fontId="22" fillId="0" borderId="0"/>
    <xf numFmtId="0" fontId="22" fillId="0" borderId="0"/>
    <xf numFmtId="0" fontId="22" fillId="0" borderId="0"/>
    <xf numFmtId="0" fontId="22" fillId="0" borderId="0"/>
    <xf numFmtId="0" fontId="22" fillId="0" borderId="0"/>
    <xf numFmtId="0" fontId="22" fillId="0" borderId="0"/>
    <xf numFmtId="180" fontId="22" fillId="0" borderId="0"/>
    <xf numFmtId="180" fontId="22" fillId="0" borderId="0"/>
    <xf numFmtId="0" fontId="22" fillId="0" borderId="0"/>
    <xf numFmtId="180" fontId="22" fillId="0" borderId="0"/>
    <xf numFmtId="180" fontId="22" fillId="0" borderId="0"/>
    <xf numFmtId="180" fontId="22" fillId="0" borderId="0"/>
    <xf numFmtId="0" fontId="22" fillId="0" borderId="0"/>
    <xf numFmtId="180" fontId="22" fillId="0" borderId="0"/>
    <xf numFmtId="180" fontId="22" fillId="0" borderId="0"/>
    <xf numFmtId="9" fontId="22" fillId="0" borderId="0" applyFont="0" applyFill="0" applyBorder="0" applyAlignment="0" applyProtection="0"/>
    <xf numFmtId="0" fontId="22" fillId="0" borderId="0"/>
    <xf numFmtId="168" fontId="22" fillId="0" borderId="0" applyFont="0" applyFill="0" applyBorder="0" applyAlignment="0" applyProtection="0"/>
    <xf numFmtId="168" fontId="22" fillId="0" borderId="0" applyFont="0" applyFill="0" applyBorder="0" applyAlignment="0" applyProtection="0"/>
    <xf numFmtId="168" fontId="22" fillId="0" borderId="0" applyFont="0" applyFill="0" applyBorder="0" applyAlignment="0" applyProtection="0"/>
    <xf numFmtId="168" fontId="22" fillId="0" borderId="0" applyFont="0" applyFill="0" applyBorder="0" applyAlignment="0" applyProtection="0"/>
    <xf numFmtId="168" fontId="22" fillId="0" borderId="0" applyFont="0" applyFill="0" applyBorder="0" applyAlignment="0" applyProtection="0"/>
    <xf numFmtId="168" fontId="22" fillId="0" borderId="0" applyFont="0" applyFill="0" applyBorder="0" applyAlignment="0" applyProtection="0"/>
    <xf numFmtId="168" fontId="22" fillId="0" borderId="0" applyFont="0" applyFill="0" applyBorder="0" applyAlignment="0" applyProtection="0"/>
    <xf numFmtId="168" fontId="22" fillId="0" borderId="0" applyFont="0" applyFill="0" applyBorder="0" applyAlignment="0" applyProtection="0"/>
    <xf numFmtId="170" fontId="22" fillId="0" borderId="0" applyFont="0" applyFill="0" applyBorder="0" applyAlignment="0" applyProtection="0"/>
    <xf numFmtId="170" fontId="22" fillId="0" borderId="0" applyFont="0" applyFill="0" applyBorder="0" applyAlignment="0" applyProtection="0"/>
    <xf numFmtId="170" fontId="22" fillId="0" borderId="0" applyFont="0" applyFill="0" applyBorder="0" applyAlignment="0" applyProtection="0"/>
    <xf numFmtId="170" fontId="22" fillId="0" borderId="0" applyFont="0" applyFill="0" applyBorder="0" applyAlignment="0" applyProtection="0"/>
    <xf numFmtId="170" fontId="22" fillId="0" borderId="0" applyFont="0" applyFill="0" applyBorder="0" applyAlignment="0" applyProtection="0"/>
    <xf numFmtId="170" fontId="22" fillId="0" borderId="0" applyFont="0" applyFill="0" applyBorder="0" applyAlignment="0" applyProtection="0"/>
    <xf numFmtId="170" fontId="22" fillId="0" borderId="0" applyFont="0" applyFill="0" applyBorder="0" applyAlignment="0" applyProtection="0"/>
    <xf numFmtId="170" fontId="22" fillId="0" borderId="0" applyFont="0" applyFill="0" applyBorder="0" applyAlignment="0" applyProtection="0"/>
    <xf numFmtId="170" fontId="22" fillId="0" borderId="0" applyFont="0" applyFill="0" applyBorder="0" applyAlignment="0" applyProtection="0"/>
    <xf numFmtId="170" fontId="22" fillId="0" borderId="0" applyFont="0" applyFill="0" applyBorder="0" applyAlignment="0" applyProtection="0"/>
    <xf numFmtId="170" fontId="22" fillId="0" borderId="0" applyFont="0" applyFill="0" applyBorder="0" applyAlignment="0" applyProtection="0"/>
    <xf numFmtId="172" fontId="22" fillId="0" borderId="0" applyFont="0" applyFill="0" applyBorder="0" applyAlignment="0" applyProtection="0"/>
    <xf numFmtId="173" fontId="22" fillId="0" borderId="0" applyFont="0" applyFill="0" applyBorder="0" applyAlignment="0" applyProtection="0"/>
    <xf numFmtId="180" fontId="22" fillId="0" borderId="0"/>
    <xf numFmtId="0" fontId="22" fillId="0" borderId="0"/>
    <xf numFmtId="0" fontId="22" fillId="0" borderId="0"/>
    <xf numFmtId="0" fontId="22" fillId="0" borderId="0"/>
    <xf numFmtId="0" fontId="22" fillId="0" borderId="0"/>
    <xf numFmtId="0" fontId="22" fillId="0" borderId="0"/>
    <xf numFmtId="180" fontId="22" fillId="0" borderId="0"/>
    <xf numFmtId="180" fontId="22" fillId="0" borderId="0"/>
    <xf numFmtId="0" fontId="22" fillId="0" borderId="0"/>
    <xf numFmtId="180" fontId="22" fillId="0" borderId="0"/>
    <xf numFmtId="180" fontId="22" fillId="0" borderId="0"/>
    <xf numFmtId="180" fontId="22" fillId="0" borderId="0"/>
    <xf numFmtId="0" fontId="22" fillId="0" borderId="0"/>
    <xf numFmtId="180" fontId="22" fillId="0" borderId="0"/>
    <xf numFmtId="180" fontId="22" fillId="0" borderId="0"/>
    <xf numFmtId="9" fontId="22" fillId="0" borderId="0" applyFont="0" applyFill="0" applyBorder="0" applyAlignment="0" applyProtection="0"/>
    <xf numFmtId="168" fontId="22" fillId="0" borderId="0" applyFont="0" applyFill="0" applyBorder="0" applyAlignment="0" applyProtection="0"/>
    <xf numFmtId="168" fontId="22" fillId="0" borderId="0" applyFont="0" applyFill="0" applyBorder="0" applyAlignment="0" applyProtection="0"/>
    <xf numFmtId="168" fontId="22" fillId="0" borderId="0" applyFont="0" applyFill="0" applyBorder="0" applyAlignment="0" applyProtection="0"/>
    <xf numFmtId="168" fontId="22" fillId="0" borderId="0" applyFont="0" applyFill="0" applyBorder="0" applyAlignment="0" applyProtection="0"/>
    <xf numFmtId="168" fontId="22" fillId="0" borderId="0" applyFont="0" applyFill="0" applyBorder="0" applyAlignment="0" applyProtection="0"/>
    <xf numFmtId="168" fontId="22" fillId="0" borderId="0" applyFont="0" applyFill="0" applyBorder="0" applyAlignment="0" applyProtection="0"/>
    <xf numFmtId="168" fontId="22" fillId="0" borderId="0" applyFont="0" applyFill="0" applyBorder="0" applyAlignment="0" applyProtection="0"/>
    <xf numFmtId="170" fontId="22" fillId="0" borderId="0" applyFont="0" applyFill="0" applyBorder="0" applyAlignment="0" applyProtection="0"/>
    <xf numFmtId="170" fontId="22" fillId="0" borderId="0" applyFont="0" applyFill="0" applyBorder="0" applyAlignment="0" applyProtection="0"/>
    <xf numFmtId="170" fontId="22" fillId="0" borderId="0" applyFont="0" applyFill="0" applyBorder="0" applyAlignment="0" applyProtection="0"/>
    <xf numFmtId="170" fontId="22" fillId="0" borderId="0" applyFont="0" applyFill="0" applyBorder="0" applyAlignment="0" applyProtection="0"/>
    <xf numFmtId="170" fontId="22" fillId="0" borderId="0" applyFont="0" applyFill="0" applyBorder="0" applyAlignment="0" applyProtection="0"/>
    <xf numFmtId="170" fontId="22" fillId="0" borderId="0" applyFont="0" applyFill="0" applyBorder="0" applyAlignment="0" applyProtection="0"/>
    <xf numFmtId="170" fontId="22" fillId="0" borderId="0" applyFont="0" applyFill="0" applyBorder="0" applyAlignment="0" applyProtection="0"/>
    <xf numFmtId="170" fontId="22" fillId="0" borderId="0" applyFont="0" applyFill="0" applyBorder="0" applyAlignment="0" applyProtection="0"/>
    <xf numFmtId="170" fontId="22" fillId="0" borderId="0" applyFont="0" applyFill="0" applyBorder="0" applyAlignment="0" applyProtection="0"/>
    <xf numFmtId="170" fontId="22" fillId="0" borderId="0" applyFont="0" applyFill="0" applyBorder="0" applyAlignment="0" applyProtection="0"/>
    <xf numFmtId="170" fontId="22" fillId="0" borderId="0" applyFont="0" applyFill="0" applyBorder="0" applyAlignment="0" applyProtection="0"/>
    <xf numFmtId="172" fontId="22" fillId="0" borderId="0" applyFont="0" applyFill="0" applyBorder="0" applyAlignment="0" applyProtection="0"/>
    <xf numFmtId="173" fontId="22" fillId="0" borderId="0" applyFont="0" applyFill="0" applyBorder="0" applyAlignment="0" applyProtection="0"/>
    <xf numFmtId="180" fontId="22" fillId="0" borderId="0"/>
    <xf numFmtId="0" fontId="22" fillId="0" borderId="0"/>
    <xf numFmtId="0" fontId="22" fillId="0" borderId="0"/>
    <xf numFmtId="0" fontId="22" fillId="0" borderId="0"/>
    <xf numFmtId="0" fontId="22" fillId="0" borderId="0"/>
    <xf numFmtId="0" fontId="22" fillId="0" borderId="0"/>
    <xf numFmtId="180" fontId="22" fillId="0" borderId="0"/>
    <xf numFmtId="180" fontId="22" fillId="0" borderId="0"/>
    <xf numFmtId="0" fontId="22" fillId="0" borderId="0"/>
    <xf numFmtId="180" fontId="22" fillId="0" borderId="0"/>
    <xf numFmtId="180" fontId="22" fillId="0" borderId="0"/>
    <xf numFmtId="180" fontId="22" fillId="0" borderId="0"/>
    <xf numFmtId="0" fontId="22" fillId="0" borderId="0"/>
    <xf numFmtId="180" fontId="22" fillId="0" borderId="0"/>
    <xf numFmtId="180" fontId="22" fillId="0" borderId="0"/>
    <xf numFmtId="9" fontId="22" fillId="0" borderId="0" applyFont="0" applyFill="0" applyBorder="0" applyAlignment="0" applyProtection="0"/>
    <xf numFmtId="168" fontId="22" fillId="0" borderId="0" applyFont="0" applyFill="0" applyBorder="0" applyAlignment="0" applyProtection="0"/>
    <xf numFmtId="168" fontId="22" fillId="0" borderId="0" applyFont="0" applyFill="0" applyBorder="0" applyAlignment="0" applyProtection="0"/>
    <xf numFmtId="168" fontId="22" fillId="0" borderId="0" applyFont="0" applyFill="0" applyBorder="0" applyAlignment="0" applyProtection="0"/>
    <xf numFmtId="168" fontId="22" fillId="0" borderId="0" applyFont="0" applyFill="0" applyBorder="0" applyAlignment="0" applyProtection="0"/>
    <xf numFmtId="168" fontId="22" fillId="0" borderId="0" applyFont="0" applyFill="0" applyBorder="0" applyAlignment="0" applyProtection="0"/>
    <xf numFmtId="168" fontId="22" fillId="0" borderId="0" applyFont="0" applyFill="0" applyBorder="0" applyAlignment="0" applyProtection="0"/>
    <xf numFmtId="168" fontId="22" fillId="0" borderId="0" applyFont="0" applyFill="0" applyBorder="0" applyAlignment="0" applyProtection="0"/>
    <xf numFmtId="170" fontId="22" fillId="0" borderId="0" applyFont="0" applyFill="0" applyBorder="0" applyAlignment="0" applyProtection="0"/>
    <xf numFmtId="170" fontId="22" fillId="0" borderId="0" applyFont="0" applyFill="0" applyBorder="0" applyAlignment="0" applyProtection="0"/>
    <xf numFmtId="170" fontId="22" fillId="0" borderId="0" applyFont="0" applyFill="0" applyBorder="0" applyAlignment="0" applyProtection="0"/>
    <xf numFmtId="170" fontId="22" fillId="0" borderId="0" applyFont="0" applyFill="0" applyBorder="0" applyAlignment="0" applyProtection="0"/>
    <xf numFmtId="170" fontId="22" fillId="0" borderId="0" applyFont="0" applyFill="0" applyBorder="0" applyAlignment="0" applyProtection="0"/>
    <xf numFmtId="170" fontId="22" fillId="0" borderId="0" applyFont="0" applyFill="0" applyBorder="0" applyAlignment="0" applyProtection="0"/>
    <xf numFmtId="170" fontId="22" fillId="0" borderId="0" applyFont="0" applyFill="0" applyBorder="0" applyAlignment="0" applyProtection="0"/>
    <xf numFmtId="170" fontId="22" fillId="0" borderId="0" applyFont="0" applyFill="0" applyBorder="0" applyAlignment="0" applyProtection="0"/>
    <xf numFmtId="170" fontId="22" fillId="0" borderId="0" applyFont="0" applyFill="0" applyBorder="0" applyAlignment="0" applyProtection="0"/>
    <xf numFmtId="170" fontId="22" fillId="0" borderId="0" applyFont="0" applyFill="0" applyBorder="0" applyAlignment="0" applyProtection="0"/>
    <xf numFmtId="170" fontId="22" fillId="0" borderId="0" applyFont="0" applyFill="0" applyBorder="0" applyAlignment="0" applyProtection="0"/>
    <xf numFmtId="172" fontId="22" fillId="0" borderId="0" applyFont="0" applyFill="0" applyBorder="0" applyAlignment="0" applyProtection="0"/>
    <xf numFmtId="173" fontId="22" fillId="0" borderId="0" applyFont="0" applyFill="0" applyBorder="0" applyAlignment="0" applyProtection="0"/>
    <xf numFmtId="180" fontId="22" fillId="0" borderId="0"/>
    <xf numFmtId="0" fontId="22" fillId="0" borderId="0"/>
    <xf numFmtId="0" fontId="22" fillId="0" borderId="0"/>
    <xf numFmtId="0" fontId="22" fillId="0" borderId="0"/>
    <xf numFmtId="0" fontId="22" fillId="0" borderId="0"/>
    <xf numFmtId="0" fontId="22" fillId="0" borderId="0"/>
    <xf numFmtId="180" fontId="22" fillId="0" borderId="0"/>
    <xf numFmtId="180" fontId="22" fillId="0" borderId="0"/>
    <xf numFmtId="0" fontId="22" fillId="0" borderId="0"/>
    <xf numFmtId="180" fontId="22" fillId="0" borderId="0"/>
    <xf numFmtId="180" fontId="22" fillId="0" borderId="0"/>
    <xf numFmtId="180" fontId="22" fillId="0" borderId="0"/>
    <xf numFmtId="0" fontId="22" fillId="0" borderId="0"/>
    <xf numFmtId="180" fontId="22" fillId="0" borderId="0"/>
    <xf numFmtId="180" fontId="22" fillId="0" borderId="0"/>
    <xf numFmtId="9" fontId="22" fillId="0" borderId="0" applyFont="0" applyFill="0" applyBorder="0" applyAlignment="0" applyProtection="0"/>
    <xf numFmtId="168" fontId="22" fillId="0" borderId="0" applyFont="0" applyFill="0" applyBorder="0" applyAlignment="0" applyProtection="0"/>
    <xf numFmtId="168" fontId="22" fillId="0" borderId="0" applyFont="0" applyFill="0" applyBorder="0" applyAlignment="0" applyProtection="0"/>
    <xf numFmtId="168" fontId="22" fillId="0" borderId="0" applyFont="0" applyFill="0" applyBorder="0" applyAlignment="0" applyProtection="0"/>
    <xf numFmtId="168" fontId="22" fillId="0" borderId="0" applyFont="0" applyFill="0" applyBorder="0" applyAlignment="0" applyProtection="0"/>
    <xf numFmtId="168" fontId="22" fillId="0" borderId="0" applyFont="0" applyFill="0" applyBorder="0" applyAlignment="0" applyProtection="0"/>
    <xf numFmtId="168" fontId="22" fillId="0" borderId="0" applyFont="0" applyFill="0" applyBorder="0" applyAlignment="0" applyProtection="0"/>
    <xf numFmtId="168" fontId="22" fillId="0" borderId="0" applyFont="0" applyFill="0" applyBorder="0" applyAlignment="0" applyProtection="0"/>
    <xf numFmtId="170" fontId="22" fillId="0" borderId="0" applyFont="0" applyFill="0" applyBorder="0" applyAlignment="0" applyProtection="0"/>
    <xf numFmtId="170" fontId="22" fillId="0" borderId="0" applyFont="0" applyFill="0" applyBorder="0" applyAlignment="0" applyProtection="0"/>
    <xf numFmtId="170" fontId="22" fillId="0" borderId="0" applyFont="0" applyFill="0" applyBorder="0" applyAlignment="0" applyProtection="0"/>
    <xf numFmtId="170" fontId="22" fillId="0" borderId="0" applyFont="0" applyFill="0" applyBorder="0" applyAlignment="0" applyProtection="0"/>
    <xf numFmtId="170" fontId="22" fillId="0" borderId="0" applyFont="0" applyFill="0" applyBorder="0" applyAlignment="0" applyProtection="0"/>
    <xf numFmtId="170" fontId="22" fillId="0" borderId="0" applyFont="0" applyFill="0" applyBorder="0" applyAlignment="0" applyProtection="0"/>
    <xf numFmtId="170" fontId="22" fillId="0" borderId="0" applyFont="0" applyFill="0" applyBorder="0" applyAlignment="0" applyProtection="0"/>
    <xf numFmtId="170" fontId="22" fillId="0" borderId="0" applyFont="0" applyFill="0" applyBorder="0" applyAlignment="0" applyProtection="0"/>
    <xf numFmtId="170" fontId="22" fillId="0" borderId="0" applyFont="0" applyFill="0" applyBorder="0" applyAlignment="0" applyProtection="0"/>
    <xf numFmtId="170" fontId="22" fillId="0" borderId="0" applyFont="0" applyFill="0" applyBorder="0" applyAlignment="0" applyProtection="0"/>
    <xf numFmtId="170" fontId="22" fillId="0" borderId="0" applyFont="0" applyFill="0" applyBorder="0" applyAlignment="0" applyProtection="0"/>
    <xf numFmtId="172" fontId="22" fillId="0" borderId="0" applyFont="0" applyFill="0" applyBorder="0" applyAlignment="0" applyProtection="0"/>
    <xf numFmtId="173" fontId="22" fillId="0" borderId="0" applyFont="0" applyFill="0" applyBorder="0" applyAlignment="0" applyProtection="0"/>
    <xf numFmtId="180" fontId="22" fillId="0" borderId="0"/>
    <xf numFmtId="0" fontId="22" fillId="0" borderId="0"/>
    <xf numFmtId="0" fontId="22" fillId="0" borderId="0"/>
    <xf numFmtId="0" fontId="22" fillId="0" borderId="0"/>
    <xf numFmtId="0" fontId="22" fillId="0" borderId="0"/>
    <xf numFmtId="0" fontId="22" fillId="0" borderId="0"/>
    <xf numFmtId="180" fontId="22" fillId="0" borderId="0"/>
    <xf numFmtId="180" fontId="22" fillId="0" borderId="0"/>
    <xf numFmtId="0" fontId="22" fillId="0" borderId="0"/>
    <xf numFmtId="180" fontId="22" fillId="0" borderId="0"/>
    <xf numFmtId="180" fontId="22" fillId="0" borderId="0"/>
    <xf numFmtId="180" fontId="22" fillId="0" borderId="0"/>
    <xf numFmtId="0" fontId="22" fillId="0" borderId="0"/>
    <xf numFmtId="180" fontId="22" fillId="0" borderId="0"/>
    <xf numFmtId="180" fontId="22" fillId="0" borderId="0"/>
    <xf numFmtId="9" fontId="22" fillId="0" borderId="0" applyFont="0" applyFill="0" applyBorder="0" applyAlignment="0" applyProtection="0"/>
    <xf numFmtId="168" fontId="22" fillId="0" borderId="0" applyFont="0" applyFill="0" applyBorder="0" applyAlignment="0" applyProtection="0"/>
    <xf numFmtId="168" fontId="22" fillId="0" borderId="0" applyFont="0" applyFill="0" applyBorder="0" applyAlignment="0" applyProtection="0"/>
    <xf numFmtId="168" fontId="22" fillId="0" borderId="0" applyFont="0" applyFill="0" applyBorder="0" applyAlignment="0" applyProtection="0"/>
    <xf numFmtId="168" fontId="22" fillId="0" borderId="0" applyFont="0" applyFill="0" applyBorder="0" applyAlignment="0" applyProtection="0"/>
    <xf numFmtId="168" fontId="22" fillId="0" borderId="0" applyFont="0" applyFill="0" applyBorder="0" applyAlignment="0" applyProtection="0"/>
    <xf numFmtId="168" fontId="22" fillId="0" borderId="0" applyFont="0" applyFill="0" applyBorder="0" applyAlignment="0" applyProtection="0"/>
    <xf numFmtId="168" fontId="22" fillId="0" borderId="0" applyFont="0" applyFill="0" applyBorder="0" applyAlignment="0" applyProtection="0"/>
    <xf numFmtId="170" fontId="22" fillId="0" borderId="0" applyFont="0" applyFill="0" applyBorder="0" applyAlignment="0" applyProtection="0"/>
    <xf numFmtId="170" fontId="22" fillId="0" borderId="0" applyFont="0" applyFill="0" applyBorder="0" applyAlignment="0" applyProtection="0"/>
    <xf numFmtId="170" fontId="22" fillId="0" borderId="0" applyFont="0" applyFill="0" applyBorder="0" applyAlignment="0" applyProtection="0"/>
    <xf numFmtId="170" fontId="22" fillId="0" borderId="0" applyFont="0" applyFill="0" applyBorder="0" applyAlignment="0" applyProtection="0"/>
    <xf numFmtId="170" fontId="22" fillId="0" borderId="0" applyFont="0" applyFill="0" applyBorder="0" applyAlignment="0" applyProtection="0"/>
    <xf numFmtId="170" fontId="22" fillId="0" borderId="0" applyFont="0" applyFill="0" applyBorder="0" applyAlignment="0" applyProtection="0"/>
    <xf numFmtId="170" fontId="22" fillId="0" borderId="0" applyFont="0" applyFill="0" applyBorder="0" applyAlignment="0" applyProtection="0"/>
    <xf numFmtId="170" fontId="22" fillId="0" borderId="0" applyFont="0" applyFill="0" applyBorder="0" applyAlignment="0" applyProtection="0"/>
    <xf numFmtId="170" fontId="22" fillId="0" borderId="0" applyFont="0" applyFill="0" applyBorder="0" applyAlignment="0" applyProtection="0"/>
    <xf numFmtId="170" fontId="22" fillId="0" borderId="0" applyFont="0" applyFill="0" applyBorder="0" applyAlignment="0" applyProtection="0"/>
    <xf numFmtId="170" fontId="22" fillId="0" borderId="0" applyFont="0" applyFill="0" applyBorder="0" applyAlignment="0" applyProtection="0"/>
    <xf numFmtId="172" fontId="22" fillId="0" borderId="0" applyFont="0" applyFill="0" applyBorder="0" applyAlignment="0" applyProtection="0"/>
    <xf numFmtId="173" fontId="22" fillId="0" borderId="0" applyFont="0" applyFill="0" applyBorder="0" applyAlignment="0" applyProtection="0"/>
    <xf numFmtId="180" fontId="22" fillId="0" borderId="0"/>
    <xf numFmtId="0" fontId="22" fillId="0" borderId="0"/>
    <xf numFmtId="0" fontId="22" fillId="0" borderId="0"/>
    <xf numFmtId="0" fontId="22" fillId="0" borderId="0"/>
    <xf numFmtId="0" fontId="22" fillId="0" borderId="0"/>
    <xf numFmtId="0" fontId="22" fillId="0" borderId="0"/>
    <xf numFmtId="180" fontId="22" fillId="0" borderId="0"/>
    <xf numFmtId="180" fontId="22" fillId="0" borderId="0"/>
    <xf numFmtId="0" fontId="22" fillId="0" borderId="0"/>
    <xf numFmtId="180" fontId="22" fillId="0" borderId="0"/>
    <xf numFmtId="180" fontId="22" fillId="0" borderId="0"/>
    <xf numFmtId="180" fontId="22" fillId="0" borderId="0"/>
    <xf numFmtId="0" fontId="22" fillId="0" borderId="0"/>
    <xf numFmtId="180" fontId="22" fillId="0" borderId="0"/>
    <xf numFmtId="180" fontId="22" fillId="0" borderId="0"/>
    <xf numFmtId="9" fontId="22" fillId="0" borderId="0" applyFont="0" applyFill="0" applyBorder="0" applyAlignment="0" applyProtection="0"/>
    <xf numFmtId="168" fontId="22" fillId="0" borderId="0" applyFont="0" applyFill="0" applyBorder="0" applyAlignment="0" applyProtection="0"/>
    <xf numFmtId="168" fontId="22" fillId="0" borderId="0" applyFont="0" applyFill="0" applyBorder="0" applyAlignment="0" applyProtection="0"/>
    <xf numFmtId="168" fontId="22" fillId="0" borderId="0" applyFont="0" applyFill="0" applyBorder="0" applyAlignment="0" applyProtection="0"/>
    <xf numFmtId="168" fontId="22" fillId="0" borderId="0" applyFont="0" applyFill="0" applyBorder="0" applyAlignment="0" applyProtection="0"/>
    <xf numFmtId="168" fontId="22" fillId="0" borderId="0" applyFont="0" applyFill="0" applyBorder="0" applyAlignment="0" applyProtection="0"/>
    <xf numFmtId="168" fontId="22" fillId="0" borderId="0" applyFont="0" applyFill="0" applyBorder="0" applyAlignment="0" applyProtection="0"/>
    <xf numFmtId="168" fontId="22" fillId="0" borderId="0" applyFont="0" applyFill="0" applyBorder="0" applyAlignment="0" applyProtection="0"/>
    <xf numFmtId="170" fontId="22" fillId="0" borderId="0" applyFont="0" applyFill="0" applyBorder="0" applyAlignment="0" applyProtection="0"/>
    <xf numFmtId="170" fontId="22" fillId="0" borderId="0" applyFont="0" applyFill="0" applyBorder="0" applyAlignment="0" applyProtection="0"/>
    <xf numFmtId="170" fontId="22" fillId="0" borderId="0" applyFont="0" applyFill="0" applyBorder="0" applyAlignment="0" applyProtection="0"/>
    <xf numFmtId="170" fontId="22" fillId="0" borderId="0" applyFont="0" applyFill="0" applyBorder="0" applyAlignment="0" applyProtection="0"/>
    <xf numFmtId="170" fontId="22" fillId="0" borderId="0" applyFont="0" applyFill="0" applyBorder="0" applyAlignment="0" applyProtection="0"/>
    <xf numFmtId="170" fontId="22" fillId="0" borderId="0" applyFont="0" applyFill="0" applyBorder="0" applyAlignment="0" applyProtection="0"/>
    <xf numFmtId="170" fontId="22" fillId="0" borderId="0" applyFont="0" applyFill="0" applyBorder="0" applyAlignment="0" applyProtection="0"/>
    <xf numFmtId="170" fontId="22" fillId="0" borderId="0" applyFont="0" applyFill="0" applyBorder="0" applyAlignment="0" applyProtection="0"/>
    <xf numFmtId="170" fontId="22" fillId="0" borderId="0" applyFont="0" applyFill="0" applyBorder="0" applyAlignment="0" applyProtection="0"/>
    <xf numFmtId="170" fontId="22" fillId="0" borderId="0" applyFont="0" applyFill="0" applyBorder="0" applyAlignment="0" applyProtection="0"/>
    <xf numFmtId="170" fontId="22" fillId="0" borderId="0" applyFont="0" applyFill="0" applyBorder="0" applyAlignment="0" applyProtection="0"/>
    <xf numFmtId="172" fontId="22" fillId="0" borderId="0" applyFont="0" applyFill="0" applyBorder="0" applyAlignment="0" applyProtection="0"/>
    <xf numFmtId="173" fontId="22" fillId="0" borderId="0" applyFont="0" applyFill="0" applyBorder="0" applyAlignment="0" applyProtection="0"/>
    <xf numFmtId="180" fontId="22" fillId="0" borderId="0"/>
    <xf numFmtId="0" fontId="22" fillId="0" borderId="0"/>
    <xf numFmtId="0" fontId="22" fillId="0" borderId="0"/>
    <xf numFmtId="0" fontId="22" fillId="0" borderId="0"/>
    <xf numFmtId="0" fontId="22" fillId="0" borderId="0"/>
    <xf numFmtId="0" fontId="22" fillId="0" borderId="0"/>
    <xf numFmtId="180" fontId="22" fillId="0" borderId="0"/>
    <xf numFmtId="180" fontId="22" fillId="0" borderId="0"/>
    <xf numFmtId="0" fontId="22" fillId="0" borderId="0"/>
    <xf numFmtId="180" fontId="22" fillId="0" borderId="0"/>
    <xf numFmtId="180" fontId="22" fillId="0" borderId="0"/>
    <xf numFmtId="180" fontId="22" fillId="0" borderId="0"/>
    <xf numFmtId="0" fontId="22" fillId="0" borderId="0"/>
    <xf numFmtId="180" fontId="22" fillId="0" borderId="0"/>
    <xf numFmtId="180" fontId="22" fillId="0" borderId="0"/>
    <xf numFmtId="9" fontId="22" fillId="0" borderId="0" applyFont="0" applyFill="0" applyBorder="0" applyAlignment="0" applyProtection="0"/>
    <xf numFmtId="168" fontId="22" fillId="0" borderId="0" applyFont="0" applyFill="0" applyBorder="0" applyAlignment="0" applyProtection="0"/>
    <xf numFmtId="168" fontId="22" fillId="0" borderId="0" applyFont="0" applyFill="0" applyBorder="0" applyAlignment="0" applyProtection="0"/>
    <xf numFmtId="168" fontId="22" fillId="0" borderId="0" applyFont="0" applyFill="0" applyBorder="0" applyAlignment="0" applyProtection="0"/>
    <xf numFmtId="168" fontId="22" fillId="0" borderId="0" applyFont="0" applyFill="0" applyBorder="0" applyAlignment="0" applyProtection="0"/>
    <xf numFmtId="168" fontId="22" fillId="0" borderId="0" applyFont="0" applyFill="0" applyBorder="0" applyAlignment="0" applyProtection="0"/>
    <xf numFmtId="168" fontId="22" fillId="0" borderId="0" applyFont="0" applyFill="0" applyBorder="0" applyAlignment="0" applyProtection="0"/>
    <xf numFmtId="168" fontId="22" fillId="0" borderId="0" applyFont="0" applyFill="0" applyBorder="0" applyAlignment="0" applyProtection="0"/>
    <xf numFmtId="170" fontId="22" fillId="0" borderId="0" applyFont="0" applyFill="0" applyBorder="0" applyAlignment="0" applyProtection="0"/>
    <xf numFmtId="170" fontId="22" fillId="0" borderId="0" applyFont="0" applyFill="0" applyBorder="0" applyAlignment="0" applyProtection="0"/>
    <xf numFmtId="170" fontId="22" fillId="0" borderId="0" applyFont="0" applyFill="0" applyBorder="0" applyAlignment="0" applyProtection="0"/>
    <xf numFmtId="170" fontId="22" fillId="0" borderId="0" applyFont="0" applyFill="0" applyBorder="0" applyAlignment="0" applyProtection="0"/>
    <xf numFmtId="170" fontId="22" fillId="0" borderId="0" applyFont="0" applyFill="0" applyBorder="0" applyAlignment="0" applyProtection="0"/>
    <xf numFmtId="170" fontId="22" fillId="0" borderId="0" applyFont="0" applyFill="0" applyBorder="0" applyAlignment="0" applyProtection="0"/>
    <xf numFmtId="170" fontId="22" fillId="0" borderId="0" applyFont="0" applyFill="0" applyBorder="0" applyAlignment="0" applyProtection="0"/>
    <xf numFmtId="170" fontId="22" fillId="0" borderId="0" applyFont="0" applyFill="0" applyBorder="0" applyAlignment="0" applyProtection="0"/>
    <xf numFmtId="170" fontId="22" fillId="0" borderId="0" applyFont="0" applyFill="0" applyBorder="0" applyAlignment="0" applyProtection="0"/>
    <xf numFmtId="170" fontId="22" fillId="0" borderId="0" applyFont="0" applyFill="0" applyBorder="0" applyAlignment="0" applyProtection="0"/>
    <xf numFmtId="170" fontId="22" fillId="0" borderId="0" applyFont="0" applyFill="0" applyBorder="0" applyAlignment="0" applyProtection="0"/>
    <xf numFmtId="172" fontId="22" fillId="0" borderId="0" applyFont="0" applyFill="0" applyBorder="0" applyAlignment="0" applyProtection="0"/>
    <xf numFmtId="173" fontId="22" fillId="0" borderId="0" applyFont="0" applyFill="0" applyBorder="0" applyAlignment="0" applyProtection="0"/>
    <xf numFmtId="180" fontId="22" fillId="0" borderId="0"/>
    <xf numFmtId="0" fontId="22" fillId="0" borderId="0"/>
    <xf numFmtId="0" fontId="22" fillId="0" borderId="0"/>
    <xf numFmtId="0" fontId="22" fillId="0" borderId="0"/>
    <xf numFmtId="0" fontId="22" fillId="0" borderId="0"/>
    <xf numFmtId="0" fontId="22" fillId="0" borderId="0"/>
    <xf numFmtId="180" fontId="22" fillId="0" borderId="0"/>
    <xf numFmtId="180" fontId="22" fillId="0" borderId="0"/>
    <xf numFmtId="0" fontId="22" fillId="0" borderId="0"/>
    <xf numFmtId="180" fontId="22" fillId="0" borderId="0"/>
    <xf numFmtId="180" fontId="22" fillId="0" borderId="0"/>
    <xf numFmtId="180" fontId="22" fillId="0" borderId="0"/>
    <xf numFmtId="0" fontId="22" fillId="0" borderId="0"/>
    <xf numFmtId="180" fontId="22" fillId="0" borderId="0"/>
    <xf numFmtId="180" fontId="22" fillId="0" borderId="0"/>
    <xf numFmtId="9" fontId="22" fillId="0" borderId="0" applyFont="0" applyFill="0" applyBorder="0" applyAlignment="0" applyProtection="0"/>
    <xf numFmtId="170" fontId="52" fillId="0" borderId="0" applyFont="0" applyFill="0" applyBorder="0" applyAlignment="0" applyProtection="0"/>
    <xf numFmtId="168" fontId="21" fillId="0" borderId="0" applyFont="0" applyFill="0" applyBorder="0" applyAlignment="0" applyProtection="0"/>
    <xf numFmtId="168" fontId="21" fillId="0" borderId="0" applyFont="0" applyFill="0" applyBorder="0" applyAlignment="0" applyProtection="0"/>
    <xf numFmtId="168" fontId="21" fillId="0" borderId="0" applyFont="0" applyFill="0" applyBorder="0" applyAlignment="0" applyProtection="0"/>
    <xf numFmtId="168" fontId="21" fillId="0" borderId="0" applyFont="0" applyFill="0" applyBorder="0" applyAlignment="0" applyProtection="0"/>
    <xf numFmtId="168" fontId="21" fillId="0" borderId="0" applyFont="0" applyFill="0" applyBorder="0" applyAlignment="0" applyProtection="0"/>
    <xf numFmtId="168" fontId="21" fillId="0" borderId="0" applyFont="0" applyFill="0" applyBorder="0" applyAlignment="0" applyProtection="0"/>
    <xf numFmtId="168" fontId="21" fillId="0" borderId="0" applyFont="0" applyFill="0" applyBorder="0" applyAlignment="0" applyProtection="0"/>
    <xf numFmtId="170" fontId="21" fillId="0" borderId="0" applyFont="0" applyFill="0" applyBorder="0" applyAlignment="0" applyProtection="0"/>
    <xf numFmtId="170" fontId="21" fillId="0" borderId="0" applyFont="0" applyFill="0" applyBorder="0" applyAlignment="0" applyProtection="0"/>
    <xf numFmtId="170" fontId="21" fillId="0" borderId="0" applyFont="0" applyFill="0" applyBorder="0" applyAlignment="0" applyProtection="0"/>
    <xf numFmtId="170" fontId="21" fillId="0" borderId="0" applyFont="0" applyFill="0" applyBorder="0" applyAlignment="0" applyProtection="0"/>
    <xf numFmtId="170" fontId="21" fillId="0" borderId="0" applyFont="0" applyFill="0" applyBorder="0" applyAlignment="0" applyProtection="0"/>
    <xf numFmtId="170" fontId="21" fillId="0" borderId="0" applyFont="0" applyFill="0" applyBorder="0" applyAlignment="0" applyProtection="0"/>
    <xf numFmtId="170" fontId="21" fillId="0" borderId="0" applyFont="0" applyFill="0" applyBorder="0" applyAlignment="0" applyProtection="0"/>
    <xf numFmtId="170" fontId="21" fillId="0" borderId="0" applyFont="0" applyFill="0" applyBorder="0" applyAlignment="0" applyProtection="0"/>
    <xf numFmtId="170" fontId="21" fillId="0" borderId="0" applyFont="0" applyFill="0" applyBorder="0" applyAlignment="0" applyProtection="0"/>
    <xf numFmtId="170" fontId="21" fillId="0" borderId="0" applyFont="0" applyFill="0" applyBorder="0" applyAlignment="0" applyProtection="0"/>
    <xf numFmtId="170" fontId="21" fillId="0" borderId="0" applyFont="0" applyFill="0" applyBorder="0" applyAlignment="0" applyProtection="0"/>
    <xf numFmtId="172" fontId="21" fillId="0" borderId="0" applyFont="0" applyFill="0" applyBorder="0" applyAlignment="0" applyProtection="0"/>
    <xf numFmtId="173" fontId="21" fillId="0" borderId="0" applyFont="0" applyFill="0" applyBorder="0" applyAlignment="0" applyProtection="0"/>
    <xf numFmtId="180" fontId="21" fillId="0" borderId="0"/>
    <xf numFmtId="0" fontId="21" fillId="0" borderId="0"/>
    <xf numFmtId="0" fontId="21" fillId="0" borderId="0"/>
    <xf numFmtId="0" fontId="21" fillId="0" borderId="0"/>
    <xf numFmtId="0" fontId="21" fillId="0" borderId="0"/>
    <xf numFmtId="0" fontId="21" fillId="0" borderId="0"/>
    <xf numFmtId="180" fontId="21" fillId="0" borderId="0"/>
    <xf numFmtId="180" fontId="21" fillId="0" borderId="0"/>
    <xf numFmtId="0" fontId="21" fillId="0" borderId="0"/>
    <xf numFmtId="180" fontId="21" fillId="0" borderId="0"/>
    <xf numFmtId="180" fontId="21" fillId="0" borderId="0"/>
    <xf numFmtId="180" fontId="21" fillId="0" borderId="0"/>
    <xf numFmtId="0" fontId="21" fillId="0" borderId="0"/>
    <xf numFmtId="180" fontId="21" fillId="0" borderId="0"/>
    <xf numFmtId="180" fontId="21" fillId="0" borderId="0"/>
    <xf numFmtId="9" fontId="21" fillId="0" borderId="0" applyFont="0" applyFill="0" applyBorder="0" applyAlignment="0" applyProtection="0"/>
    <xf numFmtId="0" fontId="20" fillId="0" borderId="0"/>
    <xf numFmtId="168" fontId="20" fillId="0" borderId="0" applyFont="0" applyFill="0" applyBorder="0" applyAlignment="0" applyProtection="0"/>
    <xf numFmtId="170" fontId="52"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2" fontId="19" fillId="0" borderId="0" applyFont="0" applyFill="0" applyBorder="0" applyAlignment="0" applyProtection="0"/>
    <xf numFmtId="173" fontId="19" fillId="0" borderId="0" applyFont="0" applyFill="0" applyBorder="0" applyAlignment="0" applyProtection="0"/>
    <xf numFmtId="180" fontId="19" fillId="0" borderId="0"/>
    <xf numFmtId="0" fontId="19" fillId="0" borderId="0"/>
    <xf numFmtId="0" fontId="19" fillId="0" borderId="0"/>
    <xf numFmtId="0" fontId="19" fillId="0" borderId="0"/>
    <xf numFmtId="0" fontId="19" fillId="0" borderId="0"/>
    <xf numFmtId="0" fontId="19" fillId="0" borderId="0"/>
    <xf numFmtId="180" fontId="19" fillId="0" borderId="0"/>
    <xf numFmtId="180" fontId="19" fillId="0" borderId="0"/>
    <xf numFmtId="0" fontId="19" fillId="0" borderId="0"/>
    <xf numFmtId="180" fontId="19" fillId="0" borderId="0"/>
    <xf numFmtId="180" fontId="19" fillId="0" borderId="0"/>
    <xf numFmtId="180" fontId="19" fillId="0" borderId="0"/>
    <xf numFmtId="0" fontId="19" fillId="0" borderId="0"/>
    <xf numFmtId="180" fontId="19" fillId="0" borderId="0"/>
    <xf numFmtId="180" fontId="19" fillId="0" borderId="0"/>
    <xf numFmtId="9" fontId="19" fillId="0" borderId="0" applyFont="0" applyFill="0" applyBorder="0" applyAlignment="0" applyProtection="0"/>
    <xf numFmtId="170" fontId="52" fillId="0" borderId="0" applyFont="0" applyFill="0" applyBorder="0" applyAlignment="0" applyProtection="0"/>
    <xf numFmtId="168" fontId="18" fillId="0" borderId="0" applyFont="0" applyFill="0" applyBorder="0" applyAlignment="0" applyProtection="0"/>
    <xf numFmtId="168" fontId="18" fillId="0" borderId="0" applyFont="0" applyFill="0" applyBorder="0" applyAlignment="0" applyProtection="0"/>
    <xf numFmtId="168" fontId="18" fillId="0" borderId="0" applyFont="0" applyFill="0" applyBorder="0" applyAlignment="0" applyProtection="0"/>
    <xf numFmtId="168" fontId="18" fillId="0" borderId="0" applyFont="0" applyFill="0" applyBorder="0" applyAlignment="0" applyProtection="0"/>
    <xf numFmtId="168" fontId="18" fillId="0" borderId="0" applyFont="0" applyFill="0" applyBorder="0" applyAlignment="0" applyProtection="0"/>
    <xf numFmtId="168" fontId="18" fillId="0" borderId="0" applyFont="0" applyFill="0" applyBorder="0" applyAlignment="0" applyProtection="0"/>
    <xf numFmtId="168" fontId="18" fillId="0" borderId="0" applyFont="0" applyFill="0" applyBorder="0" applyAlignment="0" applyProtection="0"/>
    <xf numFmtId="170" fontId="18" fillId="0" borderId="0" applyFont="0" applyFill="0" applyBorder="0" applyAlignment="0" applyProtection="0"/>
    <xf numFmtId="170" fontId="18" fillId="0" borderId="0" applyFont="0" applyFill="0" applyBorder="0" applyAlignment="0" applyProtection="0"/>
    <xf numFmtId="170" fontId="18" fillId="0" borderId="0" applyFont="0" applyFill="0" applyBorder="0" applyAlignment="0" applyProtection="0"/>
    <xf numFmtId="170" fontId="18" fillId="0" borderId="0" applyFont="0" applyFill="0" applyBorder="0" applyAlignment="0" applyProtection="0"/>
    <xf numFmtId="170" fontId="18" fillId="0" borderId="0" applyFont="0" applyFill="0" applyBorder="0" applyAlignment="0" applyProtection="0"/>
    <xf numFmtId="170" fontId="18" fillId="0" borderId="0" applyFont="0" applyFill="0" applyBorder="0" applyAlignment="0" applyProtection="0"/>
    <xf numFmtId="170" fontId="18" fillId="0" borderId="0" applyFont="0" applyFill="0" applyBorder="0" applyAlignment="0" applyProtection="0"/>
    <xf numFmtId="170" fontId="18" fillId="0" borderId="0" applyFont="0" applyFill="0" applyBorder="0" applyAlignment="0" applyProtection="0"/>
    <xf numFmtId="170" fontId="18" fillId="0" borderId="0" applyFont="0" applyFill="0" applyBorder="0" applyAlignment="0" applyProtection="0"/>
    <xf numFmtId="170" fontId="18" fillId="0" borderId="0" applyFont="0" applyFill="0" applyBorder="0" applyAlignment="0" applyProtection="0"/>
    <xf numFmtId="170" fontId="18" fillId="0" borderId="0" applyFont="0" applyFill="0" applyBorder="0" applyAlignment="0" applyProtection="0"/>
    <xf numFmtId="172" fontId="18" fillId="0" borderId="0" applyFont="0" applyFill="0" applyBorder="0" applyAlignment="0" applyProtection="0"/>
    <xf numFmtId="173" fontId="18" fillId="0" borderId="0" applyFont="0" applyFill="0" applyBorder="0" applyAlignment="0" applyProtection="0"/>
    <xf numFmtId="180" fontId="18" fillId="0" borderId="0"/>
    <xf numFmtId="0" fontId="18" fillId="0" borderId="0"/>
    <xf numFmtId="0" fontId="18" fillId="0" borderId="0"/>
    <xf numFmtId="0" fontId="18" fillId="0" borderId="0"/>
    <xf numFmtId="0" fontId="18" fillId="0" borderId="0"/>
    <xf numFmtId="0" fontId="18" fillId="0" borderId="0"/>
    <xf numFmtId="180" fontId="18" fillId="0" borderId="0"/>
    <xf numFmtId="180" fontId="18" fillId="0" borderId="0"/>
    <xf numFmtId="0" fontId="18" fillId="0" borderId="0"/>
    <xf numFmtId="180" fontId="18" fillId="0" borderId="0"/>
    <xf numFmtId="180" fontId="18" fillId="0" borderId="0"/>
    <xf numFmtId="180" fontId="18" fillId="0" borderId="0"/>
    <xf numFmtId="0" fontId="18" fillId="0" borderId="0"/>
    <xf numFmtId="180" fontId="18" fillId="0" borderId="0"/>
    <xf numFmtId="180" fontId="18" fillId="0" borderId="0"/>
    <xf numFmtId="9" fontId="18" fillId="0" borderId="0" applyFont="0" applyFill="0" applyBorder="0" applyAlignment="0" applyProtection="0"/>
    <xf numFmtId="170" fontId="52" fillId="0" borderId="0" applyFont="0" applyFill="0" applyBorder="0" applyAlignment="0" applyProtection="0"/>
    <xf numFmtId="168" fontId="17" fillId="0" borderId="0" applyFont="0" applyFill="0" applyBorder="0" applyAlignment="0" applyProtection="0"/>
    <xf numFmtId="168" fontId="17" fillId="0" borderId="0" applyFont="0" applyFill="0" applyBorder="0" applyAlignment="0" applyProtection="0"/>
    <xf numFmtId="168" fontId="17" fillId="0" borderId="0" applyFont="0" applyFill="0" applyBorder="0" applyAlignment="0" applyProtection="0"/>
    <xf numFmtId="168" fontId="17" fillId="0" borderId="0" applyFont="0" applyFill="0" applyBorder="0" applyAlignment="0" applyProtection="0"/>
    <xf numFmtId="168" fontId="17" fillId="0" borderId="0" applyFont="0" applyFill="0" applyBorder="0" applyAlignment="0" applyProtection="0"/>
    <xf numFmtId="168" fontId="17" fillId="0" borderId="0" applyFont="0" applyFill="0" applyBorder="0" applyAlignment="0" applyProtection="0"/>
    <xf numFmtId="168" fontId="17" fillId="0" borderId="0" applyFont="0" applyFill="0" applyBorder="0" applyAlignment="0" applyProtection="0"/>
    <xf numFmtId="170" fontId="17" fillId="0" borderId="0" applyFont="0" applyFill="0" applyBorder="0" applyAlignment="0" applyProtection="0"/>
    <xf numFmtId="170" fontId="17" fillId="0" borderId="0" applyFont="0" applyFill="0" applyBorder="0" applyAlignment="0" applyProtection="0"/>
    <xf numFmtId="170" fontId="17" fillId="0" borderId="0" applyFont="0" applyFill="0" applyBorder="0" applyAlignment="0" applyProtection="0"/>
    <xf numFmtId="170" fontId="17" fillId="0" borderId="0" applyFont="0" applyFill="0" applyBorder="0" applyAlignment="0" applyProtection="0"/>
    <xf numFmtId="170" fontId="17" fillId="0" borderId="0" applyFont="0" applyFill="0" applyBorder="0" applyAlignment="0" applyProtection="0"/>
    <xf numFmtId="170" fontId="17" fillId="0" borderId="0" applyFont="0" applyFill="0" applyBorder="0" applyAlignment="0" applyProtection="0"/>
    <xf numFmtId="170" fontId="17" fillId="0" borderId="0" applyFont="0" applyFill="0" applyBorder="0" applyAlignment="0" applyProtection="0"/>
    <xf numFmtId="170" fontId="17" fillId="0" borderId="0" applyFont="0" applyFill="0" applyBorder="0" applyAlignment="0" applyProtection="0"/>
    <xf numFmtId="170" fontId="17" fillId="0" borderId="0" applyFont="0" applyFill="0" applyBorder="0" applyAlignment="0" applyProtection="0"/>
    <xf numFmtId="170" fontId="17" fillId="0" borderId="0" applyFont="0" applyFill="0" applyBorder="0" applyAlignment="0" applyProtection="0"/>
    <xf numFmtId="170" fontId="17" fillId="0" borderId="0" applyFont="0" applyFill="0" applyBorder="0" applyAlignment="0" applyProtection="0"/>
    <xf numFmtId="172" fontId="17" fillId="0" borderId="0" applyFont="0" applyFill="0" applyBorder="0" applyAlignment="0" applyProtection="0"/>
    <xf numFmtId="173" fontId="17" fillId="0" borderId="0" applyFont="0" applyFill="0" applyBorder="0" applyAlignment="0" applyProtection="0"/>
    <xf numFmtId="180" fontId="17" fillId="0" borderId="0"/>
    <xf numFmtId="0" fontId="17" fillId="0" borderId="0"/>
    <xf numFmtId="0" fontId="17" fillId="0" borderId="0"/>
    <xf numFmtId="0" fontId="17" fillId="0" borderId="0"/>
    <xf numFmtId="0" fontId="17" fillId="0" borderId="0"/>
    <xf numFmtId="0" fontId="17" fillId="0" borderId="0"/>
    <xf numFmtId="180" fontId="17" fillId="0" borderId="0"/>
    <xf numFmtId="180" fontId="17" fillId="0" borderId="0"/>
    <xf numFmtId="0" fontId="17" fillId="0" borderId="0"/>
    <xf numFmtId="180" fontId="17" fillId="0" borderId="0"/>
    <xf numFmtId="180" fontId="17" fillId="0" borderId="0"/>
    <xf numFmtId="180" fontId="17" fillId="0" borderId="0"/>
    <xf numFmtId="0" fontId="17" fillId="0" borderId="0"/>
    <xf numFmtId="180" fontId="17" fillId="0" borderId="0"/>
    <xf numFmtId="180" fontId="17" fillId="0" borderId="0"/>
    <xf numFmtId="9" fontId="17" fillId="0" borderId="0" applyFont="0" applyFill="0" applyBorder="0" applyAlignment="0" applyProtection="0"/>
    <xf numFmtId="170" fontId="33" fillId="0" borderId="0" applyFont="0" applyFill="0" applyBorder="0" applyAlignment="0" applyProtection="0"/>
    <xf numFmtId="44" fontId="33" fillId="0" borderId="0" applyFont="0" applyFill="0" applyBorder="0" applyAlignment="0" applyProtection="0"/>
    <xf numFmtId="170" fontId="52" fillId="0" borderId="0" applyFont="0" applyFill="0" applyBorder="0" applyAlignment="0" applyProtection="0"/>
    <xf numFmtId="168" fontId="16" fillId="0" borderId="0" applyFont="0" applyFill="0" applyBorder="0" applyAlignment="0" applyProtection="0"/>
    <xf numFmtId="168" fontId="16" fillId="0" borderId="0" applyFont="0" applyFill="0" applyBorder="0" applyAlignment="0" applyProtection="0"/>
    <xf numFmtId="168" fontId="16" fillId="0" borderId="0" applyFont="0" applyFill="0" applyBorder="0" applyAlignment="0" applyProtection="0"/>
    <xf numFmtId="168" fontId="16" fillId="0" borderId="0" applyFont="0" applyFill="0" applyBorder="0" applyAlignment="0" applyProtection="0"/>
    <xf numFmtId="168" fontId="16" fillId="0" borderId="0" applyFont="0" applyFill="0" applyBorder="0" applyAlignment="0" applyProtection="0"/>
    <xf numFmtId="168" fontId="16" fillId="0" borderId="0" applyFont="0" applyFill="0" applyBorder="0" applyAlignment="0" applyProtection="0"/>
    <xf numFmtId="168" fontId="16" fillId="0" borderId="0" applyFont="0" applyFill="0" applyBorder="0" applyAlignment="0" applyProtection="0"/>
    <xf numFmtId="170" fontId="16" fillId="0" borderId="0" applyFont="0" applyFill="0" applyBorder="0" applyAlignment="0" applyProtection="0"/>
    <xf numFmtId="170" fontId="16" fillId="0" borderId="0" applyFont="0" applyFill="0" applyBorder="0" applyAlignment="0" applyProtection="0"/>
    <xf numFmtId="170" fontId="16" fillId="0" borderId="0" applyFont="0" applyFill="0" applyBorder="0" applyAlignment="0" applyProtection="0"/>
    <xf numFmtId="170" fontId="16" fillId="0" borderId="0" applyFont="0" applyFill="0" applyBorder="0" applyAlignment="0" applyProtection="0"/>
    <xf numFmtId="170" fontId="16" fillId="0" borderId="0" applyFont="0" applyFill="0" applyBorder="0" applyAlignment="0" applyProtection="0"/>
    <xf numFmtId="170" fontId="16" fillId="0" borderId="0" applyFont="0" applyFill="0" applyBorder="0" applyAlignment="0" applyProtection="0"/>
    <xf numFmtId="170" fontId="16" fillId="0" borderId="0" applyFont="0" applyFill="0" applyBorder="0" applyAlignment="0" applyProtection="0"/>
    <xf numFmtId="170" fontId="16" fillId="0" borderId="0" applyFont="0" applyFill="0" applyBorder="0" applyAlignment="0" applyProtection="0"/>
    <xf numFmtId="170" fontId="16" fillId="0" borderId="0" applyFont="0" applyFill="0" applyBorder="0" applyAlignment="0" applyProtection="0"/>
    <xf numFmtId="170" fontId="16" fillId="0" borderId="0" applyFont="0" applyFill="0" applyBorder="0" applyAlignment="0" applyProtection="0"/>
    <xf numFmtId="170" fontId="16" fillId="0" borderId="0" applyFont="0" applyFill="0" applyBorder="0" applyAlignment="0" applyProtection="0"/>
    <xf numFmtId="172" fontId="16" fillId="0" borderId="0" applyFont="0" applyFill="0" applyBorder="0" applyAlignment="0" applyProtection="0"/>
    <xf numFmtId="173" fontId="16" fillId="0" borderId="0" applyFont="0" applyFill="0" applyBorder="0" applyAlignment="0" applyProtection="0"/>
    <xf numFmtId="180" fontId="16" fillId="0" borderId="0"/>
    <xf numFmtId="0" fontId="16" fillId="0" borderId="0"/>
    <xf numFmtId="0" fontId="16" fillId="0" borderId="0"/>
    <xf numFmtId="0" fontId="16" fillId="0" borderId="0"/>
    <xf numFmtId="0" fontId="16" fillId="0" borderId="0"/>
    <xf numFmtId="0" fontId="16" fillId="0" borderId="0"/>
    <xf numFmtId="180" fontId="16" fillId="0" borderId="0"/>
    <xf numFmtId="180" fontId="16" fillId="0" borderId="0"/>
    <xf numFmtId="0" fontId="16" fillId="0" borderId="0"/>
    <xf numFmtId="180" fontId="16" fillId="0" borderId="0"/>
    <xf numFmtId="180" fontId="16" fillId="0" borderId="0"/>
    <xf numFmtId="180" fontId="16" fillId="0" borderId="0"/>
    <xf numFmtId="0" fontId="16" fillId="0" borderId="0"/>
    <xf numFmtId="180" fontId="16" fillId="0" borderId="0"/>
    <xf numFmtId="180" fontId="16" fillId="0" borderId="0"/>
    <xf numFmtId="9" fontId="16" fillId="0" borderId="0" applyFont="0" applyFill="0" applyBorder="0" applyAlignment="0" applyProtection="0"/>
    <xf numFmtId="0" fontId="75" fillId="0" borderId="0">
      <alignment horizontal="center" vertical="top"/>
    </xf>
    <xf numFmtId="0" fontId="75" fillId="0" borderId="0">
      <alignment horizontal="center" vertical="top"/>
    </xf>
    <xf numFmtId="0" fontId="75" fillId="0" borderId="0">
      <alignment horizontal="left" vertical="top"/>
    </xf>
    <xf numFmtId="170" fontId="52" fillId="0" borderId="0" applyFont="0" applyFill="0" applyBorder="0" applyAlignment="0" applyProtection="0"/>
    <xf numFmtId="168" fontId="15" fillId="0" borderId="0" applyFont="0" applyFill="0" applyBorder="0" applyAlignment="0" applyProtection="0"/>
    <xf numFmtId="168" fontId="15" fillId="0" borderId="0" applyFont="0" applyFill="0" applyBorder="0" applyAlignment="0" applyProtection="0"/>
    <xf numFmtId="168" fontId="15" fillId="0" borderId="0" applyFont="0" applyFill="0" applyBorder="0" applyAlignment="0" applyProtection="0"/>
    <xf numFmtId="168" fontId="15" fillId="0" borderId="0" applyFont="0" applyFill="0" applyBorder="0" applyAlignment="0" applyProtection="0"/>
    <xf numFmtId="168" fontId="15" fillId="0" borderId="0" applyFont="0" applyFill="0" applyBorder="0" applyAlignment="0" applyProtection="0"/>
    <xf numFmtId="168" fontId="15" fillId="0" borderId="0" applyFont="0" applyFill="0" applyBorder="0" applyAlignment="0" applyProtection="0"/>
    <xf numFmtId="168" fontId="15" fillId="0" borderId="0" applyFont="0" applyFill="0" applyBorder="0" applyAlignment="0" applyProtection="0"/>
    <xf numFmtId="170" fontId="15" fillId="0" borderId="0" applyFont="0" applyFill="0" applyBorder="0" applyAlignment="0" applyProtection="0"/>
    <xf numFmtId="170" fontId="15" fillId="0" borderId="0" applyFont="0" applyFill="0" applyBorder="0" applyAlignment="0" applyProtection="0"/>
    <xf numFmtId="170" fontId="15" fillId="0" borderId="0" applyFont="0" applyFill="0" applyBorder="0" applyAlignment="0" applyProtection="0"/>
    <xf numFmtId="170" fontId="15" fillId="0" borderId="0" applyFont="0" applyFill="0" applyBorder="0" applyAlignment="0" applyProtection="0"/>
    <xf numFmtId="170" fontId="15" fillId="0" borderId="0" applyFont="0" applyFill="0" applyBorder="0" applyAlignment="0" applyProtection="0"/>
    <xf numFmtId="170" fontId="15" fillId="0" borderId="0" applyFont="0" applyFill="0" applyBorder="0" applyAlignment="0" applyProtection="0"/>
    <xf numFmtId="170" fontId="15" fillId="0" borderId="0" applyFont="0" applyFill="0" applyBorder="0" applyAlignment="0" applyProtection="0"/>
    <xf numFmtId="170" fontId="15" fillId="0" borderId="0" applyFont="0" applyFill="0" applyBorder="0" applyAlignment="0" applyProtection="0"/>
    <xf numFmtId="170" fontId="15" fillId="0" borderId="0" applyFont="0" applyFill="0" applyBorder="0" applyAlignment="0" applyProtection="0"/>
    <xf numFmtId="170" fontId="15" fillId="0" borderId="0" applyFont="0" applyFill="0" applyBorder="0" applyAlignment="0" applyProtection="0"/>
    <xf numFmtId="170" fontId="15" fillId="0" borderId="0" applyFont="0" applyFill="0" applyBorder="0" applyAlignment="0" applyProtection="0"/>
    <xf numFmtId="172" fontId="15" fillId="0" borderId="0" applyFont="0" applyFill="0" applyBorder="0" applyAlignment="0" applyProtection="0"/>
    <xf numFmtId="173" fontId="15" fillId="0" borderId="0" applyFont="0" applyFill="0" applyBorder="0" applyAlignment="0" applyProtection="0"/>
    <xf numFmtId="180" fontId="15" fillId="0" borderId="0"/>
    <xf numFmtId="0" fontId="15" fillId="0" borderId="0"/>
    <xf numFmtId="0" fontId="15" fillId="0" borderId="0"/>
    <xf numFmtId="0" fontId="15" fillId="0" borderId="0"/>
    <xf numFmtId="0" fontId="15" fillId="0" borderId="0"/>
    <xf numFmtId="0" fontId="15" fillId="0" borderId="0"/>
    <xf numFmtId="180" fontId="15" fillId="0" borderId="0"/>
    <xf numFmtId="180" fontId="15" fillId="0" borderId="0"/>
    <xf numFmtId="0" fontId="15" fillId="0" borderId="0"/>
    <xf numFmtId="180" fontId="15" fillId="0" borderId="0"/>
    <xf numFmtId="180" fontId="15" fillId="0" borderId="0"/>
    <xf numFmtId="180" fontId="15" fillId="0" borderId="0"/>
    <xf numFmtId="0" fontId="15" fillId="0" borderId="0"/>
    <xf numFmtId="180" fontId="15" fillId="0" borderId="0"/>
    <xf numFmtId="180" fontId="15" fillId="0" borderId="0"/>
    <xf numFmtId="9" fontId="15" fillId="0" borderId="0" applyFont="0" applyFill="0" applyBorder="0" applyAlignment="0" applyProtection="0"/>
    <xf numFmtId="0" fontId="75" fillId="0" borderId="0">
      <alignment horizontal="center" vertical="top"/>
    </xf>
    <xf numFmtId="170" fontId="52" fillId="0" borderId="0" applyFont="0" applyFill="0" applyBorder="0" applyAlignment="0" applyProtection="0"/>
    <xf numFmtId="168" fontId="14" fillId="0" borderId="0" applyFont="0" applyFill="0" applyBorder="0" applyAlignment="0" applyProtection="0"/>
    <xf numFmtId="168" fontId="14" fillId="0" borderId="0" applyFont="0" applyFill="0" applyBorder="0" applyAlignment="0" applyProtection="0"/>
    <xf numFmtId="168" fontId="14" fillId="0" borderId="0" applyFont="0" applyFill="0" applyBorder="0" applyAlignment="0" applyProtection="0"/>
    <xf numFmtId="168" fontId="14" fillId="0" borderId="0" applyFont="0" applyFill="0" applyBorder="0" applyAlignment="0" applyProtection="0"/>
    <xf numFmtId="168" fontId="14" fillId="0" borderId="0" applyFont="0" applyFill="0" applyBorder="0" applyAlignment="0" applyProtection="0"/>
    <xf numFmtId="168" fontId="14" fillId="0" borderId="0" applyFont="0" applyFill="0" applyBorder="0" applyAlignment="0" applyProtection="0"/>
    <xf numFmtId="168" fontId="14" fillId="0" borderId="0" applyFont="0" applyFill="0" applyBorder="0" applyAlignment="0" applyProtection="0"/>
    <xf numFmtId="170" fontId="14" fillId="0" borderId="0" applyFont="0" applyFill="0" applyBorder="0" applyAlignment="0" applyProtection="0"/>
    <xf numFmtId="170" fontId="14" fillId="0" borderId="0" applyFont="0" applyFill="0" applyBorder="0" applyAlignment="0" applyProtection="0"/>
    <xf numFmtId="170" fontId="14" fillId="0" borderId="0" applyFont="0" applyFill="0" applyBorder="0" applyAlignment="0" applyProtection="0"/>
    <xf numFmtId="170" fontId="14" fillId="0" borderId="0" applyFont="0" applyFill="0" applyBorder="0" applyAlignment="0" applyProtection="0"/>
    <xf numFmtId="170" fontId="14" fillId="0" borderId="0" applyFont="0" applyFill="0" applyBorder="0" applyAlignment="0" applyProtection="0"/>
    <xf numFmtId="170" fontId="14" fillId="0" borderId="0" applyFont="0" applyFill="0" applyBorder="0" applyAlignment="0" applyProtection="0"/>
    <xf numFmtId="170" fontId="14" fillId="0" borderId="0" applyFont="0" applyFill="0" applyBorder="0" applyAlignment="0" applyProtection="0"/>
    <xf numFmtId="170" fontId="14" fillId="0" borderId="0" applyFont="0" applyFill="0" applyBorder="0" applyAlignment="0" applyProtection="0"/>
    <xf numFmtId="170" fontId="14" fillId="0" borderId="0" applyFont="0" applyFill="0" applyBorder="0" applyAlignment="0" applyProtection="0"/>
    <xf numFmtId="170" fontId="14" fillId="0" borderId="0" applyFont="0" applyFill="0" applyBorder="0" applyAlignment="0" applyProtection="0"/>
    <xf numFmtId="170" fontId="14" fillId="0" borderId="0" applyFont="0" applyFill="0" applyBorder="0" applyAlignment="0" applyProtection="0"/>
    <xf numFmtId="172" fontId="14" fillId="0" borderId="0" applyFont="0" applyFill="0" applyBorder="0" applyAlignment="0" applyProtection="0"/>
    <xf numFmtId="173" fontId="14" fillId="0" borderId="0" applyFont="0" applyFill="0" applyBorder="0" applyAlignment="0" applyProtection="0"/>
    <xf numFmtId="180" fontId="14" fillId="0" borderId="0"/>
    <xf numFmtId="0" fontId="14" fillId="0" borderId="0"/>
    <xf numFmtId="0" fontId="14" fillId="0" borderId="0"/>
    <xf numFmtId="0" fontId="14" fillId="0" borderId="0"/>
    <xf numFmtId="0" fontId="14" fillId="0" borderId="0"/>
    <xf numFmtId="0" fontId="14" fillId="0" borderId="0"/>
    <xf numFmtId="180" fontId="14" fillId="0" borderId="0"/>
    <xf numFmtId="180" fontId="14" fillId="0" borderId="0"/>
    <xf numFmtId="0" fontId="14" fillId="0" borderId="0"/>
    <xf numFmtId="180" fontId="14" fillId="0" borderId="0"/>
    <xf numFmtId="180" fontId="14" fillId="0" borderId="0"/>
    <xf numFmtId="180" fontId="14" fillId="0" borderId="0"/>
    <xf numFmtId="0" fontId="14" fillId="0" borderId="0"/>
    <xf numFmtId="180" fontId="14" fillId="0" borderId="0"/>
    <xf numFmtId="180" fontId="14" fillId="0" borderId="0"/>
    <xf numFmtId="9" fontId="14" fillId="0" borderId="0" applyFont="0" applyFill="0" applyBorder="0" applyAlignment="0" applyProtection="0"/>
    <xf numFmtId="170" fontId="52" fillId="0" borderId="0" applyFont="0" applyFill="0" applyBorder="0" applyAlignment="0" applyProtection="0"/>
    <xf numFmtId="168" fontId="13" fillId="0" borderId="0" applyFont="0" applyFill="0" applyBorder="0" applyAlignment="0" applyProtection="0"/>
    <xf numFmtId="168" fontId="13" fillId="0" borderId="0" applyFont="0" applyFill="0" applyBorder="0" applyAlignment="0" applyProtection="0"/>
    <xf numFmtId="168" fontId="13" fillId="0" borderId="0" applyFont="0" applyFill="0" applyBorder="0" applyAlignment="0" applyProtection="0"/>
    <xf numFmtId="168" fontId="13" fillId="0" borderId="0" applyFont="0" applyFill="0" applyBorder="0" applyAlignment="0" applyProtection="0"/>
    <xf numFmtId="168" fontId="13" fillId="0" borderId="0" applyFont="0" applyFill="0" applyBorder="0" applyAlignment="0" applyProtection="0"/>
    <xf numFmtId="168" fontId="13" fillId="0" borderId="0" applyFont="0" applyFill="0" applyBorder="0" applyAlignment="0" applyProtection="0"/>
    <xf numFmtId="168" fontId="13" fillId="0" borderId="0" applyFont="0" applyFill="0" applyBorder="0" applyAlignment="0" applyProtection="0"/>
    <xf numFmtId="170" fontId="13" fillId="0" borderId="0" applyFont="0" applyFill="0" applyBorder="0" applyAlignment="0" applyProtection="0"/>
    <xf numFmtId="170" fontId="13" fillId="0" borderId="0" applyFont="0" applyFill="0" applyBorder="0" applyAlignment="0" applyProtection="0"/>
    <xf numFmtId="170" fontId="13" fillId="0" borderId="0" applyFont="0" applyFill="0" applyBorder="0" applyAlignment="0" applyProtection="0"/>
    <xf numFmtId="170" fontId="13" fillId="0" borderId="0" applyFont="0" applyFill="0" applyBorder="0" applyAlignment="0" applyProtection="0"/>
    <xf numFmtId="170" fontId="13" fillId="0" borderId="0" applyFont="0" applyFill="0" applyBorder="0" applyAlignment="0" applyProtection="0"/>
    <xf numFmtId="170" fontId="13" fillId="0" borderId="0" applyFont="0" applyFill="0" applyBorder="0" applyAlignment="0" applyProtection="0"/>
    <xf numFmtId="170" fontId="13" fillId="0" borderId="0" applyFont="0" applyFill="0" applyBorder="0" applyAlignment="0" applyProtection="0"/>
    <xf numFmtId="170" fontId="13" fillId="0" borderId="0" applyFont="0" applyFill="0" applyBorder="0" applyAlignment="0" applyProtection="0"/>
    <xf numFmtId="170" fontId="13" fillId="0" borderId="0" applyFont="0" applyFill="0" applyBorder="0" applyAlignment="0" applyProtection="0"/>
    <xf numFmtId="170" fontId="13" fillId="0" borderId="0" applyFont="0" applyFill="0" applyBorder="0" applyAlignment="0" applyProtection="0"/>
    <xf numFmtId="170" fontId="13" fillId="0" borderId="0" applyFont="0" applyFill="0" applyBorder="0" applyAlignment="0" applyProtection="0"/>
    <xf numFmtId="172" fontId="13" fillId="0" borderId="0" applyFont="0" applyFill="0" applyBorder="0" applyAlignment="0" applyProtection="0"/>
    <xf numFmtId="173" fontId="13" fillId="0" borderId="0" applyFont="0" applyFill="0" applyBorder="0" applyAlignment="0" applyProtection="0"/>
    <xf numFmtId="180" fontId="13" fillId="0" borderId="0"/>
    <xf numFmtId="0" fontId="13" fillId="0" borderId="0"/>
    <xf numFmtId="0" fontId="13" fillId="0" borderId="0"/>
    <xf numFmtId="0" fontId="13" fillId="0" borderId="0"/>
    <xf numFmtId="0" fontId="13" fillId="0" borderId="0"/>
    <xf numFmtId="0" fontId="13" fillId="0" borderId="0"/>
    <xf numFmtId="180" fontId="13" fillId="0" borderId="0"/>
    <xf numFmtId="180" fontId="13" fillId="0" borderId="0"/>
    <xf numFmtId="0" fontId="13" fillId="0" borderId="0"/>
    <xf numFmtId="180" fontId="13" fillId="0" borderId="0"/>
    <xf numFmtId="180" fontId="13" fillId="0" borderId="0"/>
    <xf numFmtId="180" fontId="13" fillId="0" borderId="0"/>
    <xf numFmtId="0" fontId="13" fillId="0" borderId="0"/>
    <xf numFmtId="180" fontId="13" fillId="0" borderId="0"/>
    <xf numFmtId="180" fontId="13" fillId="0" borderId="0"/>
    <xf numFmtId="9" fontId="13" fillId="0" borderId="0" applyFont="0" applyFill="0" applyBorder="0" applyAlignment="0" applyProtection="0"/>
    <xf numFmtId="43" fontId="52" fillId="0" borderId="0" applyFont="0" applyFill="0" applyBorder="0" applyAlignment="0" applyProtection="0"/>
    <xf numFmtId="0" fontId="79" fillId="17" borderId="0" applyNumberFormat="0" applyBorder="0" applyAlignment="0" applyProtection="0"/>
    <xf numFmtId="0" fontId="76" fillId="0" borderId="0">
      <alignment horizontal="center" vertical="top"/>
    </xf>
    <xf numFmtId="0" fontId="76" fillId="0" borderId="0">
      <alignment horizontal="center" vertical="top"/>
    </xf>
    <xf numFmtId="0" fontId="76" fillId="0" borderId="0">
      <alignment horizontal="center" vertical="top"/>
    </xf>
    <xf numFmtId="0" fontId="75" fillId="0" borderId="0">
      <alignment horizontal="right" vertical="top"/>
    </xf>
    <xf numFmtId="0" fontId="80" fillId="0" borderId="0">
      <alignment horizontal="center" vertical="center"/>
    </xf>
    <xf numFmtId="0" fontId="76" fillId="0" borderId="0">
      <alignment horizontal="right" vertical="center"/>
    </xf>
    <xf numFmtId="0" fontId="80" fillId="0" borderId="0">
      <alignment horizontal="right" vertical="center"/>
    </xf>
    <xf numFmtId="169" fontId="52" fillId="0" borderId="0" applyFont="0" applyFill="0" applyBorder="0" applyAlignment="0" applyProtection="0"/>
    <xf numFmtId="170" fontId="52" fillId="0" borderId="0" applyFont="0" applyFill="0" applyBorder="0" applyAlignment="0" applyProtection="0"/>
    <xf numFmtId="168" fontId="12" fillId="0" borderId="0" applyFont="0" applyFill="0" applyBorder="0" applyAlignment="0" applyProtection="0"/>
    <xf numFmtId="168" fontId="12" fillId="0" borderId="0" applyFont="0" applyFill="0" applyBorder="0" applyAlignment="0" applyProtection="0"/>
    <xf numFmtId="168" fontId="12" fillId="0" borderId="0" applyFont="0" applyFill="0" applyBorder="0" applyAlignment="0" applyProtection="0"/>
    <xf numFmtId="168" fontId="12" fillId="0" borderId="0" applyFont="0" applyFill="0" applyBorder="0" applyAlignment="0" applyProtection="0"/>
    <xf numFmtId="168" fontId="12" fillId="0" borderId="0" applyFont="0" applyFill="0" applyBorder="0" applyAlignment="0" applyProtection="0"/>
    <xf numFmtId="168" fontId="12" fillId="0" borderId="0" applyFont="0" applyFill="0" applyBorder="0" applyAlignment="0" applyProtection="0"/>
    <xf numFmtId="168"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2" fontId="12" fillId="0" borderId="0" applyFont="0" applyFill="0" applyBorder="0" applyAlignment="0" applyProtection="0"/>
    <xf numFmtId="173" fontId="12" fillId="0" borderId="0" applyFont="0" applyFill="0" applyBorder="0" applyAlignment="0" applyProtection="0"/>
    <xf numFmtId="180" fontId="12" fillId="0" borderId="0"/>
    <xf numFmtId="0" fontId="12" fillId="0" borderId="0"/>
    <xf numFmtId="0" fontId="12" fillId="0" borderId="0"/>
    <xf numFmtId="0" fontId="12" fillId="0" borderId="0"/>
    <xf numFmtId="0" fontId="12" fillId="0" borderId="0"/>
    <xf numFmtId="0" fontId="12" fillId="0" borderId="0"/>
    <xf numFmtId="180" fontId="12" fillId="0" borderId="0"/>
    <xf numFmtId="180" fontId="12" fillId="0" borderId="0"/>
    <xf numFmtId="0" fontId="12" fillId="0" borderId="0"/>
    <xf numFmtId="180" fontId="12" fillId="0" borderId="0"/>
    <xf numFmtId="180" fontId="12" fillId="0" borderId="0"/>
    <xf numFmtId="180" fontId="12" fillId="0" borderId="0"/>
    <xf numFmtId="0" fontId="12" fillId="0" borderId="0"/>
    <xf numFmtId="180" fontId="12" fillId="0" borderId="0"/>
    <xf numFmtId="180" fontId="12" fillId="0" borderId="0"/>
    <xf numFmtId="9" fontId="12" fillId="0" borderId="0" applyFont="0" applyFill="0" applyBorder="0" applyAlignment="0" applyProtection="0"/>
    <xf numFmtId="0" fontId="33" fillId="0" borderId="0" applyFill="0" applyBorder="0" applyAlignment="0" applyProtection="0"/>
    <xf numFmtId="0" fontId="51" fillId="5" borderId="0" applyNumberFormat="0" applyBorder="0" applyAlignment="0" applyProtection="0"/>
    <xf numFmtId="170" fontId="11" fillId="0" borderId="0" applyFont="0" applyFill="0" applyBorder="0" applyAlignment="0" applyProtection="0"/>
    <xf numFmtId="0" fontId="32" fillId="0" borderId="0"/>
    <xf numFmtId="0" fontId="33" fillId="0" borderId="0"/>
    <xf numFmtId="43" fontId="11" fillId="0" borderId="0" applyFont="0" applyFill="0" applyBorder="0" applyAlignment="0" applyProtection="0"/>
    <xf numFmtId="43" fontId="52" fillId="0" borderId="0" applyFont="0" applyFill="0" applyBorder="0" applyAlignment="0" applyProtection="0"/>
    <xf numFmtId="0" fontId="81" fillId="5" borderId="0" applyNumberFormat="0" applyBorder="0" applyAlignment="0" applyProtection="0"/>
    <xf numFmtId="43" fontId="52" fillId="0" borderId="0" applyFont="0" applyFill="0" applyBorder="0" applyAlignment="0" applyProtection="0"/>
    <xf numFmtId="0" fontId="52" fillId="0" borderId="0"/>
    <xf numFmtId="0" fontId="52" fillId="0" borderId="0"/>
    <xf numFmtId="0" fontId="52" fillId="0" borderId="0"/>
    <xf numFmtId="43" fontId="33" fillId="0" borderId="0" applyFont="0" applyFill="0" applyBorder="0" applyAlignment="0" applyProtection="0"/>
    <xf numFmtId="43" fontId="52" fillId="0" borderId="0" applyFont="0" applyFill="0" applyBorder="0" applyAlignment="0" applyProtection="0"/>
    <xf numFmtId="0" fontId="11" fillId="0" borderId="0"/>
    <xf numFmtId="41" fontId="52" fillId="0" borderId="0" applyFont="0" applyFill="0" applyBorder="0" applyAlignment="0" applyProtection="0"/>
    <xf numFmtId="0" fontId="52" fillId="0" borderId="0"/>
    <xf numFmtId="43" fontId="52" fillId="0" borderId="0" applyFont="0" applyFill="0" applyBorder="0" applyAlignment="0" applyProtection="0"/>
    <xf numFmtId="170" fontId="52" fillId="0" borderId="0" applyFont="0" applyFill="0" applyBorder="0" applyAlignment="0" applyProtection="0"/>
    <xf numFmtId="0" fontId="52" fillId="0" borderId="0"/>
    <xf numFmtId="0" fontId="52" fillId="0" borderId="0"/>
    <xf numFmtId="0" fontId="52" fillId="0" borderId="0"/>
    <xf numFmtId="168" fontId="11" fillId="0" borderId="0" applyFont="0" applyFill="0" applyBorder="0" applyAlignment="0" applyProtection="0"/>
    <xf numFmtId="0" fontId="52" fillId="0" borderId="0"/>
    <xf numFmtId="170" fontId="52" fillId="0" borderId="0" applyFont="0" applyFill="0" applyBorder="0" applyAlignment="0" applyProtection="0"/>
    <xf numFmtId="170" fontId="52" fillId="0" borderId="0" applyFont="0" applyFill="0" applyBorder="0" applyAlignment="0" applyProtection="0"/>
    <xf numFmtId="170" fontId="52" fillId="0" borderId="0" applyFont="0" applyFill="0" applyBorder="0" applyAlignment="0" applyProtection="0"/>
    <xf numFmtId="170" fontId="52" fillId="0" borderId="0" applyFont="0" applyFill="0" applyBorder="0" applyAlignment="0" applyProtection="0"/>
    <xf numFmtId="170" fontId="52" fillId="0" borderId="0" applyFont="0" applyFill="0" applyBorder="0" applyAlignment="0" applyProtection="0"/>
    <xf numFmtId="170" fontId="52" fillId="0" borderId="0" applyFont="0" applyFill="0" applyBorder="0" applyAlignment="0" applyProtection="0"/>
    <xf numFmtId="170" fontId="52" fillId="0" borderId="0" applyFont="0" applyFill="0" applyBorder="0" applyAlignment="0" applyProtection="0"/>
    <xf numFmtId="170" fontId="52" fillId="0" borderId="0" applyFont="0" applyFill="0" applyBorder="0" applyAlignment="0" applyProtection="0"/>
    <xf numFmtId="170" fontId="52" fillId="0" borderId="0" applyFont="0" applyFill="0" applyBorder="0" applyAlignment="0" applyProtection="0"/>
    <xf numFmtId="170" fontId="52" fillId="0" borderId="0" applyFont="0" applyFill="0" applyBorder="0" applyAlignment="0" applyProtection="0"/>
    <xf numFmtId="170" fontId="52" fillId="0" borderId="0" applyFont="0" applyFill="0" applyBorder="0" applyAlignment="0" applyProtection="0"/>
    <xf numFmtId="170" fontId="52" fillId="0" borderId="0" applyFont="0" applyFill="0" applyBorder="0" applyAlignment="0" applyProtection="0"/>
    <xf numFmtId="170" fontId="52" fillId="0" borderId="0" applyFont="0" applyFill="0" applyBorder="0" applyAlignment="0" applyProtection="0"/>
    <xf numFmtId="170" fontId="52" fillId="0" borderId="0" applyFont="0" applyFill="0" applyBorder="0" applyAlignment="0" applyProtection="0"/>
    <xf numFmtId="170" fontId="52" fillId="0" borderId="0" applyFont="0" applyFill="0" applyBorder="0" applyAlignment="0" applyProtection="0"/>
    <xf numFmtId="18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180" fontId="10" fillId="0" borderId="0"/>
    <xf numFmtId="180" fontId="10" fillId="0" borderId="0"/>
    <xf numFmtId="0" fontId="10" fillId="0" borderId="0"/>
    <xf numFmtId="180" fontId="10" fillId="0" borderId="0"/>
    <xf numFmtId="180" fontId="10" fillId="0" borderId="0"/>
    <xf numFmtId="180" fontId="10" fillId="0" borderId="0"/>
    <xf numFmtId="0" fontId="10" fillId="0" borderId="0"/>
    <xf numFmtId="180" fontId="10" fillId="0" borderId="0"/>
    <xf numFmtId="180" fontId="10" fillId="0" borderId="0"/>
    <xf numFmtId="168" fontId="10" fillId="0" borderId="0" applyFont="0" applyFill="0" applyBorder="0" applyAlignment="0" applyProtection="0"/>
    <xf numFmtId="168" fontId="10" fillId="0" borderId="0" applyFont="0" applyFill="0" applyBorder="0" applyAlignment="0" applyProtection="0"/>
    <xf numFmtId="168" fontId="10" fillId="0" borderId="0" applyFont="0" applyFill="0" applyBorder="0" applyAlignment="0" applyProtection="0"/>
    <xf numFmtId="168" fontId="10" fillId="0" borderId="0" applyFont="0" applyFill="0" applyBorder="0" applyAlignment="0" applyProtection="0"/>
    <xf numFmtId="168" fontId="10" fillId="0" borderId="0" applyFont="0" applyFill="0" applyBorder="0" applyAlignment="0" applyProtection="0"/>
    <xf numFmtId="168" fontId="10" fillId="0" borderId="0" applyFont="0" applyFill="0" applyBorder="0" applyAlignment="0" applyProtection="0"/>
    <xf numFmtId="168" fontId="10" fillId="0" borderId="0" applyFont="0" applyFill="0" applyBorder="0" applyAlignment="0" applyProtection="0"/>
    <xf numFmtId="170" fontId="10" fillId="0" borderId="0" applyFont="0" applyFill="0" applyBorder="0" applyAlignment="0" applyProtection="0"/>
    <xf numFmtId="170" fontId="10" fillId="0" borderId="0" applyFont="0" applyFill="0" applyBorder="0" applyAlignment="0" applyProtection="0"/>
    <xf numFmtId="170" fontId="10" fillId="0" borderId="0" applyFont="0" applyFill="0" applyBorder="0" applyAlignment="0" applyProtection="0"/>
    <xf numFmtId="170" fontId="10" fillId="0" borderId="0" applyFont="0" applyFill="0" applyBorder="0" applyAlignment="0" applyProtection="0"/>
    <xf numFmtId="170" fontId="10" fillId="0" borderId="0" applyFont="0" applyFill="0" applyBorder="0" applyAlignment="0" applyProtection="0"/>
    <xf numFmtId="170" fontId="10" fillId="0" borderId="0" applyFont="0" applyFill="0" applyBorder="0" applyAlignment="0" applyProtection="0"/>
    <xf numFmtId="170" fontId="10" fillId="0" borderId="0" applyFont="0" applyFill="0" applyBorder="0" applyAlignment="0" applyProtection="0"/>
    <xf numFmtId="170" fontId="10" fillId="0" borderId="0" applyFont="0" applyFill="0" applyBorder="0" applyAlignment="0" applyProtection="0"/>
    <xf numFmtId="170" fontId="10" fillId="0" borderId="0" applyFont="0" applyFill="0" applyBorder="0" applyAlignment="0" applyProtection="0"/>
    <xf numFmtId="170" fontId="10" fillId="0" borderId="0" applyFont="0" applyFill="0" applyBorder="0" applyAlignment="0" applyProtection="0"/>
    <xf numFmtId="170" fontId="10" fillId="0" borderId="0" applyFont="0" applyFill="0" applyBorder="0" applyAlignment="0" applyProtection="0"/>
    <xf numFmtId="172" fontId="10" fillId="0" borderId="0" applyFont="0" applyFill="0" applyBorder="0" applyAlignment="0" applyProtection="0"/>
    <xf numFmtId="173" fontId="10" fillId="0" borderId="0" applyFont="0" applyFill="0" applyBorder="0" applyAlignment="0" applyProtection="0"/>
    <xf numFmtId="180" fontId="10" fillId="0" borderId="0"/>
    <xf numFmtId="0" fontId="10" fillId="0" borderId="0"/>
    <xf numFmtId="0" fontId="10" fillId="0" borderId="0"/>
    <xf numFmtId="0" fontId="10" fillId="0" borderId="0"/>
    <xf numFmtId="0" fontId="10" fillId="0" borderId="0"/>
    <xf numFmtId="0" fontId="10" fillId="0" borderId="0"/>
    <xf numFmtId="180" fontId="10" fillId="0" borderId="0"/>
    <xf numFmtId="180" fontId="10" fillId="0" borderId="0"/>
    <xf numFmtId="0" fontId="10" fillId="0" borderId="0"/>
    <xf numFmtId="180" fontId="10" fillId="0" borderId="0"/>
    <xf numFmtId="180" fontId="10" fillId="0" borderId="0"/>
    <xf numFmtId="180" fontId="10" fillId="0" borderId="0"/>
    <xf numFmtId="0" fontId="10" fillId="0" borderId="0"/>
    <xf numFmtId="180" fontId="10" fillId="0" borderId="0"/>
    <xf numFmtId="180" fontId="10" fillId="0" borderId="0"/>
    <xf numFmtId="9" fontId="10" fillId="0" borderId="0" applyFont="0" applyFill="0" applyBorder="0" applyAlignment="0" applyProtection="0"/>
    <xf numFmtId="0" fontId="10" fillId="0" borderId="0"/>
    <xf numFmtId="168" fontId="10" fillId="0" borderId="0" applyFont="0" applyFill="0" applyBorder="0" applyAlignment="0" applyProtection="0"/>
    <xf numFmtId="168" fontId="10" fillId="0" borderId="0" applyFont="0" applyFill="0" applyBorder="0" applyAlignment="0" applyProtection="0"/>
    <xf numFmtId="168" fontId="10" fillId="0" borderId="0" applyFont="0" applyFill="0" applyBorder="0" applyAlignment="0" applyProtection="0"/>
    <xf numFmtId="168" fontId="10" fillId="0" borderId="0" applyFont="0" applyFill="0" applyBorder="0" applyAlignment="0" applyProtection="0"/>
    <xf numFmtId="168" fontId="10" fillId="0" borderId="0" applyFont="0" applyFill="0" applyBorder="0" applyAlignment="0" applyProtection="0"/>
    <xf numFmtId="168" fontId="10" fillId="0" borderId="0" applyFont="0" applyFill="0" applyBorder="0" applyAlignment="0" applyProtection="0"/>
    <xf numFmtId="168" fontId="10" fillId="0" borderId="0" applyFont="0" applyFill="0" applyBorder="0" applyAlignment="0" applyProtection="0"/>
    <xf numFmtId="168" fontId="10" fillId="0" borderId="0" applyFont="0" applyFill="0" applyBorder="0" applyAlignment="0" applyProtection="0"/>
    <xf numFmtId="170" fontId="10" fillId="0" borderId="0" applyFont="0" applyFill="0" applyBorder="0" applyAlignment="0" applyProtection="0"/>
    <xf numFmtId="170" fontId="10" fillId="0" borderId="0" applyFont="0" applyFill="0" applyBorder="0" applyAlignment="0" applyProtection="0"/>
    <xf numFmtId="170" fontId="10" fillId="0" borderId="0" applyFont="0" applyFill="0" applyBorder="0" applyAlignment="0" applyProtection="0"/>
    <xf numFmtId="170" fontId="10" fillId="0" borderId="0" applyFont="0" applyFill="0" applyBorder="0" applyAlignment="0" applyProtection="0"/>
    <xf numFmtId="170" fontId="10" fillId="0" borderId="0" applyFont="0" applyFill="0" applyBorder="0" applyAlignment="0" applyProtection="0"/>
    <xf numFmtId="170" fontId="10" fillId="0" borderId="0" applyFont="0" applyFill="0" applyBorder="0" applyAlignment="0" applyProtection="0"/>
    <xf numFmtId="170" fontId="10" fillId="0" borderId="0" applyFont="0" applyFill="0" applyBorder="0" applyAlignment="0" applyProtection="0"/>
    <xf numFmtId="170" fontId="10" fillId="0" borderId="0" applyFont="0" applyFill="0" applyBorder="0" applyAlignment="0" applyProtection="0"/>
    <xf numFmtId="170" fontId="10" fillId="0" borderId="0" applyFont="0" applyFill="0" applyBorder="0" applyAlignment="0" applyProtection="0"/>
    <xf numFmtId="170" fontId="10" fillId="0" borderId="0" applyFont="0" applyFill="0" applyBorder="0" applyAlignment="0" applyProtection="0"/>
    <xf numFmtId="170" fontId="10" fillId="0" borderId="0" applyFont="0" applyFill="0" applyBorder="0" applyAlignment="0" applyProtection="0"/>
    <xf numFmtId="172" fontId="10" fillId="0" borderId="0" applyFont="0" applyFill="0" applyBorder="0" applyAlignment="0" applyProtection="0"/>
    <xf numFmtId="173" fontId="10" fillId="0" borderId="0" applyFont="0" applyFill="0" applyBorder="0" applyAlignment="0" applyProtection="0"/>
    <xf numFmtId="180" fontId="10" fillId="0" borderId="0"/>
    <xf numFmtId="0" fontId="10" fillId="0" borderId="0"/>
    <xf numFmtId="0" fontId="10" fillId="0" borderId="0"/>
    <xf numFmtId="0" fontId="10" fillId="0" borderId="0"/>
    <xf numFmtId="0" fontId="10" fillId="0" borderId="0"/>
    <xf numFmtId="0" fontId="10" fillId="0" borderId="0"/>
    <xf numFmtId="180" fontId="10" fillId="0" borderId="0"/>
    <xf numFmtId="180" fontId="10" fillId="0" borderId="0"/>
    <xf numFmtId="0" fontId="10" fillId="0" borderId="0"/>
    <xf numFmtId="180" fontId="10" fillId="0" borderId="0"/>
    <xf numFmtId="180" fontId="10" fillId="0" borderId="0"/>
    <xf numFmtId="180" fontId="10" fillId="0" borderId="0"/>
    <xf numFmtId="0" fontId="10" fillId="0" borderId="0"/>
    <xf numFmtId="180" fontId="10" fillId="0" borderId="0"/>
    <xf numFmtId="180" fontId="10" fillId="0" borderId="0"/>
    <xf numFmtId="9" fontId="10" fillId="0" borderId="0" applyFont="0" applyFill="0" applyBorder="0" applyAlignment="0" applyProtection="0"/>
    <xf numFmtId="168" fontId="10" fillId="0" borderId="0" applyFont="0" applyFill="0" applyBorder="0" applyAlignment="0" applyProtection="0"/>
    <xf numFmtId="168" fontId="10" fillId="0" borderId="0" applyFont="0" applyFill="0" applyBorder="0" applyAlignment="0" applyProtection="0"/>
    <xf numFmtId="168" fontId="10" fillId="0" borderId="0" applyFont="0" applyFill="0" applyBorder="0" applyAlignment="0" applyProtection="0"/>
    <xf numFmtId="168" fontId="10" fillId="0" borderId="0" applyFont="0" applyFill="0" applyBorder="0" applyAlignment="0" applyProtection="0"/>
    <xf numFmtId="168" fontId="10" fillId="0" borderId="0" applyFont="0" applyFill="0" applyBorder="0" applyAlignment="0" applyProtection="0"/>
    <xf numFmtId="168" fontId="10" fillId="0" borderId="0" applyFont="0" applyFill="0" applyBorder="0" applyAlignment="0" applyProtection="0"/>
    <xf numFmtId="168" fontId="10" fillId="0" borderId="0" applyFont="0" applyFill="0" applyBorder="0" applyAlignment="0" applyProtection="0"/>
    <xf numFmtId="170" fontId="10" fillId="0" borderId="0" applyFont="0" applyFill="0" applyBorder="0" applyAlignment="0" applyProtection="0"/>
    <xf numFmtId="170" fontId="10" fillId="0" borderId="0" applyFont="0" applyFill="0" applyBorder="0" applyAlignment="0" applyProtection="0"/>
    <xf numFmtId="170" fontId="10" fillId="0" borderId="0" applyFont="0" applyFill="0" applyBorder="0" applyAlignment="0" applyProtection="0"/>
    <xf numFmtId="170" fontId="10" fillId="0" borderId="0" applyFont="0" applyFill="0" applyBorder="0" applyAlignment="0" applyProtection="0"/>
    <xf numFmtId="170" fontId="10" fillId="0" borderId="0" applyFont="0" applyFill="0" applyBorder="0" applyAlignment="0" applyProtection="0"/>
    <xf numFmtId="170" fontId="10" fillId="0" borderId="0" applyFont="0" applyFill="0" applyBorder="0" applyAlignment="0" applyProtection="0"/>
    <xf numFmtId="170" fontId="10" fillId="0" borderId="0" applyFont="0" applyFill="0" applyBorder="0" applyAlignment="0" applyProtection="0"/>
    <xf numFmtId="170" fontId="10" fillId="0" borderId="0" applyFont="0" applyFill="0" applyBorder="0" applyAlignment="0" applyProtection="0"/>
    <xf numFmtId="170" fontId="10" fillId="0" borderId="0" applyFont="0" applyFill="0" applyBorder="0" applyAlignment="0" applyProtection="0"/>
    <xf numFmtId="170" fontId="10" fillId="0" borderId="0" applyFont="0" applyFill="0" applyBorder="0" applyAlignment="0" applyProtection="0"/>
    <xf numFmtId="170" fontId="10" fillId="0" borderId="0" applyFont="0" applyFill="0" applyBorder="0" applyAlignment="0" applyProtection="0"/>
    <xf numFmtId="172" fontId="10" fillId="0" borderId="0" applyFont="0" applyFill="0" applyBorder="0" applyAlignment="0" applyProtection="0"/>
    <xf numFmtId="173" fontId="10" fillId="0" borderId="0" applyFont="0" applyFill="0" applyBorder="0" applyAlignment="0" applyProtection="0"/>
    <xf numFmtId="180" fontId="10" fillId="0" borderId="0"/>
    <xf numFmtId="0" fontId="10" fillId="0" borderId="0"/>
    <xf numFmtId="0" fontId="10" fillId="0" borderId="0"/>
    <xf numFmtId="0" fontId="10" fillId="0" borderId="0"/>
    <xf numFmtId="0" fontId="10" fillId="0" borderId="0"/>
    <xf numFmtId="0" fontId="10" fillId="0" borderId="0"/>
    <xf numFmtId="180" fontId="10" fillId="0" borderId="0"/>
    <xf numFmtId="180" fontId="10" fillId="0" borderId="0"/>
    <xf numFmtId="0" fontId="10" fillId="0" borderId="0"/>
    <xf numFmtId="180" fontId="10" fillId="0" borderId="0"/>
    <xf numFmtId="180" fontId="10" fillId="0" borderId="0"/>
    <xf numFmtId="180" fontId="10" fillId="0" borderId="0"/>
    <xf numFmtId="0" fontId="10" fillId="0" borderId="0"/>
    <xf numFmtId="180" fontId="10" fillId="0" borderId="0"/>
    <xf numFmtId="180" fontId="10" fillId="0" borderId="0"/>
    <xf numFmtId="9" fontId="10" fillId="0" borderId="0" applyFont="0" applyFill="0" applyBorder="0" applyAlignment="0" applyProtection="0"/>
    <xf numFmtId="168" fontId="10" fillId="0" borderId="0" applyFont="0" applyFill="0" applyBorder="0" applyAlignment="0" applyProtection="0"/>
    <xf numFmtId="168" fontId="10" fillId="0" borderId="0" applyFont="0" applyFill="0" applyBorder="0" applyAlignment="0" applyProtection="0"/>
    <xf numFmtId="168" fontId="10" fillId="0" borderId="0" applyFont="0" applyFill="0" applyBorder="0" applyAlignment="0" applyProtection="0"/>
    <xf numFmtId="168" fontId="10" fillId="0" borderId="0" applyFont="0" applyFill="0" applyBorder="0" applyAlignment="0" applyProtection="0"/>
    <xf numFmtId="168" fontId="10" fillId="0" borderId="0" applyFont="0" applyFill="0" applyBorder="0" applyAlignment="0" applyProtection="0"/>
    <xf numFmtId="168" fontId="10" fillId="0" borderId="0" applyFont="0" applyFill="0" applyBorder="0" applyAlignment="0" applyProtection="0"/>
    <xf numFmtId="168" fontId="10" fillId="0" borderId="0" applyFont="0" applyFill="0" applyBorder="0" applyAlignment="0" applyProtection="0"/>
    <xf numFmtId="170" fontId="10" fillId="0" borderId="0" applyFont="0" applyFill="0" applyBorder="0" applyAlignment="0" applyProtection="0"/>
    <xf numFmtId="170" fontId="10" fillId="0" borderId="0" applyFont="0" applyFill="0" applyBorder="0" applyAlignment="0" applyProtection="0"/>
    <xf numFmtId="170" fontId="10" fillId="0" borderId="0" applyFont="0" applyFill="0" applyBorder="0" applyAlignment="0" applyProtection="0"/>
    <xf numFmtId="170" fontId="10" fillId="0" borderId="0" applyFont="0" applyFill="0" applyBorder="0" applyAlignment="0" applyProtection="0"/>
    <xf numFmtId="170" fontId="10" fillId="0" borderId="0" applyFont="0" applyFill="0" applyBorder="0" applyAlignment="0" applyProtection="0"/>
    <xf numFmtId="170" fontId="10" fillId="0" borderId="0" applyFont="0" applyFill="0" applyBorder="0" applyAlignment="0" applyProtection="0"/>
    <xf numFmtId="170" fontId="10" fillId="0" borderId="0" applyFont="0" applyFill="0" applyBorder="0" applyAlignment="0" applyProtection="0"/>
    <xf numFmtId="170" fontId="10" fillId="0" borderId="0" applyFont="0" applyFill="0" applyBorder="0" applyAlignment="0" applyProtection="0"/>
    <xf numFmtId="170" fontId="10" fillId="0" borderId="0" applyFont="0" applyFill="0" applyBorder="0" applyAlignment="0" applyProtection="0"/>
    <xf numFmtId="170" fontId="10" fillId="0" borderId="0" applyFont="0" applyFill="0" applyBorder="0" applyAlignment="0" applyProtection="0"/>
    <xf numFmtId="170" fontId="10" fillId="0" borderId="0" applyFont="0" applyFill="0" applyBorder="0" applyAlignment="0" applyProtection="0"/>
    <xf numFmtId="172" fontId="10" fillId="0" borderId="0" applyFont="0" applyFill="0" applyBorder="0" applyAlignment="0" applyProtection="0"/>
    <xf numFmtId="173" fontId="10" fillId="0" borderId="0" applyFont="0" applyFill="0" applyBorder="0" applyAlignment="0" applyProtection="0"/>
    <xf numFmtId="180" fontId="10" fillId="0" borderId="0"/>
    <xf numFmtId="0" fontId="10" fillId="0" borderId="0"/>
    <xf numFmtId="0" fontId="10" fillId="0" borderId="0"/>
    <xf numFmtId="0" fontId="10" fillId="0" borderId="0"/>
    <xf numFmtId="0" fontId="10" fillId="0" borderId="0"/>
    <xf numFmtId="0" fontId="10" fillId="0" borderId="0"/>
    <xf numFmtId="180" fontId="10" fillId="0" borderId="0"/>
    <xf numFmtId="180" fontId="10" fillId="0" borderId="0"/>
    <xf numFmtId="0" fontId="10" fillId="0" borderId="0"/>
    <xf numFmtId="180" fontId="10" fillId="0" borderId="0"/>
    <xf numFmtId="180" fontId="10" fillId="0" borderId="0"/>
    <xf numFmtId="180" fontId="10" fillId="0" borderId="0"/>
    <xf numFmtId="0" fontId="10" fillId="0" borderId="0"/>
    <xf numFmtId="180" fontId="10" fillId="0" borderId="0"/>
    <xf numFmtId="180" fontId="10" fillId="0" borderId="0"/>
    <xf numFmtId="9" fontId="10" fillId="0" borderId="0" applyFont="0" applyFill="0" applyBorder="0" applyAlignment="0" applyProtection="0"/>
    <xf numFmtId="168" fontId="10" fillId="0" borderId="0" applyFont="0" applyFill="0" applyBorder="0" applyAlignment="0" applyProtection="0"/>
    <xf numFmtId="168" fontId="10" fillId="0" borderId="0" applyFont="0" applyFill="0" applyBorder="0" applyAlignment="0" applyProtection="0"/>
    <xf numFmtId="168" fontId="10" fillId="0" borderId="0" applyFont="0" applyFill="0" applyBorder="0" applyAlignment="0" applyProtection="0"/>
    <xf numFmtId="168" fontId="10" fillId="0" borderId="0" applyFont="0" applyFill="0" applyBorder="0" applyAlignment="0" applyProtection="0"/>
    <xf numFmtId="168" fontId="10" fillId="0" borderId="0" applyFont="0" applyFill="0" applyBorder="0" applyAlignment="0" applyProtection="0"/>
    <xf numFmtId="168" fontId="10" fillId="0" borderId="0" applyFont="0" applyFill="0" applyBorder="0" applyAlignment="0" applyProtection="0"/>
    <xf numFmtId="168" fontId="10" fillId="0" borderId="0" applyFont="0" applyFill="0" applyBorder="0" applyAlignment="0" applyProtection="0"/>
    <xf numFmtId="170" fontId="10" fillId="0" borderId="0" applyFont="0" applyFill="0" applyBorder="0" applyAlignment="0" applyProtection="0"/>
    <xf numFmtId="170" fontId="10" fillId="0" borderId="0" applyFont="0" applyFill="0" applyBorder="0" applyAlignment="0" applyProtection="0"/>
    <xf numFmtId="170" fontId="10" fillId="0" borderId="0" applyFont="0" applyFill="0" applyBorder="0" applyAlignment="0" applyProtection="0"/>
    <xf numFmtId="170" fontId="10" fillId="0" borderId="0" applyFont="0" applyFill="0" applyBorder="0" applyAlignment="0" applyProtection="0"/>
    <xf numFmtId="170" fontId="10" fillId="0" borderId="0" applyFont="0" applyFill="0" applyBorder="0" applyAlignment="0" applyProtection="0"/>
    <xf numFmtId="170" fontId="10" fillId="0" borderId="0" applyFont="0" applyFill="0" applyBorder="0" applyAlignment="0" applyProtection="0"/>
    <xf numFmtId="170" fontId="10" fillId="0" borderId="0" applyFont="0" applyFill="0" applyBorder="0" applyAlignment="0" applyProtection="0"/>
    <xf numFmtId="170" fontId="10" fillId="0" borderId="0" applyFont="0" applyFill="0" applyBorder="0" applyAlignment="0" applyProtection="0"/>
    <xf numFmtId="170" fontId="10" fillId="0" borderId="0" applyFont="0" applyFill="0" applyBorder="0" applyAlignment="0" applyProtection="0"/>
    <xf numFmtId="170" fontId="10" fillId="0" borderId="0" applyFont="0" applyFill="0" applyBorder="0" applyAlignment="0" applyProtection="0"/>
    <xf numFmtId="170" fontId="10" fillId="0" borderId="0" applyFont="0" applyFill="0" applyBorder="0" applyAlignment="0" applyProtection="0"/>
    <xf numFmtId="172" fontId="10" fillId="0" borderId="0" applyFont="0" applyFill="0" applyBorder="0" applyAlignment="0" applyProtection="0"/>
    <xf numFmtId="173" fontId="10" fillId="0" borderId="0" applyFont="0" applyFill="0" applyBorder="0" applyAlignment="0" applyProtection="0"/>
    <xf numFmtId="180" fontId="10" fillId="0" borderId="0"/>
    <xf numFmtId="0" fontId="10" fillId="0" borderId="0"/>
    <xf numFmtId="0" fontId="10" fillId="0" borderId="0"/>
    <xf numFmtId="0" fontId="10" fillId="0" borderId="0"/>
    <xf numFmtId="0" fontId="10" fillId="0" borderId="0"/>
    <xf numFmtId="0" fontId="10" fillId="0" borderId="0"/>
    <xf numFmtId="180" fontId="10" fillId="0" borderId="0"/>
    <xf numFmtId="180" fontId="10" fillId="0" borderId="0"/>
    <xf numFmtId="0" fontId="10" fillId="0" borderId="0"/>
    <xf numFmtId="180" fontId="10" fillId="0" borderId="0"/>
    <xf numFmtId="180" fontId="10" fillId="0" borderId="0"/>
    <xf numFmtId="180" fontId="10" fillId="0" borderId="0"/>
    <xf numFmtId="0" fontId="10" fillId="0" borderId="0"/>
    <xf numFmtId="180" fontId="10" fillId="0" borderId="0"/>
    <xf numFmtId="180" fontId="10" fillId="0" borderId="0"/>
    <xf numFmtId="9" fontId="10" fillId="0" borderId="0" applyFont="0" applyFill="0" applyBorder="0" applyAlignment="0" applyProtection="0"/>
    <xf numFmtId="168" fontId="10" fillId="0" borderId="0" applyFont="0" applyFill="0" applyBorder="0" applyAlignment="0" applyProtection="0"/>
    <xf numFmtId="168" fontId="10" fillId="0" borderId="0" applyFont="0" applyFill="0" applyBorder="0" applyAlignment="0" applyProtection="0"/>
    <xf numFmtId="168" fontId="10" fillId="0" borderId="0" applyFont="0" applyFill="0" applyBorder="0" applyAlignment="0" applyProtection="0"/>
    <xf numFmtId="168" fontId="10" fillId="0" borderId="0" applyFont="0" applyFill="0" applyBorder="0" applyAlignment="0" applyProtection="0"/>
    <xf numFmtId="168" fontId="10" fillId="0" borderId="0" applyFont="0" applyFill="0" applyBorder="0" applyAlignment="0" applyProtection="0"/>
    <xf numFmtId="168" fontId="10" fillId="0" borderId="0" applyFont="0" applyFill="0" applyBorder="0" applyAlignment="0" applyProtection="0"/>
    <xf numFmtId="168" fontId="10" fillId="0" borderId="0" applyFont="0" applyFill="0" applyBorder="0" applyAlignment="0" applyProtection="0"/>
    <xf numFmtId="170" fontId="10" fillId="0" borderId="0" applyFont="0" applyFill="0" applyBorder="0" applyAlignment="0" applyProtection="0"/>
    <xf numFmtId="170" fontId="10" fillId="0" borderId="0" applyFont="0" applyFill="0" applyBorder="0" applyAlignment="0" applyProtection="0"/>
    <xf numFmtId="170" fontId="10" fillId="0" borderId="0" applyFont="0" applyFill="0" applyBorder="0" applyAlignment="0" applyProtection="0"/>
    <xf numFmtId="170" fontId="10" fillId="0" borderId="0" applyFont="0" applyFill="0" applyBorder="0" applyAlignment="0" applyProtection="0"/>
    <xf numFmtId="170" fontId="10" fillId="0" borderId="0" applyFont="0" applyFill="0" applyBorder="0" applyAlignment="0" applyProtection="0"/>
    <xf numFmtId="170" fontId="10" fillId="0" borderId="0" applyFont="0" applyFill="0" applyBorder="0" applyAlignment="0" applyProtection="0"/>
    <xf numFmtId="170" fontId="10" fillId="0" borderId="0" applyFont="0" applyFill="0" applyBorder="0" applyAlignment="0" applyProtection="0"/>
    <xf numFmtId="170" fontId="10" fillId="0" borderId="0" applyFont="0" applyFill="0" applyBorder="0" applyAlignment="0" applyProtection="0"/>
    <xf numFmtId="170" fontId="10" fillId="0" borderId="0" applyFont="0" applyFill="0" applyBorder="0" applyAlignment="0" applyProtection="0"/>
    <xf numFmtId="170" fontId="10" fillId="0" borderId="0" applyFont="0" applyFill="0" applyBorder="0" applyAlignment="0" applyProtection="0"/>
    <xf numFmtId="170" fontId="10" fillId="0" borderId="0" applyFont="0" applyFill="0" applyBorder="0" applyAlignment="0" applyProtection="0"/>
    <xf numFmtId="172" fontId="10" fillId="0" borderId="0" applyFont="0" applyFill="0" applyBorder="0" applyAlignment="0" applyProtection="0"/>
    <xf numFmtId="173" fontId="10" fillId="0" borderId="0" applyFont="0" applyFill="0" applyBorder="0" applyAlignment="0" applyProtection="0"/>
    <xf numFmtId="180" fontId="10" fillId="0" borderId="0"/>
    <xf numFmtId="0" fontId="10" fillId="0" borderId="0"/>
    <xf numFmtId="0" fontId="10" fillId="0" borderId="0"/>
    <xf numFmtId="0" fontId="10" fillId="0" borderId="0"/>
    <xf numFmtId="0" fontId="10" fillId="0" borderId="0"/>
    <xf numFmtId="0" fontId="10" fillId="0" borderId="0"/>
    <xf numFmtId="180" fontId="10" fillId="0" borderId="0"/>
    <xf numFmtId="180" fontId="10" fillId="0" borderId="0"/>
    <xf numFmtId="0" fontId="10" fillId="0" borderId="0"/>
    <xf numFmtId="180" fontId="10" fillId="0" borderId="0"/>
    <xf numFmtId="180" fontId="10" fillId="0" borderId="0"/>
    <xf numFmtId="180" fontId="10" fillId="0" borderId="0"/>
    <xf numFmtId="0" fontId="10" fillId="0" borderId="0"/>
    <xf numFmtId="180" fontId="10" fillId="0" borderId="0"/>
    <xf numFmtId="180" fontId="10" fillId="0" borderId="0"/>
    <xf numFmtId="9" fontId="10" fillId="0" borderId="0" applyFont="0" applyFill="0" applyBorder="0" applyAlignment="0" applyProtection="0"/>
    <xf numFmtId="168" fontId="10" fillId="0" borderId="0" applyFont="0" applyFill="0" applyBorder="0" applyAlignment="0" applyProtection="0"/>
    <xf numFmtId="168" fontId="10" fillId="0" borderId="0" applyFont="0" applyFill="0" applyBorder="0" applyAlignment="0" applyProtection="0"/>
    <xf numFmtId="168" fontId="10" fillId="0" borderId="0" applyFont="0" applyFill="0" applyBorder="0" applyAlignment="0" applyProtection="0"/>
    <xf numFmtId="168" fontId="10" fillId="0" borderId="0" applyFont="0" applyFill="0" applyBorder="0" applyAlignment="0" applyProtection="0"/>
    <xf numFmtId="168" fontId="10" fillId="0" borderId="0" applyFont="0" applyFill="0" applyBorder="0" applyAlignment="0" applyProtection="0"/>
    <xf numFmtId="168" fontId="10" fillId="0" borderId="0" applyFont="0" applyFill="0" applyBorder="0" applyAlignment="0" applyProtection="0"/>
    <xf numFmtId="168" fontId="10" fillId="0" borderId="0" applyFont="0" applyFill="0" applyBorder="0" applyAlignment="0" applyProtection="0"/>
    <xf numFmtId="170" fontId="10" fillId="0" borderId="0" applyFont="0" applyFill="0" applyBorder="0" applyAlignment="0" applyProtection="0"/>
    <xf numFmtId="170" fontId="10" fillId="0" borderId="0" applyFont="0" applyFill="0" applyBorder="0" applyAlignment="0" applyProtection="0"/>
    <xf numFmtId="170" fontId="10" fillId="0" borderId="0" applyFont="0" applyFill="0" applyBorder="0" applyAlignment="0" applyProtection="0"/>
    <xf numFmtId="170" fontId="10" fillId="0" borderId="0" applyFont="0" applyFill="0" applyBorder="0" applyAlignment="0" applyProtection="0"/>
    <xf numFmtId="170" fontId="10" fillId="0" borderId="0" applyFont="0" applyFill="0" applyBorder="0" applyAlignment="0" applyProtection="0"/>
    <xf numFmtId="170" fontId="10" fillId="0" borderId="0" applyFont="0" applyFill="0" applyBorder="0" applyAlignment="0" applyProtection="0"/>
    <xf numFmtId="170" fontId="10" fillId="0" borderId="0" applyFont="0" applyFill="0" applyBorder="0" applyAlignment="0" applyProtection="0"/>
    <xf numFmtId="170" fontId="10" fillId="0" borderId="0" applyFont="0" applyFill="0" applyBorder="0" applyAlignment="0" applyProtection="0"/>
    <xf numFmtId="170" fontId="10" fillId="0" borderId="0" applyFont="0" applyFill="0" applyBorder="0" applyAlignment="0" applyProtection="0"/>
    <xf numFmtId="170" fontId="10" fillId="0" borderId="0" applyFont="0" applyFill="0" applyBorder="0" applyAlignment="0" applyProtection="0"/>
    <xf numFmtId="170" fontId="10" fillId="0" borderId="0" applyFont="0" applyFill="0" applyBorder="0" applyAlignment="0" applyProtection="0"/>
    <xf numFmtId="172" fontId="10" fillId="0" borderId="0" applyFont="0" applyFill="0" applyBorder="0" applyAlignment="0" applyProtection="0"/>
    <xf numFmtId="173" fontId="10" fillId="0" borderId="0" applyFont="0" applyFill="0" applyBorder="0" applyAlignment="0" applyProtection="0"/>
    <xf numFmtId="180" fontId="10" fillId="0" borderId="0"/>
    <xf numFmtId="0" fontId="10" fillId="0" borderId="0"/>
    <xf numFmtId="0" fontId="10" fillId="0" borderId="0"/>
    <xf numFmtId="0" fontId="10" fillId="0" borderId="0"/>
    <xf numFmtId="0" fontId="10" fillId="0" borderId="0"/>
    <xf numFmtId="0" fontId="10" fillId="0" borderId="0"/>
    <xf numFmtId="180" fontId="10" fillId="0" borderId="0"/>
    <xf numFmtId="180" fontId="10" fillId="0" borderId="0"/>
    <xf numFmtId="0" fontId="10" fillId="0" borderId="0"/>
    <xf numFmtId="180" fontId="10" fillId="0" borderId="0"/>
    <xf numFmtId="180" fontId="10" fillId="0" borderId="0"/>
    <xf numFmtId="180" fontId="10" fillId="0" borderId="0"/>
    <xf numFmtId="0" fontId="10" fillId="0" borderId="0"/>
    <xf numFmtId="180" fontId="10" fillId="0" borderId="0"/>
    <xf numFmtId="180" fontId="10" fillId="0" borderId="0"/>
    <xf numFmtId="9" fontId="10" fillId="0" borderId="0" applyFont="0" applyFill="0" applyBorder="0" applyAlignment="0" applyProtection="0"/>
    <xf numFmtId="168" fontId="10" fillId="0" borderId="0" applyFont="0" applyFill="0" applyBorder="0" applyAlignment="0" applyProtection="0"/>
    <xf numFmtId="168" fontId="10" fillId="0" borderId="0" applyFont="0" applyFill="0" applyBorder="0" applyAlignment="0" applyProtection="0"/>
    <xf numFmtId="168" fontId="10" fillId="0" borderId="0" applyFont="0" applyFill="0" applyBorder="0" applyAlignment="0" applyProtection="0"/>
    <xf numFmtId="168" fontId="10" fillId="0" borderId="0" applyFont="0" applyFill="0" applyBorder="0" applyAlignment="0" applyProtection="0"/>
    <xf numFmtId="168" fontId="10" fillId="0" borderId="0" applyFont="0" applyFill="0" applyBorder="0" applyAlignment="0" applyProtection="0"/>
    <xf numFmtId="168" fontId="10" fillId="0" borderId="0" applyFont="0" applyFill="0" applyBorder="0" applyAlignment="0" applyProtection="0"/>
    <xf numFmtId="168" fontId="10" fillId="0" borderId="0" applyFont="0" applyFill="0" applyBorder="0" applyAlignment="0" applyProtection="0"/>
    <xf numFmtId="170" fontId="10" fillId="0" borderId="0" applyFont="0" applyFill="0" applyBorder="0" applyAlignment="0" applyProtection="0"/>
    <xf numFmtId="170" fontId="10" fillId="0" borderId="0" applyFont="0" applyFill="0" applyBorder="0" applyAlignment="0" applyProtection="0"/>
    <xf numFmtId="170" fontId="10" fillId="0" borderId="0" applyFont="0" applyFill="0" applyBorder="0" applyAlignment="0" applyProtection="0"/>
    <xf numFmtId="170" fontId="10" fillId="0" borderId="0" applyFont="0" applyFill="0" applyBorder="0" applyAlignment="0" applyProtection="0"/>
    <xf numFmtId="170" fontId="10" fillId="0" borderId="0" applyFont="0" applyFill="0" applyBorder="0" applyAlignment="0" applyProtection="0"/>
    <xf numFmtId="170" fontId="10" fillId="0" borderId="0" applyFont="0" applyFill="0" applyBorder="0" applyAlignment="0" applyProtection="0"/>
    <xf numFmtId="170" fontId="10" fillId="0" borderId="0" applyFont="0" applyFill="0" applyBorder="0" applyAlignment="0" applyProtection="0"/>
    <xf numFmtId="170" fontId="10" fillId="0" borderId="0" applyFont="0" applyFill="0" applyBorder="0" applyAlignment="0" applyProtection="0"/>
    <xf numFmtId="170" fontId="10" fillId="0" borderId="0" applyFont="0" applyFill="0" applyBorder="0" applyAlignment="0" applyProtection="0"/>
    <xf numFmtId="170" fontId="10" fillId="0" borderId="0" applyFont="0" applyFill="0" applyBorder="0" applyAlignment="0" applyProtection="0"/>
    <xf numFmtId="170" fontId="10" fillId="0" borderId="0" applyFont="0" applyFill="0" applyBorder="0" applyAlignment="0" applyProtection="0"/>
    <xf numFmtId="172" fontId="10" fillId="0" borderId="0" applyFont="0" applyFill="0" applyBorder="0" applyAlignment="0" applyProtection="0"/>
    <xf numFmtId="173" fontId="10" fillId="0" borderId="0" applyFont="0" applyFill="0" applyBorder="0" applyAlignment="0" applyProtection="0"/>
    <xf numFmtId="180" fontId="10" fillId="0" borderId="0"/>
    <xf numFmtId="0" fontId="10" fillId="0" borderId="0"/>
    <xf numFmtId="0" fontId="10" fillId="0" borderId="0"/>
    <xf numFmtId="0" fontId="10" fillId="0" borderId="0"/>
    <xf numFmtId="0" fontId="10" fillId="0" borderId="0"/>
    <xf numFmtId="0" fontId="10" fillId="0" borderId="0"/>
    <xf numFmtId="180" fontId="10" fillId="0" borderId="0"/>
    <xf numFmtId="180" fontId="10" fillId="0" borderId="0"/>
    <xf numFmtId="0" fontId="10" fillId="0" borderId="0"/>
    <xf numFmtId="180" fontId="10" fillId="0" borderId="0"/>
    <xf numFmtId="180" fontId="10" fillId="0" borderId="0"/>
    <xf numFmtId="180" fontId="10" fillId="0" borderId="0"/>
    <xf numFmtId="0" fontId="10" fillId="0" borderId="0"/>
    <xf numFmtId="180" fontId="10" fillId="0" borderId="0"/>
    <xf numFmtId="180" fontId="10" fillId="0" borderId="0"/>
    <xf numFmtId="9" fontId="10" fillId="0" borderId="0" applyFont="0" applyFill="0" applyBorder="0" applyAlignment="0" applyProtection="0"/>
    <xf numFmtId="18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180" fontId="10" fillId="0" borderId="0"/>
    <xf numFmtId="180" fontId="10" fillId="0" borderId="0"/>
    <xf numFmtId="0" fontId="10" fillId="0" borderId="0"/>
    <xf numFmtId="180" fontId="10" fillId="0" borderId="0"/>
    <xf numFmtId="180" fontId="10" fillId="0" borderId="0"/>
    <xf numFmtId="180" fontId="10" fillId="0" borderId="0"/>
    <xf numFmtId="0" fontId="10" fillId="0" borderId="0"/>
    <xf numFmtId="180" fontId="10" fillId="0" borderId="0"/>
    <xf numFmtId="180" fontId="10" fillId="0" borderId="0"/>
    <xf numFmtId="168" fontId="10" fillId="0" borderId="0" applyFont="0" applyFill="0" applyBorder="0" applyAlignment="0" applyProtection="0"/>
    <xf numFmtId="168" fontId="10" fillId="0" borderId="0" applyFont="0" applyFill="0" applyBorder="0" applyAlignment="0" applyProtection="0"/>
    <xf numFmtId="168" fontId="10" fillId="0" borderId="0" applyFont="0" applyFill="0" applyBorder="0" applyAlignment="0" applyProtection="0"/>
    <xf numFmtId="168" fontId="10" fillId="0" borderId="0" applyFont="0" applyFill="0" applyBorder="0" applyAlignment="0" applyProtection="0"/>
    <xf numFmtId="168" fontId="10" fillId="0" borderId="0" applyFont="0" applyFill="0" applyBorder="0" applyAlignment="0" applyProtection="0"/>
    <xf numFmtId="168" fontId="10" fillId="0" borderId="0" applyFont="0" applyFill="0" applyBorder="0" applyAlignment="0" applyProtection="0"/>
    <xf numFmtId="168" fontId="10" fillId="0" borderId="0" applyFont="0" applyFill="0" applyBorder="0" applyAlignment="0" applyProtection="0"/>
    <xf numFmtId="170" fontId="10" fillId="0" borderId="0" applyFont="0" applyFill="0" applyBorder="0" applyAlignment="0" applyProtection="0"/>
    <xf numFmtId="170" fontId="10" fillId="0" borderId="0" applyFont="0" applyFill="0" applyBorder="0" applyAlignment="0" applyProtection="0"/>
    <xf numFmtId="170" fontId="10" fillId="0" borderId="0" applyFont="0" applyFill="0" applyBorder="0" applyAlignment="0" applyProtection="0"/>
    <xf numFmtId="170" fontId="10" fillId="0" borderId="0" applyFont="0" applyFill="0" applyBorder="0" applyAlignment="0" applyProtection="0"/>
    <xf numFmtId="170" fontId="10" fillId="0" borderId="0" applyFont="0" applyFill="0" applyBorder="0" applyAlignment="0" applyProtection="0"/>
    <xf numFmtId="170" fontId="10" fillId="0" borderId="0" applyFont="0" applyFill="0" applyBorder="0" applyAlignment="0" applyProtection="0"/>
    <xf numFmtId="170" fontId="10" fillId="0" borderId="0" applyFont="0" applyFill="0" applyBorder="0" applyAlignment="0" applyProtection="0"/>
    <xf numFmtId="170" fontId="10" fillId="0" borderId="0" applyFont="0" applyFill="0" applyBorder="0" applyAlignment="0" applyProtection="0"/>
    <xf numFmtId="170" fontId="10" fillId="0" borderId="0" applyFont="0" applyFill="0" applyBorder="0" applyAlignment="0" applyProtection="0"/>
    <xf numFmtId="170" fontId="10" fillId="0" borderId="0" applyFont="0" applyFill="0" applyBorder="0" applyAlignment="0" applyProtection="0"/>
    <xf numFmtId="170" fontId="10" fillId="0" borderId="0" applyFont="0" applyFill="0" applyBorder="0" applyAlignment="0" applyProtection="0"/>
    <xf numFmtId="172" fontId="10" fillId="0" borderId="0" applyFont="0" applyFill="0" applyBorder="0" applyAlignment="0" applyProtection="0"/>
    <xf numFmtId="173" fontId="10" fillId="0" borderId="0" applyFont="0" applyFill="0" applyBorder="0" applyAlignment="0" applyProtection="0"/>
    <xf numFmtId="180" fontId="10" fillId="0" borderId="0"/>
    <xf numFmtId="0" fontId="10" fillId="0" borderId="0"/>
    <xf numFmtId="0" fontId="10" fillId="0" borderId="0"/>
    <xf numFmtId="0" fontId="10" fillId="0" borderId="0"/>
    <xf numFmtId="0" fontId="10" fillId="0" borderId="0"/>
    <xf numFmtId="0" fontId="10" fillId="0" borderId="0"/>
    <xf numFmtId="180" fontId="10" fillId="0" borderId="0"/>
    <xf numFmtId="180" fontId="10" fillId="0" borderId="0"/>
    <xf numFmtId="0" fontId="10" fillId="0" borderId="0"/>
    <xf numFmtId="180" fontId="10" fillId="0" borderId="0"/>
    <xf numFmtId="180" fontId="10" fillId="0" borderId="0"/>
    <xf numFmtId="180" fontId="10" fillId="0" borderId="0"/>
    <xf numFmtId="0" fontId="10" fillId="0" borderId="0"/>
    <xf numFmtId="180" fontId="10" fillId="0" borderId="0"/>
    <xf numFmtId="180" fontId="10" fillId="0" borderId="0"/>
    <xf numFmtId="9" fontId="10" fillId="0" borderId="0" applyFont="0" applyFill="0" applyBorder="0" applyAlignment="0" applyProtection="0"/>
    <xf numFmtId="0" fontId="10" fillId="0" borderId="0"/>
    <xf numFmtId="168" fontId="10" fillId="0" borderId="0" applyFont="0" applyFill="0" applyBorder="0" applyAlignment="0" applyProtection="0"/>
    <xf numFmtId="168" fontId="10" fillId="0" borderId="0" applyFont="0" applyFill="0" applyBorder="0" applyAlignment="0" applyProtection="0"/>
    <xf numFmtId="168" fontId="10" fillId="0" borderId="0" applyFont="0" applyFill="0" applyBorder="0" applyAlignment="0" applyProtection="0"/>
    <xf numFmtId="168" fontId="10" fillId="0" borderId="0" applyFont="0" applyFill="0" applyBorder="0" applyAlignment="0" applyProtection="0"/>
    <xf numFmtId="168" fontId="10" fillId="0" borderId="0" applyFont="0" applyFill="0" applyBorder="0" applyAlignment="0" applyProtection="0"/>
    <xf numFmtId="168" fontId="10" fillId="0" borderId="0" applyFont="0" applyFill="0" applyBorder="0" applyAlignment="0" applyProtection="0"/>
    <xf numFmtId="168" fontId="10" fillId="0" borderId="0" applyFont="0" applyFill="0" applyBorder="0" applyAlignment="0" applyProtection="0"/>
    <xf numFmtId="168" fontId="10" fillId="0" borderId="0" applyFont="0" applyFill="0" applyBorder="0" applyAlignment="0" applyProtection="0"/>
    <xf numFmtId="170" fontId="10" fillId="0" borderId="0" applyFont="0" applyFill="0" applyBorder="0" applyAlignment="0" applyProtection="0"/>
    <xf numFmtId="170" fontId="10" fillId="0" borderId="0" applyFont="0" applyFill="0" applyBorder="0" applyAlignment="0" applyProtection="0"/>
    <xf numFmtId="170" fontId="10" fillId="0" borderId="0" applyFont="0" applyFill="0" applyBorder="0" applyAlignment="0" applyProtection="0"/>
    <xf numFmtId="170" fontId="10" fillId="0" borderId="0" applyFont="0" applyFill="0" applyBorder="0" applyAlignment="0" applyProtection="0"/>
    <xf numFmtId="170" fontId="10" fillId="0" borderId="0" applyFont="0" applyFill="0" applyBorder="0" applyAlignment="0" applyProtection="0"/>
    <xf numFmtId="170" fontId="10" fillId="0" borderId="0" applyFont="0" applyFill="0" applyBorder="0" applyAlignment="0" applyProtection="0"/>
    <xf numFmtId="170" fontId="10" fillId="0" borderId="0" applyFont="0" applyFill="0" applyBorder="0" applyAlignment="0" applyProtection="0"/>
    <xf numFmtId="170" fontId="10" fillId="0" borderId="0" applyFont="0" applyFill="0" applyBorder="0" applyAlignment="0" applyProtection="0"/>
    <xf numFmtId="170" fontId="10" fillId="0" borderId="0" applyFont="0" applyFill="0" applyBorder="0" applyAlignment="0" applyProtection="0"/>
    <xf numFmtId="170" fontId="10" fillId="0" borderId="0" applyFont="0" applyFill="0" applyBorder="0" applyAlignment="0" applyProtection="0"/>
    <xf numFmtId="170" fontId="10" fillId="0" borderId="0" applyFont="0" applyFill="0" applyBorder="0" applyAlignment="0" applyProtection="0"/>
    <xf numFmtId="172" fontId="10" fillId="0" borderId="0" applyFont="0" applyFill="0" applyBorder="0" applyAlignment="0" applyProtection="0"/>
    <xf numFmtId="173" fontId="10" fillId="0" borderId="0" applyFont="0" applyFill="0" applyBorder="0" applyAlignment="0" applyProtection="0"/>
    <xf numFmtId="180" fontId="10" fillId="0" borderId="0"/>
    <xf numFmtId="0" fontId="10" fillId="0" borderId="0"/>
    <xf numFmtId="0" fontId="10" fillId="0" borderId="0"/>
    <xf numFmtId="0" fontId="10" fillId="0" borderId="0"/>
    <xf numFmtId="0" fontId="10" fillId="0" borderId="0"/>
    <xf numFmtId="0" fontId="10" fillId="0" borderId="0"/>
    <xf numFmtId="180" fontId="10" fillId="0" borderId="0"/>
    <xf numFmtId="180" fontId="10" fillId="0" borderId="0"/>
    <xf numFmtId="0" fontId="10" fillId="0" borderId="0"/>
    <xf numFmtId="180" fontId="10" fillId="0" borderId="0"/>
    <xf numFmtId="180" fontId="10" fillId="0" borderId="0"/>
    <xf numFmtId="180" fontId="10" fillId="0" borderId="0"/>
    <xf numFmtId="0" fontId="10" fillId="0" borderId="0"/>
    <xf numFmtId="180" fontId="10" fillId="0" borderId="0"/>
    <xf numFmtId="180" fontId="10" fillId="0" borderId="0"/>
    <xf numFmtId="9" fontId="10" fillId="0" borderId="0" applyFont="0" applyFill="0" applyBorder="0" applyAlignment="0" applyProtection="0"/>
    <xf numFmtId="168" fontId="10" fillId="0" borderId="0" applyFont="0" applyFill="0" applyBorder="0" applyAlignment="0" applyProtection="0"/>
    <xf numFmtId="168" fontId="10" fillId="0" borderId="0" applyFont="0" applyFill="0" applyBorder="0" applyAlignment="0" applyProtection="0"/>
    <xf numFmtId="168" fontId="10" fillId="0" borderId="0" applyFont="0" applyFill="0" applyBorder="0" applyAlignment="0" applyProtection="0"/>
    <xf numFmtId="168" fontId="10" fillId="0" borderId="0" applyFont="0" applyFill="0" applyBorder="0" applyAlignment="0" applyProtection="0"/>
    <xf numFmtId="168" fontId="10" fillId="0" borderId="0" applyFont="0" applyFill="0" applyBorder="0" applyAlignment="0" applyProtection="0"/>
    <xf numFmtId="168" fontId="10" fillId="0" borderId="0" applyFont="0" applyFill="0" applyBorder="0" applyAlignment="0" applyProtection="0"/>
    <xf numFmtId="168" fontId="10" fillId="0" borderId="0" applyFont="0" applyFill="0" applyBorder="0" applyAlignment="0" applyProtection="0"/>
    <xf numFmtId="170" fontId="10" fillId="0" borderId="0" applyFont="0" applyFill="0" applyBorder="0" applyAlignment="0" applyProtection="0"/>
    <xf numFmtId="170" fontId="10" fillId="0" borderId="0" applyFont="0" applyFill="0" applyBorder="0" applyAlignment="0" applyProtection="0"/>
    <xf numFmtId="170" fontId="10" fillId="0" borderId="0" applyFont="0" applyFill="0" applyBorder="0" applyAlignment="0" applyProtection="0"/>
    <xf numFmtId="170" fontId="10" fillId="0" borderId="0" applyFont="0" applyFill="0" applyBorder="0" applyAlignment="0" applyProtection="0"/>
    <xf numFmtId="170" fontId="10" fillId="0" borderId="0" applyFont="0" applyFill="0" applyBorder="0" applyAlignment="0" applyProtection="0"/>
    <xf numFmtId="170" fontId="10" fillId="0" borderId="0" applyFont="0" applyFill="0" applyBorder="0" applyAlignment="0" applyProtection="0"/>
    <xf numFmtId="170" fontId="10" fillId="0" borderId="0" applyFont="0" applyFill="0" applyBorder="0" applyAlignment="0" applyProtection="0"/>
    <xf numFmtId="170" fontId="10" fillId="0" borderId="0" applyFont="0" applyFill="0" applyBorder="0" applyAlignment="0" applyProtection="0"/>
    <xf numFmtId="170" fontId="10" fillId="0" borderId="0" applyFont="0" applyFill="0" applyBorder="0" applyAlignment="0" applyProtection="0"/>
    <xf numFmtId="170" fontId="10" fillId="0" borderId="0" applyFont="0" applyFill="0" applyBorder="0" applyAlignment="0" applyProtection="0"/>
    <xf numFmtId="170" fontId="10" fillId="0" borderId="0" applyFont="0" applyFill="0" applyBorder="0" applyAlignment="0" applyProtection="0"/>
    <xf numFmtId="172" fontId="10" fillId="0" borderId="0" applyFont="0" applyFill="0" applyBorder="0" applyAlignment="0" applyProtection="0"/>
    <xf numFmtId="173" fontId="10" fillId="0" borderId="0" applyFont="0" applyFill="0" applyBorder="0" applyAlignment="0" applyProtection="0"/>
    <xf numFmtId="180" fontId="10" fillId="0" borderId="0"/>
    <xf numFmtId="0" fontId="10" fillId="0" borderId="0"/>
    <xf numFmtId="0" fontId="10" fillId="0" borderId="0"/>
    <xf numFmtId="0" fontId="10" fillId="0" borderId="0"/>
    <xf numFmtId="0" fontId="10" fillId="0" borderId="0"/>
    <xf numFmtId="0" fontId="10" fillId="0" borderId="0"/>
    <xf numFmtId="180" fontId="10" fillId="0" borderId="0"/>
    <xf numFmtId="180" fontId="10" fillId="0" borderId="0"/>
    <xf numFmtId="0" fontId="10" fillId="0" borderId="0"/>
    <xf numFmtId="180" fontId="10" fillId="0" borderId="0"/>
    <xf numFmtId="180" fontId="10" fillId="0" borderId="0"/>
    <xf numFmtId="180" fontId="10" fillId="0" borderId="0"/>
    <xf numFmtId="0" fontId="10" fillId="0" borderId="0"/>
    <xf numFmtId="180" fontId="10" fillId="0" borderId="0"/>
    <xf numFmtId="180" fontId="10" fillId="0" borderId="0"/>
    <xf numFmtId="9" fontId="10" fillId="0" borderId="0" applyFont="0" applyFill="0" applyBorder="0" applyAlignment="0" applyProtection="0"/>
    <xf numFmtId="168" fontId="10" fillId="0" borderId="0" applyFont="0" applyFill="0" applyBorder="0" applyAlignment="0" applyProtection="0"/>
    <xf numFmtId="168" fontId="10" fillId="0" borderId="0" applyFont="0" applyFill="0" applyBorder="0" applyAlignment="0" applyProtection="0"/>
    <xf numFmtId="168" fontId="10" fillId="0" borderId="0" applyFont="0" applyFill="0" applyBorder="0" applyAlignment="0" applyProtection="0"/>
    <xf numFmtId="168" fontId="10" fillId="0" borderId="0" applyFont="0" applyFill="0" applyBorder="0" applyAlignment="0" applyProtection="0"/>
    <xf numFmtId="168" fontId="10" fillId="0" borderId="0" applyFont="0" applyFill="0" applyBorder="0" applyAlignment="0" applyProtection="0"/>
    <xf numFmtId="168" fontId="10" fillId="0" borderId="0" applyFont="0" applyFill="0" applyBorder="0" applyAlignment="0" applyProtection="0"/>
    <xf numFmtId="168" fontId="10" fillId="0" borderId="0" applyFont="0" applyFill="0" applyBorder="0" applyAlignment="0" applyProtection="0"/>
    <xf numFmtId="170" fontId="10" fillId="0" borderId="0" applyFont="0" applyFill="0" applyBorder="0" applyAlignment="0" applyProtection="0"/>
    <xf numFmtId="170" fontId="10" fillId="0" borderId="0" applyFont="0" applyFill="0" applyBorder="0" applyAlignment="0" applyProtection="0"/>
    <xf numFmtId="170" fontId="10" fillId="0" borderId="0" applyFont="0" applyFill="0" applyBorder="0" applyAlignment="0" applyProtection="0"/>
    <xf numFmtId="170" fontId="10" fillId="0" borderId="0" applyFont="0" applyFill="0" applyBorder="0" applyAlignment="0" applyProtection="0"/>
    <xf numFmtId="170" fontId="10" fillId="0" borderId="0" applyFont="0" applyFill="0" applyBorder="0" applyAlignment="0" applyProtection="0"/>
    <xf numFmtId="170" fontId="10" fillId="0" borderId="0" applyFont="0" applyFill="0" applyBorder="0" applyAlignment="0" applyProtection="0"/>
    <xf numFmtId="170" fontId="10" fillId="0" borderId="0" applyFont="0" applyFill="0" applyBorder="0" applyAlignment="0" applyProtection="0"/>
    <xf numFmtId="170" fontId="10" fillId="0" borderId="0" applyFont="0" applyFill="0" applyBorder="0" applyAlignment="0" applyProtection="0"/>
    <xf numFmtId="170" fontId="10" fillId="0" borderId="0" applyFont="0" applyFill="0" applyBorder="0" applyAlignment="0" applyProtection="0"/>
    <xf numFmtId="170" fontId="10" fillId="0" borderId="0" applyFont="0" applyFill="0" applyBorder="0" applyAlignment="0" applyProtection="0"/>
    <xf numFmtId="170" fontId="10" fillId="0" borderId="0" applyFont="0" applyFill="0" applyBorder="0" applyAlignment="0" applyProtection="0"/>
    <xf numFmtId="172" fontId="10" fillId="0" borderId="0" applyFont="0" applyFill="0" applyBorder="0" applyAlignment="0" applyProtection="0"/>
    <xf numFmtId="173" fontId="10" fillId="0" borderId="0" applyFont="0" applyFill="0" applyBorder="0" applyAlignment="0" applyProtection="0"/>
    <xf numFmtId="180" fontId="10" fillId="0" borderId="0"/>
    <xf numFmtId="0" fontId="10" fillId="0" borderId="0"/>
    <xf numFmtId="0" fontId="10" fillId="0" borderId="0"/>
    <xf numFmtId="0" fontId="10" fillId="0" borderId="0"/>
    <xf numFmtId="0" fontId="10" fillId="0" borderId="0"/>
    <xf numFmtId="0" fontId="10" fillId="0" borderId="0"/>
    <xf numFmtId="180" fontId="10" fillId="0" borderId="0"/>
    <xf numFmtId="180" fontId="10" fillId="0" borderId="0"/>
    <xf numFmtId="0" fontId="10" fillId="0" borderId="0"/>
    <xf numFmtId="180" fontId="10" fillId="0" borderId="0"/>
    <xf numFmtId="180" fontId="10" fillId="0" borderId="0"/>
    <xf numFmtId="180" fontId="10" fillId="0" borderId="0"/>
    <xf numFmtId="0" fontId="10" fillId="0" borderId="0"/>
    <xf numFmtId="180" fontId="10" fillId="0" borderId="0"/>
    <xf numFmtId="180" fontId="10" fillId="0" borderId="0"/>
    <xf numFmtId="9" fontId="10" fillId="0" borderId="0" applyFont="0" applyFill="0" applyBorder="0" applyAlignment="0" applyProtection="0"/>
    <xf numFmtId="168" fontId="10" fillId="0" borderId="0" applyFont="0" applyFill="0" applyBorder="0" applyAlignment="0" applyProtection="0"/>
    <xf numFmtId="168" fontId="10" fillId="0" borderId="0" applyFont="0" applyFill="0" applyBorder="0" applyAlignment="0" applyProtection="0"/>
    <xf numFmtId="168" fontId="10" fillId="0" borderId="0" applyFont="0" applyFill="0" applyBorder="0" applyAlignment="0" applyProtection="0"/>
    <xf numFmtId="168" fontId="10" fillId="0" borderId="0" applyFont="0" applyFill="0" applyBorder="0" applyAlignment="0" applyProtection="0"/>
    <xf numFmtId="168" fontId="10" fillId="0" borderId="0" applyFont="0" applyFill="0" applyBorder="0" applyAlignment="0" applyProtection="0"/>
    <xf numFmtId="168" fontId="10" fillId="0" borderId="0" applyFont="0" applyFill="0" applyBorder="0" applyAlignment="0" applyProtection="0"/>
    <xf numFmtId="168" fontId="10" fillId="0" borderId="0" applyFont="0" applyFill="0" applyBorder="0" applyAlignment="0" applyProtection="0"/>
    <xf numFmtId="170" fontId="10" fillId="0" borderId="0" applyFont="0" applyFill="0" applyBorder="0" applyAlignment="0" applyProtection="0"/>
    <xf numFmtId="170" fontId="10" fillId="0" borderId="0" applyFont="0" applyFill="0" applyBorder="0" applyAlignment="0" applyProtection="0"/>
    <xf numFmtId="170" fontId="10" fillId="0" borderId="0" applyFont="0" applyFill="0" applyBorder="0" applyAlignment="0" applyProtection="0"/>
    <xf numFmtId="170" fontId="10" fillId="0" borderId="0" applyFont="0" applyFill="0" applyBorder="0" applyAlignment="0" applyProtection="0"/>
    <xf numFmtId="170" fontId="10" fillId="0" borderId="0" applyFont="0" applyFill="0" applyBorder="0" applyAlignment="0" applyProtection="0"/>
    <xf numFmtId="170" fontId="10" fillId="0" borderId="0" applyFont="0" applyFill="0" applyBorder="0" applyAlignment="0" applyProtection="0"/>
    <xf numFmtId="170" fontId="10" fillId="0" borderId="0" applyFont="0" applyFill="0" applyBorder="0" applyAlignment="0" applyProtection="0"/>
    <xf numFmtId="170" fontId="10" fillId="0" borderId="0" applyFont="0" applyFill="0" applyBorder="0" applyAlignment="0" applyProtection="0"/>
    <xf numFmtId="170" fontId="10" fillId="0" borderId="0" applyFont="0" applyFill="0" applyBorder="0" applyAlignment="0" applyProtection="0"/>
    <xf numFmtId="170" fontId="10" fillId="0" borderId="0" applyFont="0" applyFill="0" applyBorder="0" applyAlignment="0" applyProtection="0"/>
    <xf numFmtId="170" fontId="10" fillId="0" borderId="0" applyFont="0" applyFill="0" applyBorder="0" applyAlignment="0" applyProtection="0"/>
    <xf numFmtId="172" fontId="10" fillId="0" borderId="0" applyFont="0" applyFill="0" applyBorder="0" applyAlignment="0" applyProtection="0"/>
    <xf numFmtId="173" fontId="10" fillId="0" borderId="0" applyFont="0" applyFill="0" applyBorder="0" applyAlignment="0" applyProtection="0"/>
    <xf numFmtId="180" fontId="10" fillId="0" borderId="0"/>
    <xf numFmtId="0" fontId="10" fillId="0" borderId="0"/>
    <xf numFmtId="0" fontId="10" fillId="0" borderId="0"/>
    <xf numFmtId="0" fontId="10" fillId="0" borderId="0"/>
    <xf numFmtId="0" fontId="10" fillId="0" borderId="0"/>
    <xf numFmtId="0" fontId="10" fillId="0" borderId="0"/>
    <xf numFmtId="180" fontId="10" fillId="0" borderId="0"/>
    <xf numFmtId="180" fontId="10" fillId="0" borderId="0"/>
    <xf numFmtId="0" fontId="10" fillId="0" borderId="0"/>
    <xf numFmtId="180" fontId="10" fillId="0" borderId="0"/>
    <xf numFmtId="180" fontId="10" fillId="0" borderId="0"/>
    <xf numFmtId="180" fontId="10" fillId="0" borderId="0"/>
    <xf numFmtId="0" fontId="10" fillId="0" borderId="0"/>
    <xf numFmtId="180" fontId="10" fillId="0" borderId="0"/>
    <xf numFmtId="180" fontId="10" fillId="0" borderId="0"/>
    <xf numFmtId="9" fontId="10" fillId="0" borderId="0" applyFont="0" applyFill="0" applyBorder="0" applyAlignment="0" applyProtection="0"/>
    <xf numFmtId="168" fontId="10" fillId="0" borderId="0" applyFont="0" applyFill="0" applyBorder="0" applyAlignment="0" applyProtection="0"/>
    <xf numFmtId="168" fontId="10" fillId="0" borderId="0" applyFont="0" applyFill="0" applyBorder="0" applyAlignment="0" applyProtection="0"/>
    <xf numFmtId="168" fontId="10" fillId="0" borderId="0" applyFont="0" applyFill="0" applyBorder="0" applyAlignment="0" applyProtection="0"/>
    <xf numFmtId="168" fontId="10" fillId="0" borderId="0" applyFont="0" applyFill="0" applyBorder="0" applyAlignment="0" applyProtection="0"/>
    <xf numFmtId="168" fontId="10" fillId="0" borderId="0" applyFont="0" applyFill="0" applyBorder="0" applyAlignment="0" applyProtection="0"/>
    <xf numFmtId="168" fontId="10" fillId="0" borderId="0" applyFont="0" applyFill="0" applyBorder="0" applyAlignment="0" applyProtection="0"/>
    <xf numFmtId="168" fontId="10" fillId="0" borderId="0" applyFont="0" applyFill="0" applyBorder="0" applyAlignment="0" applyProtection="0"/>
    <xf numFmtId="170" fontId="10" fillId="0" borderId="0" applyFont="0" applyFill="0" applyBorder="0" applyAlignment="0" applyProtection="0"/>
    <xf numFmtId="170" fontId="10" fillId="0" borderId="0" applyFont="0" applyFill="0" applyBorder="0" applyAlignment="0" applyProtection="0"/>
    <xf numFmtId="170" fontId="10" fillId="0" borderId="0" applyFont="0" applyFill="0" applyBorder="0" applyAlignment="0" applyProtection="0"/>
    <xf numFmtId="170" fontId="10" fillId="0" borderId="0" applyFont="0" applyFill="0" applyBorder="0" applyAlignment="0" applyProtection="0"/>
    <xf numFmtId="170" fontId="10" fillId="0" borderId="0" applyFont="0" applyFill="0" applyBorder="0" applyAlignment="0" applyProtection="0"/>
    <xf numFmtId="170" fontId="10" fillId="0" borderId="0" applyFont="0" applyFill="0" applyBorder="0" applyAlignment="0" applyProtection="0"/>
    <xf numFmtId="170" fontId="10" fillId="0" borderId="0" applyFont="0" applyFill="0" applyBorder="0" applyAlignment="0" applyProtection="0"/>
    <xf numFmtId="170" fontId="10" fillId="0" borderId="0" applyFont="0" applyFill="0" applyBorder="0" applyAlignment="0" applyProtection="0"/>
    <xf numFmtId="170" fontId="10" fillId="0" borderId="0" applyFont="0" applyFill="0" applyBorder="0" applyAlignment="0" applyProtection="0"/>
    <xf numFmtId="170" fontId="10" fillId="0" borderId="0" applyFont="0" applyFill="0" applyBorder="0" applyAlignment="0" applyProtection="0"/>
    <xf numFmtId="170" fontId="10" fillId="0" borderId="0" applyFont="0" applyFill="0" applyBorder="0" applyAlignment="0" applyProtection="0"/>
    <xf numFmtId="172" fontId="10" fillId="0" borderId="0" applyFont="0" applyFill="0" applyBorder="0" applyAlignment="0" applyProtection="0"/>
    <xf numFmtId="173" fontId="10" fillId="0" borderId="0" applyFont="0" applyFill="0" applyBorder="0" applyAlignment="0" applyProtection="0"/>
    <xf numFmtId="180" fontId="10" fillId="0" borderId="0"/>
    <xf numFmtId="0" fontId="10" fillId="0" borderId="0"/>
    <xf numFmtId="0" fontId="10" fillId="0" borderId="0"/>
    <xf numFmtId="0" fontId="10" fillId="0" borderId="0"/>
    <xf numFmtId="0" fontId="10" fillId="0" borderId="0"/>
    <xf numFmtId="0" fontId="10" fillId="0" borderId="0"/>
    <xf numFmtId="180" fontId="10" fillId="0" borderId="0"/>
    <xf numFmtId="180" fontId="10" fillId="0" borderId="0"/>
    <xf numFmtId="0" fontId="10" fillId="0" borderId="0"/>
    <xf numFmtId="180" fontId="10" fillId="0" borderId="0"/>
    <xf numFmtId="180" fontId="10" fillId="0" borderId="0"/>
    <xf numFmtId="180" fontId="10" fillId="0" borderId="0"/>
    <xf numFmtId="0" fontId="10" fillId="0" borderId="0"/>
    <xf numFmtId="180" fontId="10" fillId="0" borderId="0"/>
    <xf numFmtId="180" fontId="10" fillId="0" borderId="0"/>
    <xf numFmtId="9" fontId="10" fillId="0" borderId="0" applyFont="0" applyFill="0" applyBorder="0" applyAlignment="0" applyProtection="0"/>
    <xf numFmtId="168" fontId="10" fillId="0" borderId="0" applyFont="0" applyFill="0" applyBorder="0" applyAlignment="0" applyProtection="0"/>
    <xf numFmtId="168" fontId="10" fillId="0" borderId="0" applyFont="0" applyFill="0" applyBorder="0" applyAlignment="0" applyProtection="0"/>
    <xf numFmtId="168" fontId="10" fillId="0" borderId="0" applyFont="0" applyFill="0" applyBorder="0" applyAlignment="0" applyProtection="0"/>
    <xf numFmtId="168" fontId="10" fillId="0" borderId="0" applyFont="0" applyFill="0" applyBorder="0" applyAlignment="0" applyProtection="0"/>
    <xf numFmtId="168" fontId="10" fillId="0" borderId="0" applyFont="0" applyFill="0" applyBorder="0" applyAlignment="0" applyProtection="0"/>
    <xf numFmtId="168" fontId="10" fillId="0" borderId="0" applyFont="0" applyFill="0" applyBorder="0" applyAlignment="0" applyProtection="0"/>
    <xf numFmtId="168" fontId="10" fillId="0" borderId="0" applyFont="0" applyFill="0" applyBorder="0" applyAlignment="0" applyProtection="0"/>
    <xf numFmtId="170" fontId="10" fillId="0" borderId="0" applyFont="0" applyFill="0" applyBorder="0" applyAlignment="0" applyProtection="0"/>
    <xf numFmtId="170" fontId="10" fillId="0" borderId="0" applyFont="0" applyFill="0" applyBorder="0" applyAlignment="0" applyProtection="0"/>
    <xf numFmtId="170" fontId="10" fillId="0" borderId="0" applyFont="0" applyFill="0" applyBorder="0" applyAlignment="0" applyProtection="0"/>
    <xf numFmtId="170" fontId="10" fillId="0" borderId="0" applyFont="0" applyFill="0" applyBorder="0" applyAlignment="0" applyProtection="0"/>
    <xf numFmtId="170" fontId="10" fillId="0" borderId="0" applyFont="0" applyFill="0" applyBorder="0" applyAlignment="0" applyProtection="0"/>
    <xf numFmtId="170" fontId="10" fillId="0" borderId="0" applyFont="0" applyFill="0" applyBorder="0" applyAlignment="0" applyProtection="0"/>
    <xf numFmtId="170" fontId="10" fillId="0" borderId="0" applyFont="0" applyFill="0" applyBorder="0" applyAlignment="0" applyProtection="0"/>
    <xf numFmtId="170" fontId="10" fillId="0" borderId="0" applyFont="0" applyFill="0" applyBorder="0" applyAlignment="0" applyProtection="0"/>
    <xf numFmtId="170" fontId="10" fillId="0" borderId="0" applyFont="0" applyFill="0" applyBorder="0" applyAlignment="0" applyProtection="0"/>
    <xf numFmtId="170" fontId="10" fillId="0" borderId="0" applyFont="0" applyFill="0" applyBorder="0" applyAlignment="0" applyProtection="0"/>
    <xf numFmtId="170" fontId="10" fillId="0" borderId="0" applyFont="0" applyFill="0" applyBorder="0" applyAlignment="0" applyProtection="0"/>
    <xf numFmtId="172" fontId="10" fillId="0" borderId="0" applyFont="0" applyFill="0" applyBorder="0" applyAlignment="0" applyProtection="0"/>
    <xf numFmtId="173" fontId="10" fillId="0" borderId="0" applyFont="0" applyFill="0" applyBorder="0" applyAlignment="0" applyProtection="0"/>
    <xf numFmtId="180" fontId="10" fillId="0" borderId="0"/>
    <xf numFmtId="0" fontId="10" fillId="0" borderId="0"/>
    <xf numFmtId="0" fontId="10" fillId="0" borderId="0"/>
    <xf numFmtId="0" fontId="10" fillId="0" borderId="0"/>
    <xf numFmtId="0" fontId="10" fillId="0" borderId="0"/>
    <xf numFmtId="0" fontId="10" fillId="0" borderId="0"/>
    <xf numFmtId="180" fontId="10" fillId="0" borderId="0"/>
    <xf numFmtId="180" fontId="10" fillId="0" borderId="0"/>
    <xf numFmtId="0" fontId="10" fillId="0" borderId="0"/>
    <xf numFmtId="180" fontId="10" fillId="0" borderId="0"/>
    <xf numFmtId="180" fontId="10" fillId="0" borderId="0"/>
    <xf numFmtId="180" fontId="10" fillId="0" borderId="0"/>
    <xf numFmtId="0" fontId="10" fillId="0" borderId="0"/>
    <xf numFmtId="180" fontId="10" fillId="0" borderId="0"/>
    <xf numFmtId="180" fontId="10" fillId="0" borderId="0"/>
    <xf numFmtId="9" fontId="10" fillId="0" borderId="0" applyFont="0" applyFill="0" applyBorder="0" applyAlignment="0" applyProtection="0"/>
    <xf numFmtId="168" fontId="10" fillId="0" borderId="0" applyFont="0" applyFill="0" applyBorder="0" applyAlignment="0" applyProtection="0"/>
    <xf numFmtId="168" fontId="10" fillId="0" borderId="0" applyFont="0" applyFill="0" applyBorder="0" applyAlignment="0" applyProtection="0"/>
    <xf numFmtId="168" fontId="10" fillId="0" borderId="0" applyFont="0" applyFill="0" applyBorder="0" applyAlignment="0" applyProtection="0"/>
    <xf numFmtId="168" fontId="10" fillId="0" borderId="0" applyFont="0" applyFill="0" applyBorder="0" applyAlignment="0" applyProtection="0"/>
    <xf numFmtId="168" fontId="10" fillId="0" borderId="0" applyFont="0" applyFill="0" applyBorder="0" applyAlignment="0" applyProtection="0"/>
    <xf numFmtId="168" fontId="10" fillId="0" borderId="0" applyFont="0" applyFill="0" applyBorder="0" applyAlignment="0" applyProtection="0"/>
    <xf numFmtId="168" fontId="10" fillId="0" borderId="0" applyFont="0" applyFill="0" applyBorder="0" applyAlignment="0" applyProtection="0"/>
    <xf numFmtId="170" fontId="10" fillId="0" borderId="0" applyFont="0" applyFill="0" applyBorder="0" applyAlignment="0" applyProtection="0"/>
    <xf numFmtId="170" fontId="10" fillId="0" borderId="0" applyFont="0" applyFill="0" applyBorder="0" applyAlignment="0" applyProtection="0"/>
    <xf numFmtId="170" fontId="10" fillId="0" borderId="0" applyFont="0" applyFill="0" applyBorder="0" applyAlignment="0" applyProtection="0"/>
    <xf numFmtId="170" fontId="10" fillId="0" borderId="0" applyFont="0" applyFill="0" applyBorder="0" applyAlignment="0" applyProtection="0"/>
    <xf numFmtId="170" fontId="10" fillId="0" borderId="0" applyFont="0" applyFill="0" applyBorder="0" applyAlignment="0" applyProtection="0"/>
    <xf numFmtId="170" fontId="10" fillId="0" borderId="0" applyFont="0" applyFill="0" applyBorder="0" applyAlignment="0" applyProtection="0"/>
    <xf numFmtId="170" fontId="10" fillId="0" borderId="0" applyFont="0" applyFill="0" applyBorder="0" applyAlignment="0" applyProtection="0"/>
    <xf numFmtId="170" fontId="10" fillId="0" borderId="0" applyFont="0" applyFill="0" applyBorder="0" applyAlignment="0" applyProtection="0"/>
    <xf numFmtId="170" fontId="10" fillId="0" borderId="0" applyFont="0" applyFill="0" applyBorder="0" applyAlignment="0" applyProtection="0"/>
    <xf numFmtId="170" fontId="10" fillId="0" borderId="0" applyFont="0" applyFill="0" applyBorder="0" applyAlignment="0" applyProtection="0"/>
    <xf numFmtId="170" fontId="10" fillId="0" borderId="0" applyFont="0" applyFill="0" applyBorder="0" applyAlignment="0" applyProtection="0"/>
    <xf numFmtId="172" fontId="10" fillId="0" borderId="0" applyFont="0" applyFill="0" applyBorder="0" applyAlignment="0" applyProtection="0"/>
    <xf numFmtId="173" fontId="10" fillId="0" borderId="0" applyFont="0" applyFill="0" applyBorder="0" applyAlignment="0" applyProtection="0"/>
    <xf numFmtId="180" fontId="10" fillId="0" borderId="0"/>
    <xf numFmtId="0" fontId="10" fillId="0" borderId="0"/>
    <xf numFmtId="0" fontId="10" fillId="0" borderId="0"/>
    <xf numFmtId="0" fontId="10" fillId="0" borderId="0"/>
    <xf numFmtId="0" fontId="10" fillId="0" borderId="0"/>
    <xf numFmtId="0" fontId="10" fillId="0" borderId="0"/>
    <xf numFmtId="180" fontId="10" fillId="0" borderId="0"/>
    <xf numFmtId="180" fontId="10" fillId="0" borderId="0"/>
    <xf numFmtId="0" fontId="10" fillId="0" borderId="0"/>
    <xf numFmtId="180" fontId="10" fillId="0" borderId="0"/>
    <xf numFmtId="180" fontId="10" fillId="0" borderId="0"/>
    <xf numFmtId="180" fontId="10" fillId="0" borderId="0"/>
    <xf numFmtId="0" fontId="10" fillId="0" borderId="0"/>
    <xf numFmtId="180" fontId="10" fillId="0" borderId="0"/>
    <xf numFmtId="180" fontId="10" fillId="0" borderId="0"/>
    <xf numFmtId="9" fontId="10" fillId="0" borderId="0" applyFont="0" applyFill="0" applyBorder="0" applyAlignment="0" applyProtection="0"/>
    <xf numFmtId="168" fontId="10" fillId="0" borderId="0" applyFont="0" applyFill="0" applyBorder="0" applyAlignment="0" applyProtection="0"/>
    <xf numFmtId="168" fontId="10" fillId="0" borderId="0" applyFont="0" applyFill="0" applyBorder="0" applyAlignment="0" applyProtection="0"/>
    <xf numFmtId="168" fontId="10" fillId="0" borderId="0" applyFont="0" applyFill="0" applyBorder="0" applyAlignment="0" applyProtection="0"/>
    <xf numFmtId="168" fontId="10" fillId="0" borderId="0" applyFont="0" applyFill="0" applyBorder="0" applyAlignment="0" applyProtection="0"/>
    <xf numFmtId="168" fontId="10" fillId="0" borderId="0" applyFont="0" applyFill="0" applyBorder="0" applyAlignment="0" applyProtection="0"/>
    <xf numFmtId="168" fontId="10" fillId="0" borderId="0" applyFont="0" applyFill="0" applyBorder="0" applyAlignment="0" applyProtection="0"/>
    <xf numFmtId="168" fontId="10" fillId="0" borderId="0" applyFont="0" applyFill="0" applyBorder="0" applyAlignment="0" applyProtection="0"/>
    <xf numFmtId="170" fontId="10" fillId="0" borderId="0" applyFont="0" applyFill="0" applyBorder="0" applyAlignment="0" applyProtection="0"/>
    <xf numFmtId="170" fontId="10" fillId="0" borderId="0" applyFont="0" applyFill="0" applyBorder="0" applyAlignment="0" applyProtection="0"/>
    <xf numFmtId="170" fontId="10" fillId="0" borderId="0" applyFont="0" applyFill="0" applyBorder="0" applyAlignment="0" applyProtection="0"/>
    <xf numFmtId="170" fontId="10" fillId="0" borderId="0" applyFont="0" applyFill="0" applyBorder="0" applyAlignment="0" applyProtection="0"/>
    <xf numFmtId="170" fontId="10" fillId="0" borderId="0" applyFont="0" applyFill="0" applyBorder="0" applyAlignment="0" applyProtection="0"/>
    <xf numFmtId="170" fontId="10" fillId="0" borderId="0" applyFont="0" applyFill="0" applyBorder="0" applyAlignment="0" applyProtection="0"/>
    <xf numFmtId="170" fontId="10" fillId="0" borderId="0" applyFont="0" applyFill="0" applyBorder="0" applyAlignment="0" applyProtection="0"/>
    <xf numFmtId="170" fontId="10" fillId="0" borderId="0" applyFont="0" applyFill="0" applyBorder="0" applyAlignment="0" applyProtection="0"/>
    <xf numFmtId="170" fontId="10" fillId="0" borderId="0" applyFont="0" applyFill="0" applyBorder="0" applyAlignment="0" applyProtection="0"/>
    <xf numFmtId="170" fontId="10" fillId="0" borderId="0" applyFont="0" applyFill="0" applyBorder="0" applyAlignment="0" applyProtection="0"/>
    <xf numFmtId="170" fontId="10" fillId="0" borderId="0" applyFont="0" applyFill="0" applyBorder="0" applyAlignment="0" applyProtection="0"/>
    <xf numFmtId="172" fontId="10" fillId="0" borderId="0" applyFont="0" applyFill="0" applyBorder="0" applyAlignment="0" applyProtection="0"/>
    <xf numFmtId="173" fontId="10" fillId="0" borderId="0" applyFont="0" applyFill="0" applyBorder="0" applyAlignment="0" applyProtection="0"/>
    <xf numFmtId="180" fontId="10" fillId="0" borderId="0"/>
    <xf numFmtId="0" fontId="10" fillId="0" borderId="0"/>
    <xf numFmtId="0" fontId="10" fillId="0" borderId="0"/>
    <xf numFmtId="0" fontId="10" fillId="0" borderId="0"/>
    <xf numFmtId="0" fontId="10" fillId="0" borderId="0"/>
    <xf numFmtId="0" fontId="10" fillId="0" borderId="0"/>
    <xf numFmtId="180" fontId="10" fillId="0" borderId="0"/>
    <xf numFmtId="180" fontId="10" fillId="0" borderId="0"/>
    <xf numFmtId="0" fontId="10" fillId="0" borderId="0"/>
    <xf numFmtId="180" fontId="10" fillId="0" borderId="0"/>
    <xf numFmtId="180" fontId="10" fillId="0" borderId="0"/>
    <xf numFmtId="180" fontId="10" fillId="0" borderId="0"/>
    <xf numFmtId="0" fontId="10" fillId="0" borderId="0"/>
    <xf numFmtId="180" fontId="10" fillId="0" borderId="0"/>
    <xf numFmtId="180" fontId="10" fillId="0" borderId="0"/>
    <xf numFmtId="9" fontId="10" fillId="0" borderId="0" applyFont="0" applyFill="0" applyBorder="0" applyAlignment="0" applyProtection="0"/>
    <xf numFmtId="0" fontId="10" fillId="0" borderId="0"/>
    <xf numFmtId="168" fontId="10" fillId="0" borderId="0" applyFont="0" applyFill="0" applyBorder="0" applyAlignment="0" applyProtection="0"/>
    <xf numFmtId="168" fontId="10" fillId="0" borderId="0" applyFont="0" applyFill="0" applyBorder="0" applyAlignment="0" applyProtection="0"/>
    <xf numFmtId="168" fontId="10" fillId="0" borderId="0" applyFont="0" applyFill="0" applyBorder="0" applyAlignment="0" applyProtection="0"/>
    <xf numFmtId="168" fontId="10" fillId="0" borderId="0" applyFont="0" applyFill="0" applyBorder="0" applyAlignment="0" applyProtection="0"/>
    <xf numFmtId="168" fontId="10" fillId="0" borderId="0" applyFont="0" applyFill="0" applyBorder="0" applyAlignment="0" applyProtection="0"/>
    <xf numFmtId="168" fontId="10" fillId="0" borderId="0" applyFont="0" applyFill="0" applyBorder="0" applyAlignment="0" applyProtection="0"/>
    <xf numFmtId="168" fontId="10" fillId="0" borderId="0" applyFont="0" applyFill="0" applyBorder="0" applyAlignment="0" applyProtection="0"/>
    <xf numFmtId="168" fontId="10" fillId="0" borderId="0" applyFont="0" applyFill="0" applyBorder="0" applyAlignment="0" applyProtection="0"/>
    <xf numFmtId="170" fontId="10" fillId="0" borderId="0" applyFont="0" applyFill="0" applyBorder="0" applyAlignment="0" applyProtection="0"/>
    <xf numFmtId="170" fontId="10" fillId="0" borderId="0" applyFont="0" applyFill="0" applyBorder="0" applyAlignment="0" applyProtection="0"/>
    <xf numFmtId="170" fontId="10" fillId="0" borderId="0" applyFont="0" applyFill="0" applyBorder="0" applyAlignment="0" applyProtection="0"/>
    <xf numFmtId="170" fontId="10" fillId="0" borderId="0" applyFont="0" applyFill="0" applyBorder="0" applyAlignment="0" applyProtection="0"/>
    <xf numFmtId="170" fontId="10" fillId="0" borderId="0" applyFont="0" applyFill="0" applyBorder="0" applyAlignment="0" applyProtection="0"/>
    <xf numFmtId="170" fontId="10" fillId="0" borderId="0" applyFont="0" applyFill="0" applyBorder="0" applyAlignment="0" applyProtection="0"/>
    <xf numFmtId="170" fontId="10" fillId="0" borderId="0" applyFont="0" applyFill="0" applyBorder="0" applyAlignment="0" applyProtection="0"/>
    <xf numFmtId="170" fontId="10" fillId="0" borderId="0" applyFont="0" applyFill="0" applyBorder="0" applyAlignment="0" applyProtection="0"/>
    <xf numFmtId="170" fontId="10" fillId="0" borderId="0" applyFont="0" applyFill="0" applyBorder="0" applyAlignment="0" applyProtection="0"/>
    <xf numFmtId="170" fontId="10" fillId="0" borderId="0" applyFont="0" applyFill="0" applyBorder="0" applyAlignment="0" applyProtection="0"/>
    <xf numFmtId="170" fontId="10" fillId="0" borderId="0" applyFont="0" applyFill="0" applyBorder="0" applyAlignment="0" applyProtection="0"/>
    <xf numFmtId="172" fontId="10" fillId="0" borderId="0" applyFont="0" applyFill="0" applyBorder="0" applyAlignment="0" applyProtection="0"/>
    <xf numFmtId="173" fontId="10" fillId="0" borderId="0" applyFont="0" applyFill="0" applyBorder="0" applyAlignment="0" applyProtection="0"/>
    <xf numFmtId="180" fontId="10" fillId="0" borderId="0"/>
    <xf numFmtId="0" fontId="10" fillId="0" borderId="0"/>
    <xf numFmtId="0" fontId="10" fillId="0" borderId="0"/>
    <xf numFmtId="0" fontId="10" fillId="0" borderId="0"/>
    <xf numFmtId="0" fontId="10" fillId="0" borderId="0"/>
    <xf numFmtId="0" fontId="10" fillId="0" borderId="0"/>
    <xf numFmtId="180" fontId="10" fillId="0" borderId="0"/>
    <xf numFmtId="180" fontId="10" fillId="0" borderId="0"/>
    <xf numFmtId="0" fontId="10" fillId="0" borderId="0"/>
    <xf numFmtId="180" fontId="10" fillId="0" borderId="0"/>
    <xf numFmtId="180" fontId="10" fillId="0" borderId="0"/>
    <xf numFmtId="180" fontId="10" fillId="0" borderId="0"/>
    <xf numFmtId="0" fontId="10" fillId="0" borderId="0"/>
    <xf numFmtId="180" fontId="10" fillId="0" borderId="0"/>
    <xf numFmtId="180" fontId="10" fillId="0" borderId="0"/>
    <xf numFmtId="9" fontId="10" fillId="0" borderId="0" applyFont="0" applyFill="0" applyBorder="0" applyAlignment="0" applyProtection="0"/>
    <xf numFmtId="168" fontId="10" fillId="0" borderId="0" applyFont="0" applyFill="0" applyBorder="0" applyAlignment="0" applyProtection="0"/>
    <xf numFmtId="168" fontId="10" fillId="0" borderId="0" applyFont="0" applyFill="0" applyBorder="0" applyAlignment="0" applyProtection="0"/>
    <xf numFmtId="168" fontId="10" fillId="0" borderId="0" applyFont="0" applyFill="0" applyBorder="0" applyAlignment="0" applyProtection="0"/>
    <xf numFmtId="168" fontId="10" fillId="0" borderId="0" applyFont="0" applyFill="0" applyBorder="0" applyAlignment="0" applyProtection="0"/>
    <xf numFmtId="168" fontId="10" fillId="0" borderId="0" applyFont="0" applyFill="0" applyBorder="0" applyAlignment="0" applyProtection="0"/>
    <xf numFmtId="168" fontId="10" fillId="0" borderId="0" applyFont="0" applyFill="0" applyBorder="0" applyAlignment="0" applyProtection="0"/>
    <xf numFmtId="168" fontId="10" fillId="0" borderId="0" applyFont="0" applyFill="0" applyBorder="0" applyAlignment="0" applyProtection="0"/>
    <xf numFmtId="170" fontId="10" fillId="0" borderId="0" applyFont="0" applyFill="0" applyBorder="0" applyAlignment="0" applyProtection="0"/>
    <xf numFmtId="170" fontId="10" fillId="0" borderId="0" applyFont="0" applyFill="0" applyBorder="0" applyAlignment="0" applyProtection="0"/>
    <xf numFmtId="170" fontId="10" fillId="0" borderId="0" applyFont="0" applyFill="0" applyBorder="0" applyAlignment="0" applyProtection="0"/>
    <xf numFmtId="170" fontId="10" fillId="0" borderId="0" applyFont="0" applyFill="0" applyBorder="0" applyAlignment="0" applyProtection="0"/>
    <xf numFmtId="170" fontId="10" fillId="0" borderId="0" applyFont="0" applyFill="0" applyBorder="0" applyAlignment="0" applyProtection="0"/>
    <xf numFmtId="170" fontId="10" fillId="0" borderId="0" applyFont="0" applyFill="0" applyBorder="0" applyAlignment="0" applyProtection="0"/>
    <xf numFmtId="170" fontId="10" fillId="0" borderId="0" applyFont="0" applyFill="0" applyBorder="0" applyAlignment="0" applyProtection="0"/>
    <xf numFmtId="170" fontId="10" fillId="0" borderId="0" applyFont="0" applyFill="0" applyBorder="0" applyAlignment="0" applyProtection="0"/>
    <xf numFmtId="170" fontId="10" fillId="0" borderId="0" applyFont="0" applyFill="0" applyBorder="0" applyAlignment="0" applyProtection="0"/>
    <xf numFmtId="170" fontId="10" fillId="0" borderId="0" applyFont="0" applyFill="0" applyBorder="0" applyAlignment="0" applyProtection="0"/>
    <xf numFmtId="170" fontId="10" fillId="0" borderId="0" applyFont="0" applyFill="0" applyBorder="0" applyAlignment="0" applyProtection="0"/>
    <xf numFmtId="172" fontId="10" fillId="0" borderId="0" applyFont="0" applyFill="0" applyBorder="0" applyAlignment="0" applyProtection="0"/>
    <xf numFmtId="173" fontId="10" fillId="0" borderId="0" applyFont="0" applyFill="0" applyBorder="0" applyAlignment="0" applyProtection="0"/>
    <xf numFmtId="180" fontId="10" fillId="0" borderId="0"/>
    <xf numFmtId="0" fontId="10" fillId="0" borderId="0"/>
    <xf numFmtId="0" fontId="10" fillId="0" borderId="0"/>
    <xf numFmtId="0" fontId="10" fillId="0" borderId="0"/>
    <xf numFmtId="0" fontId="10" fillId="0" borderId="0"/>
    <xf numFmtId="0" fontId="10" fillId="0" borderId="0"/>
    <xf numFmtId="180" fontId="10" fillId="0" borderId="0"/>
    <xf numFmtId="180" fontId="10" fillId="0" borderId="0"/>
    <xf numFmtId="0" fontId="10" fillId="0" borderId="0"/>
    <xf numFmtId="180" fontId="10" fillId="0" borderId="0"/>
    <xf numFmtId="180" fontId="10" fillId="0" borderId="0"/>
    <xf numFmtId="180" fontId="10" fillId="0" borderId="0"/>
    <xf numFmtId="0" fontId="10" fillId="0" borderId="0"/>
    <xf numFmtId="180" fontId="10" fillId="0" borderId="0"/>
    <xf numFmtId="180" fontId="10" fillId="0" borderId="0"/>
    <xf numFmtId="9" fontId="10" fillId="0" borderId="0" applyFont="0" applyFill="0" applyBorder="0" applyAlignment="0" applyProtection="0"/>
    <xf numFmtId="168" fontId="10" fillId="0" borderId="0" applyFont="0" applyFill="0" applyBorder="0" applyAlignment="0" applyProtection="0"/>
    <xf numFmtId="168" fontId="10" fillId="0" borderId="0" applyFont="0" applyFill="0" applyBorder="0" applyAlignment="0" applyProtection="0"/>
    <xf numFmtId="168" fontId="10" fillId="0" borderId="0" applyFont="0" applyFill="0" applyBorder="0" applyAlignment="0" applyProtection="0"/>
    <xf numFmtId="168" fontId="10" fillId="0" borderId="0" applyFont="0" applyFill="0" applyBorder="0" applyAlignment="0" applyProtection="0"/>
    <xf numFmtId="168" fontId="10" fillId="0" borderId="0" applyFont="0" applyFill="0" applyBorder="0" applyAlignment="0" applyProtection="0"/>
    <xf numFmtId="168" fontId="10" fillId="0" borderId="0" applyFont="0" applyFill="0" applyBorder="0" applyAlignment="0" applyProtection="0"/>
    <xf numFmtId="168" fontId="10" fillId="0" borderId="0" applyFont="0" applyFill="0" applyBorder="0" applyAlignment="0" applyProtection="0"/>
    <xf numFmtId="170" fontId="10" fillId="0" borderId="0" applyFont="0" applyFill="0" applyBorder="0" applyAlignment="0" applyProtection="0"/>
    <xf numFmtId="170" fontId="10" fillId="0" borderId="0" applyFont="0" applyFill="0" applyBorder="0" applyAlignment="0" applyProtection="0"/>
    <xf numFmtId="170" fontId="10" fillId="0" borderId="0" applyFont="0" applyFill="0" applyBorder="0" applyAlignment="0" applyProtection="0"/>
    <xf numFmtId="170" fontId="10" fillId="0" borderId="0" applyFont="0" applyFill="0" applyBorder="0" applyAlignment="0" applyProtection="0"/>
    <xf numFmtId="170" fontId="10" fillId="0" borderId="0" applyFont="0" applyFill="0" applyBorder="0" applyAlignment="0" applyProtection="0"/>
    <xf numFmtId="170" fontId="10" fillId="0" borderId="0" applyFont="0" applyFill="0" applyBorder="0" applyAlignment="0" applyProtection="0"/>
    <xf numFmtId="170" fontId="10" fillId="0" borderId="0" applyFont="0" applyFill="0" applyBorder="0" applyAlignment="0" applyProtection="0"/>
    <xf numFmtId="170" fontId="10" fillId="0" borderId="0" applyFont="0" applyFill="0" applyBorder="0" applyAlignment="0" applyProtection="0"/>
    <xf numFmtId="170" fontId="10" fillId="0" borderId="0" applyFont="0" applyFill="0" applyBorder="0" applyAlignment="0" applyProtection="0"/>
    <xf numFmtId="170" fontId="10" fillId="0" borderId="0" applyFont="0" applyFill="0" applyBorder="0" applyAlignment="0" applyProtection="0"/>
    <xf numFmtId="170" fontId="10" fillId="0" borderId="0" applyFont="0" applyFill="0" applyBorder="0" applyAlignment="0" applyProtection="0"/>
    <xf numFmtId="172" fontId="10" fillId="0" borderId="0" applyFont="0" applyFill="0" applyBorder="0" applyAlignment="0" applyProtection="0"/>
    <xf numFmtId="173" fontId="10" fillId="0" borderId="0" applyFont="0" applyFill="0" applyBorder="0" applyAlignment="0" applyProtection="0"/>
    <xf numFmtId="180" fontId="10" fillId="0" borderId="0"/>
    <xf numFmtId="0" fontId="10" fillId="0" borderId="0"/>
    <xf numFmtId="0" fontId="10" fillId="0" borderId="0"/>
    <xf numFmtId="0" fontId="10" fillId="0" borderId="0"/>
    <xf numFmtId="0" fontId="10" fillId="0" borderId="0"/>
    <xf numFmtId="0" fontId="10" fillId="0" borderId="0"/>
    <xf numFmtId="180" fontId="10" fillId="0" borderId="0"/>
    <xf numFmtId="180" fontId="10" fillId="0" borderId="0"/>
    <xf numFmtId="0" fontId="10" fillId="0" borderId="0"/>
    <xf numFmtId="180" fontId="10" fillId="0" borderId="0"/>
    <xf numFmtId="180" fontId="10" fillId="0" borderId="0"/>
    <xf numFmtId="180" fontId="10" fillId="0" borderId="0"/>
    <xf numFmtId="0" fontId="10" fillId="0" borderId="0"/>
    <xf numFmtId="180" fontId="10" fillId="0" borderId="0"/>
    <xf numFmtId="180" fontId="10" fillId="0" borderId="0"/>
    <xf numFmtId="9" fontId="10" fillId="0" borderId="0" applyFont="0" applyFill="0" applyBorder="0" applyAlignment="0" applyProtection="0"/>
    <xf numFmtId="168" fontId="10" fillId="0" borderId="0" applyFont="0" applyFill="0" applyBorder="0" applyAlignment="0" applyProtection="0"/>
    <xf numFmtId="168" fontId="10" fillId="0" borderId="0" applyFont="0" applyFill="0" applyBorder="0" applyAlignment="0" applyProtection="0"/>
    <xf numFmtId="168" fontId="10" fillId="0" borderId="0" applyFont="0" applyFill="0" applyBorder="0" applyAlignment="0" applyProtection="0"/>
    <xf numFmtId="168" fontId="10" fillId="0" borderId="0" applyFont="0" applyFill="0" applyBorder="0" applyAlignment="0" applyProtection="0"/>
    <xf numFmtId="168" fontId="10" fillId="0" borderId="0" applyFont="0" applyFill="0" applyBorder="0" applyAlignment="0" applyProtection="0"/>
    <xf numFmtId="168" fontId="10" fillId="0" borderId="0" applyFont="0" applyFill="0" applyBorder="0" applyAlignment="0" applyProtection="0"/>
    <xf numFmtId="168" fontId="10" fillId="0" borderId="0" applyFont="0" applyFill="0" applyBorder="0" applyAlignment="0" applyProtection="0"/>
    <xf numFmtId="170" fontId="10" fillId="0" borderId="0" applyFont="0" applyFill="0" applyBorder="0" applyAlignment="0" applyProtection="0"/>
    <xf numFmtId="170" fontId="10" fillId="0" borderId="0" applyFont="0" applyFill="0" applyBorder="0" applyAlignment="0" applyProtection="0"/>
    <xf numFmtId="170" fontId="10" fillId="0" borderId="0" applyFont="0" applyFill="0" applyBorder="0" applyAlignment="0" applyProtection="0"/>
    <xf numFmtId="170" fontId="10" fillId="0" borderId="0" applyFont="0" applyFill="0" applyBorder="0" applyAlignment="0" applyProtection="0"/>
    <xf numFmtId="170" fontId="10" fillId="0" borderId="0" applyFont="0" applyFill="0" applyBorder="0" applyAlignment="0" applyProtection="0"/>
    <xf numFmtId="170" fontId="10" fillId="0" borderId="0" applyFont="0" applyFill="0" applyBorder="0" applyAlignment="0" applyProtection="0"/>
    <xf numFmtId="170" fontId="10" fillId="0" borderId="0" applyFont="0" applyFill="0" applyBorder="0" applyAlignment="0" applyProtection="0"/>
    <xf numFmtId="170" fontId="10" fillId="0" borderId="0" applyFont="0" applyFill="0" applyBorder="0" applyAlignment="0" applyProtection="0"/>
    <xf numFmtId="170" fontId="10" fillId="0" borderId="0" applyFont="0" applyFill="0" applyBorder="0" applyAlignment="0" applyProtection="0"/>
    <xf numFmtId="170" fontId="10" fillId="0" borderId="0" applyFont="0" applyFill="0" applyBorder="0" applyAlignment="0" applyProtection="0"/>
    <xf numFmtId="170" fontId="10" fillId="0" borderId="0" applyFont="0" applyFill="0" applyBorder="0" applyAlignment="0" applyProtection="0"/>
    <xf numFmtId="172" fontId="10" fillId="0" borderId="0" applyFont="0" applyFill="0" applyBorder="0" applyAlignment="0" applyProtection="0"/>
    <xf numFmtId="173" fontId="10" fillId="0" borderId="0" applyFont="0" applyFill="0" applyBorder="0" applyAlignment="0" applyProtection="0"/>
    <xf numFmtId="180" fontId="10" fillId="0" borderId="0"/>
    <xf numFmtId="0" fontId="10" fillId="0" borderId="0"/>
    <xf numFmtId="0" fontId="10" fillId="0" borderId="0"/>
    <xf numFmtId="0" fontId="10" fillId="0" borderId="0"/>
    <xf numFmtId="0" fontId="10" fillId="0" borderId="0"/>
    <xf numFmtId="0" fontId="10" fillId="0" borderId="0"/>
    <xf numFmtId="180" fontId="10" fillId="0" borderId="0"/>
    <xf numFmtId="180" fontId="10" fillId="0" borderId="0"/>
    <xf numFmtId="0" fontId="10" fillId="0" borderId="0"/>
    <xf numFmtId="180" fontId="10" fillId="0" borderId="0"/>
    <xf numFmtId="180" fontId="10" fillId="0" borderId="0"/>
    <xf numFmtId="180" fontId="10" fillId="0" borderId="0"/>
    <xf numFmtId="0" fontId="10" fillId="0" borderId="0"/>
    <xf numFmtId="180" fontId="10" fillId="0" borderId="0"/>
    <xf numFmtId="180" fontId="10" fillId="0" borderId="0"/>
    <xf numFmtId="9" fontId="10" fillId="0" borderId="0" applyFont="0" applyFill="0" applyBorder="0" applyAlignment="0" applyProtection="0"/>
    <xf numFmtId="168" fontId="10" fillId="0" borderId="0" applyFont="0" applyFill="0" applyBorder="0" applyAlignment="0" applyProtection="0"/>
    <xf numFmtId="168" fontId="10" fillId="0" borderId="0" applyFont="0" applyFill="0" applyBorder="0" applyAlignment="0" applyProtection="0"/>
    <xf numFmtId="168" fontId="10" fillId="0" borderId="0" applyFont="0" applyFill="0" applyBorder="0" applyAlignment="0" applyProtection="0"/>
    <xf numFmtId="168" fontId="10" fillId="0" borderId="0" applyFont="0" applyFill="0" applyBorder="0" applyAlignment="0" applyProtection="0"/>
    <xf numFmtId="168" fontId="10" fillId="0" borderId="0" applyFont="0" applyFill="0" applyBorder="0" applyAlignment="0" applyProtection="0"/>
    <xf numFmtId="168" fontId="10" fillId="0" borderId="0" applyFont="0" applyFill="0" applyBorder="0" applyAlignment="0" applyProtection="0"/>
    <xf numFmtId="168" fontId="10" fillId="0" borderId="0" applyFont="0" applyFill="0" applyBorder="0" applyAlignment="0" applyProtection="0"/>
    <xf numFmtId="170" fontId="10" fillId="0" borderId="0" applyFont="0" applyFill="0" applyBorder="0" applyAlignment="0" applyProtection="0"/>
    <xf numFmtId="170" fontId="10" fillId="0" borderId="0" applyFont="0" applyFill="0" applyBorder="0" applyAlignment="0" applyProtection="0"/>
    <xf numFmtId="170" fontId="10" fillId="0" borderId="0" applyFont="0" applyFill="0" applyBorder="0" applyAlignment="0" applyProtection="0"/>
    <xf numFmtId="170" fontId="10" fillId="0" borderId="0" applyFont="0" applyFill="0" applyBorder="0" applyAlignment="0" applyProtection="0"/>
    <xf numFmtId="170" fontId="10" fillId="0" borderId="0" applyFont="0" applyFill="0" applyBorder="0" applyAlignment="0" applyProtection="0"/>
    <xf numFmtId="170" fontId="10" fillId="0" borderId="0" applyFont="0" applyFill="0" applyBorder="0" applyAlignment="0" applyProtection="0"/>
    <xf numFmtId="170" fontId="10" fillId="0" borderId="0" applyFont="0" applyFill="0" applyBorder="0" applyAlignment="0" applyProtection="0"/>
    <xf numFmtId="170" fontId="10" fillId="0" borderId="0" applyFont="0" applyFill="0" applyBorder="0" applyAlignment="0" applyProtection="0"/>
    <xf numFmtId="170" fontId="10" fillId="0" borderId="0" applyFont="0" applyFill="0" applyBorder="0" applyAlignment="0" applyProtection="0"/>
    <xf numFmtId="170" fontId="10" fillId="0" borderId="0" applyFont="0" applyFill="0" applyBorder="0" applyAlignment="0" applyProtection="0"/>
    <xf numFmtId="170" fontId="10" fillId="0" borderId="0" applyFont="0" applyFill="0" applyBorder="0" applyAlignment="0" applyProtection="0"/>
    <xf numFmtId="172" fontId="10" fillId="0" borderId="0" applyFont="0" applyFill="0" applyBorder="0" applyAlignment="0" applyProtection="0"/>
    <xf numFmtId="173" fontId="10" fillId="0" borderId="0" applyFont="0" applyFill="0" applyBorder="0" applyAlignment="0" applyProtection="0"/>
    <xf numFmtId="180" fontId="10" fillId="0" borderId="0"/>
    <xf numFmtId="0" fontId="10" fillId="0" borderId="0"/>
    <xf numFmtId="0" fontId="10" fillId="0" borderId="0"/>
    <xf numFmtId="0" fontId="10" fillId="0" borderId="0"/>
    <xf numFmtId="0" fontId="10" fillId="0" borderId="0"/>
    <xf numFmtId="0" fontId="10" fillId="0" borderId="0"/>
    <xf numFmtId="180" fontId="10" fillId="0" borderId="0"/>
    <xf numFmtId="180" fontId="10" fillId="0" borderId="0"/>
    <xf numFmtId="0" fontId="10" fillId="0" borderId="0"/>
    <xf numFmtId="180" fontId="10" fillId="0" borderId="0"/>
    <xf numFmtId="180" fontId="10" fillId="0" borderId="0"/>
    <xf numFmtId="180" fontId="10" fillId="0" borderId="0"/>
    <xf numFmtId="0" fontId="10" fillId="0" borderId="0"/>
    <xf numFmtId="180" fontId="10" fillId="0" borderId="0"/>
    <xf numFmtId="180" fontId="10" fillId="0" borderId="0"/>
    <xf numFmtId="9" fontId="10" fillId="0" borderId="0" applyFont="0" applyFill="0" applyBorder="0" applyAlignment="0" applyProtection="0"/>
    <xf numFmtId="168" fontId="10" fillId="0" borderId="0" applyFont="0" applyFill="0" applyBorder="0" applyAlignment="0" applyProtection="0"/>
    <xf numFmtId="168" fontId="10" fillId="0" borderId="0" applyFont="0" applyFill="0" applyBorder="0" applyAlignment="0" applyProtection="0"/>
    <xf numFmtId="168" fontId="10" fillId="0" borderId="0" applyFont="0" applyFill="0" applyBorder="0" applyAlignment="0" applyProtection="0"/>
    <xf numFmtId="168" fontId="10" fillId="0" borderId="0" applyFont="0" applyFill="0" applyBorder="0" applyAlignment="0" applyProtection="0"/>
    <xf numFmtId="168" fontId="10" fillId="0" borderId="0" applyFont="0" applyFill="0" applyBorder="0" applyAlignment="0" applyProtection="0"/>
    <xf numFmtId="168" fontId="10" fillId="0" borderId="0" applyFont="0" applyFill="0" applyBorder="0" applyAlignment="0" applyProtection="0"/>
    <xf numFmtId="168" fontId="10" fillId="0" borderId="0" applyFont="0" applyFill="0" applyBorder="0" applyAlignment="0" applyProtection="0"/>
    <xf numFmtId="170" fontId="10" fillId="0" borderId="0" applyFont="0" applyFill="0" applyBorder="0" applyAlignment="0" applyProtection="0"/>
    <xf numFmtId="170" fontId="10" fillId="0" borderId="0" applyFont="0" applyFill="0" applyBorder="0" applyAlignment="0" applyProtection="0"/>
    <xf numFmtId="170" fontId="10" fillId="0" borderId="0" applyFont="0" applyFill="0" applyBorder="0" applyAlignment="0" applyProtection="0"/>
    <xf numFmtId="170" fontId="10" fillId="0" borderId="0" applyFont="0" applyFill="0" applyBorder="0" applyAlignment="0" applyProtection="0"/>
    <xf numFmtId="170" fontId="10" fillId="0" borderId="0" applyFont="0" applyFill="0" applyBorder="0" applyAlignment="0" applyProtection="0"/>
    <xf numFmtId="170" fontId="10" fillId="0" borderId="0" applyFont="0" applyFill="0" applyBorder="0" applyAlignment="0" applyProtection="0"/>
    <xf numFmtId="170" fontId="10" fillId="0" borderId="0" applyFont="0" applyFill="0" applyBorder="0" applyAlignment="0" applyProtection="0"/>
    <xf numFmtId="170" fontId="10" fillId="0" borderId="0" applyFont="0" applyFill="0" applyBorder="0" applyAlignment="0" applyProtection="0"/>
    <xf numFmtId="170" fontId="10" fillId="0" borderId="0" applyFont="0" applyFill="0" applyBorder="0" applyAlignment="0" applyProtection="0"/>
    <xf numFmtId="170" fontId="10" fillId="0" borderId="0" applyFont="0" applyFill="0" applyBorder="0" applyAlignment="0" applyProtection="0"/>
    <xf numFmtId="170" fontId="10" fillId="0" borderId="0" applyFont="0" applyFill="0" applyBorder="0" applyAlignment="0" applyProtection="0"/>
    <xf numFmtId="172" fontId="10" fillId="0" borderId="0" applyFont="0" applyFill="0" applyBorder="0" applyAlignment="0" applyProtection="0"/>
    <xf numFmtId="173" fontId="10" fillId="0" borderId="0" applyFont="0" applyFill="0" applyBorder="0" applyAlignment="0" applyProtection="0"/>
    <xf numFmtId="180" fontId="10" fillId="0" borderId="0"/>
    <xf numFmtId="0" fontId="10" fillId="0" borderId="0"/>
    <xf numFmtId="0" fontId="10" fillId="0" borderId="0"/>
    <xf numFmtId="0" fontId="10" fillId="0" borderId="0"/>
    <xf numFmtId="0" fontId="10" fillId="0" borderId="0"/>
    <xf numFmtId="0" fontId="10" fillId="0" borderId="0"/>
    <xf numFmtId="180" fontId="10" fillId="0" borderId="0"/>
    <xf numFmtId="180" fontId="10" fillId="0" borderId="0"/>
    <xf numFmtId="0" fontId="10" fillId="0" borderId="0"/>
    <xf numFmtId="180" fontId="10" fillId="0" borderId="0"/>
    <xf numFmtId="180" fontId="10" fillId="0" borderId="0"/>
    <xf numFmtId="180" fontId="10" fillId="0" borderId="0"/>
    <xf numFmtId="0" fontId="10" fillId="0" borderId="0"/>
    <xf numFmtId="180" fontId="10" fillId="0" borderId="0"/>
    <xf numFmtId="180" fontId="10" fillId="0" borderId="0"/>
    <xf numFmtId="9" fontId="10" fillId="0" borderId="0" applyFont="0" applyFill="0" applyBorder="0" applyAlignment="0" applyProtection="0"/>
    <xf numFmtId="168" fontId="10" fillId="0" borderId="0" applyFont="0" applyFill="0" applyBorder="0" applyAlignment="0" applyProtection="0"/>
    <xf numFmtId="168" fontId="10" fillId="0" borderId="0" applyFont="0" applyFill="0" applyBorder="0" applyAlignment="0" applyProtection="0"/>
    <xf numFmtId="168" fontId="10" fillId="0" borderId="0" applyFont="0" applyFill="0" applyBorder="0" applyAlignment="0" applyProtection="0"/>
    <xf numFmtId="168" fontId="10" fillId="0" borderId="0" applyFont="0" applyFill="0" applyBorder="0" applyAlignment="0" applyProtection="0"/>
    <xf numFmtId="168" fontId="10" fillId="0" borderId="0" applyFont="0" applyFill="0" applyBorder="0" applyAlignment="0" applyProtection="0"/>
    <xf numFmtId="168" fontId="10" fillId="0" borderId="0" applyFont="0" applyFill="0" applyBorder="0" applyAlignment="0" applyProtection="0"/>
    <xf numFmtId="168" fontId="10" fillId="0" borderId="0" applyFont="0" applyFill="0" applyBorder="0" applyAlignment="0" applyProtection="0"/>
    <xf numFmtId="170" fontId="10" fillId="0" borderId="0" applyFont="0" applyFill="0" applyBorder="0" applyAlignment="0" applyProtection="0"/>
    <xf numFmtId="170" fontId="10" fillId="0" borderId="0" applyFont="0" applyFill="0" applyBorder="0" applyAlignment="0" applyProtection="0"/>
    <xf numFmtId="170" fontId="10" fillId="0" borderId="0" applyFont="0" applyFill="0" applyBorder="0" applyAlignment="0" applyProtection="0"/>
    <xf numFmtId="170" fontId="10" fillId="0" borderId="0" applyFont="0" applyFill="0" applyBorder="0" applyAlignment="0" applyProtection="0"/>
    <xf numFmtId="170" fontId="10" fillId="0" borderId="0" applyFont="0" applyFill="0" applyBorder="0" applyAlignment="0" applyProtection="0"/>
    <xf numFmtId="170" fontId="10" fillId="0" borderId="0" applyFont="0" applyFill="0" applyBorder="0" applyAlignment="0" applyProtection="0"/>
    <xf numFmtId="170" fontId="10" fillId="0" borderId="0" applyFont="0" applyFill="0" applyBorder="0" applyAlignment="0" applyProtection="0"/>
    <xf numFmtId="170" fontId="10" fillId="0" borderId="0" applyFont="0" applyFill="0" applyBorder="0" applyAlignment="0" applyProtection="0"/>
    <xf numFmtId="170" fontId="10" fillId="0" borderId="0" applyFont="0" applyFill="0" applyBorder="0" applyAlignment="0" applyProtection="0"/>
    <xf numFmtId="170" fontId="10" fillId="0" borderId="0" applyFont="0" applyFill="0" applyBorder="0" applyAlignment="0" applyProtection="0"/>
    <xf numFmtId="170" fontId="10" fillId="0" borderId="0" applyFont="0" applyFill="0" applyBorder="0" applyAlignment="0" applyProtection="0"/>
    <xf numFmtId="172" fontId="10" fillId="0" borderId="0" applyFont="0" applyFill="0" applyBorder="0" applyAlignment="0" applyProtection="0"/>
    <xf numFmtId="173" fontId="10" fillId="0" borderId="0" applyFont="0" applyFill="0" applyBorder="0" applyAlignment="0" applyProtection="0"/>
    <xf numFmtId="180" fontId="10" fillId="0" borderId="0"/>
    <xf numFmtId="0" fontId="10" fillId="0" borderId="0"/>
    <xf numFmtId="0" fontId="10" fillId="0" borderId="0"/>
    <xf numFmtId="0" fontId="10" fillId="0" borderId="0"/>
    <xf numFmtId="0" fontId="10" fillId="0" borderId="0"/>
    <xf numFmtId="0" fontId="10" fillId="0" borderId="0"/>
    <xf numFmtId="180" fontId="10" fillId="0" borderId="0"/>
    <xf numFmtId="180" fontId="10" fillId="0" borderId="0"/>
    <xf numFmtId="0" fontId="10" fillId="0" borderId="0"/>
    <xf numFmtId="180" fontId="10" fillId="0" borderId="0"/>
    <xf numFmtId="180" fontId="10" fillId="0" borderId="0"/>
    <xf numFmtId="180" fontId="10" fillId="0" borderId="0"/>
    <xf numFmtId="0" fontId="10" fillId="0" borderId="0"/>
    <xf numFmtId="180" fontId="10" fillId="0" borderId="0"/>
    <xf numFmtId="180" fontId="10" fillId="0" borderId="0"/>
    <xf numFmtId="9" fontId="10" fillId="0" borderId="0" applyFont="0" applyFill="0" applyBorder="0" applyAlignment="0" applyProtection="0"/>
    <xf numFmtId="168" fontId="10" fillId="0" borderId="0" applyFont="0" applyFill="0" applyBorder="0" applyAlignment="0" applyProtection="0"/>
    <xf numFmtId="168" fontId="10" fillId="0" borderId="0" applyFont="0" applyFill="0" applyBorder="0" applyAlignment="0" applyProtection="0"/>
    <xf numFmtId="168" fontId="10" fillId="0" borderId="0" applyFont="0" applyFill="0" applyBorder="0" applyAlignment="0" applyProtection="0"/>
    <xf numFmtId="168" fontId="10" fillId="0" borderId="0" applyFont="0" applyFill="0" applyBorder="0" applyAlignment="0" applyProtection="0"/>
    <xf numFmtId="168" fontId="10" fillId="0" borderId="0" applyFont="0" applyFill="0" applyBorder="0" applyAlignment="0" applyProtection="0"/>
    <xf numFmtId="168" fontId="10" fillId="0" borderId="0" applyFont="0" applyFill="0" applyBorder="0" applyAlignment="0" applyProtection="0"/>
    <xf numFmtId="168" fontId="10" fillId="0" borderId="0" applyFont="0" applyFill="0" applyBorder="0" applyAlignment="0" applyProtection="0"/>
    <xf numFmtId="170" fontId="10" fillId="0" borderId="0" applyFont="0" applyFill="0" applyBorder="0" applyAlignment="0" applyProtection="0"/>
    <xf numFmtId="170" fontId="10" fillId="0" borderId="0" applyFont="0" applyFill="0" applyBorder="0" applyAlignment="0" applyProtection="0"/>
    <xf numFmtId="170" fontId="10" fillId="0" borderId="0" applyFont="0" applyFill="0" applyBorder="0" applyAlignment="0" applyProtection="0"/>
    <xf numFmtId="170" fontId="10" fillId="0" borderId="0" applyFont="0" applyFill="0" applyBorder="0" applyAlignment="0" applyProtection="0"/>
    <xf numFmtId="170" fontId="10" fillId="0" borderId="0" applyFont="0" applyFill="0" applyBorder="0" applyAlignment="0" applyProtection="0"/>
    <xf numFmtId="170" fontId="10" fillId="0" borderId="0" applyFont="0" applyFill="0" applyBorder="0" applyAlignment="0" applyProtection="0"/>
    <xf numFmtId="170" fontId="10" fillId="0" borderId="0" applyFont="0" applyFill="0" applyBorder="0" applyAlignment="0" applyProtection="0"/>
    <xf numFmtId="170" fontId="10" fillId="0" borderId="0" applyFont="0" applyFill="0" applyBorder="0" applyAlignment="0" applyProtection="0"/>
    <xf numFmtId="170" fontId="10" fillId="0" borderId="0" applyFont="0" applyFill="0" applyBorder="0" applyAlignment="0" applyProtection="0"/>
    <xf numFmtId="170" fontId="10" fillId="0" borderId="0" applyFont="0" applyFill="0" applyBorder="0" applyAlignment="0" applyProtection="0"/>
    <xf numFmtId="170" fontId="10" fillId="0" borderId="0" applyFont="0" applyFill="0" applyBorder="0" applyAlignment="0" applyProtection="0"/>
    <xf numFmtId="172" fontId="10" fillId="0" borderId="0" applyFont="0" applyFill="0" applyBorder="0" applyAlignment="0" applyProtection="0"/>
    <xf numFmtId="173" fontId="10" fillId="0" borderId="0" applyFont="0" applyFill="0" applyBorder="0" applyAlignment="0" applyProtection="0"/>
    <xf numFmtId="180" fontId="10" fillId="0" borderId="0"/>
    <xf numFmtId="0" fontId="10" fillId="0" borderId="0"/>
    <xf numFmtId="0" fontId="10" fillId="0" borderId="0"/>
    <xf numFmtId="0" fontId="10" fillId="0" borderId="0"/>
    <xf numFmtId="0" fontId="10" fillId="0" borderId="0"/>
    <xf numFmtId="0" fontId="10" fillId="0" borderId="0"/>
    <xf numFmtId="180" fontId="10" fillId="0" borderId="0"/>
    <xf numFmtId="180" fontId="10" fillId="0" borderId="0"/>
    <xf numFmtId="0" fontId="10" fillId="0" borderId="0"/>
    <xf numFmtId="180" fontId="10" fillId="0" borderId="0"/>
    <xf numFmtId="180" fontId="10" fillId="0" borderId="0"/>
    <xf numFmtId="180" fontId="10" fillId="0" borderId="0"/>
    <xf numFmtId="0" fontId="10" fillId="0" borderId="0"/>
    <xf numFmtId="180" fontId="10" fillId="0" borderId="0"/>
    <xf numFmtId="180" fontId="10" fillId="0" borderId="0"/>
    <xf numFmtId="9" fontId="10" fillId="0" borderId="0" applyFont="0" applyFill="0" applyBorder="0" applyAlignment="0" applyProtection="0"/>
    <xf numFmtId="170" fontId="10" fillId="0" borderId="0" applyFont="0" applyFill="0" applyBorder="0" applyAlignment="0" applyProtection="0"/>
    <xf numFmtId="43" fontId="10" fillId="0" borderId="0" applyFont="0" applyFill="0" applyBorder="0" applyAlignment="0" applyProtection="0"/>
    <xf numFmtId="0" fontId="10" fillId="0" borderId="0"/>
    <xf numFmtId="168" fontId="10" fillId="0" borderId="0" applyFont="0" applyFill="0" applyBorder="0" applyAlignment="0" applyProtection="0"/>
    <xf numFmtId="170" fontId="39" fillId="0" borderId="0" applyFont="0" applyFill="0" applyBorder="0" applyAlignment="0" applyProtection="0"/>
    <xf numFmtId="0" fontId="9" fillId="0" borderId="0"/>
    <xf numFmtId="180" fontId="9" fillId="0" borderId="0"/>
    <xf numFmtId="0" fontId="9" fillId="0" borderId="0"/>
    <xf numFmtId="0" fontId="9" fillId="0" borderId="0"/>
    <xf numFmtId="0" fontId="9" fillId="0" borderId="0"/>
    <xf numFmtId="0" fontId="9" fillId="0" borderId="0"/>
    <xf numFmtId="0" fontId="9" fillId="0" borderId="0"/>
    <xf numFmtId="180" fontId="9" fillId="0" borderId="0"/>
    <xf numFmtId="180" fontId="9" fillId="0" borderId="0"/>
    <xf numFmtId="180" fontId="9" fillId="0" borderId="0"/>
    <xf numFmtId="180" fontId="9" fillId="0" borderId="0"/>
    <xf numFmtId="180" fontId="9" fillId="0" borderId="0"/>
    <xf numFmtId="0" fontId="9" fillId="0" borderId="0"/>
    <xf numFmtId="180" fontId="9" fillId="0" borderId="0"/>
    <xf numFmtId="180" fontId="9" fillId="0" borderId="0"/>
    <xf numFmtId="168" fontId="9" fillId="0" borderId="0" applyFont="0" applyFill="0" applyBorder="0" applyAlignment="0" applyProtection="0"/>
    <xf numFmtId="183" fontId="33" fillId="0" borderId="0" applyFont="0" applyFill="0" applyBorder="0" applyAlignment="0" applyProtection="0"/>
    <xf numFmtId="183" fontId="33" fillId="0" borderId="0" applyFont="0" applyFill="0" applyBorder="0" applyAlignment="0" applyProtection="0"/>
    <xf numFmtId="183" fontId="33" fillId="0" borderId="0" applyFont="0" applyFill="0" applyBorder="0" applyAlignment="0" applyProtection="0"/>
    <xf numFmtId="183" fontId="33" fillId="0" borderId="0" applyFont="0" applyFill="0" applyBorder="0" applyAlignment="0" applyProtection="0"/>
    <xf numFmtId="183" fontId="33" fillId="0" borderId="0" applyFont="0" applyFill="0" applyBorder="0" applyAlignment="0" applyProtection="0"/>
    <xf numFmtId="184" fontId="33" fillId="0" borderId="0" applyFont="0" applyFill="0" applyBorder="0" applyAlignment="0" applyProtection="0"/>
    <xf numFmtId="43" fontId="82" fillId="0" borderId="0" applyFont="0" applyFill="0" applyBorder="0" applyAlignment="0" applyProtection="0"/>
    <xf numFmtId="43" fontId="82" fillId="0" borderId="0" applyFont="0" applyFill="0" applyBorder="0" applyAlignment="0" applyProtection="0"/>
    <xf numFmtId="0" fontId="33" fillId="0" borderId="0" applyNumberFormat="0"/>
    <xf numFmtId="180" fontId="8" fillId="0" borderId="0"/>
    <xf numFmtId="0" fontId="8" fillId="0" borderId="0"/>
    <xf numFmtId="0" fontId="8" fillId="0" borderId="0"/>
    <xf numFmtId="0" fontId="8" fillId="0" borderId="0"/>
    <xf numFmtId="0" fontId="8" fillId="0" borderId="0"/>
    <xf numFmtId="0" fontId="8" fillId="0" borderId="0"/>
    <xf numFmtId="180" fontId="8" fillId="0" borderId="0"/>
    <xf numFmtId="180" fontId="8" fillId="0" borderId="0"/>
    <xf numFmtId="0" fontId="8" fillId="0" borderId="0"/>
    <xf numFmtId="180" fontId="8" fillId="0" borderId="0"/>
    <xf numFmtId="180" fontId="8" fillId="0" borderId="0"/>
    <xf numFmtId="180" fontId="8" fillId="0" borderId="0"/>
    <xf numFmtId="0" fontId="8" fillId="0" borderId="0"/>
    <xf numFmtId="180" fontId="8" fillId="0" borderId="0"/>
    <xf numFmtId="180" fontId="8" fillId="0" borderId="0"/>
    <xf numFmtId="43" fontId="52" fillId="0" borderId="0" applyFont="0" applyFill="0" applyBorder="0" applyAlignment="0" applyProtection="0"/>
    <xf numFmtId="169" fontId="52" fillId="0" borderId="0" applyFont="0" applyFill="0" applyBorder="0" applyAlignment="0" applyProtection="0"/>
    <xf numFmtId="18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80" fontId="7" fillId="0" borderId="0"/>
    <xf numFmtId="180" fontId="7" fillId="0" borderId="0"/>
    <xf numFmtId="0" fontId="7" fillId="0" borderId="0"/>
    <xf numFmtId="180" fontId="7" fillId="0" borderId="0"/>
    <xf numFmtId="180" fontId="7" fillId="0" borderId="0"/>
    <xf numFmtId="180" fontId="7" fillId="0" borderId="0"/>
    <xf numFmtId="0" fontId="7" fillId="0" borderId="0"/>
    <xf numFmtId="180" fontId="7" fillId="0" borderId="0"/>
    <xf numFmtId="180" fontId="7" fillId="0" borderId="0"/>
    <xf numFmtId="168" fontId="7"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2" fontId="7" fillId="0" borderId="0" applyFont="0" applyFill="0" applyBorder="0" applyAlignment="0" applyProtection="0"/>
    <xf numFmtId="173" fontId="7" fillId="0" borderId="0" applyFont="0" applyFill="0" applyBorder="0" applyAlignment="0" applyProtection="0"/>
    <xf numFmtId="180" fontId="7" fillId="0" borderId="0"/>
    <xf numFmtId="0" fontId="7" fillId="0" borderId="0"/>
    <xf numFmtId="0" fontId="7" fillId="0" borderId="0"/>
    <xf numFmtId="0" fontId="7" fillId="0" borderId="0"/>
    <xf numFmtId="0" fontId="7" fillId="0" borderId="0"/>
    <xf numFmtId="0" fontId="7" fillId="0" borderId="0"/>
    <xf numFmtId="180" fontId="7" fillId="0" borderId="0"/>
    <xf numFmtId="180" fontId="7" fillId="0" borderId="0"/>
    <xf numFmtId="0" fontId="7" fillId="0" borderId="0"/>
    <xf numFmtId="180" fontId="7" fillId="0" borderId="0"/>
    <xf numFmtId="180" fontId="7" fillId="0" borderId="0"/>
    <xf numFmtId="180" fontId="7" fillId="0" borderId="0"/>
    <xf numFmtId="0" fontId="7" fillId="0" borderId="0"/>
    <xf numFmtId="180" fontId="7" fillId="0" borderId="0"/>
    <xf numFmtId="180" fontId="7" fillId="0" borderId="0"/>
    <xf numFmtId="9" fontId="7" fillId="0" borderId="0" applyFont="0" applyFill="0" applyBorder="0" applyAlignment="0" applyProtection="0"/>
    <xf numFmtId="0" fontId="7" fillId="0" borderId="0"/>
    <xf numFmtId="168" fontId="7"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2" fontId="7" fillId="0" borderId="0" applyFont="0" applyFill="0" applyBorder="0" applyAlignment="0" applyProtection="0"/>
    <xf numFmtId="173" fontId="7" fillId="0" borderId="0" applyFont="0" applyFill="0" applyBorder="0" applyAlignment="0" applyProtection="0"/>
    <xf numFmtId="180" fontId="7" fillId="0" borderId="0"/>
    <xf numFmtId="0" fontId="7" fillId="0" borderId="0"/>
    <xf numFmtId="0" fontId="7" fillId="0" borderId="0"/>
    <xf numFmtId="0" fontId="7" fillId="0" borderId="0"/>
    <xf numFmtId="0" fontId="7" fillId="0" borderId="0"/>
    <xf numFmtId="0" fontId="7" fillId="0" borderId="0"/>
    <xf numFmtId="180" fontId="7" fillId="0" borderId="0"/>
    <xf numFmtId="180" fontId="7" fillId="0" borderId="0"/>
    <xf numFmtId="0" fontId="7" fillId="0" borderId="0"/>
    <xf numFmtId="180" fontId="7" fillId="0" borderId="0"/>
    <xf numFmtId="180" fontId="7" fillId="0" borderId="0"/>
    <xf numFmtId="180" fontId="7" fillId="0" borderId="0"/>
    <xf numFmtId="0" fontId="7" fillId="0" borderId="0"/>
    <xf numFmtId="180" fontId="7" fillId="0" borderId="0"/>
    <xf numFmtId="180" fontId="7" fillId="0" borderId="0"/>
    <xf numFmtId="9" fontId="7"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2" fontId="7" fillId="0" borderId="0" applyFont="0" applyFill="0" applyBorder="0" applyAlignment="0" applyProtection="0"/>
    <xf numFmtId="173" fontId="7" fillId="0" borderId="0" applyFont="0" applyFill="0" applyBorder="0" applyAlignment="0" applyProtection="0"/>
    <xf numFmtId="180" fontId="7" fillId="0" borderId="0"/>
    <xf numFmtId="0" fontId="7" fillId="0" borderId="0"/>
    <xf numFmtId="0" fontId="7" fillId="0" borderId="0"/>
    <xf numFmtId="0" fontId="7" fillId="0" borderId="0"/>
    <xf numFmtId="0" fontId="7" fillId="0" borderId="0"/>
    <xf numFmtId="0" fontId="7" fillId="0" borderId="0"/>
    <xf numFmtId="180" fontId="7" fillId="0" borderId="0"/>
    <xf numFmtId="180" fontId="7" fillId="0" borderId="0"/>
    <xf numFmtId="0" fontId="7" fillId="0" borderId="0"/>
    <xf numFmtId="180" fontId="7" fillId="0" borderId="0"/>
    <xf numFmtId="180" fontId="7" fillId="0" borderId="0"/>
    <xf numFmtId="180" fontId="7" fillId="0" borderId="0"/>
    <xf numFmtId="0" fontId="7" fillId="0" borderId="0"/>
    <xf numFmtId="180" fontId="7" fillId="0" borderId="0"/>
    <xf numFmtId="180" fontId="7" fillId="0" borderId="0"/>
    <xf numFmtId="9" fontId="7"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2" fontId="7" fillId="0" borderId="0" applyFont="0" applyFill="0" applyBorder="0" applyAlignment="0" applyProtection="0"/>
    <xf numFmtId="173" fontId="7" fillId="0" borderId="0" applyFont="0" applyFill="0" applyBorder="0" applyAlignment="0" applyProtection="0"/>
    <xf numFmtId="180" fontId="7" fillId="0" borderId="0"/>
    <xf numFmtId="0" fontId="7" fillId="0" borderId="0"/>
    <xf numFmtId="0" fontId="7" fillId="0" borderId="0"/>
    <xf numFmtId="0" fontId="7" fillId="0" borderId="0"/>
    <xf numFmtId="0" fontId="7" fillId="0" borderId="0"/>
    <xf numFmtId="0" fontId="7" fillId="0" borderId="0"/>
    <xf numFmtId="180" fontId="7" fillId="0" borderId="0"/>
    <xf numFmtId="180" fontId="7" fillId="0" borderId="0"/>
    <xf numFmtId="0" fontId="7" fillId="0" borderId="0"/>
    <xf numFmtId="180" fontId="7" fillId="0" borderId="0"/>
    <xf numFmtId="180" fontId="7" fillId="0" borderId="0"/>
    <xf numFmtId="180" fontId="7" fillId="0" borderId="0"/>
    <xf numFmtId="0" fontId="7" fillId="0" borderId="0"/>
    <xf numFmtId="180" fontId="7" fillId="0" borderId="0"/>
    <xf numFmtId="180" fontId="7" fillId="0" borderId="0"/>
    <xf numFmtId="9" fontId="7"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2" fontId="7" fillId="0" borderId="0" applyFont="0" applyFill="0" applyBorder="0" applyAlignment="0" applyProtection="0"/>
    <xf numFmtId="173" fontId="7" fillId="0" borderId="0" applyFont="0" applyFill="0" applyBorder="0" applyAlignment="0" applyProtection="0"/>
    <xf numFmtId="180" fontId="7" fillId="0" borderId="0"/>
    <xf numFmtId="0" fontId="7" fillId="0" borderId="0"/>
    <xf numFmtId="0" fontId="7" fillId="0" borderId="0"/>
    <xf numFmtId="0" fontId="7" fillId="0" borderId="0"/>
    <xf numFmtId="0" fontId="7" fillId="0" borderId="0"/>
    <xf numFmtId="0" fontId="7" fillId="0" borderId="0"/>
    <xf numFmtId="180" fontId="7" fillId="0" borderId="0"/>
    <xf numFmtId="180" fontId="7" fillId="0" borderId="0"/>
    <xf numFmtId="0" fontId="7" fillId="0" borderId="0"/>
    <xf numFmtId="180" fontId="7" fillId="0" borderId="0"/>
    <xf numFmtId="180" fontId="7" fillId="0" borderId="0"/>
    <xf numFmtId="180" fontId="7" fillId="0" borderId="0"/>
    <xf numFmtId="0" fontId="7" fillId="0" borderId="0"/>
    <xf numFmtId="180" fontId="7" fillId="0" borderId="0"/>
    <xf numFmtId="180" fontId="7" fillId="0" borderId="0"/>
    <xf numFmtId="9" fontId="7"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2" fontId="7" fillId="0" borderId="0" applyFont="0" applyFill="0" applyBorder="0" applyAlignment="0" applyProtection="0"/>
    <xf numFmtId="173" fontId="7" fillId="0" borderId="0" applyFont="0" applyFill="0" applyBorder="0" applyAlignment="0" applyProtection="0"/>
    <xf numFmtId="180" fontId="7" fillId="0" borderId="0"/>
    <xf numFmtId="0" fontId="7" fillId="0" borderId="0"/>
    <xf numFmtId="0" fontId="7" fillId="0" borderId="0"/>
    <xf numFmtId="0" fontId="7" fillId="0" borderId="0"/>
    <xf numFmtId="0" fontId="7" fillId="0" borderId="0"/>
    <xf numFmtId="0" fontId="7" fillId="0" borderId="0"/>
    <xf numFmtId="180" fontId="7" fillId="0" borderId="0"/>
    <xf numFmtId="180" fontId="7" fillId="0" borderId="0"/>
    <xf numFmtId="0" fontId="7" fillId="0" borderId="0"/>
    <xf numFmtId="180" fontId="7" fillId="0" borderId="0"/>
    <xf numFmtId="180" fontId="7" fillId="0" borderId="0"/>
    <xf numFmtId="180" fontId="7" fillId="0" borderId="0"/>
    <xf numFmtId="0" fontId="7" fillId="0" borderId="0"/>
    <xf numFmtId="180" fontId="7" fillId="0" borderId="0"/>
    <xf numFmtId="180" fontId="7" fillId="0" borderId="0"/>
    <xf numFmtId="9" fontId="7"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2" fontId="7" fillId="0" borderId="0" applyFont="0" applyFill="0" applyBorder="0" applyAlignment="0" applyProtection="0"/>
    <xf numFmtId="173" fontId="7" fillId="0" borderId="0" applyFont="0" applyFill="0" applyBorder="0" applyAlignment="0" applyProtection="0"/>
    <xf numFmtId="180" fontId="7" fillId="0" borderId="0"/>
    <xf numFmtId="0" fontId="7" fillId="0" borderId="0"/>
    <xf numFmtId="0" fontId="7" fillId="0" borderId="0"/>
    <xf numFmtId="0" fontId="7" fillId="0" borderId="0"/>
    <xf numFmtId="0" fontId="7" fillId="0" borderId="0"/>
    <xf numFmtId="0" fontId="7" fillId="0" borderId="0"/>
    <xf numFmtId="180" fontId="7" fillId="0" borderId="0"/>
    <xf numFmtId="180" fontId="7" fillId="0" borderId="0"/>
    <xf numFmtId="0" fontId="7" fillId="0" borderId="0"/>
    <xf numFmtId="180" fontId="7" fillId="0" borderId="0"/>
    <xf numFmtId="180" fontId="7" fillId="0" borderId="0"/>
    <xf numFmtId="180" fontId="7" fillId="0" borderId="0"/>
    <xf numFmtId="0" fontId="7" fillId="0" borderId="0"/>
    <xf numFmtId="180" fontId="7" fillId="0" borderId="0"/>
    <xf numFmtId="180" fontId="7" fillId="0" borderId="0"/>
    <xf numFmtId="9" fontId="7"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2" fontId="7" fillId="0" borderId="0" applyFont="0" applyFill="0" applyBorder="0" applyAlignment="0" applyProtection="0"/>
    <xf numFmtId="173" fontId="7" fillId="0" borderId="0" applyFont="0" applyFill="0" applyBorder="0" applyAlignment="0" applyProtection="0"/>
    <xf numFmtId="180" fontId="7" fillId="0" borderId="0"/>
    <xf numFmtId="0" fontId="7" fillId="0" borderId="0"/>
    <xf numFmtId="0" fontId="7" fillId="0" borderId="0"/>
    <xf numFmtId="0" fontId="7" fillId="0" borderId="0"/>
    <xf numFmtId="0" fontId="7" fillId="0" borderId="0"/>
    <xf numFmtId="0" fontId="7" fillId="0" borderId="0"/>
    <xf numFmtId="180" fontId="7" fillId="0" borderId="0"/>
    <xf numFmtId="180" fontId="7" fillId="0" borderId="0"/>
    <xf numFmtId="0" fontId="7" fillId="0" borderId="0"/>
    <xf numFmtId="180" fontId="7" fillId="0" borderId="0"/>
    <xf numFmtId="180" fontId="7" fillId="0" borderId="0"/>
    <xf numFmtId="180" fontId="7" fillId="0" borderId="0"/>
    <xf numFmtId="0" fontId="7" fillId="0" borderId="0"/>
    <xf numFmtId="180" fontId="7" fillId="0" borderId="0"/>
    <xf numFmtId="180" fontId="7" fillId="0" borderId="0"/>
    <xf numFmtId="9" fontId="7" fillId="0" borderId="0" applyFont="0" applyFill="0" applyBorder="0" applyAlignment="0" applyProtection="0"/>
    <xf numFmtId="18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80" fontId="7" fillId="0" borderId="0"/>
    <xf numFmtId="180" fontId="7" fillId="0" borderId="0"/>
    <xf numFmtId="0" fontId="7" fillId="0" borderId="0"/>
    <xf numFmtId="180" fontId="7" fillId="0" borderId="0"/>
    <xf numFmtId="180" fontId="7" fillId="0" borderId="0"/>
    <xf numFmtId="180" fontId="7" fillId="0" borderId="0"/>
    <xf numFmtId="0" fontId="7" fillId="0" borderId="0"/>
    <xf numFmtId="180" fontId="7" fillId="0" borderId="0"/>
    <xf numFmtId="180" fontId="7" fillId="0" borderId="0"/>
    <xf numFmtId="168" fontId="7"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2" fontId="7" fillId="0" borderId="0" applyFont="0" applyFill="0" applyBorder="0" applyAlignment="0" applyProtection="0"/>
    <xf numFmtId="173" fontId="7" fillId="0" borderId="0" applyFont="0" applyFill="0" applyBorder="0" applyAlignment="0" applyProtection="0"/>
    <xf numFmtId="180" fontId="7" fillId="0" borderId="0"/>
    <xf numFmtId="0" fontId="7" fillId="0" borderId="0"/>
    <xf numFmtId="0" fontId="7" fillId="0" borderId="0"/>
    <xf numFmtId="0" fontId="7" fillId="0" borderId="0"/>
    <xf numFmtId="0" fontId="7" fillId="0" borderId="0"/>
    <xf numFmtId="0" fontId="7" fillId="0" borderId="0"/>
    <xf numFmtId="180" fontId="7" fillId="0" borderId="0"/>
    <xf numFmtId="180" fontId="7" fillId="0" borderId="0"/>
    <xf numFmtId="0" fontId="7" fillId="0" borderId="0"/>
    <xf numFmtId="180" fontId="7" fillId="0" borderId="0"/>
    <xf numFmtId="180" fontId="7" fillId="0" borderId="0"/>
    <xf numFmtId="180" fontId="7" fillId="0" borderId="0"/>
    <xf numFmtId="0" fontId="7" fillId="0" borderId="0"/>
    <xf numFmtId="180" fontId="7" fillId="0" borderId="0"/>
    <xf numFmtId="180" fontId="7" fillId="0" borderId="0"/>
    <xf numFmtId="9" fontId="7" fillId="0" borderId="0" applyFont="0" applyFill="0" applyBorder="0" applyAlignment="0" applyProtection="0"/>
    <xf numFmtId="0" fontId="7" fillId="0" borderId="0"/>
    <xf numFmtId="168" fontId="7"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2" fontId="7" fillId="0" borderId="0" applyFont="0" applyFill="0" applyBorder="0" applyAlignment="0" applyProtection="0"/>
    <xf numFmtId="173" fontId="7" fillId="0" borderId="0" applyFont="0" applyFill="0" applyBorder="0" applyAlignment="0" applyProtection="0"/>
    <xf numFmtId="180" fontId="7" fillId="0" borderId="0"/>
    <xf numFmtId="0" fontId="7" fillId="0" borderId="0"/>
    <xf numFmtId="0" fontId="7" fillId="0" borderId="0"/>
    <xf numFmtId="0" fontId="7" fillId="0" borderId="0"/>
    <xf numFmtId="0" fontId="7" fillId="0" borderId="0"/>
    <xf numFmtId="0" fontId="7" fillId="0" borderId="0"/>
    <xf numFmtId="180" fontId="7" fillId="0" borderId="0"/>
    <xf numFmtId="180" fontId="7" fillId="0" borderId="0"/>
    <xf numFmtId="0" fontId="7" fillId="0" borderId="0"/>
    <xf numFmtId="180" fontId="7" fillId="0" borderId="0"/>
    <xf numFmtId="180" fontId="7" fillId="0" borderId="0"/>
    <xf numFmtId="180" fontId="7" fillId="0" borderId="0"/>
    <xf numFmtId="0" fontId="7" fillId="0" borderId="0"/>
    <xf numFmtId="180" fontId="7" fillId="0" borderId="0"/>
    <xf numFmtId="180" fontId="7" fillId="0" borderId="0"/>
    <xf numFmtId="9" fontId="7"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2" fontId="7" fillId="0" borderId="0" applyFont="0" applyFill="0" applyBorder="0" applyAlignment="0" applyProtection="0"/>
    <xf numFmtId="173" fontId="7" fillId="0" borderId="0" applyFont="0" applyFill="0" applyBorder="0" applyAlignment="0" applyProtection="0"/>
    <xf numFmtId="180" fontId="7" fillId="0" borderId="0"/>
    <xf numFmtId="0" fontId="7" fillId="0" borderId="0"/>
    <xf numFmtId="0" fontId="7" fillId="0" borderId="0"/>
    <xf numFmtId="0" fontId="7" fillId="0" borderId="0"/>
    <xf numFmtId="0" fontId="7" fillId="0" borderId="0"/>
    <xf numFmtId="0" fontId="7" fillId="0" borderId="0"/>
    <xf numFmtId="180" fontId="7" fillId="0" borderId="0"/>
    <xf numFmtId="180" fontId="7" fillId="0" borderId="0"/>
    <xf numFmtId="0" fontId="7" fillId="0" borderId="0"/>
    <xf numFmtId="180" fontId="7" fillId="0" borderId="0"/>
    <xf numFmtId="180" fontId="7" fillId="0" borderId="0"/>
    <xf numFmtId="180" fontId="7" fillId="0" borderId="0"/>
    <xf numFmtId="0" fontId="7" fillId="0" borderId="0"/>
    <xf numFmtId="180" fontId="7" fillId="0" borderId="0"/>
    <xf numFmtId="180" fontId="7" fillId="0" borderId="0"/>
    <xf numFmtId="9" fontId="7"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2" fontId="7" fillId="0" borderId="0" applyFont="0" applyFill="0" applyBorder="0" applyAlignment="0" applyProtection="0"/>
    <xf numFmtId="173" fontId="7" fillId="0" borderId="0" applyFont="0" applyFill="0" applyBorder="0" applyAlignment="0" applyProtection="0"/>
    <xf numFmtId="180" fontId="7" fillId="0" borderId="0"/>
    <xf numFmtId="0" fontId="7" fillId="0" borderId="0"/>
    <xf numFmtId="0" fontId="7" fillId="0" borderId="0"/>
    <xf numFmtId="0" fontId="7" fillId="0" borderId="0"/>
    <xf numFmtId="0" fontId="7" fillId="0" borderId="0"/>
    <xf numFmtId="0" fontId="7" fillId="0" borderId="0"/>
    <xf numFmtId="180" fontId="7" fillId="0" borderId="0"/>
    <xf numFmtId="180" fontId="7" fillId="0" borderId="0"/>
    <xf numFmtId="0" fontId="7" fillId="0" borderId="0"/>
    <xf numFmtId="180" fontId="7" fillId="0" borderId="0"/>
    <xf numFmtId="180" fontId="7" fillId="0" borderId="0"/>
    <xf numFmtId="180" fontId="7" fillId="0" borderId="0"/>
    <xf numFmtId="0" fontId="7" fillId="0" borderId="0"/>
    <xf numFmtId="180" fontId="7" fillId="0" borderId="0"/>
    <xf numFmtId="180" fontId="7" fillId="0" borderId="0"/>
    <xf numFmtId="9" fontId="7"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2" fontId="7" fillId="0" borderId="0" applyFont="0" applyFill="0" applyBorder="0" applyAlignment="0" applyProtection="0"/>
    <xf numFmtId="173" fontId="7" fillId="0" borderId="0" applyFont="0" applyFill="0" applyBorder="0" applyAlignment="0" applyProtection="0"/>
    <xf numFmtId="180" fontId="7" fillId="0" borderId="0"/>
    <xf numFmtId="0" fontId="7" fillId="0" borderId="0"/>
    <xf numFmtId="0" fontId="7" fillId="0" borderId="0"/>
    <xf numFmtId="0" fontId="7" fillId="0" borderId="0"/>
    <xf numFmtId="0" fontId="7" fillId="0" borderId="0"/>
    <xf numFmtId="0" fontId="7" fillId="0" borderId="0"/>
    <xf numFmtId="180" fontId="7" fillId="0" borderId="0"/>
    <xf numFmtId="180" fontId="7" fillId="0" borderId="0"/>
    <xf numFmtId="0" fontId="7" fillId="0" borderId="0"/>
    <xf numFmtId="180" fontId="7" fillId="0" borderId="0"/>
    <xf numFmtId="180" fontId="7" fillId="0" borderId="0"/>
    <xf numFmtId="180" fontId="7" fillId="0" borderId="0"/>
    <xf numFmtId="0" fontId="7" fillId="0" borderId="0"/>
    <xf numFmtId="180" fontId="7" fillId="0" borderId="0"/>
    <xf numFmtId="180" fontId="7" fillId="0" borderId="0"/>
    <xf numFmtId="9" fontId="7"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2" fontId="7" fillId="0" borderId="0" applyFont="0" applyFill="0" applyBorder="0" applyAlignment="0" applyProtection="0"/>
    <xf numFmtId="173" fontId="7" fillId="0" borderId="0" applyFont="0" applyFill="0" applyBorder="0" applyAlignment="0" applyProtection="0"/>
    <xf numFmtId="180" fontId="7" fillId="0" borderId="0"/>
    <xf numFmtId="0" fontId="7" fillId="0" borderId="0"/>
    <xf numFmtId="0" fontId="7" fillId="0" borderId="0"/>
    <xf numFmtId="0" fontId="7" fillId="0" borderId="0"/>
    <xf numFmtId="0" fontId="7" fillId="0" borderId="0"/>
    <xf numFmtId="0" fontId="7" fillId="0" borderId="0"/>
    <xf numFmtId="180" fontId="7" fillId="0" borderId="0"/>
    <xf numFmtId="180" fontId="7" fillId="0" borderId="0"/>
    <xf numFmtId="0" fontId="7" fillId="0" borderId="0"/>
    <xf numFmtId="180" fontId="7" fillId="0" borderId="0"/>
    <xf numFmtId="180" fontId="7" fillId="0" borderId="0"/>
    <xf numFmtId="180" fontId="7" fillId="0" borderId="0"/>
    <xf numFmtId="0" fontId="7" fillId="0" borderId="0"/>
    <xf numFmtId="180" fontId="7" fillId="0" borderId="0"/>
    <xf numFmtId="180" fontId="7" fillId="0" borderId="0"/>
    <xf numFmtId="9" fontId="7"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2" fontId="7" fillId="0" borderId="0" applyFont="0" applyFill="0" applyBorder="0" applyAlignment="0" applyProtection="0"/>
    <xf numFmtId="173" fontId="7" fillId="0" borderId="0" applyFont="0" applyFill="0" applyBorder="0" applyAlignment="0" applyProtection="0"/>
    <xf numFmtId="180" fontId="7" fillId="0" borderId="0"/>
    <xf numFmtId="0" fontId="7" fillId="0" borderId="0"/>
    <xf numFmtId="0" fontId="7" fillId="0" borderId="0"/>
    <xf numFmtId="0" fontId="7" fillId="0" borderId="0"/>
    <xf numFmtId="0" fontId="7" fillId="0" borderId="0"/>
    <xf numFmtId="0" fontId="7" fillId="0" borderId="0"/>
    <xf numFmtId="180" fontId="7" fillId="0" borderId="0"/>
    <xf numFmtId="180" fontId="7" fillId="0" borderId="0"/>
    <xf numFmtId="0" fontId="7" fillId="0" borderId="0"/>
    <xf numFmtId="180" fontId="7" fillId="0" borderId="0"/>
    <xf numFmtId="180" fontId="7" fillId="0" borderId="0"/>
    <xf numFmtId="180" fontId="7" fillId="0" borderId="0"/>
    <xf numFmtId="0" fontId="7" fillId="0" borderId="0"/>
    <xf numFmtId="180" fontId="7" fillId="0" borderId="0"/>
    <xf numFmtId="180" fontId="7" fillId="0" borderId="0"/>
    <xf numFmtId="9" fontId="7"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2" fontId="7" fillId="0" borderId="0" applyFont="0" applyFill="0" applyBorder="0" applyAlignment="0" applyProtection="0"/>
    <xf numFmtId="173" fontId="7" fillId="0" borderId="0" applyFont="0" applyFill="0" applyBorder="0" applyAlignment="0" applyProtection="0"/>
    <xf numFmtId="180" fontId="7" fillId="0" borderId="0"/>
    <xf numFmtId="0" fontId="7" fillId="0" borderId="0"/>
    <xf numFmtId="0" fontId="7" fillId="0" borderId="0"/>
    <xf numFmtId="0" fontId="7" fillId="0" borderId="0"/>
    <xf numFmtId="0" fontId="7" fillId="0" borderId="0"/>
    <xf numFmtId="0" fontId="7" fillId="0" borderId="0"/>
    <xf numFmtId="180" fontId="7" fillId="0" borderId="0"/>
    <xf numFmtId="180" fontId="7" fillId="0" borderId="0"/>
    <xf numFmtId="0" fontId="7" fillId="0" borderId="0"/>
    <xf numFmtId="180" fontId="7" fillId="0" borderId="0"/>
    <xf numFmtId="180" fontId="7" fillId="0" borderId="0"/>
    <xf numFmtId="180" fontId="7" fillId="0" borderId="0"/>
    <xf numFmtId="0" fontId="7" fillId="0" borderId="0"/>
    <xf numFmtId="180" fontId="7" fillId="0" borderId="0"/>
    <xf numFmtId="180" fontId="7" fillId="0" borderId="0"/>
    <xf numFmtId="9" fontId="7"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2" fontId="7" fillId="0" borderId="0" applyFont="0" applyFill="0" applyBorder="0" applyAlignment="0" applyProtection="0"/>
    <xf numFmtId="173" fontId="7" fillId="0" borderId="0" applyFont="0" applyFill="0" applyBorder="0" applyAlignment="0" applyProtection="0"/>
    <xf numFmtId="180" fontId="7" fillId="0" borderId="0"/>
    <xf numFmtId="0" fontId="7" fillId="0" borderId="0"/>
    <xf numFmtId="0" fontId="7" fillId="0" borderId="0"/>
    <xf numFmtId="0" fontId="7" fillId="0" borderId="0"/>
    <xf numFmtId="0" fontId="7" fillId="0" borderId="0"/>
    <xf numFmtId="0" fontId="7" fillId="0" borderId="0"/>
    <xf numFmtId="180" fontId="7" fillId="0" borderId="0"/>
    <xf numFmtId="180" fontId="7" fillId="0" borderId="0"/>
    <xf numFmtId="0" fontId="7" fillId="0" borderId="0"/>
    <xf numFmtId="180" fontId="7" fillId="0" borderId="0"/>
    <xf numFmtId="180" fontId="7" fillId="0" borderId="0"/>
    <xf numFmtId="180" fontId="7" fillId="0" borderId="0"/>
    <xf numFmtId="0" fontId="7" fillId="0" borderId="0"/>
    <xf numFmtId="180" fontId="7" fillId="0" borderId="0"/>
    <xf numFmtId="180" fontId="7" fillId="0" borderId="0"/>
    <xf numFmtId="9" fontId="7" fillId="0" borderId="0" applyFont="0" applyFill="0" applyBorder="0" applyAlignment="0" applyProtection="0"/>
    <xf numFmtId="0" fontId="7" fillId="0" borderId="0"/>
    <xf numFmtId="168" fontId="7"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2" fontId="7" fillId="0" borderId="0" applyFont="0" applyFill="0" applyBorder="0" applyAlignment="0" applyProtection="0"/>
    <xf numFmtId="173" fontId="7" fillId="0" borderId="0" applyFont="0" applyFill="0" applyBorder="0" applyAlignment="0" applyProtection="0"/>
    <xf numFmtId="180" fontId="7" fillId="0" borderId="0"/>
    <xf numFmtId="0" fontId="7" fillId="0" borderId="0"/>
    <xf numFmtId="0" fontId="7" fillId="0" borderId="0"/>
    <xf numFmtId="0" fontId="7" fillId="0" borderId="0"/>
    <xf numFmtId="0" fontId="7" fillId="0" borderId="0"/>
    <xf numFmtId="0" fontId="7" fillId="0" borderId="0"/>
    <xf numFmtId="180" fontId="7" fillId="0" borderId="0"/>
    <xf numFmtId="180" fontId="7" fillId="0" borderId="0"/>
    <xf numFmtId="0" fontId="7" fillId="0" borderId="0"/>
    <xf numFmtId="180" fontId="7" fillId="0" borderId="0"/>
    <xf numFmtId="180" fontId="7" fillId="0" borderId="0"/>
    <xf numFmtId="180" fontId="7" fillId="0" borderId="0"/>
    <xf numFmtId="0" fontId="7" fillId="0" borderId="0"/>
    <xf numFmtId="180" fontId="7" fillId="0" borderId="0"/>
    <xf numFmtId="180" fontId="7" fillId="0" borderId="0"/>
    <xf numFmtId="9" fontId="7"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2" fontId="7" fillId="0" borderId="0" applyFont="0" applyFill="0" applyBorder="0" applyAlignment="0" applyProtection="0"/>
    <xf numFmtId="173" fontId="7" fillId="0" borderId="0" applyFont="0" applyFill="0" applyBorder="0" applyAlignment="0" applyProtection="0"/>
    <xf numFmtId="180" fontId="7" fillId="0" borderId="0"/>
    <xf numFmtId="0" fontId="7" fillId="0" borderId="0"/>
    <xf numFmtId="0" fontId="7" fillId="0" borderId="0"/>
    <xf numFmtId="0" fontId="7" fillId="0" borderId="0"/>
    <xf numFmtId="0" fontId="7" fillId="0" borderId="0"/>
    <xf numFmtId="0" fontId="7" fillId="0" borderId="0"/>
    <xf numFmtId="180" fontId="7" fillId="0" borderId="0"/>
    <xf numFmtId="180" fontId="7" fillId="0" borderId="0"/>
    <xf numFmtId="0" fontId="7" fillId="0" borderId="0"/>
    <xf numFmtId="180" fontId="7" fillId="0" borderId="0"/>
    <xf numFmtId="180" fontId="7" fillId="0" borderId="0"/>
    <xf numFmtId="180" fontId="7" fillId="0" borderId="0"/>
    <xf numFmtId="0" fontId="7" fillId="0" borderId="0"/>
    <xf numFmtId="180" fontId="7" fillId="0" borderId="0"/>
    <xf numFmtId="180" fontId="7" fillId="0" borderId="0"/>
    <xf numFmtId="9" fontId="7"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2" fontId="7" fillId="0" borderId="0" applyFont="0" applyFill="0" applyBorder="0" applyAlignment="0" applyProtection="0"/>
    <xf numFmtId="173" fontId="7" fillId="0" borderId="0" applyFont="0" applyFill="0" applyBorder="0" applyAlignment="0" applyProtection="0"/>
    <xf numFmtId="180" fontId="7" fillId="0" borderId="0"/>
    <xf numFmtId="0" fontId="7" fillId="0" borderId="0"/>
    <xf numFmtId="0" fontId="7" fillId="0" borderId="0"/>
    <xf numFmtId="0" fontId="7" fillId="0" borderId="0"/>
    <xf numFmtId="0" fontId="7" fillId="0" borderId="0"/>
    <xf numFmtId="0" fontId="7" fillId="0" borderId="0"/>
    <xf numFmtId="180" fontId="7" fillId="0" borderId="0"/>
    <xf numFmtId="180" fontId="7" fillId="0" borderId="0"/>
    <xf numFmtId="0" fontId="7" fillId="0" borderId="0"/>
    <xf numFmtId="180" fontId="7" fillId="0" borderId="0"/>
    <xf numFmtId="180" fontId="7" fillId="0" borderId="0"/>
    <xf numFmtId="180" fontId="7" fillId="0" borderId="0"/>
    <xf numFmtId="0" fontId="7" fillId="0" borderId="0"/>
    <xf numFmtId="180" fontId="7" fillId="0" borderId="0"/>
    <xf numFmtId="180" fontId="7" fillId="0" borderId="0"/>
    <xf numFmtId="9" fontId="7"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2" fontId="7" fillId="0" borderId="0" applyFont="0" applyFill="0" applyBorder="0" applyAlignment="0" applyProtection="0"/>
    <xf numFmtId="173" fontId="7" fillId="0" borderId="0" applyFont="0" applyFill="0" applyBorder="0" applyAlignment="0" applyProtection="0"/>
    <xf numFmtId="180" fontId="7" fillId="0" borderId="0"/>
    <xf numFmtId="0" fontId="7" fillId="0" borderId="0"/>
    <xf numFmtId="0" fontId="7" fillId="0" borderId="0"/>
    <xf numFmtId="0" fontId="7" fillId="0" borderId="0"/>
    <xf numFmtId="0" fontId="7" fillId="0" borderId="0"/>
    <xf numFmtId="0" fontId="7" fillId="0" borderId="0"/>
    <xf numFmtId="180" fontId="7" fillId="0" borderId="0"/>
    <xf numFmtId="180" fontId="7" fillId="0" borderId="0"/>
    <xf numFmtId="0" fontId="7" fillId="0" borderId="0"/>
    <xf numFmtId="180" fontId="7" fillId="0" borderId="0"/>
    <xf numFmtId="180" fontId="7" fillId="0" borderId="0"/>
    <xf numFmtId="180" fontId="7" fillId="0" borderId="0"/>
    <xf numFmtId="0" fontId="7" fillId="0" borderId="0"/>
    <xf numFmtId="180" fontId="7" fillId="0" borderId="0"/>
    <xf numFmtId="180" fontId="7" fillId="0" borderId="0"/>
    <xf numFmtId="9" fontId="7"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2" fontId="7" fillId="0" borderId="0" applyFont="0" applyFill="0" applyBorder="0" applyAlignment="0" applyProtection="0"/>
    <xf numFmtId="173" fontId="7" fillId="0" borderId="0" applyFont="0" applyFill="0" applyBorder="0" applyAlignment="0" applyProtection="0"/>
    <xf numFmtId="180" fontId="7" fillId="0" borderId="0"/>
    <xf numFmtId="0" fontId="7" fillId="0" borderId="0"/>
    <xf numFmtId="0" fontId="7" fillId="0" borderId="0"/>
    <xf numFmtId="0" fontId="7" fillId="0" borderId="0"/>
    <xf numFmtId="0" fontId="7" fillId="0" borderId="0"/>
    <xf numFmtId="0" fontId="7" fillId="0" borderId="0"/>
    <xf numFmtId="180" fontId="7" fillId="0" borderId="0"/>
    <xf numFmtId="180" fontId="7" fillId="0" borderId="0"/>
    <xf numFmtId="0" fontId="7" fillId="0" borderId="0"/>
    <xf numFmtId="180" fontId="7" fillId="0" borderId="0"/>
    <xf numFmtId="180" fontId="7" fillId="0" borderId="0"/>
    <xf numFmtId="180" fontId="7" fillId="0" borderId="0"/>
    <xf numFmtId="0" fontId="7" fillId="0" borderId="0"/>
    <xf numFmtId="180" fontId="7" fillId="0" borderId="0"/>
    <xf numFmtId="180" fontId="7" fillId="0" borderId="0"/>
    <xf numFmtId="9" fontId="7"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2" fontId="7" fillId="0" borderId="0" applyFont="0" applyFill="0" applyBorder="0" applyAlignment="0" applyProtection="0"/>
    <xf numFmtId="173" fontId="7" fillId="0" borderId="0" applyFont="0" applyFill="0" applyBorder="0" applyAlignment="0" applyProtection="0"/>
    <xf numFmtId="180" fontId="7" fillId="0" borderId="0"/>
    <xf numFmtId="0" fontId="7" fillId="0" borderId="0"/>
    <xf numFmtId="0" fontId="7" fillId="0" borderId="0"/>
    <xf numFmtId="0" fontId="7" fillId="0" borderId="0"/>
    <xf numFmtId="0" fontId="7" fillId="0" borderId="0"/>
    <xf numFmtId="0" fontId="7" fillId="0" borderId="0"/>
    <xf numFmtId="180" fontId="7" fillId="0" borderId="0"/>
    <xf numFmtId="180" fontId="7" fillId="0" borderId="0"/>
    <xf numFmtId="0" fontId="7" fillId="0" borderId="0"/>
    <xf numFmtId="180" fontId="7" fillId="0" borderId="0"/>
    <xf numFmtId="180" fontId="7" fillId="0" borderId="0"/>
    <xf numFmtId="180" fontId="7" fillId="0" borderId="0"/>
    <xf numFmtId="0" fontId="7" fillId="0" borderId="0"/>
    <xf numFmtId="180" fontId="7" fillId="0" borderId="0"/>
    <xf numFmtId="180" fontId="7" fillId="0" borderId="0"/>
    <xf numFmtId="9" fontId="7"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2" fontId="7" fillId="0" borderId="0" applyFont="0" applyFill="0" applyBorder="0" applyAlignment="0" applyProtection="0"/>
    <xf numFmtId="173" fontId="7" fillId="0" borderId="0" applyFont="0" applyFill="0" applyBorder="0" applyAlignment="0" applyProtection="0"/>
    <xf numFmtId="180" fontId="7" fillId="0" borderId="0"/>
    <xf numFmtId="0" fontId="7" fillId="0" borderId="0"/>
    <xf numFmtId="0" fontId="7" fillId="0" borderId="0"/>
    <xf numFmtId="0" fontId="7" fillId="0" borderId="0"/>
    <xf numFmtId="0" fontId="7" fillId="0" borderId="0"/>
    <xf numFmtId="0" fontId="7" fillId="0" borderId="0"/>
    <xf numFmtId="180" fontId="7" fillId="0" borderId="0"/>
    <xf numFmtId="180" fontId="7" fillId="0" borderId="0"/>
    <xf numFmtId="0" fontId="7" fillId="0" borderId="0"/>
    <xf numFmtId="180" fontId="7" fillId="0" borderId="0"/>
    <xf numFmtId="180" fontId="7" fillId="0" borderId="0"/>
    <xf numFmtId="180" fontId="7" fillId="0" borderId="0"/>
    <xf numFmtId="0" fontId="7" fillId="0" borderId="0"/>
    <xf numFmtId="180" fontId="7" fillId="0" borderId="0"/>
    <xf numFmtId="180" fontId="7" fillId="0" borderId="0"/>
    <xf numFmtId="9" fontId="7"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2" fontId="7" fillId="0" borderId="0" applyFont="0" applyFill="0" applyBorder="0" applyAlignment="0" applyProtection="0"/>
    <xf numFmtId="173" fontId="7" fillId="0" borderId="0" applyFont="0" applyFill="0" applyBorder="0" applyAlignment="0" applyProtection="0"/>
    <xf numFmtId="180" fontId="7" fillId="0" borderId="0"/>
    <xf numFmtId="0" fontId="7" fillId="0" borderId="0"/>
    <xf numFmtId="0" fontId="7" fillId="0" borderId="0"/>
    <xf numFmtId="0" fontId="7" fillId="0" borderId="0"/>
    <xf numFmtId="0" fontId="7" fillId="0" borderId="0"/>
    <xf numFmtId="0" fontId="7" fillId="0" borderId="0"/>
    <xf numFmtId="180" fontId="7" fillId="0" borderId="0"/>
    <xf numFmtId="180" fontId="7" fillId="0" borderId="0"/>
    <xf numFmtId="0" fontId="7" fillId="0" borderId="0"/>
    <xf numFmtId="180" fontId="7" fillId="0" borderId="0"/>
    <xf numFmtId="180" fontId="7" fillId="0" borderId="0"/>
    <xf numFmtId="180" fontId="7" fillId="0" borderId="0"/>
    <xf numFmtId="0" fontId="7" fillId="0" borderId="0"/>
    <xf numFmtId="180" fontId="7" fillId="0" borderId="0"/>
    <xf numFmtId="180" fontId="7" fillId="0" borderId="0"/>
    <xf numFmtId="9" fontId="7" fillId="0" borderId="0" applyFont="0" applyFill="0" applyBorder="0" applyAlignment="0" applyProtection="0"/>
    <xf numFmtId="170" fontId="7" fillId="0" borderId="0" applyFont="0" applyFill="0" applyBorder="0" applyAlignment="0" applyProtection="0"/>
    <xf numFmtId="43" fontId="7" fillId="0" borderId="0" applyFont="0" applyFill="0" applyBorder="0" applyAlignment="0" applyProtection="0"/>
    <xf numFmtId="0" fontId="7" fillId="0" borderId="0"/>
    <xf numFmtId="168" fontId="7" fillId="0" borderId="0" applyFont="0" applyFill="0" applyBorder="0" applyAlignment="0" applyProtection="0"/>
    <xf numFmtId="18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80" fontId="7" fillId="0" borderId="0"/>
    <xf numFmtId="180" fontId="7" fillId="0" borderId="0"/>
    <xf numFmtId="0" fontId="7" fillId="0" borderId="0"/>
    <xf numFmtId="180" fontId="7" fillId="0" borderId="0"/>
    <xf numFmtId="180" fontId="7" fillId="0" borderId="0"/>
    <xf numFmtId="180" fontId="7" fillId="0" borderId="0"/>
    <xf numFmtId="0" fontId="7" fillId="0" borderId="0"/>
    <xf numFmtId="180" fontId="7" fillId="0" borderId="0"/>
    <xf numFmtId="180" fontId="7" fillId="0" borderId="0"/>
    <xf numFmtId="168" fontId="7"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2" fontId="7" fillId="0" borderId="0" applyFont="0" applyFill="0" applyBorder="0" applyAlignment="0" applyProtection="0"/>
    <xf numFmtId="173" fontId="7" fillId="0" borderId="0" applyFont="0" applyFill="0" applyBorder="0" applyAlignment="0" applyProtection="0"/>
    <xf numFmtId="180" fontId="7" fillId="0" borderId="0"/>
    <xf numFmtId="0" fontId="7" fillId="0" borderId="0"/>
    <xf numFmtId="0" fontId="7" fillId="0" borderId="0"/>
    <xf numFmtId="0" fontId="7" fillId="0" borderId="0"/>
    <xf numFmtId="0" fontId="7" fillId="0" borderId="0"/>
    <xf numFmtId="0" fontId="7" fillId="0" borderId="0"/>
    <xf numFmtId="180" fontId="7" fillId="0" borderId="0"/>
    <xf numFmtId="180" fontId="7" fillId="0" borderId="0"/>
    <xf numFmtId="0" fontId="7" fillId="0" borderId="0"/>
    <xf numFmtId="180" fontId="7" fillId="0" borderId="0"/>
    <xf numFmtId="180" fontId="7" fillId="0" borderId="0"/>
    <xf numFmtId="180" fontId="7" fillId="0" borderId="0"/>
    <xf numFmtId="0" fontId="7" fillId="0" borderId="0"/>
    <xf numFmtId="180" fontId="7" fillId="0" borderId="0"/>
    <xf numFmtId="180" fontId="7" fillId="0" borderId="0"/>
    <xf numFmtId="9" fontId="7" fillId="0" borderId="0" applyFont="0" applyFill="0" applyBorder="0" applyAlignment="0" applyProtection="0"/>
    <xf numFmtId="0" fontId="7" fillId="0" borderId="0"/>
    <xf numFmtId="168" fontId="7"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2" fontId="7" fillId="0" borderId="0" applyFont="0" applyFill="0" applyBorder="0" applyAlignment="0" applyProtection="0"/>
    <xf numFmtId="173" fontId="7" fillId="0" borderId="0" applyFont="0" applyFill="0" applyBorder="0" applyAlignment="0" applyProtection="0"/>
    <xf numFmtId="180" fontId="7" fillId="0" borderId="0"/>
    <xf numFmtId="0" fontId="7" fillId="0" borderId="0"/>
    <xf numFmtId="0" fontId="7" fillId="0" borderId="0"/>
    <xf numFmtId="0" fontId="7" fillId="0" borderId="0"/>
    <xf numFmtId="0" fontId="7" fillId="0" borderId="0"/>
    <xf numFmtId="0" fontId="7" fillId="0" borderId="0"/>
    <xf numFmtId="180" fontId="7" fillId="0" borderId="0"/>
    <xf numFmtId="180" fontId="7" fillId="0" borderId="0"/>
    <xf numFmtId="0" fontId="7" fillId="0" borderId="0"/>
    <xf numFmtId="180" fontId="7" fillId="0" borderId="0"/>
    <xf numFmtId="180" fontId="7" fillId="0" borderId="0"/>
    <xf numFmtId="180" fontId="7" fillId="0" borderId="0"/>
    <xf numFmtId="0" fontId="7" fillId="0" borderId="0"/>
    <xf numFmtId="180" fontId="7" fillId="0" borderId="0"/>
    <xf numFmtId="180" fontId="7" fillId="0" borderId="0"/>
    <xf numFmtId="9" fontId="7"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2" fontId="7" fillId="0" borderId="0" applyFont="0" applyFill="0" applyBorder="0" applyAlignment="0" applyProtection="0"/>
    <xf numFmtId="173" fontId="7" fillId="0" borderId="0" applyFont="0" applyFill="0" applyBorder="0" applyAlignment="0" applyProtection="0"/>
    <xf numFmtId="180" fontId="7" fillId="0" borderId="0"/>
    <xf numFmtId="0" fontId="7" fillId="0" borderId="0"/>
    <xf numFmtId="0" fontId="7" fillId="0" borderId="0"/>
    <xf numFmtId="0" fontId="7" fillId="0" borderId="0"/>
    <xf numFmtId="0" fontId="7" fillId="0" borderId="0"/>
    <xf numFmtId="0" fontId="7" fillId="0" borderId="0"/>
    <xf numFmtId="180" fontId="7" fillId="0" borderId="0"/>
    <xf numFmtId="180" fontId="7" fillId="0" borderId="0"/>
    <xf numFmtId="0" fontId="7" fillId="0" borderId="0"/>
    <xf numFmtId="180" fontId="7" fillId="0" borderId="0"/>
    <xf numFmtId="180" fontId="7" fillId="0" borderId="0"/>
    <xf numFmtId="180" fontId="7" fillId="0" borderId="0"/>
    <xf numFmtId="0" fontId="7" fillId="0" borderId="0"/>
    <xf numFmtId="180" fontId="7" fillId="0" borderId="0"/>
    <xf numFmtId="180" fontId="7" fillId="0" borderId="0"/>
    <xf numFmtId="9" fontId="7"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2" fontId="7" fillId="0" borderId="0" applyFont="0" applyFill="0" applyBorder="0" applyAlignment="0" applyProtection="0"/>
    <xf numFmtId="173" fontId="7" fillId="0" borderId="0" applyFont="0" applyFill="0" applyBorder="0" applyAlignment="0" applyProtection="0"/>
    <xf numFmtId="180" fontId="7" fillId="0" borderId="0"/>
    <xf numFmtId="0" fontId="7" fillId="0" borderId="0"/>
    <xf numFmtId="0" fontId="7" fillId="0" borderId="0"/>
    <xf numFmtId="0" fontId="7" fillId="0" borderId="0"/>
    <xf numFmtId="0" fontId="7" fillId="0" borderId="0"/>
    <xf numFmtId="0" fontId="7" fillId="0" borderId="0"/>
    <xf numFmtId="180" fontId="7" fillId="0" borderId="0"/>
    <xf numFmtId="180" fontId="7" fillId="0" borderId="0"/>
    <xf numFmtId="0" fontId="7" fillId="0" borderId="0"/>
    <xf numFmtId="180" fontId="7" fillId="0" borderId="0"/>
    <xf numFmtId="180" fontId="7" fillId="0" borderId="0"/>
    <xf numFmtId="180" fontId="7" fillId="0" borderId="0"/>
    <xf numFmtId="0" fontId="7" fillId="0" borderId="0"/>
    <xf numFmtId="180" fontId="7" fillId="0" borderId="0"/>
    <xf numFmtId="180" fontId="7" fillId="0" borderId="0"/>
    <xf numFmtId="9" fontId="7"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2" fontId="7" fillId="0" borderId="0" applyFont="0" applyFill="0" applyBorder="0" applyAlignment="0" applyProtection="0"/>
    <xf numFmtId="173" fontId="7" fillId="0" borderId="0" applyFont="0" applyFill="0" applyBorder="0" applyAlignment="0" applyProtection="0"/>
    <xf numFmtId="180" fontId="7" fillId="0" borderId="0"/>
    <xf numFmtId="0" fontId="7" fillId="0" borderId="0"/>
    <xf numFmtId="0" fontId="7" fillId="0" borderId="0"/>
    <xf numFmtId="0" fontId="7" fillId="0" borderId="0"/>
    <xf numFmtId="0" fontId="7" fillId="0" borderId="0"/>
    <xf numFmtId="0" fontId="7" fillId="0" borderId="0"/>
    <xf numFmtId="180" fontId="7" fillId="0" borderId="0"/>
    <xf numFmtId="180" fontId="7" fillId="0" borderId="0"/>
    <xf numFmtId="0" fontId="7" fillId="0" borderId="0"/>
    <xf numFmtId="180" fontId="7" fillId="0" borderId="0"/>
    <xf numFmtId="180" fontId="7" fillId="0" borderId="0"/>
    <xf numFmtId="180" fontId="7" fillId="0" borderId="0"/>
    <xf numFmtId="0" fontId="7" fillId="0" borderId="0"/>
    <xf numFmtId="180" fontId="7" fillId="0" borderId="0"/>
    <xf numFmtId="180" fontId="7" fillId="0" borderId="0"/>
    <xf numFmtId="9" fontId="7"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2" fontId="7" fillId="0" borderId="0" applyFont="0" applyFill="0" applyBorder="0" applyAlignment="0" applyProtection="0"/>
    <xf numFmtId="173" fontId="7" fillId="0" borderId="0" applyFont="0" applyFill="0" applyBorder="0" applyAlignment="0" applyProtection="0"/>
    <xf numFmtId="180" fontId="7" fillId="0" borderId="0"/>
    <xf numFmtId="0" fontId="7" fillId="0" borderId="0"/>
    <xf numFmtId="0" fontId="7" fillId="0" borderId="0"/>
    <xf numFmtId="0" fontId="7" fillId="0" borderId="0"/>
    <xf numFmtId="0" fontId="7" fillId="0" borderId="0"/>
    <xf numFmtId="0" fontId="7" fillId="0" borderId="0"/>
    <xf numFmtId="180" fontId="7" fillId="0" borderId="0"/>
    <xf numFmtId="180" fontId="7" fillId="0" borderId="0"/>
    <xf numFmtId="0" fontId="7" fillId="0" borderId="0"/>
    <xf numFmtId="180" fontId="7" fillId="0" borderId="0"/>
    <xf numFmtId="180" fontId="7" fillId="0" borderId="0"/>
    <xf numFmtId="180" fontId="7" fillId="0" borderId="0"/>
    <xf numFmtId="0" fontId="7" fillId="0" borderId="0"/>
    <xf numFmtId="180" fontId="7" fillId="0" borderId="0"/>
    <xf numFmtId="180" fontId="7" fillId="0" borderId="0"/>
    <xf numFmtId="9" fontId="7"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2" fontId="7" fillId="0" borderId="0" applyFont="0" applyFill="0" applyBorder="0" applyAlignment="0" applyProtection="0"/>
    <xf numFmtId="173" fontId="7" fillId="0" borderId="0" applyFont="0" applyFill="0" applyBorder="0" applyAlignment="0" applyProtection="0"/>
    <xf numFmtId="180" fontId="7" fillId="0" borderId="0"/>
    <xf numFmtId="0" fontId="7" fillId="0" borderId="0"/>
    <xf numFmtId="0" fontId="7" fillId="0" borderId="0"/>
    <xf numFmtId="0" fontId="7" fillId="0" borderId="0"/>
    <xf numFmtId="0" fontId="7" fillId="0" borderId="0"/>
    <xf numFmtId="0" fontId="7" fillId="0" borderId="0"/>
    <xf numFmtId="180" fontId="7" fillId="0" borderId="0"/>
    <xf numFmtId="180" fontId="7" fillId="0" borderId="0"/>
    <xf numFmtId="0" fontId="7" fillId="0" borderId="0"/>
    <xf numFmtId="180" fontId="7" fillId="0" borderId="0"/>
    <xf numFmtId="180" fontId="7" fillId="0" borderId="0"/>
    <xf numFmtId="180" fontId="7" fillId="0" borderId="0"/>
    <xf numFmtId="0" fontId="7" fillId="0" borderId="0"/>
    <xf numFmtId="180" fontId="7" fillId="0" borderId="0"/>
    <xf numFmtId="180" fontId="7" fillId="0" borderId="0"/>
    <xf numFmtId="9" fontId="7"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2" fontId="7" fillId="0" borderId="0" applyFont="0" applyFill="0" applyBorder="0" applyAlignment="0" applyProtection="0"/>
    <xf numFmtId="173" fontId="7" fillId="0" borderId="0" applyFont="0" applyFill="0" applyBorder="0" applyAlignment="0" applyProtection="0"/>
    <xf numFmtId="180" fontId="7" fillId="0" borderId="0"/>
    <xf numFmtId="0" fontId="7" fillId="0" borderId="0"/>
    <xf numFmtId="0" fontId="7" fillId="0" borderId="0"/>
    <xf numFmtId="0" fontId="7" fillId="0" borderId="0"/>
    <xf numFmtId="0" fontId="7" fillId="0" borderId="0"/>
    <xf numFmtId="0" fontId="7" fillId="0" borderId="0"/>
    <xf numFmtId="180" fontId="7" fillId="0" borderId="0"/>
    <xf numFmtId="180" fontId="7" fillId="0" borderId="0"/>
    <xf numFmtId="0" fontId="7" fillId="0" borderId="0"/>
    <xf numFmtId="180" fontId="7" fillId="0" borderId="0"/>
    <xf numFmtId="180" fontId="7" fillId="0" borderId="0"/>
    <xf numFmtId="180" fontId="7" fillId="0" borderId="0"/>
    <xf numFmtId="0" fontId="7" fillId="0" borderId="0"/>
    <xf numFmtId="180" fontId="7" fillId="0" borderId="0"/>
    <xf numFmtId="180" fontId="7" fillId="0" borderId="0"/>
    <xf numFmtId="9" fontId="7" fillId="0" borderId="0" applyFont="0" applyFill="0" applyBorder="0" applyAlignment="0" applyProtection="0"/>
    <xf numFmtId="18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80" fontId="7" fillId="0" borderId="0"/>
    <xf numFmtId="180" fontId="7" fillId="0" borderId="0"/>
    <xf numFmtId="0" fontId="7" fillId="0" borderId="0"/>
    <xf numFmtId="180" fontId="7" fillId="0" borderId="0"/>
    <xf numFmtId="180" fontId="7" fillId="0" borderId="0"/>
    <xf numFmtId="180" fontId="7" fillId="0" borderId="0"/>
    <xf numFmtId="0" fontId="7" fillId="0" borderId="0"/>
    <xf numFmtId="180" fontId="7" fillId="0" borderId="0"/>
    <xf numFmtId="180" fontId="7" fillId="0" borderId="0"/>
    <xf numFmtId="168" fontId="7"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2" fontId="7" fillId="0" borderId="0" applyFont="0" applyFill="0" applyBorder="0" applyAlignment="0" applyProtection="0"/>
    <xf numFmtId="173" fontId="7" fillId="0" borderId="0" applyFont="0" applyFill="0" applyBorder="0" applyAlignment="0" applyProtection="0"/>
    <xf numFmtId="180" fontId="7" fillId="0" borderId="0"/>
    <xf numFmtId="0" fontId="7" fillId="0" borderId="0"/>
    <xf numFmtId="0" fontId="7" fillId="0" borderId="0"/>
    <xf numFmtId="0" fontId="7" fillId="0" borderId="0"/>
    <xf numFmtId="0" fontId="7" fillId="0" borderId="0"/>
    <xf numFmtId="0" fontId="7" fillId="0" borderId="0"/>
    <xf numFmtId="180" fontId="7" fillId="0" borderId="0"/>
    <xf numFmtId="180" fontId="7" fillId="0" borderId="0"/>
    <xf numFmtId="0" fontId="7" fillId="0" borderId="0"/>
    <xf numFmtId="180" fontId="7" fillId="0" borderId="0"/>
    <xf numFmtId="180" fontId="7" fillId="0" borderId="0"/>
    <xf numFmtId="180" fontId="7" fillId="0" borderId="0"/>
    <xf numFmtId="0" fontId="7" fillId="0" borderId="0"/>
    <xf numFmtId="180" fontId="7" fillId="0" borderId="0"/>
    <xf numFmtId="180" fontId="7" fillId="0" borderId="0"/>
    <xf numFmtId="9" fontId="7" fillId="0" borderId="0" applyFont="0" applyFill="0" applyBorder="0" applyAlignment="0" applyProtection="0"/>
    <xf numFmtId="0" fontId="7" fillId="0" borderId="0"/>
    <xf numFmtId="168" fontId="7"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2" fontId="7" fillId="0" borderId="0" applyFont="0" applyFill="0" applyBorder="0" applyAlignment="0" applyProtection="0"/>
    <xf numFmtId="173" fontId="7" fillId="0" borderId="0" applyFont="0" applyFill="0" applyBorder="0" applyAlignment="0" applyProtection="0"/>
    <xf numFmtId="180" fontId="7" fillId="0" borderId="0"/>
    <xf numFmtId="0" fontId="7" fillId="0" borderId="0"/>
    <xf numFmtId="0" fontId="7" fillId="0" borderId="0"/>
    <xf numFmtId="0" fontId="7" fillId="0" borderId="0"/>
    <xf numFmtId="0" fontId="7" fillId="0" borderId="0"/>
    <xf numFmtId="0" fontId="7" fillId="0" borderId="0"/>
    <xf numFmtId="180" fontId="7" fillId="0" borderId="0"/>
    <xf numFmtId="180" fontId="7" fillId="0" borderId="0"/>
    <xf numFmtId="0" fontId="7" fillId="0" borderId="0"/>
    <xf numFmtId="180" fontId="7" fillId="0" borderId="0"/>
    <xf numFmtId="180" fontId="7" fillId="0" borderId="0"/>
    <xf numFmtId="180" fontId="7" fillId="0" borderId="0"/>
    <xf numFmtId="0" fontId="7" fillId="0" borderId="0"/>
    <xf numFmtId="180" fontId="7" fillId="0" borderId="0"/>
    <xf numFmtId="180" fontId="7" fillId="0" borderId="0"/>
    <xf numFmtId="9" fontId="7"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2" fontId="7" fillId="0" borderId="0" applyFont="0" applyFill="0" applyBorder="0" applyAlignment="0" applyProtection="0"/>
    <xf numFmtId="173" fontId="7" fillId="0" borderId="0" applyFont="0" applyFill="0" applyBorder="0" applyAlignment="0" applyProtection="0"/>
    <xf numFmtId="180" fontId="7" fillId="0" borderId="0"/>
    <xf numFmtId="0" fontId="7" fillId="0" borderId="0"/>
    <xf numFmtId="0" fontId="7" fillId="0" borderId="0"/>
    <xf numFmtId="0" fontId="7" fillId="0" borderId="0"/>
    <xf numFmtId="0" fontId="7" fillId="0" borderId="0"/>
    <xf numFmtId="0" fontId="7" fillId="0" borderId="0"/>
    <xf numFmtId="180" fontId="7" fillId="0" borderId="0"/>
    <xf numFmtId="180" fontId="7" fillId="0" borderId="0"/>
    <xf numFmtId="0" fontId="7" fillId="0" borderId="0"/>
    <xf numFmtId="180" fontId="7" fillId="0" borderId="0"/>
    <xf numFmtId="180" fontId="7" fillId="0" borderId="0"/>
    <xf numFmtId="180" fontId="7" fillId="0" borderId="0"/>
    <xf numFmtId="0" fontId="7" fillId="0" borderId="0"/>
    <xf numFmtId="180" fontId="7" fillId="0" borderId="0"/>
    <xf numFmtId="180" fontId="7" fillId="0" borderId="0"/>
    <xf numFmtId="9" fontId="7"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2" fontId="7" fillId="0" borderId="0" applyFont="0" applyFill="0" applyBorder="0" applyAlignment="0" applyProtection="0"/>
    <xf numFmtId="173" fontId="7" fillId="0" borderId="0" applyFont="0" applyFill="0" applyBorder="0" applyAlignment="0" applyProtection="0"/>
    <xf numFmtId="180" fontId="7" fillId="0" borderId="0"/>
    <xf numFmtId="0" fontId="7" fillId="0" borderId="0"/>
    <xf numFmtId="0" fontId="7" fillId="0" borderId="0"/>
    <xf numFmtId="0" fontId="7" fillId="0" borderId="0"/>
    <xf numFmtId="0" fontId="7" fillId="0" borderId="0"/>
    <xf numFmtId="0" fontId="7" fillId="0" borderId="0"/>
    <xf numFmtId="180" fontId="7" fillId="0" borderId="0"/>
    <xf numFmtId="180" fontId="7" fillId="0" borderId="0"/>
    <xf numFmtId="0" fontId="7" fillId="0" borderId="0"/>
    <xf numFmtId="180" fontId="7" fillId="0" borderId="0"/>
    <xf numFmtId="180" fontId="7" fillId="0" borderId="0"/>
    <xf numFmtId="180" fontId="7" fillId="0" borderId="0"/>
    <xf numFmtId="0" fontId="7" fillId="0" borderId="0"/>
    <xf numFmtId="180" fontId="7" fillId="0" borderId="0"/>
    <xf numFmtId="180" fontId="7" fillId="0" borderId="0"/>
    <xf numFmtId="9" fontId="7"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2" fontId="7" fillId="0" borderId="0" applyFont="0" applyFill="0" applyBorder="0" applyAlignment="0" applyProtection="0"/>
    <xf numFmtId="173" fontId="7" fillId="0" borderId="0" applyFont="0" applyFill="0" applyBorder="0" applyAlignment="0" applyProtection="0"/>
    <xf numFmtId="180" fontId="7" fillId="0" borderId="0"/>
    <xf numFmtId="0" fontId="7" fillId="0" borderId="0"/>
    <xf numFmtId="0" fontId="7" fillId="0" borderId="0"/>
    <xf numFmtId="0" fontId="7" fillId="0" borderId="0"/>
    <xf numFmtId="0" fontId="7" fillId="0" borderId="0"/>
    <xf numFmtId="0" fontId="7" fillId="0" borderId="0"/>
    <xf numFmtId="180" fontId="7" fillId="0" borderId="0"/>
    <xf numFmtId="180" fontId="7" fillId="0" borderId="0"/>
    <xf numFmtId="0" fontId="7" fillId="0" borderId="0"/>
    <xf numFmtId="180" fontId="7" fillId="0" borderId="0"/>
    <xf numFmtId="180" fontId="7" fillId="0" borderId="0"/>
    <xf numFmtId="180" fontId="7" fillId="0" borderId="0"/>
    <xf numFmtId="0" fontId="7" fillId="0" borderId="0"/>
    <xf numFmtId="180" fontId="7" fillId="0" borderId="0"/>
    <xf numFmtId="180" fontId="7" fillId="0" borderId="0"/>
    <xf numFmtId="9" fontId="7"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2" fontId="7" fillId="0" borderId="0" applyFont="0" applyFill="0" applyBorder="0" applyAlignment="0" applyProtection="0"/>
    <xf numFmtId="173" fontId="7" fillId="0" borderId="0" applyFont="0" applyFill="0" applyBorder="0" applyAlignment="0" applyProtection="0"/>
    <xf numFmtId="180" fontId="7" fillId="0" borderId="0"/>
    <xf numFmtId="0" fontId="7" fillId="0" borderId="0"/>
    <xf numFmtId="0" fontId="7" fillId="0" borderId="0"/>
    <xf numFmtId="0" fontId="7" fillId="0" borderId="0"/>
    <xf numFmtId="0" fontId="7" fillId="0" borderId="0"/>
    <xf numFmtId="0" fontId="7" fillId="0" borderId="0"/>
    <xf numFmtId="180" fontId="7" fillId="0" borderId="0"/>
    <xf numFmtId="180" fontId="7" fillId="0" borderId="0"/>
    <xf numFmtId="0" fontId="7" fillId="0" borderId="0"/>
    <xf numFmtId="180" fontId="7" fillId="0" borderId="0"/>
    <xf numFmtId="180" fontId="7" fillId="0" borderId="0"/>
    <xf numFmtId="180" fontId="7" fillId="0" borderId="0"/>
    <xf numFmtId="0" fontId="7" fillId="0" borderId="0"/>
    <xf numFmtId="180" fontId="7" fillId="0" borderId="0"/>
    <xf numFmtId="180" fontId="7" fillId="0" borderId="0"/>
    <xf numFmtId="9" fontId="7"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2" fontId="7" fillId="0" borderId="0" applyFont="0" applyFill="0" applyBorder="0" applyAlignment="0" applyProtection="0"/>
    <xf numFmtId="173" fontId="7" fillId="0" borderId="0" applyFont="0" applyFill="0" applyBorder="0" applyAlignment="0" applyProtection="0"/>
    <xf numFmtId="180" fontId="7" fillId="0" borderId="0"/>
    <xf numFmtId="0" fontId="7" fillId="0" borderId="0"/>
    <xf numFmtId="0" fontId="7" fillId="0" borderId="0"/>
    <xf numFmtId="0" fontId="7" fillId="0" borderId="0"/>
    <xf numFmtId="0" fontId="7" fillId="0" borderId="0"/>
    <xf numFmtId="0" fontId="7" fillId="0" borderId="0"/>
    <xf numFmtId="180" fontId="7" fillId="0" borderId="0"/>
    <xf numFmtId="180" fontId="7" fillId="0" borderId="0"/>
    <xf numFmtId="0" fontId="7" fillId="0" borderId="0"/>
    <xf numFmtId="180" fontId="7" fillId="0" borderId="0"/>
    <xf numFmtId="180" fontId="7" fillId="0" borderId="0"/>
    <xf numFmtId="180" fontId="7" fillId="0" borderId="0"/>
    <xf numFmtId="0" fontId="7" fillId="0" borderId="0"/>
    <xf numFmtId="180" fontId="7" fillId="0" borderId="0"/>
    <xf numFmtId="180" fontId="7" fillId="0" borderId="0"/>
    <xf numFmtId="9" fontId="7"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2" fontId="7" fillId="0" borderId="0" applyFont="0" applyFill="0" applyBorder="0" applyAlignment="0" applyProtection="0"/>
    <xf numFmtId="173" fontId="7" fillId="0" borderId="0" applyFont="0" applyFill="0" applyBorder="0" applyAlignment="0" applyProtection="0"/>
    <xf numFmtId="180" fontId="7" fillId="0" borderId="0"/>
    <xf numFmtId="0" fontId="7" fillId="0" borderId="0"/>
    <xf numFmtId="0" fontId="7" fillId="0" borderId="0"/>
    <xf numFmtId="0" fontId="7" fillId="0" borderId="0"/>
    <xf numFmtId="0" fontId="7" fillId="0" borderId="0"/>
    <xf numFmtId="0" fontId="7" fillId="0" borderId="0"/>
    <xf numFmtId="180" fontId="7" fillId="0" borderId="0"/>
    <xf numFmtId="180" fontId="7" fillId="0" borderId="0"/>
    <xf numFmtId="0" fontId="7" fillId="0" borderId="0"/>
    <xf numFmtId="180" fontId="7" fillId="0" borderId="0"/>
    <xf numFmtId="180" fontId="7" fillId="0" borderId="0"/>
    <xf numFmtId="180" fontId="7" fillId="0" borderId="0"/>
    <xf numFmtId="0" fontId="7" fillId="0" borderId="0"/>
    <xf numFmtId="180" fontId="7" fillId="0" borderId="0"/>
    <xf numFmtId="180" fontId="7" fillId="0" borderId="0"/>
    <xf numFmtId="9" fontId="7"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2" fontId="7" fillId="0" borderId="0" applyFont="0" applyFill="0" applyBorder="0" applyAlignment="0" applyProtection="0"/>
    <xf numFmtId="173" fontId="7" fillId="0" borderId="0" applyFont="0" applyFill="0" applyBorder="0" applyAlignment="0" applyProtection="0"/>
    <xf numFmtId="180" fontId="7" fillId="0" borderId="0"/>
    <xf numFmtId="0" fontId="7" fillId="0" borderId="0"/>
    <xf numFmtId="0" fontId="7" fillId="0" borderId="0"/>
    <xf numFmtId="0" fontId="7" fillId="0" borderId="0"/>
    <xf numFmtId="0" fontId="7" fillId="0" borderId="0"/>
    <xf numFmtId="0" fontId="7" fillId="0" borderId="0"/>
    <xf numFmtId="180" fontId="7" fillId="0" borderId="0"/>
    <xf numFmtId="180" fontId="7" fillId="0" borderId="0"/>
    <xf numFmtId="0" fontId="7" fillId="0" borderId="0"/>
    <xf numFmtId="180" fontId="7" fillId="0" borderId="0"/>
    <xf numFmtId="180" fontId="7" fillId="0" borderId="0"/>
    <xf numFmtId="180" fontId="7" fillId="0" borderId="0"/>
    <xf numFmtId="0" fontId="7" fillId="0" borderId="0"/>
    <xf numFmtId="180" fontId="7" fillId="0" borderId="0"/>
    <xf numFmtId="180" fontId="7" fillId="0" borderId="0"/>
    <xf numFmtId="9" fontId="7" fillId="0" borderId="0" applyFont="0" applyFill="0" applyBorder="0" applyAlignment="0" applyProtection="0"/>
    <xf numFmtId="0" fontId="7" fillId="0" borderId="0"/>
    <xf numFmtId="168" fontId="7"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2" fontId="7" fillId="0" borderId="0" applyFont="0" applyFill="0" applyBorder="0" applyAlignment="0" applyProtection="0"/>
    <xf numFmtId="173" fontId="7" fillId="0" borderId="0" applyFont="0" applyFill="0" applyBorder="0" applyAlignment="0" applyProtection="0"/>
    <xf numFmtId="180" fontId="7" fillId="0" borderId="0"/>
    <xf numFmtId="0" fontId="7" fillId="0" borderId="0"/>
    <xf numFmtId="0" fontId="7" fillId="0" borderId="0"/>
    <xf numFmtId="0" fontId="7" fillId="0" borderId="0"/>
    <xf numFmtId="0" fontId="7" fillId="0" borderId="0"/>
    <xf numFmtId="0" fontId="7" fillId="0" borderId="0"/>
    <xf numFmtId="180" fontId="7" fillId="0" borderId="0"/>
    <xf numFmtId="180" fontId="7" fillId="0" borderId="0"/>
    <xf numFmtId="0" fontId="7" fillId="0" borderId="0"/>
    <xf numFmtId="180" fontId="7" fillId="0" borderId="0"/>
    <xf numFmtId="180" fontId="7" fillId="0" borderId="0"/>
    <xf numFmtId="180" fontId="7" fillId="0" borderId="0"/>
    <xf numFmtId="0" fontId="7" fillId="0" borderId="0"/>
    <xf numFmtId="180" fontId="7" fillId="0" borderId="0"/>
    <xf numFmtId="180" fontId="7" fillId="0" borderId="0"/>
    <xf numFmtId="9" fontId="7"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2" fontId="7" fillId="0" borderId="0" applyFont="0" applyFill="0" applyBorder="0" applyAlignment="0" applyProtection="0"/>
    <xf numFmtId="173" fontId="7" fillId="0" borderId="0" applyFont="0" applyFill="0" applyBorder="0" applyAlignment="0" applyProtection="0"/>
    <xf numFmtId="180" fontId="7" fillId="0" borderId="0"/>
    <xf numFmtId="0" fontId="7" fillId="0" borderId="0"/>
    <xf numFmtId="0" fontId="7" fillId="0" borderId="0"/>
    <xf numFmtId="0" fontId="7" fillId="0" borderId="0"/>
    <xf numFmtId="0" fontId="7" fillId="0" borderId="0"/>
    <xf numFmtId="0" fontId="7" fillId="0" borderId="0"/>
    <xf numFmtId="180" fontId="7" fillId="0" borderId="0"/>
    <xf numFmtId="180" fontId="7" fillId="0" borderId="0"/>
    <xf numFmtId="0" fontId="7" fillId="0" borderId="0"/>
    <xf numFmtId="180" fontId="7" fillId="0" borderId="0"/>
    <xf numFmtId="180" fontId="7" fillId="0" borderId="0"/>
    <xf numFmtId="180" fontId="7" fillId="0" borderId="0"/>
    <xf numFmtId="0" fontId="7" fillId="0" borderId="0"/>
    <xf numFmtId="180" fontId="7" fillId="0" borderId="0"/>
    <xf numFmtId="180" fontId="7" fillId="0" borderId="0"/>
    <xf numFmtId="9" fontId="7"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2" fontId="7" fillId="0" borderId="0" applyFont="0" applyFill="0" applyBorder="0" applyAlignment="0" applyProtection="0"/>
    <xf numFmtId="173" fontId="7" fillId="0" borderId="0" applyFont="0" applyFill="0" applyBorder="0" applyAlignment="0" applyProtection="0"/>
    <xf numFmtId="180" fontId="7" fillId="0" borderId="0"/>
    <xf numFmtId="0" fontId="7" fillId="0" borderId="0"/>
    <xf numFmtId="0" fontId="7" fillId="0" borderId="0"/>
    <xf numFmtId="0" fontId="7" fillId="0" borderId="0"/>
    <xf numFmtId="0" fontId="7" fillId="0" borderId="0"/>
    <xf numFmtId="0" fontId="7" fillId="0" borderId="0"/>
    <xf numFmtId="180" fontId="7" fillId="0" borderId="0"/>
    <xf numFmtId="180" fontId="7" fillId="0" borderId="0"/>
    <xf numFmtId="0" fontId="7" fillId="0" borderId="0"/>
    <xf numFmtId="180" fontId="7" fillId="0" borderId="0"/>
    <xf numFmtId="180" fontId="7" fillId="0" borderId="0"/>
    <xf numFmtId="180" fontId="7" fillId="0" borderId="0"/>
    <xf numFmtId="0" fontId="7" fillId="0" borderId="0"/>
    <xf numFmtId="180" fontId="7" fillId="0" borderId="0"/>
    <xf numFmtId="180" fontId="7" fillId="0" borderId="0"/>
    <xf numFmtId="9" fontId="7"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2" fontId="7" fillId="0" borderId="0" applyFont="0" applyFill="0" applyBorder="0" applyAlignment="0" applyProtection="0"/>
    <xf numFmtId="173" fontId="7" fillId="0" borderId="0" applyFont="0" applyFill="0" applyBorder="0" applyAlignment="0" applyProtection="0"/>
    <xf numFmtId="180" fontId="7" fillId="0" borderId="0"/>
    <xf numFmtId="0" fontId="7" fillId="0" borderId="0"/>
    <xf numFmtId="0" fontId="7" fillId="0" borderId="0"/>
    <xf numFmtId="0" fontId="7" fillId="0" borderId="0"/>
    <xf numFmtId="0" fontId="7" fillId="0" borderId="0"/>
    <xf numFmtId="0" fontId="7" fillId="0" borderId="0"/>
    <xf numFmtId="180" fontId="7" fillId="0" borderId="0"/>
    <xf numFmtId="180" fontId="7" fillId="0" borderId="0"/>
    <xf numFmtId="0" fontId="7" fillId="0" borderId="0"/>
    <xf numFmtId="180" fontId="7" fillId="0" borderId="0"/>
    <xf numFmtId="180" fontId="7" fillId="0" borderId="0"/>
    <xf numFmtId="180" fontId="7" fillId="0" borderId="0"/>
    <xf numFmtId="0" fontId="7" fillId="0" borderId="0"/>
    <xf numFmtId="180" fontId="7" fillId="0" borderId="0"/>
    <xf numFmtId="180" fontId="7" fillId="0" borderId="0"/>
    <xf numFmtId="9" fontId="7"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2" fontId="7" fillId="0" borderId="0" applyFont="0" applyFill="0" applyBorder="0" applyAlignment="0" applyProtection="0"/>
    <xf numFmtId="173" fontId="7" fillId="0" borderId="0" applyFont="0" applyFill="0" applyBorder="0" applyAlignment="0" applyProtection="0"/>
    <xf numFmtId="180" fontId="7" fillId="0" borderId="0"/>
    <xf numFmtId="0" fontId="7" fillId="0" borderId="0"/>
    <xf numFmtId="0" fontId="7" fillId="0" borderId="0"/>
    <xf numFmtId="0" fontId="7" fillId="0" borderId="0"/>
    <xf numFmtId="0" fontId="7" fillId="0" borderId="0"/>
    <xf numFmtId="0" fontId="7" fillId="0" borderId="0"/>
    <xf numFmtId="180" fontId="7" fillId="0" borderId="0"/>
    <xf numFmtId="180" fontId="7" fillId="0" borderId="0"/>
    <xf numFmtId="0" fontId="7" fillId="0" borderId="0"/>
    <xf numFmtId="180" fontId="7" fillId="0" borderId="0"/>
    <xf numFmtId="180" fontId="7" fillId="0" borderId="0"/>
    <xf numFmtId="180" fontId="7" fillId="0" borderId="0"/>
    <xf numFmtId="0" fontId="7" fillId="0" borderId="0"/>
    <xf numFmtId="180" fontId="7" fillId="0" borderId="0"/>
    <xf numFmtId="180" fontId="7" fillId="0" borderId="0"/>
    <xf numFmtId="9" fontId="7"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2" fontId="7" fillId="0" borderId="0" applyFont="0" applyFill="0" applyBorder="0" applyAlignment="0" applyProtection="0"/>
    <xf numFmtId="173" fontId="7" fillId="0" borderId="0" applyFont="0" applyFill="0" applyBorder="0" applyAlignment="0" applyProtection="0"/>
    <xf numFmtId="180" fontId="7" fillId="0" borderId="0"/>
    <xf numFmtId="0" fontId="7" fillId="0" borderId="0"/>
    <xf numFmtId="0" fontId="7" fillId="0" borderId="0"/>
    <xf numFmtId="0" fontId="7" fillId="0" borderId="0"/>
    <xf numFmtId="0" fontId="7" fillId="0" borderId="0"/>
    <xf numFmtId="0" fontId="7" fillId="0" borderId="0"/>
    <xf numFmtId="180" fontId="7" fillId="0" borderId="0"/>
    <xf numFmtId="180" fontId="7" fillId="0" borderId="0"/>
    <xf numFmtId="0" fontId="7" fillId="0" borderId="0"/>
    <xf numFmtId="180" fontId="7" fillId="0" borderId="0"/>
    <xf numFmtId="180" fontId="7" fillId="0" borderId="0"/>
    <xf numFmtId="180" fontId="7" fillId="0" borderId="0"/>
    <xf numFmtId="0" fontId="7" fillId="0" borderId="0"/>
    <xf numFmtId="180" fontId="7" fillId="0" borderId="0"/>
    <xf numFmtId="180" fontId="7" fillId="0" borderId="0"/>
    <xf numFmtId="9" fontId="7"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2" fontId="7" fillId="0" borderId="0" applyFont="0" applyFill="0" applyBorder="0" applyAlignment="0" applyProtection="0"/>
    <xf numFmtId="173" fontId="7" fillId="0" borderId="0" applyFont="0" applyFill="0" applyBorder="0" applyAlignment="0" applyProtection="0"/>
    <xf numFmtId="180" fontId="7" fillId="0" borderId="0"/>
    <xf numFmtId="0" fontId="7" fillId="0" borderId="0"/>
    <xf numFmtId="0" fontId="7" fillId="0" borderId="0"/>
    <xf numFmtId="0" fontId="7" fillId="0" borderId="0"/>
    <xf numFmtId="0" fontId="7" fillId="0" borderId="0"/>
    <xf numFmtId="0" fontId="7" fillId="0" borderId="0"/>
    <xf numFmtId="180" fontId="7" fillId="0" borderId="0"/>
    <xf numFmtId="180" fontId="7" fillId="0" borderId="0"/>
    <xf numFmtId="0" fontId="7" fillId="0" borderId="0"/>
    <xf numFmtId="180" fontId="7" fillId="0" borderId="0"/>
    <xf numFmtId="180" fontId="7" fillId="0" borderId="0"/>
    <xf numFmtId="180" fontId="7" fillId="0" borderId="0"/>
    <xf numFmtId="0" fontId="7" fillId="0" borderId="0"/>
    <xf numFmtId="180" fontId="7" fillId="0" borderId="0"/>
    <xf numFmtId="180" fontId="7" fillId="0" borderId="0"/>
    <xf numFmtId="9" fontId="7"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2" fontId="7" fillId="0" borderId="0" applyFont="0" applyFill="0" applyBorder="0" applyAlignment="0" applyProtection="0"/>
    <xf numFmtId="173" fontId="7" fillId="0" borderId="0" applyFont="0" applyFill="0" applyBorder="0" applyAlignment="0" applyProtection="0"/>
    <xf numFmtId="180" fontId="7" fillId="0" borderId="0"/>
    <xf numFmtId="0" fontId="7" fillId="0" borderId="0"/>
    <xf numFmtId="0" fontId="7" fillId="0" borderId="0"/>
    <xf numFmtId="0" fontId="7" fillId="0" borderId="0"/>
    <xf numFmtId="0" fontId="7" fillId="0" borderId="0"/>
    <xf numFmtId="0" fontId="7" fillId="0" borderId="0"/>
    <xf numFmtId="180" fontId="7" fillId="0" borderId="0"/>
    <xf numFmtId="180" fontId="7" fillId="0" borderId="0"/>
    <xf numFmtId="0" fontId="7" fillId="0" borderId="0"/>
    <xf numFmtId="180" fontId="7" fillId="0" borderId="0"/>
    <xf numFmtId="180" fontId="7" fillId="0" borderId="0"/>
    <xf numFmtId="180" fontId="7" fillId="0" borderId="0"/>
    <xf numFmtId="0" fontId="7" fillId="0" borderId="0"/>
    <xf numFmtId="180" fontId="7" fillId="0" borderId="0"/>
    <xf numFmtId="180" fontId="7" fillId="0" borderId="0"/>
    <xf numFmtId="9" fontId="7" fillId="0" borderId="0" applyFont="0" applyFill="0" applyBorder="0" applyAlignment="0" applyProtection="0"/>
    <xf numFmtId="170" fontId="7" fillId="0" borderId="0" applyFont="0" applyFill="0" applyBorder="0" applyAlignment="0" applyProtection="0"/>
    <xf numFmtId="43" fontId="7" fillId="0" borderId="0" applyFont="0" applyFill="0" applyBorder="0" applyAlignment="0" applyProtection="0"/>
    <xf numFmtId="0" fontId="7" fillId="0" borderId="0"/>
    <xf numFmtId="168" fontId="7" fillId="0" borderId="0" applyFont="0" applyFill="0" applyBorder="0" applyAlignment="0" applyProtection="0"/>
    <xf numFmtId="0" fontId="7" fillId="0" borderId="0"/>
    <xf numFmtId="180" fontId="7" fillId="0" borderId="0"/>
    <xf numFmtId="0" fontId="7" fillId="0" borderId="0"/>
    <xf numFmtId="0" fontId="7" fillId="0" borderId="0"/>
    <xf numFmtId="0" fontId="7" fillId="0" borderId="0"/>
    <xf numFmtId="0" fontId="7" fillId="0" borderId="0"/>
    <xf numFmtId="0" fontId="7" fillId="0" borderId="0"/>
    <xf numFmtId="180" fontId="7" fillId="0" borderId="0"/>
    <xf numFmtId="180" fontId="7" fillId="0" borderId="0"/>
    <xf numFmtId="180" fontId="7" fillId="0" borderId="0"/>
    <xf numFmtId="180" fontId="7" fillId="0" borderId="0"/>
    <xf numFmtId="180" fontId="7" fillId="0" borderId="0"/>
    <xf numFmtId="0" fontId="7" fillId="0" borderId="0"/>
    <xf numFmtId="180" fontId="7" fillId="0" borderId="0"/>
    <xf numFmtId="180" fontId="7" fillId="0" borderId="0"/>
    <xf numFmtId="168" fontId="7" fillId="0" borderId="0" applyFont="0" applyFill="0" applyBorder="0" applyAlignment="0" applyProtection="0"/>
    <xf numFmtId="180" fontId="7" fillId="0" borderId="0"/>
    <xf numFmtId="0" fontId="7" fillId="0" borderId="0"/>
    <xf numFmtId="0" fontId="7" fillId="0" borderId="0"/>
    <xf numFmtId="0" fontId="7" fillId="0" borderId="0"/>
    <xf numFmtId="0" fontId="7" fillId="0" borderId="0"/>
    <xf numFmtId="0" fontId="7" fillId="0" borderId="0"/>
    <xf numFmtId="180" fontId="7" fillId="0" borderId="0"/>
    <xf numFmtId="180" fontId="7" fillId="0" borderId="0"/>
    <xf numFmtId="0" fontId="7" fillId="0" borderId="0"/>
    <xf numFmtId="180" fontId="7" fillId="0" borderId="0"/>
    <xf numFmtId="180" fontId="7" fillId="0" borderId="0"/>
    <xf numFmtId="180" fontId="7" fillId="0" borderId="0"/>
    <xf numFmtId="0" fontId="7" fillId="0" borderId="0"/>
    <xf numFmtId="180" fontId="7" fillId="0" borderId="0"/>
    <xf numFmtId="180" fontId="7" fillId="0" borderId="0"/>
    <xf numFmtId="170" fontId="39" fillId="0" borderId="0" applyFont="0" applyFill="0" applyBorder="0" applyAlignment="0" applyProtection="0"/>
    <xf numFmtId="0" fontId="6" fillId="0" borderId="0"/>
    <xf numFmtId="180" fontId="6" fillId="0" borderId="0"/>
    <xf numFmtId="0" fontId="6" fillId="0" borderId="0"/>
    <xf numFmtId="0" fontId="6" fillId="0" borderId="0"/>
    <xf numFmtId="0" fontId="6" fillId="0" borderId="0"/>
    <xf numFmtId="0" fontId="6" fillId="0" borderId="0"/>
    <xf numFmtId="0" fontId="6" fillId="0" borderId="0"/>
    <xf numFmtId="180" fontId="6" fillId="0" borderId="0"/>
    <xf numFmtId="180" fontId="6" fillId="0" borderId="0"/>
    <xf numFmtId="180" fontId="6" fillId="0" borderId="0"/>
    <xf numFmtId="180" fontId="6" fillId="0" borderId="0"/>
    <xf numFmtId="180" fontId="6" fillId="0" borderId="0"/>
    <xf numFmtId="0" fontId="6" fillId="0" borderId="0"/>
    <xf numFmtId="180" fontId="6" fillId="0" borderId="0"/>
    <xf numFmtId="180" fontId="6" fillId="0" borderId="0"/>
    <xf numFmtId="168" fontId="6" fillId="0" borderId="0" applyFont="0" applyFill="0" applyBorder="0" applyAlignment="0" applyProtection="0"/>
    <xf numFmtId="18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180" fontId="5" fillId="0" borderId="0"/>
    <xf numFmtId="180" fontId="5" fillId="0" borderId="0"/>
    <xf numFmtId="0" fontId="5" fillId="0" borderId="0"/>
    <xf numFmtId="180" fontId="5" fillId="0" borderId="0"/>
    <xf numFmtId="180" fontId="5" fillId="0" borderId="0"/>
    <xf numFmtId="180" fontId="5" fillId="0" borderId="0"/>
    <xf numFmtId="0" fontId="5" fillId="0" borderId="0"/>
    <xf numFmtId="180" fontId="5" fillId="0" borderId="0"/>
    <xf numFmtId="180" fontId="5" fillId="0" borderId="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2" fontId="5" fillId="0" borderId="0" applyFont="0" applyFill="0" applyBorder="0" applyAlignment="0" applyProtection="0"/>
    <xf numFmtId="173" fontId="5" fillId="0" borderId="0" applyFont="0" applyFill="0" applyBorder="0" applyAlignment="0" applyProtection="0"/>
    <xf numFmtId="180" fontId="5" fillId="0" borderId="0"/>
    <xf numFmtId="0" fontId="5" fillId="0" borderId="0"/>
    <xf numFmtId="0" fontId="5" fillId="0" borderId="0"/>
    <xf numFmtId="0" fontId="5" fillId="0" borderId="0"/>
    <xf numFmtId="0" fontId="5" fillId="0" borderId="0"/>
    <xf numFmtId="0" fontId="5" fillId="0" borderId="0"/>
    <xf numFmtId="180" fontId="5" fillId="0" borderId="0"/>
    <xf numFmtId="180" fontId="5" fillId="0" borderId="0"/>
    <xf numFmtId="0" fontId="5" fillId="0" borderId="0"/>
    <xf numFmtId="180" fontId="5" fillId="0" borderId="0"/>
    <xf numFmtId="180" fontId="5" fillId="0" borderId="0"/>
    <xf numFmtId="180" fontId="5" fillId="0" borderId="0"/>
    <xf numFmtId="0" fontId="5" fillId="0" borderId="0"/>
    <xf numFmtId="180" fontId="5" fillId="0" borderId="0"/>
    <xf numFmtId="180" fontId="5" fillId="0" borderId="0"/>
    <xf numFmtId="9" fontId="5" fillId="0" borderId="0" applyFont="0" applyFill="0" applyBorder="0" applyAlignment="0" applyProtection="0"/>
    <xf numFmtId="0" fontId="5" fillId="0" borderId="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2" fontId="5" fillId="0" borderId="0" applyFont="0" applyFill="0" applyBorder="0" applyAlignment="0" applyProtection="0"/>
    <xf numFmtId="173" fontId="5" fillId="0" borderId="0" applyFont="0" applyFill="0" applyBorder="0" applyAlignment="0" applyProtection="0"/>
    <xf numFmtId="180" fontId="5" fillId="0" borderId="0"/>
    <xf numFmtId="0" fontId="5" fillId="0" borderId="0"/>
    <xf numFmtId="0" fontId="5" fillId="0" borderId="0"/>
    <xf numFmtId="0" fontId="5" fillId="0" borderId="0"/>
    <xf numFmtId="0" fontId="5" fillId="0" borderId="0"/>
    <xf numFmtId="0" fontId="5" fillId="0" borderId="0"/>
    <xf numFmtId="180" fontId="5" fillId="0" borderId="0"/>
    <xf numFmtId="180" fontId="5" fillId="0" borderId="0"/>
    <xf numFmtId="0" fontId="5" fillId="0" borderId="0"/>
    <xf numFmtId="180" fontId="5" fillId="0" borderId="0"/>
    <xf numFmtId="180" fontId="5" fillId="0" borderId="0"/>
    <xf numFmtId="180" fontId="5" fillId="0" borderId="0"/>
    <xf numFmtId="0" fontId="5" fillId="0" borderId="0"/>
    <xf numFmtId="180" fontId="5" fillId="0" borderId="0"/>
    <xf numFmtId="180" fontId="5" fillId="0" borderId="0"/>
    <xf numFmtId="9"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2" fontId="5" fillId="0" borderId="0" applyFont="0" applyFill="0" applyBorder="0" applyAlignment="0" applyProtection="0"/>
    <xf numFmtId="173" fontId="5" fillId="0" borderId="0" applyFont="0" applyFill="0" applyBorder="0" applyAlignment="0" applyProtection="0"/>
    <xf numFmtId="180" fontId="5" fillId="0" borderId="0"/>
    <xf numFmtId="0" fontId="5" fillId="0" borderId="0"/>
    <xf numFmtId="0" fontId="5" fillId="0" borderId="0"/>
    <xf numFmtId="0" fontId="5" fillId="0" borderId="0"/>
    <xf numFmtId="0" fontId="5" fillId="0" borderId="0"/>
    <xf numFmtId="0" fontId="5" fillId="0" borderId="0"/>
    <xf numFmtId="180" fontId="5" fillId="0" borderId="0"/>
    <xf numFmtId="180" fontId="5" fillId="0" borderId="0"/>
    <xf numFmtId="0" fontId="5" fillId="0" borderId="0"/>
    <xf numFmtId="180" fontId="5" fillId="0" borderId="0"/>
    <xf numFmtId="180" fontId="5" fillId="0" borderId="0"/>
    <xf numFmtId="180" fontId="5" fillId="0" borderId="0"/>
    <xf numFmtId="0" fontId="5" fillId="0" borderId="0"/>
    <xf numFmtId="180" fontId="5" fillId="0" borderId="0"/>
    <xf numFmtId="180" fontId="5" fillId="0" borderId="0"/>
    <xf numFmtId="9"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2" fontId="5" fillId="0" borderId="0" applyFont="0" applyFill="0" applyBorder="0" applyAlignment="0" applyProtection="0"/>
    <xf numFmtId="173" fontId="5" fillId="0" borderId="0" applyFont="0" applyFill="0" applyBorder="0" applyAlignment="0" applyProtection="0"/>
    <xf numFmtId="180" fontId="5" fillId="0" borderId="0"/>
    <xf numFmtId="0" fontId="5" fillId="0" borderId="0"/>
    <xf numFmtId="0" fontId="5" fillId="0" borderId="0"/>
    <xf numFmtId="0" fontId="5" fillId="0" borderId="0"/>
    <xf numFmtId="0" fontId="5" fillId="0" borderId="0"/>
    <xf numFmtId="0" fontId="5" fillId="0" borderId="0"/>
    <xf numFmtId="180" fontId="5" fillId="0" borderId="0"/>
    <xf numFmtId="180" fontId="5" fillId="0" borderId="0"/>
    <xf numFmtId="0" fontId="5" fillId="0" borderId="0"/>
    <xf numFmtId="180" fontId="5" fillId="0" borderId="0"/>
    <xf numFmtId="180" fontId="5" fillId="0" borderId="0"/>
    <xf numFmtId="180" fontId="5" fillId="0" borderId="0"/>
    <xf numFmtId="0" fontId="5" fillId="0" borderId="0"/>
    <xf numFmtId="180" fontId="5" fillId="0" borderId="0"/>
    <xf numFmtId="180" fontId="5" fillId="0" borderId="0"/>
    <xf numFmtId="9"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2" fontId="5" fillId="0" borderId="0" applyFont="0" applyFill="0" applyBorder="0" applyAlignment="0" applyProtection="0"/>
    <xf numFmtId="173" fontId="5" fillId="0" borderId="0" applyFont="0" applyFill="0" applyBorder="0" applyAlignment="0" applyProtection="0"/>
    <xf numFmtId="180" fontId="5" fillId="0" borderId="0"/>
    <xf numFmtId="0" fontId="5" fillId="0" borderId="0"/>
    <xf numFmtId="0" fontId="5" fillId="0" borderId="0"/>
    <xf numFmtId="0" fontId="5" fillId="0" borderId="0"/>
    <xf numFmtId="0" fontId="5" fillId="0" borderId="0"/>
    <xf numFmtId="0" fontId="5" fillId="0" borderId="0"/>
    <xf numFmtId="180" fontId="5" fillId="0" borderId="0"/>
    <xf numFmtId="180" fontId="5" fillId="0" borderId="0"/>
    <xf numFmtId="0" fontId="5" fillId="0" borderId="0"/>
    <xf numFmtId="180" fontId="5" fillId="0" borderId="0"/>
    <xf numFmtId="180" fontId="5" fillId="0" borderId="0"/>
    <xf numFmtId="180" fontId="5" fillId="0" borderId="0"/>
    <xf numFmtId="0" fontId="5" fillId="0" borderId="0"/>
    <xf numFmtId="180" fontId="5" fillId="0" borderId="0"/>
    <xf numFmtId="180" fontId="5" fillId="0" borderId="0"/>
    <xf numFmtId="9"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2" fontId="5" fillId="0" borderId="0" applyFont="0" applyFill="0" applyBorder="0" applyAlignment="0" applyProtection="0"/>
    <xf numFmtId="173" fontId="5" fillId="0" borderId="0" applyFont="0" applyFill="0" applyBorder="0" applyAlignment="0" applyProtection="0"/>
    <xf numFmtId="180" fontId="5" fillId="0" borderId="0"/>
    <xf numFmtId="0" fontId="5" fillId="0" borderId="0"/>
    <xf numFmtId="0" fontId="5" fillId="0" borderId="0"/>
    <xf numFmtId="0" fontId="5" fillId="0" borderId="0"/>
    <xf numFmtId="0" fontId="5" fillId="0" borderId="0"/>
    <xf numFmtId="0" fontId="5" fillId="0" borderId="0"/>
    <xf numFmtId="180" fontId="5" fillId="0" borderId="0"/>
    <xf numFmtId="180" fontId="5" fillId="0" borderId="0"/>
    <xf numFmtId="0" fontId="5" fillId="0" borderId="0"/>
    <xf numFmtId="180" fontId="5" fillId="0" borderId="0"/>
    <xf numFmtId="180" fontId="5" fillId="0" borderId="0"/>
    <xf numFmtId="180" fontId="5" fillId="0" borderId="0"/>
    <xf numFmtId="0" fontId="5" fillId="0" borderId="0"/>
    <xf numFmtId="180" fontId="5" fillId="0" borderId="0"/>
    <xf numFmtId="180" fontId="5" fillId="0" borderId="0"/>
    <xf numFmtId="9"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2" fontId="5" fillId="0" borderId="0" applyFont="0" applyFill="0" applyBorder="0" applyAlignment="0" applyProtection="0"/>
    <xf numFmtId="173" fontId="5" fillId="0" borderId="0" applyFont="0" applyFill="0" applyBorder="0" applyAlignment="0" applyProtection="0"/>
    <xf numFmtId="180" fontId="5" fillId="0" borderId="0"/>
    <xf numFmtId="0" fontId="5" fillId="0" borderId="0"/>
    <xf numFmtId="0" fontId="5" fillId="0" borderId="0"/>
    <xf numFmtId="0" fontId="5" fillId="0" borderId="0"/>
    <xf numFmtId="0" fontId="5" fillId="0" borderId="0"/>
    <xf numFmtId="0" fontId="5" fillId="0" borderId="0"/>
    <xf numFmtId="180" fontId="5" fillId="0" borderId="0"/>
    <xf numFmtId="180" fontId="5" fillId="0" borderId="0"/>
    <xf numFmtId="0" fontId="5" fillId="0" borderId="0"/>
    <xf numFmtId="180" fontId="5" fillId="0" borderId="0"/>
    <xf numFmtId="180" fontId="5" fillId="0" borderId="0"/>
    <xf numFmtId="180" fontId="5" fillId="0" borderId="0"/>
    <xf numFmtId="0" fontId="5" fillId="0" borderId="0"/>
    <xf numFmtId="180" fontId="5" fillId="0" borderId="0"/>
    <xf numFmtId="180" fontId="5" fillId="0" borderId="0"/>
    <xf numFmtId="9"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2" fontId="5" fillId="0" borderId="0" applyFont="0" applyFill="0" applyBorder="0" applyAlignment="0" applyProtection="0"/>
    <xf numFmtId="173" fontId="5" fillId="0" borderId="0" applyFont="0" applyFill="0" applyBorder="0" applyAlignment="0" applyProtection="0"/>
    <xf numFmtId="180" fontId="5" fillId="0" borderId="0"/>
    <xf numFmtId="0" fontId="5" fillId="0" borderId="0"/>
    <xf numFmtId="0" fontId="5" fillId="0" borderId="0"/>
    <xf numFmtId="0" fontId="5" fillId="0" borderId="0"/>
    <xf numFmtId="0" fontId="5" fillId="0" borderId="0"/>
    <xf numFmtId="0" fontId="5" fillId="0" borderId="0"/>
    <xf numFmtId="180" fontId="5" fillId="0" borderId="0"/>
    <xf numFmtId="180" fontId="5" fillId="0" borderId="0"/>
    <xf numFmtId="0" fontId="5" fillId="0" borderId="0"/>
    <xf numFmtId="180" fontId="5" fillId="0" borderId="0"/>
    <xf numFmtId="180" fontId="5" fillId="0" borderId="0"/>
    <xf numFmtId="180" fontId="5" fillId="0" borderId="0"/>
    <xf numFmtId="0" fontId="5" fillId="0" borderId="0"/>
    <xf numFmtId="180" fontId="5" fillId="0" borderId="0"/>
    <xf numFmtId="180" fontId="5" fillId="0" borderId="0"/>
    <xf numFmtId="9" fontId="5" fillId="0" borderId="0" applyFont="0" applyFill="0" applyBorder="0" applyAlignment="0" applyProtection="0"/>
    <xf numFmtId="18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180" fontId="5" fillId="0" borderId="0"/>
    <xf numFmtId="180" fontId="5" fillId="0" borderId="0"/>
    <xf numFmtId="0" fontId="5" fillId="0" borderId="0"/>
    <xf numFmtId="180" fontId="5" fillId="0" borderId="0"/>
    <xf numFmtId="180" fontId="5" fillId="0" borderId="0"/>
    <xf numFmtId="180" fontId="5" fillId="0" borderId="0"/>
    <xf numFmtId="0" fontId="5" fillId="0" borderId="0"/>
    <xf numFmtId="180" fontId="5" fillId="0" borderId="0"/>
    <xf numFmtId="180" fontId="5" fillId="0" borderId="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2" fontId="5" fillId="0" borderId="0" applyFont="0" applyFill="0" applyBorder="0" applyAlignment="0" applyProtection="0"/>
    <xf numFmtId="173" fontId="5" fillId="0" borderId="0" applyFont="0" applyFill="0" applyBorder="0" applyAlignment="0" applyProtection="0"/>
    <xf numFmtId="180" fontId="5" fillId="0" borderId="0"/>
    <xf numFmtId="0" fontId="5" fillId="0" borderId="0"/>
    <xf numFmtId="0" fontId="5" fillId="0" borderId="0"/>
    <xf numFmtId="0" fontId="5" fillId="0" borderId="0"/>
    <xf numFmtId="0" fontId="5" fillId="0" borderId="0"/>
    <xf numFmtId="0" fontId="5" fillId="0" borderId="0"/>
    <xf numFmtId="180" fontId="5" fillId="0" borderId="0"/>
    <xf numFmtId="180" fontId="5" fillId="0" borderId="0"/>
    <xf numFmtId="0" fontId="5" fillId="0" borderId="0"/>
    <xf numFmtId="180" fontId="5" fillId="0" borderId="0"/>
    <xf numFmtId="180" fontId="5" fillId="0" borderId="0"/>
    <xf numFmtId="180" fontId="5" fillId="0" borderId="0"/>
    <xf numFmtId="0" fontId="5" fillId="0" borderId="0"/>
    <xf numFmtId="180" fontId="5" fillId="0" borderId="0"/>
    <xf numFmtId="180" fontId="5" fillId="0" borderId="0"/>
    <xf numFmtId="9" fontId="5" fillId="0" borderId="0" applyFont="0" applyFill="0" applyBorder="0" applyAlignment="0" applyProtection="0"/>
    <xf numFmtId="0" fontId="5" fillId="0" borderId="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2" fontId="5" fillId="0" borderId="0" applyFont="0" applyFill="0" applyBorder="0" applyAlignment="0" applyProtection="0"/>
    <xf numFmtId="173" fontId="5" fillId="0" borderId="0" applyFont="0" applyFill="0" applyBorder="0" applyAlignment="0" applyProtection="0"/>
    <xf numFmtId="180" fontId="5" fillId="0" borderId="0"/>
    <xf numFmtId="0" fontId="5" fillId="0" borderId="0"/>
    <xf numFmtId="0" fontId="5" fillId="0" borderId="0"/>
    <xf numFmtId="0" fontId="5" fillId="0" borderId="0"/>
    <xf numFmtId="0" fontId="5" fillId="0" borderId="0"/>
    <xf numFmtId="0" fontId="5" fillId="0" borderId="0"/>
    <xf numFmtId="180" fontId="5" fillId="0" borderId="0"/>
    <xf numFmtId="180" fontId="5" fillId="0" borderId="0"/>
    <xf numFmtId="0" fontId="5" fillId="0" borderId="0"/>
    <xf numFmtId="180" fontId="5" fillId="0" borderId="0"/>
    <xf numFmtId="180" fontId="5" fillId="0" borderId="0"/>
    <xf numFmtId="180" fontId="5" fillId="0" borderId="0"/>
    <xf numFmtId="0" fontId="5" fillId="0" borderId="0"/>
    <xf numFmtId="180" fontId="5" fillId="0" borderId="0"/>
    <xf numFmtId="180" fontId="5" fillId="0" borderId="0"/>
    <xf numFmtId="9"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2" fontId="5" fillId="0" borderId="0" applyFont="0" applyFill="0" applyBorder="0" applyAlignment="0" applyProtection="0"/>
    <xf numFmtId="173" fontId="5" fillId="0" borderId="0" applyFont="0" applyFill="0" applyBorder="0" applyAlignment="0" applyProtection="0"/>
    <xf numFmtId="180" fontId="5" fillId="0" borderId="0"/>
    <xf numFmtId="0" fontId="5" fillId="0" borderId="0"/>
    <xf numFmtId="0" fontId="5" fillId="0" borderId="0"/>
    <xf numFmtId="0" fontId="5" fillId="0" borderId="0"/>
    <xf numFmtId="0" fontId="5" fillId="0" borderId="0"/>
    <xf numFmtId="0" fontId="5" fillId="0" borderId="0"/>
    <xf numFmtId="180" fontId="5" fillId="0" borderId="0"/>
    <xf numFmtId="180" fontId="5" fillId="0" borderId="0"/>
    <xf numFmtId="0" fontId="5" fillId="0" borderId="0"/>
    <xf numFmtId="180" fontId="5" fillId="0" borderId="0"/>
    <xf numFmtId="180" fontId="5" fillId="0" borderId="0"/>
    <xf numFmtId="180" fontId="5" fillId="0" borderId="0"/>
    <xf numFmtId="0" fontId="5" fillId="0" borderId="0"/>
    <xf numFmtId="180" fontId="5" fillId="0" borderId="0"/>
    <xf numFmtId="180" fontId="5" fillId="0" borderId="0"/>
    <xf numFmtId="9"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2" fontId="5" fillId="0" borderId="0" applyFont="0" applyFill="0" applyBorder="0" applyAlignment="0" applyProtection="0"/>
    <xf numFmtId="173" fontId="5" fillId="0" borderId="0" applyFont="0" applyFill="0" applyBorder="0" applyAlignment="0" applyProtection="0"/>
    <xf numFmtId="180" fontId="5" fillId="0" borderId="0"/>
    <xf numFmtId="0" fontId="5" fillId="0" borderId="0"/>
    <xf numFmtId="0" fontId="5" fillId="0" borderId="0"/>
    <xf numFmtId="0" fontId="5" fillId="0" borderId="0"/>
    <xf numFmtId="0" fontId="5" fillId="0" borderId="0"/>
    <xf numFmtId="0" fontId="5" fillId="0" borderId="0"/>
    <xf numFmtId="180" fontId="5" fillId="0" borderId="0"/>
    <xf numFmtId="180" fontId="5" fillId="0" borderId="0"/>
    <xf numFmtId="0" fontId="5" fillId="0" borderId="0"/>
    <xf numFmtId="180" fontId="5" fillId="0" borderId="0"/>
    <xf numFmtId="180" fontId="5" fillId="0" borderId="0"/>
    <xf numFmtId="180" fontId="5" fillId="0" borderId="0"/>
    <xf numFmtId="0" fontId="5" fillId="0" borderId="0"/>
    <xf numFmtId="180" fontId="5" fillId="0" borderId="0"/>
    <xf numFmtId="180" fontId="5" fillId="0" borderId="0"/>
    <xf numFmtId="9"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2" fontId="5" fillId="0" borderId="0" applyFont="0" applyFill="0" applyBorder="0" applyAlignment="0" applyProtection="0"/>
    <xf numFmtId="173" fontId="5" fillId="0" borderId="0" applyFont="0" applyFill="0" applyBorder="0" applyAlignment="0" applyProtection="0"/>
    <xf numFmtId="180" fontId="5" fillId="0" borderId="0"/>
    <xf numFmtId="0" fontId="5" fillId="0" borderId="0"/>
    <xf numFmtId="0" fontId="5" fillId="0" borderId="0"/>
    <xf numFmtId="0" fontId="5" fillId="0" borderId="0"/>
    <xf numFmtId="0" fontId="5" fillId="0" borderId="0"/>
    <xf numFmtId="0" fontId="5" fillId="0" borderId="0"/>
    <xf numFmtId="180" fontId="5" fillId="0" borderId="0"/>
    <xf numFmtId="180" fontId="5" fillId="0" borderId="0"/>
    <xf numFmtId="0" fontId="5" fillId="0" borderId="0"/>
    <xf numFmtId="180" fontId="5" fillId="0" borderId="0"/>
    <xf numFmtId="180" fontId="5" fillId="0" borderId="0"/>
    <xf numFmtId="180" fontId="5" fillId="0" borderId="0"/>
    <xf numFmtId="0" fontId="5" fillId="0" borderId="0"/>
    <xf numFmtId="180" fontId="5" fillId="0" borderId="0"/>
    <xf numFmtId="180" fontId="5" fillId="0" borderId="0"/>
    <xf numFmtId="9"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2" fontId="5" fillId="0" borderId="0" applyFont="0" applyFill="0" applyBorder="0" applyAlignment="0" applyProtection="0"/>
    <xf numFmtId="173" fontId="5" fillId="0" borderId="0" applyFont="0" applyFill="0" applyBorder="0" applyAlignment="0" applyProtection="0"/>
    <xf numFmtId="180" fontId="5" fillId="0" borderId="0"/>
    <xf numFmtId="0" fontId="5" fillId="0" borderId="0"/>
    <xf numFmtId="0" fontId="5" fillId="0" borderId="0"/>
    <xf numFmtId="0" fontId="5" fillId="0" borderId="0"/>
    <xf numFmtId="0" fontId="5" fillId="0" borderId="0"/>
    <xf numFmtId="0" fontId="5" fillId="0" borderId="0"/>
    <xf numFmtId="180" fontId="5" fillId="0" borderId="0"/>
    <xf numFmtId="180" fontId="5" fillId="0" borderId="0"/>
    <xf numFmtId="0" fontId="5" fillId="0" borderId="0"/>
    <xf numFmtId="180" fontId="5" fillId="0" borderId="0"/>
    <xf numFmtId="180" fontId="5" fillId="0" borderId="0"/>
    <xf numFmtId="180" fontId="5" fillId="0" borderId="0"/>
    <xf numFmtId="0" fontId="5" fillId="0" borderId="0"/>
    <xf numFmtId="180" fontId="5" fillId="0" borderId="0"/>
    <xf numFmtId="180" fontId="5" fillId="0" borderId="0"/>
    <xf numFmtId="9"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2" fontId="5" fillId="0" borderId="0" applyFont="0" applyFill="0" applyBorder="0" applyAlignment="0" applyProtection="0"/>
    <xf numFmtId="173" fontId="5" fillId="0" borderId="0" applyFont="0" applyFill="0" applyBorder="0" applyAlignment="0" applyProtection="0"/>
    <xf numFmtId="180" fontId="5" fillId="0" borderId="0"/>
    <xf numFmtId="0" fontId="5" fillId="0" borderId="0"/>
    <xf numFmtId="0" fontId="5" fillId="0" borderId="0"/>
    <xf numFmtId="0" fontId="5" fillId="0" borderId="0"/>
    <xf numFmtId="0" fontId="5" fillId="0" borderId="0"/>
    <xf numFmtId="0" fontId="5" fillId="0" borderId="0"/>
    <xf numFmtId="180" fontId="5" fillId="0" borderId="0"/>
    <xf numFmtId="180" fontId="5" fillId="0" borderId="0"/>
    <xf numFmtId="0" fontId="5" fillId="0" borderId="0"/>
    <xf numFmtId="180" fontId="5" fillId="0" borderId="0"/>
    <xf numFmtId="180" fontId="5" fillId="0" borderId="0"/>
    <xf numFmtId="180" fontId="5" fillId="0" borderId="0"/>
    <xf numFmtId="0" fontId="5" fillId="0" borderId="0"/>
    <xf numFmtId="180" fontId="5" fillId="0" borderId="0"/>
    <xf numFmtId="180" fontId="5" fillId="0" borderId="0"/>
    <xf numFmtId="9"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2" fontId="5" fillId="0" borderId="0" applyFont="0" applyFill="0" applyBorder="0" applyAlignment="0" applyProtection="0"/>
    <xf numFmtId="173" fontId="5" fillId="0" borderId="0" applyFont="0" applyFill="0" applyBorder="0" applyAlignment="0" applyProtection="0"/>
    <xf numFmtId="180" fontId="5" fillId="0" borderId="0"/>
    <xf numFmtId="0" fontId="5" fillId="0" borderId="0"/>
    <xf numFmtId="0" fontId="5" fillId="0" borderId="0"/>
    <xf numFmtId="0" fontId="5" fillId="0" borderId="0"/>
    <xf numFmtId="0" fontId="5" fillId="0" borderId="0"/>
    <xf numFmtId="0" fontId="5" fillId="0" borderId="0"/>
    <xf numFmtId="180" fontId="5" fillId="0" borderId="0"/>
    <xf numFmtId="180" fontId="5" fillId="0" borderId="0"/>
    <xf numFmtId="0" fontId="5" fillId="0" borderId="0"/>
    <xf numFmtId="180" fontId="5" fillId="0" borderId="0"/>
    <xf numFmtId="180" fontId="5" fillId="0" borderId="0"/>
    <xf numFmtId="180" fontId="5" fillId="0" borderId="0"/>
    <xf numFmtId="0" fontId="5" fillId="0" borderId="0"/>
    <xf numFmtId="180" fontId="5" fillId="0" borderId="0"/>
    <xf numFmtId="180" fontId="5" fillId="0" borderId="0"/>
    <xf numFmtId="9"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2" fontId="5" fillId="0" borderId="0" applyFont="0" applyFill="0" applyBorder="0" applyAlignment="0" applyProtection="0"/>
    <xf numFmtId="173" fontId="5" fillId="0" borderId="0" applyFont="0" applyFill="0" applyBorder="0" applyAlignment="0" applyProtection="0"/>
    <xf numFmtId="180" fontId="5" fillId="0" borderId="0"/>
    <xf numFmtId="0" fontId="5" fillId="0" borderId="0"/>
    <xf numFmtId="0" fontId="5" fillId="0" borderId="0"/>
    <xf numFmtId="0" fontId="5" fillId="0" borderId="0"/>
    <xf numFmtId="0" fontId="5" fillId="0" borderId="0"/>
    <xf numFmtId="0" fontId="5" fillId="0" borderId="0"/>
    <xf numFmtId="180" fontId="5" fillId="0" borderId="0"/>
    <xf numFmtId="180" fontId="5" fillId="0" borderId="0"/>
    <xf numFmtId="0" fontId="5" fillId="0" borderId="0"/>
    <xf numFmtId="180" fontId="5" fillId="0" borderId="0"/>
    <xf numFmtId="180" fontId="5" fillId="0" borderId="0"/>
    <xf numFmtId="180" fontId="5" fillId="0" borderId="0"/>
    <xf numFmtId="0" fontId="5" fillId="0" borderId="0"/>
    <xf numFmtId="180" fontId="5" fillId="0" borderId="0"/>
    <xf numFmtId="180" fontId="5" fillId="0" borderId="0"/>
    <xf numFmtId="9" fontId="5" fillId="0" borderId="0" applyFont="0" applyFill="0" applyBorder="0" applyAlignment="0" applyProtection="0"/>
    <xf numFmtId="0" fontId="5" fillId="0" borderId="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2" fontId="5" fillId="0" borderId="0" applyFont="0" applyFill="0" applyBorder="0" applyAlignment="0" applyProtection="0"/>
    <xf numFmtId="173" fontId="5" fillId="0" borderId="0" applyFont="0" applyFill="0" applyBorder="0" applyAlignment="0" applyProtection="0"/>
    <xf numFmtId="180" fontId="5" fillId="0" borderId="0"/>
    <xf numFmtId="0" fontId="5" fillId="0" borderId="0"/>
    <xf numFmtId="0" fontId="5" fillId="0" borderId="0"/>
    <xf numFmtId="0" fontId="5" fillId="0" borderId="0"/>
    <xf numFmtId="0" fontId="5" fillId="0" borderId="0"/>
    <xf numFmtId="0" fontId="5" fillId="0" borderId="0"/>
    <xf numFmtId="180" fontId="5" fillId="0" borderId="0"/>
    <xf numFmtId="180" fontId="5" fillId="0" borderId="0"/>
    <xf numFmtId="0" fontId="5" fillId="0" borderId="0"/>
    <xf numFmtId="180" fontId="5" fillId="0" borderId="0"/>
    <xf numFmtId="180" fontId="5" fillId="0" borderId="0"/>
    <xf numFmtId="180" fontId="5" fillId="0" borderId="0"/>
    <xf numFmtId="0" fontId="5" fillId="0" borderId="0"/>
    <xf numFmtId="180" fontId="5" fillId="0" borderId="0"/>
    <xf numFmtId="180" fontId="5" fillId="0" borderId="0"/>
    <xf numFmtId="9"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2" fontId="5" fillId="0" borderId="0" applyFont="0" applyFill="0" applyBorder="0" applyAlignment="0" applyProtection="0"/>
    <xf numFmtId="173" fontId="5" fillId="0" borderId="0" applyFont="0" applyFill="0" applyBorder="0" applyAlignment="0" applyProtection="0"/>
    <xf numFmtId="180" fontId="5" fillId="0" borderId="0"/>
    <xf numFmtId="0" fontId="5" fillId="0" borderId="0"/>
    <xf numFmtId="0" fontId="5" fillId="0" borderId="0"/>
    <xf numFmtId="0" fontId="5" fillId="0" borderId="0"/>
    <xf numFmtId="0" fontId="5" fillId="0" borderId="0"/>
    <xf numFmtId="0" fontId="5" fillId="0" borderId="0"/>
    <xf numFmtId="180" fontId="5" fillId="0" borderId="0"/>
    <xf numFmtId="180" fontId="5" fillId="0" borderId="0"/>
    <xf numFmtId="0" fontId="5" fillId="0" borderId="0"/>
    <xf numFmtId="180" fontId="5" fillId="0" borderId="0"/>
    <xf numFmtId="180" fontId="5" fillId="0" borderId="0"/>
    <xf numFmtId="180" fontId="5" fillId="0" borderId="0"/>
    <xf numFmtId="0" fontId="5" fillId="0" borderId="0"/>
    <xf numFmtId="180" fontId="5" fillId="0" borderId="0"/>
    <xf numFmtId="180" fontId="5" fillId="0" borderId="0"/>
    <xf numFmtId="9"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2" fontId="5" fillId="0" borderId="0" applyFont="0" applyFill="0" applyBorder="0" applyAlignment="0" applyProtection="0"/>
    <xf numFmtId="173" fontId="5" fillId="0" borderId="0" applyFont="0" applyFill="0" applyBorder="0" applyAlignment="0" applyProtection="0"/>
    <xf numFmtId="180" fontId="5" fillId="0" borderId="0"/>
    <xf numFmtId="0" fontId="5" fillId="0" borderId="0"/>
    <xf numFmtId="0" fontId="5" fillId="0" borderId="0"/>
    <xf numFmtId="0" fontId="5" fillId="0" borderId="0"/>
    <xf numFmtId="0" fontId="5" fillId="0" borderId="0"/>
    <xf numFmtId="0" fontId="5" fillId="0" borderId="0"/>
    <xf numFmtId="180" fontId="5" fillId="0" borderId="0"/>
    <xf numFmtId="180" fontId="5" fillId="0" borderId="0"/>
    <xf numFmtId="0" fontId="5" fillId="0" borderId="0"/>
    <xf numFmtId="180" fontId="5" fillId="0" borderId="0"/>
    <xf numFmtId="180" fontId="5" fillId="0" borderId="0"/>
    <xf numFmtId="180" fontId="5" fillId="0" borderId="0"/>
    <xf numFmtId="0" fontId="5" fillId="0" borderId="0"/>
    <xf numFmtId="180" fontId="5" fillId="0" borderId="0"/>
    <xf numFmtId="180" fontId="5" fillId="0" borderId="0"/>
    <xf numFmtId="9"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2" fontId="5" fillId="0" borderId="0" applyFont="0" applyFill="0" applyBorder="0" applyAlignment="0" applyProtection="0"/>
    <xf numFmtId="173" fontId="5" fillId="0" borderId="0" applyFont="0" applyFill="0" applyBorder="0" applyAlignment="0" applyProtection="0"/>
    <xf numFmtId="180" fontId="5" fillId="0" borderId="0"/>
    <xf numFmtId="0" fontId="5" fillId="0" borderId="0"/>
    <xf numFmtId="0" fontId="5" fillId="0" borderId="0"/>
    <xf numFmtId="0" fontId="5" fillId="0" borderId="0"/>
    <xf numFmtId="0" fontId="5" fillId="0" borderId="0"/>
    <xf numFmtId="0" fontId="5" fillId="0" borderId="0"/>
    <xf numFmtId="180" fontId="5" fillId="0" borderId="0"/>
    <xf numFmtId="180" fontId="5" fillId="0" borderId="0"/>
    <xf numFmtId="0" fontId="5" fillId="0" borderId="0"/>
    <xf numFmtId="180" fontId="5" fillId="0" borderId="0"/>
    <xf numFmtId="180" fontId="5" fillId="0" borderId="0"/>
    <xf numFmtId="180" fontId="5" fillId="0" borderId="0"/>
    <xf numFmtId="0" fontId="5" fillId="0" borderId="0"/>
    <xf numFmtId="180" fontId="5" fillId="0" borderId="0"/>
    <xf numFmtId="180" fontId="5" fillId="0" borderId="0"/>
    <xf numFmtId="9"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2" fontId="5" fillId="0" borderId="0" applyFont="0" applyFill="0" applyBorder="0" applyAlignment="0" applyProtection="0"/>
    <xf numFmtId="173" fontId="5" fillId="0" borderId="0" applyFont="0" applyFill="0" applyBorder="0" applyAlignment="0" applyProtection="0"/>
    <xf numFmtId="180" fontId="5" fillId="0" borderId="0"/>
    <xf numFmtId="0" fontId="5" fillId="0" borderId="0"/>
    <xf numFmtId="0" fontId="5" fillId="0" borderId="0"/>
    <xf numFmtId="0" fontId="5" fillId="0" borderId="0"/>
    <xf numFmtId="0" fontId="5" fillId="0" borderId="0"/>
    <xf numFmtId="0" fontId="5" fillId="0" borderId="0"/>
    <xf numFmtId="180" fontId="5" fillId="0" borderId="0"/>
    <xf numFmtId="180" fontId="5" fillId="0" borderId="0"/>
    <xf numFmtId="0" fontId="5" fillId="0" borderId="0"/>
    <xf numFmtId="180" fontId="5" fillId="0" borderId="0"/>
    <xf numFmtId="180" fontId="5" fillId="0" borderId="0"/>
    <xf numFmtId="180" fontId="5" fillId="0" borderId="0"/>
    <xf numFmtId="0" fontId="5" fillId="0" borderId="0"/>
    <xf numFmtId="180" fontId="5" fillId="0" borderId="0"/>
    <xf numFmtId="180" fontId="5" fillId="0" borderId="0"/>
    <xf numFmtId="9"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2" fontId="5" fillId="0" borderId="0" applyFont="0" applyFill="0" applyBorder="0" applyAlignment="0" applyProtection="0"/>
    <xf numFmtId="173" fontId="5" fillId="0" borderId="0" applyFont="0" applyFill="0" applyBorder="0" applyAlignment="0" applyProtection="0"/>
    <xf numFmtId="180" fontId="5" fillId="0" borderId="0"/>
    <xf numFmtId="0" fontId="5" fillId="0" borderId="0"/>
    <xf numFmtId="0" fontId="5" fillId="0" borderId="0"/>
    <xf numFmtId="0" fontId="5" fillId="0" borderId="0"/>
    <xf numFmtId="0" fontId="5" fillId="0" borderId="0"/>
    <xf numFmtId="0" fontId="5" fillId="0" borderId="0"/>
    <xf numFmtId="180" fontId="5" fillId="0" borderId="0"/>
    <xf numFmtId="180" fontId="5" fillId="0" borderId="0"/>
    <xf numFmtId="0" fontId="5" fillId="0" borderId="0"/>
    <xf numFmtId="180" fontId="5" fillId="0" borderId="0"/>
    <xf numFmtId="180" fontId="5" fillId="0" borderId="0"/>
    <xf numFmtId="180" fontId="5" fillId="0" borderId="0"/>
    <xf numFmtId="0" fontId="5" fillId="0" borderId="0"/>
    <xf numFmtId="180" fontId="5" fillId="0" borderId="0"/>
    <xf numFmtId="180" fontId="5" fillId="0" borderId="0"/>
    <xf numFmtId="9"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2" fontId="5" fillId="0" borderId="0" applyFont="0" applyFill="0" applyBorder="0" applyAlignment="0" applyProtection="0"/>
    <xf numFmtId="173" fontId="5" fillId="0" borderId="0" applyFont="0" applyFill="0" applyBorder="0" applyAlignment="0" applyProtection="0"/>
    <xf numFmtId="180" fontId="5" fillId="0" borderId="0"/>
    <xf numFmtId="0" fontId="5" fillId="0" borderId="0"/>
    <xf numFmtId="0" fontId="5" fillId="0" borderId="0"/>
    <xf numFmtId="0" fontId="5" fillId="0" borderId="0"/>
    <xf numFmtId="0" fontId="5" fillId="0" borderId="0"/>
    <xf numFmtId="0" fontId="5" fillId="0" borderId="0"/>
    <xf numFmtId="180" fontId="5" fillId="0" borderId="0"/>
    <xf numFmtId="180" fontId="5" fillId="0" borderId="0"/>
    <xf numFmtId="0" fontId="5" fillId="0" borderId="0"/>
    <xf numFmtId="180" fontId="5" fillId="0" borderId="0"/>
    <xf numFmtId="180" fontId="5" fillId="0" borderId="0"/>
    <xf numFmtId="180" fontId="5" fillId="0" borderId="0"/>
    <xf numFmtId="0" fontId="5" fillId="0" borderId="0"/>
    <xf numFmtId="180" fontId="5" fillId="0" borderId="0"/>
    <xf numFmtId="180" fontId="5" fillId="0" borderId="0"/>
    <xf numFmtId="9"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2" fontId="5" fillId="0" borderId="0" applyFont="0" applyFill="0" applyBorder="0" applyAlignment="0" applyProtection="0"/>
    <xf numFmtId="173" fontId="5" fillId="0" borderId="0" applyFont="0" applyFill="0" applyBorder="0" applyAlignment="0" applyProtection="0"/>
    <xf numFmtId="180" fontId="5" fillId="0" borderId="0"/>
    <xf numFmtId="0" fontId="5" fillId="0" borderId="0"/>
    <xf numFmtId="0" fontId="5" fillId="0" borderId="0"/>
    <xf numFmtId="0" fontId="5" fillId="0" borderId="0"/>
    <xf numFmtId="0" fontId="5" fillId="0" borderId="0"/>
    <xf numFmtId="0" fontId="5" fillId="0" borderId="0"/>
    <xf numFmtId="180" fontId="5" fillId="0" borderId="0"/>
    <xf numFmtId="180" fontId="5" fillId="0" borderId="0"/>
    <xf numFmtId="0" fontId="5" fillId="0" borderId="0"/>
    <xf numFmtId="180" fontId="5" fillId="0" borderId="0"/>
    <xf numFmtId="180" fontId="5" fillId="0" borderId="0"/>
    <xf numFmtId="180" fontId="5" fillId="0" borderId="0"/>
    <xf numFmtId="0" fontId="5" fillId="0" borderId="0"/>
    <xf numFmtId="180" fontId="5" fillId="0" borderId="0"/>
    <xf numFmtId="180" fontId="5" fillId="0" borderId="0"/>
    <xf numFmtId="9" fontId="5" fillId="0" borderId="0" applyFont="0" applyFill="0" applyBorder="0" applyAlignment="0" applyProtection="0"/>
    <xf numFmtId="170" fontId="5" fillId="0" borderId="0" applyFont="0" applyFill="0" applyBorder="0" applyAlignment="0" applyProtection="0"/>
    <xf numFmtId="43" fontId="5" fillId="0" borderId="0" applyFont="0" applyFill="0" applyBorder="0" applyAlignment="0" applyProtection="0"/>
    <xf numFmtId="0" fontId="5" fillId="0" borderId="0"/>
    <xf numFmtId="168" fontId="5" fillId="0" borderId="0" applyFont="0" applyFill="0" applyBorder="0" applyAlignment="0" applyProtection="0"/>
    <xf numFmtId="18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180" fontId="5" fillId="0" borderId="0"/>
    <xf numFmtId="180" fontId="5" fillId="0" borderId="0"/>
    <xf numFmtId="0" fontId="5" fillId="0" borderId="0"/>
    <xf numFmtId="180" fontId="5" fillId="0" borderId="0"/>
    <xf numFmtId="180" fontId="5" fillId="0" borderId="0"/>
    <xf numFmtId="180" fontId="5" fillId="0" borderId="0"/>
    <xf numFmtId="0" fontId="5" fillId="0" borderId="0"/>
    <xf numFmtId="180" fontId="5" fillId="0" borderId="0"/>
    <xf numFmtId="180" fontId="5" fillId="0" borderId="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2" fontId="5" fillId="0" borderId="0" applyFont="0" applyFill="0" applyBorder="0" applyAlignment="0" applyProtection="0"/>
    <xf numFmtId="173" fontId="5" fillId="0" borderId="0" applyFont="0" applyFill="0" applyBorder="0" applyAlignment="0" applyProtection="0"/>
    <xf numFmtId="180" fontId="5" fillId="0" borderId="0"/>
    <xf numFmtId="0" fontId="5" fillId="0" borderId="0"/>
    <xf numFmtId="0" fontId="5" fillId="0" borderId="0"/>
    <xf numFmtId="0" fontId="5" fillId="0" borderId="0"/>
    <xf numFmtId="0" fontId="5" fillId="0" borderId="0"/>
    <xf numFmtId="0" fontId="5" fillId="0" borderId="0"/>
    <xf numFmtId="180" fontId="5" fillId="0" borderId="0"/>
    <xf numFmtId="180" fontId="5" fillId="0" borderId="0"/>
    <xf numFmtId="0" fontId="5" fillId="0" borderId="0"/>
    <xf numFmtId="180" fontId="5" fillId="0" borderId="0"/>
    <xf numFmtId="180" fontId="5" fillId="0" borderId="0"/>
    <xf numFmtId="180" fontId="5" fillId="0" borderId="0"/>
    <xf numFmtId="0" fontId="5" fillId="0" borderId="0"/>
    <xf numFmtId="180" fontId="5" fillId="0" borderId="0"/>
    <xf numFmtId="180" fontId="5" fillId="0" borderId="0"/>
    <xf numFmtId="9" fontId="5" fillId="0" borderId="0" applyFont="0" applyFill="0" applyBorder="0" applyAlignment="0" applyProtection="0"/>
    <xf numFmtId="0" fontId="5" fillId="0" borderId="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2" fontId="5" fillId="0" borderId="0" applyFont="0" applyFill="0" applyBorder="0" applyAlignment="0" applyProtection="0"/>
    <xf numFmtId="173" fontId="5" fillId="0" borderId="0" applyFont="0" applyFill="0" applyBorder="0" applyAlignment="0" applyProtection="0"/>
    <xf numFmtId="180" fontId="5" fillId="0" borderId="0"/>
    <xf numFmtId="0" fontId="5" fillId="0" borderId="0"/>
    <xf numFmtId="0" fontId="5" fillId="0" borderId="0"/>
    <xf numFmtId="0" fontId="5" fillId="0" borderId="0"/>
    <xf numFmtId="0" fontId="5" fillId="0" borderId="0"/>
    <xf numFmtId="0" fontId="5" fillId="0" borderId="0"/>
    <xf numFmtId="180" fontId="5" fillId="0" borderId="0"/>
    <xf numFmtId="180" fontId="5" fillId="0" borderId="0"/>
    <xf numFmtId="0" fontId="5" fillId="0" borderId="0"/>
    <xf numFmtId="180" fontId="5" fillId="0" borderId="0"/>
    <xf numFmtId="180" fontId="5" fillId="0" borderId="0"/>
    <xf numFmtId="180" fontId="5" fillId="0" borderId="0"/>
    <xf numFmtId="0" fontId="5" fillId="0" borderId="0"/>
    <xf numFmtId="180" fontId="5" fillId="0" borderId="0"/>
    <xf numFmtId="180" fontId="5" fillId="0" borderId="0"/>
    <xf numFmtId="9"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2" fontId="5" fillId="0" borderId="0" applyFont="0" applyFill="0" applyBorder="0" applyAlignment="0" applyProtection="0"/>
    <xf numFmtId="173" fontId="5" fillId="0" borderId="0" applyFont="0" applyFill="0" applyBorder="0" applyAlignment="0" applyProtection="0"/>
    <xf numFmtId="180" fontId="5" fillId="0" borderId="0"/>
    <xf numFmtId="0" fontId="5" fillId="0" borderId="0"/>
    <xf numFmtId="0" fontId="5" fillId="0" borderId="0"/>
    <xf numFmtId="0" fontId="5" fillId="0" borderId="0"/>
    <xf numFmtId="0" fontId="5" fillId="0" borderId="0"/>
    <xf numFmtId="0" fontId="5" fillId="0" borderId="0"/>
    <xf numFmtId="180" fontId="5" fillId="0" borderId="0"/>
    <xf numFmtId="180" fontId="5" fillId="0" borderId="0"/>
    <xf numFmtId="0" fontId="5" fillId="0" borderId="0"/>
    <xf numFmtId="180" fontId="5" fillId="0" borderId="0"/>
    <xf numFmtId="180" fontId="5" fillId="0" borderId="0"/>
    <xf numFmtId="180" fontId="5" fillId="0" borderId="0"/>
    <xf numFmtId="0" fontId="5" fillId="0" borderId="0"/>
    <xf numFmtId="180" fontId="5" fillId="0" borderId="0"/>
    <xf numFmtId="180" fontId="5" fillId="0" borderId="0"/>
    <xf numFmtId="9"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2" fontId="5" fillId="0" borderId="0" applyFont="0" applyFill="0" applyBorder="0" applyAlignment="0" applyProtection="0"/>
    <xf numFmtId="173" fontId="5" fillId="0" borderId="0" applyFont="0" applyFill="0" applyBorder="0" applyAlignment="0" applyProtection="0"/>
    <xf numFmtId="180" fontId="5" fillId="0" borderId="0"/>
    <xf numFmtId="0" fontId="5" fillId="0" borderId="0"/>
    <xf numFmtId="0" fontId="5" fillId="0" borderId="0"/>
    <xf numFmtId="0" fontId="5" fillId="0" borderId="0"/>
    <xf numFmtId="0" fontId="5" fillId="0" borderId="0"/>
    <xf numFmtId="0" fontId="5" fillId="0" borderId="0"/>
    <xf numFmtId="180" fontId="5" fillId="0" borderId="0"/>
    <xf numFmtId="180" fontId="5" fillId="0" borderId="0"/>
    <xf numFmtId="0" fontId="5" fillId="0" borderId="0"/>
    <xf numFmtId="180" fontId="5" fillId="0" borderId="0"/>
    <xf numFmtId="180" fontId="5" fillId="0" borderId="0"/>
    <xf numFmtId="180" fontId="5" fillId="0" borderId="0"/>
    <xf numFmtId="0" fontId="5" fillId="0" borderId="0"/>
    <xf numFmtId="180" fontId="5" fillId="0" borderId="0"/>
    <xf numFmtId="180" fontId="5" fillId="0" borderId="0"/>
    <xf numFmtId="9"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2" fontId="5" fillId="0" borderId="0" applyFont="0" applyFill="0" applyBorder="0" applyAlignment="0" applyProtection="0"/>
    <xf numFmtId="173" fontId="5" fillId="0" borderId="0" applyFont="0" applyFill="0" applyBorder="0" applyAlignment="0" applyProtection="0"/>
    <xf numFmtId="180" fontId="5" fillId="0" borderId="0"/>
    <xf numFmtId="0" fontId="5" fillId="0" borderId="0"/>
    <xf numFmtId="0" fontId="5" fillId="0" borderId="0"/>
    <xf numFmtId="0" fontId="5" fillId="0" borderId="0"/>
    <xf numFmtId="0" fontId="5" fillId="0" borderId="0"/>
    <xf numFmtId="0" fontId="5" fillId="0" borderId="0"/>
    <xf numFmtId="180" fontId="5" fillId="0" borderId="0"/>
    <xf numFmtId="180" fontId="5" fillId="0" borderId="0"/>
    <xf numFmtId="0" fontId="5" fillId="0" borderId="0"/>
    <xf numFmtId="180" fontId="5" fillId="0" borderId="0"/>
    <xf numFmtId="180" fontId="5" fillId="0" borderId="0"/>
    <xf numFmtId="180" fontId="5" fillId="0" borderId="0"/>
    <xf numFmtId="0" fontId="5" fillId="0" borderId="0"/>
    <xf numFmtId="180" fontId="5" fillId="0" borderId="0"/>
    <xf numFmtId="180" fontId="5" fillId="0" borderId="0"/>
    <xf numFmtId="9"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2" fontId="5" fillId="0" borderId="0" applyFont="0" applyFill="0" applyBorder="0" applyAlignment="0" applyProtection="0"/>
    <xf numFmtId="173" fontId="5" fillId="0" borderId="0" applyFont="0" applyFill="0" applyBorder="0" applyAlignment="0" applyProtection="0"/>
    <xf numFmtId="180" fontId="5" fillId="0" borderId="0"/>
    <xf numFmtId="0" fontId="5" fillId="0" borderId="0"/>
    <xf numFmtId="0" fontId="5" fillId="0" borderId="0"/>
    <xf numFmtId="0" fontId="5" fillId="0" borderId="0"/>
    <xf numFmtId="0" fontId="5" fillId="0" borderId="0"/>
    <xf numFmtId="0" fontId="5" fillId="0" borderId="0"/>
    <xf numFmtId="180" fontId="5" fillId="0" borderId="0"/>
    <xf numFmtId="180" fontId="5" fillId="0" borderId="0"/>
    <xf numFmtId="0" fontId="5" fillId="0" borderId="0"/>
    <xf numFmtId="180" fontId="5" fillId="0" borderId="0"/>
    <xf numFmtId="180" fontId="5" fillId="0" borderId="0"/>
    <xf numFmtId="180" fontId="5" fillId="0" borderId="0"/>
    <xf numFmtId="0" fontId="5" fillId="0" borderId="0"/>
    <xf numFmtId="180" fontId="5" fillId="0" borderId="0"/>
    <xf numFmtId="180" fontId="5" fillId="0" borderId="0"/>
    <xf numFmtId="9"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2" fontId="5" fillId="0" borderId="0" applyFont="0" applyFill="0" applyBorder="0" applyAlignment="0" applyProtection="0"/>
    <xf numFmtId="173" fontId="5" fillId="0" borderId="0" applyFont="0" applyFill="0" applyBorder="0" applyAlignment="0" applyProtection="0"/>
    <xf numFmtId="180" fontId="5" fillId="0" borderId="0"/>
    <xf numFmtId="0" fontId="5" fillId="0" borderId="0"/>
    <xf numFmtId="0" fontId="5" fillId="0" borderId="0"/>
    <xf numFmtId="0" fontId="5" fillId="0" borderId="0"/>
    <xf numFmtId="0" fontId="5" fillId="0" borderId="0"/>
    <xf numFmtId="0" fontId="5" fillId="0" borderId="0"/>
    <xf numFmtId="180" fontId="5" fillId="0" borderId="0"/>
    <xf numFmtId="180" fontId="5" fillId="0" borderId="0"/>
    <xf numFmtId="0" fontId="5" fillId="0" borderId="0"/>
    <xf numFmtId="180" fontId="5" fillId="0" borderId="0"/>
    <xf numFmtId="180" fontId="5" fillId="0" borderId="0"/>
    <xf numFmtId="180" fontId="5" fillId="0" borderId="0"/>
    <xf numFmtId="0" fontId="5" fillId="0" borderId="0"/>
    <xf numFmtId="180" fontId="5" fillId="0" borderId="0"/>
    <xf numFmtId="180" fontId="5" fillId="0" borderId="0"/>
    <xf numFmtId="9"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2" fontId="5" fillId="0" borderId="0" applyFont="0" applyFill="0" applyBorder="0" applyAlignment="0" applyProtection="0"/>
    <xf numFmtId="173" fontId="5" fillId="0" borderId="0" applyFont="0" applyFill="0" applyBorder="0" applyAlignment="0" applyProtection="0"/>
    <xf numFmtId="180" fontId="5" fillId="0" borderId="0"/>
    <xf numFmtId="0" fontId="5" fillId="0" borderId="0"/>
    <xf numFmtId="0" fontId="5" fillId="0" borderId="0"/>
    <xf numFmtId="0" fontId="5" fillId="0" borderId="0"/>
    <xf numFmtId="0" fontId="5" fillId="0" borderId="0"/>
    <xf numFmtId="0" fontId="5" fillId="0" borderId="0"/>
    <xf numFmtId="180" fontId="5" fillId="0" borderId="0"/>
    <xf numFmtId="180" fontId="5" fillId="0" borderId="0"/>
    <xf numFmtId="0" fontId="5" fillId="0" borderId="0"/>
    <xf numFmtId="180" fontId="5" fillId="0" borderId="0"/>
    <xf numFmtId="180" fontId="5" fillId="0" borderId="0"/>
    <xf numFmtId="180" fontId="5" fillId="0" borderId="0"/>
    <xf numFmtId="0" fontId="5" fillId="0" borderId="0"/>
    <xf numFmtId="180" fontId="5" fillId="0" borderId="0"/>
    <xf numFmtId="180" fontId="5" fillId="0" borderId="0"/>
    <xf numFmtId="9" fontId="5" fillId="0" borderId="0" applyFont="0" applyFill="0" applyBorder="0" applyAlignment="0" applyProtection="0"/>
    <xf numFmtId="18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180" fontId="5" fillId="0" borderId="0"/>
    <xf numFmtId="180" fontId="5" fillId="0" borderId="0"/>
    <xf numFmtId="0" fontId="5" fillId="0" borderId="0"/>
    <xf numFmtId="180" fontId="5" fillId="0" borderId="0"/>
    <xf numFmtId="180" fontId="5" fillId="0" borderId="0"/>
    <xf numFmtId="180" fontId="5" fillId="0" borderId="0"/>
    <xf numFmtId="0" fontId="5" fillId="0" borderId="0"/>
    <xf numFmtId="180" fontId="5" fillId="0" borderId="0"/>
    <xf numFmtId="180" fontId="5" fillId="0" borderId="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2" fontId="5" fillId="0" borderId="0" applyFont="0" applyFill="0" applyBorder="0" applyAlignment="0" applyProtection="0"/>
    <xf numFmtId="173" fontId="5" fillId="0" borderId="0" applyFont="0" applyFill="0" applyBorder="0" applyAlignment="0" applyProtection="0"/>
    <xf numFmtId="180" fontId="5" fillId="0" borderId="0"/>
    <xf numFmtId="0" fontId="5" fillId="0" borderId="0"/>
    <xf numFmtId="0" fontId="5" fillId="0" borderId="0"/>
    <xf numFmtId="0" fontId="5" fillId="0" borderId="0"/>
    <xf numFmtId="0" fontId="5" fillId="0" borderId="0"/>
    <xf numFmtId="0" fontId="5" fillId="0" borderId="0"/>
    <xf numFmtId="180" fontId="5" fillId="0" borderId="0"/>
    <xf numFmtId="180" fontId="5" fillId="0" borderId="0"/>
    <xf numFmtId="0" fontId="5" fillId="0" borderId="0"/>
    <xf numFmtId="180" fontId="5" fillId="0" borderId="0"/>
    <xf numFmtId="180" fontId="5" fillId="0" borderId="0"/>
    <xf numFmtId="180" fontId="5" fillId="0" borderId="0"/>
    <xf numFmtId="0" fontId="5" fillId="0" borderId="0"/>
    <xf numFmtId="180" fontId="5" fillId="0" borderId="0"/>
    <xf numFmtId="180" fontId="5" fillId="0" borderId="0"/>
    <xf numFmtId="9" fontId="5" fillId="0" borderId="0" applyFont="0" applyFill="0" applyBorder="0" applyAlignment="0" applyProtection="0"/>
    <xf numFmtId="0" fontId="5" fillId="0" borderId="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2" fontId="5" fillId="0" borderId="0" applyFont="0" applyFill="0" applyBorder="0" applyAlignment="0" applyProtection="0"/>
    <xf numFmtId="173" fontId="5" fillId="0" borderId="0" applyFont="0" applyFill="0" applyBorder="0" applyAlignment="0" applyProtection="0"/>
    <xf numFmtId="180" fontId="5" fillId="0" borderId="0"/>
    <xf numFmtId="0" fontId="5" fillId="0" borderId="0"/>
    <xf numFmtId="0" fontId="5" fillId="0" borderId="0"/>
    <xf numFmtId="0" fontId="5" fillId="0" borderId="0"/>
    <xf numFmtId="0" fontId="5" fillId="0" borderId="0"/>
    <xf numFmtId="0" fontId="5" fillId="0" borderId="0"/>
    <xf numFmtId="180" fontId="5" fillId="0" borderId="0"/>
    <xf numFmtId="180" fontId="5" fillId="0" borderId="0"/>
    <xf numFmtId="0" fontId="5" fillId="0" borderId="0"/>
    <xf numFmtId="180" fontId="5" fillId="0" borderId="0"/>
    <xf numFmtId="180" fontId="5" fillId="0" borderId="0"/>
    <xf numFmtId="180" fontId="5" fillId="0" borderId="0"/>
    <xf numFmtId="0" fontId="5" fillId="0" borderId="0"/>
    <xf numFmtId="180" fontId="5" fillId="0" borderId="0"/>
    <xf numFmtId="180" fontId="5" fillId="0" borderId="0"/>
    <xf numFmtId="9"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2" fontId="5" fillId="0" borderId="0" applyFont="0" applyFill="0" applyBorder="0" applyAlignment="0" applyProtection="0"/>
    <xf numFmtId="173" fontId="5" fillId="0" borderId="0" applyFont="0" applyFill="0" applyBorder="0" applyAlignment="0" applyProtection="0"/>
    <xf numFmtId="180" fontId="5" fillId="0" borderId="0"/>
    <xf numFmtId="0" fontId="5" fillId="0" borderId="0"/>
    <xf numFmtId="0" fontId="5" fillId="0" borderId="0"/>
    <xf numFmtId="0" fontId="5" fillId="0" borderId="0"/>
    <xf numFmtId="0" fontId="5" fillId="0" borderId="0"/>
    <xf numFmtId="0" fontId="5" fillId="0" borderId="0"/>
    <xf numFmtId="180" fontId="5" fillId="0" borderId="0"/>
    <xf numFmtId="180" fontId="5" fillId="0" borderId="0"/>
    <xf numFmtId="0" fontId="5" fillId="0" borderId="0"/>
    <xf numFmtId="180" fontId="5" fillId="0" borderId="0"/>
    <xf numFmtId="180" fontId="5" fillId="0" borderId="0"/>
    <xf numFmtId="180" fontId="5" fillId="0" borderId="0"/>
    <xf numFmtId="0" fontId="5" fillId="0" borderId="0"/>
    <xf numFmtId="180" fontId="5" fillId="0" borderId="0"/>
    <xf numFmtId="180" fontId="5" fillId="0" borderId="0"/>
    <xf numFmtId="9"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2" fontId="5" fillId="0" borderId="0" applyFont="0" applyFill="0" applyBorder="0" applyAlignment="0" applyProtection="0"/>
    <xf numFmtId="173" fontId="5" fillId="0" borderId="0" applyFont="0" applyFill="0" applyBorder="0" applyAlignment="0" applyProtection="0"/>
    <xf numFmtId="180" fontId="5" fillId="0" borderId="0"/>
    <xf numFmtId="0" fontId="5" fillId="0" borderId="0"/>
    <xf numFmtId="0" fontId="5" fillId="0" borderId="0"/>
    <xf numFmtId="0" fontId="5" fillId="0" borderId="0"/>
    <xf numFmtId="0" fontId="5" fillId="0" borderId="0"/>
    <xf numFmtId="0" fontId="5" fillId="0" borderId="0"/>
    <xf numFmtId="180" fontId="5" fillId="0" borderId="0"/>
    <xf numFmtId="180" fontId="5" fillId="0" borderId="0"/>
    <xf numFmtId="0" fontId="5" fillId="0" borderId="0"/>
    <xf numFmtId="180" fontId="5" fillId="0" borderId="0"/>
    <xf numFmtId="180" fontId="5" fillId="0" borderId="0"/>
    <xf numFmtId="180" fontId="5" fillId="0" borderId="0"/>
    <xf numFmtId="0" fontId="5" fillId="0" borderId="0"/>
    <xf numFmtId="180" fontId="5" fillId="0" borderId="0"/>
    <xf numFmtId="180" fontId="5" fillId="0" borderId="0"/>
    <xf numFmtId="9"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2" fontId="5" fillId="0" borderId="0" applyFont="0" applyFill="0" applyBorder="0" applyAlignment="0" applyProtection="0"/>
    <xf numFmtId="173" fontId="5" fillId="0" borderId="0" applyFont="0" applyFill="0" applyBorder="0" applyAlignment="0" applyProtection="0"/>
    <xf numFmtId="180" fontId="5" fillId="0" borderId="0"/>
    <xf numFmtId="0" fontId="5" fillId="0" borderId="0"/>
    <xf numFmtId="0" fontId="5" fillId="0" borderId="0"/>
    <xf numFmtId="0" fontId="5" fillId="0" borderId="0"/>
    <xf numFmtId="0" fontId="5" fillId="0" borderId="0"/>
    <xf numFmtId="0" fontId="5" fillId="0" borderId="0"/>
    <xf numFmtId="180" fontId="5" fillId="0" borderId="0"/>
    <xf numFmtId="180" fontId="5" fillId="0" borderId="0"/>
    <xf numFmtId="0" fontId="5" fillId="0" borderId="0"/>
    <xf numFmtId="180" fontId="5" fillId="0" borderId="0"/>
    <xf numFmtId="180" fontId="5" fillId="0" borderId="0"/>
    <xf numFmtId="180" fontId="5" fillId="0" borderId="0"/>
    <xf numFmtId="0" fontId="5" fillId="0" borderId="0"/>
    <xf numFmtId="180" fontId="5" fillId="0" borderId="0"/>
    <xf numFmtId="180" fontId="5" fillId="0" borderId="0"/>
    <xf numFmtId="9"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2" fontId="5" fillId="0" borderId="0" applyFont="0" applyFill="0" applyBorder="0" applyAlignment="0" applyProtection="0"/>
    <xf numFmtId="173" fontId="5" fillId="0" borderId="0" applyFont="0" applyFill="0" applyBorder="0" applyAlignment="0" applyProtection="0"/>
    <xf numFmtId="180" fontId="5" fillId="0" borderId="0"/>
    <xf numFmtId="0" fontId="5" fillId="0" borderId="0"/>
    <xf numFmtId="0" fontId="5" fillId="0" borderId="0"/>
    <xf numFmtId="0" fontId="5" fillId="0" borderId="0"/>
    <xf numFmtId="0" fontId="5" fillId="0" borderId="0"/>
    <xf numFmtId="0" fontId="5" fillId="0" borderId="0"/>
    <xf numFmtId="180" fontId="5" fillId="0" borderId="0"/>
    <xf numFmtId="180" fontId="5" fillId="0" borderId="0"/>
    <xf numFmtId="0" fontId="5" fillId="0" borderId="0"/>
    <xf numFmtId="180" fontId="5" fillId="0" borderId="0"/>
    <xf numFmtId="180" fontId="5" fillId="0" borderId="0"/>
    <xf numFmtId="180" fontId="5" fillId="0" borderId="0"/>
    <xf numFmtId="0" fontId="5" fillId="0" borderId="0"/>
    <xf numFmtId="180" fontId="5" fillId="0" borderId="0"/>
    <xf numFmtId="180" fontId="5" fillId="0" borderId="0"/>
    <xf numFmtId="9"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2" fontId="5" fillId="0" borderId="0" applyFont="0" applyFill="0" applyBorder="0" applyAlignment="0" applyProtection="0"/>
    <xf numFmtId="173" fontId="5" fillId="0" borderId="0" applyFont="0" applyFill="0" applyBorder="0" applyAlignment="0" applyProtection="0"/>
    <xf numFmtId="180" fontId="5" fillId="0" borderId="0"/>
    <xf numFmtId="0" fontId="5" fillId="0" borderId="0"/>
    <xf numFmtId="0" fontId="5" fillId="0" borderId="0"/>
    <xf numFmtId="0" fontId="5" fillId="0" borderId="0"/>
    <xf numFmtId="0" fontId="5" fillId="0" borderId="0"/>
    <xf numFmtId="0" fontId="5" fillId="0" borderId="0"/>
    <xf numFmtId="180" fontId="5" fillId="0" borderId="0"/>
    <xf numFmtId="180" fontId="5" fillId="0" borderId="0"/>
    <xf numFmtId="0" fontId="5" fillId="0" borderId="0"/>
    <xf numFmtId="180" fontId="5" fillId="0" borderId="0"/>
    <xf numFmtId="180" fontId="5" fillId="0" borderId="0"/>
    <xf numFmtId="180" fontId="5" fillId="0" borderId="0"/>
    <xf numFmtId="0" fontId="5" fillId="0" borderId="0"/>
    <xf numFmtId="180" fontId="5" fillId="0" borderId="0"/>
    <xf numFmtId="180" fontId="5" fillId="0" borderId="0"/>
    <xf numFmtId="9"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2" fontId="5" fillId="0" borderId="0" applyFont="0" applyFill="0" applyBorder="0" applyAlignment="0" applyProtection="0"/>
    <xf numFmtId="173" fontId="5" fillId="0" borderId="0" applyFont="0" applyFill="0" applyBorder="0" applyAlignment="0" applyProtection="0"/>
    <xf numFmtId="180" fontId="5" fillId="0" borderId="0"/>
    <xf numFmtId="0" fontId="5" fillId="0" borderId="0"/>
    <xf numFmtId="0" fontId="5" fillId="0" borderId="0"/>
    <xf numFmtId="0" fontId="5" fillId="0" borderId="0"/>
    <xf numFmtId="0" fontId="5" fillId="0" borderId="0"/>
    <xf numFmtId="0" fontId="5" fillId="0" borderId="0"/>
    <xf numFmtId="180" fontId="5" fillId="0" borderId="0"/>
    <xf numFmtId="180" fontId="5" fillId="0" borderId="0"/>
    <xf numFmtId="0" fontId="5" fillId="0" borderId="0"/>
    <xf numFmtId="180" fontId="5" fillId="0" borderId="0"/>
    <xf numFmtId="180" fontId="5" fillId="0" borderId="0"/>
    <xf numFmtId="180" fontId="5" fillId="0" borderId="0"/>
    <xf numFmtId="0" fontId="5" fillId="0" borderId="0"/>
    <xf numFmtId="180" fontId="5" fillId="0" borderId="0"/>
    <xf numFmtId="180" fontId="5" fillId="0" borderId="0"/>
    <xf numFmtId="9"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2" fontId="5" fillId="0" borderId="0" applyFont="0" applyFill="0" applyBorder="0" applyAlignment="0" applyProtection="0"/>
    <xf numFmtId="173" fontId="5" fillId="0" borderId="0" applyFont="0" applyFill="0" applyBorder="0" applyAlignment="0" applyProtection="0"/>
    <xf numFmtId="180" fontId="5" fillId="0" borderId="0"/>
    <xf numFmtId="0" fontId="5" fillId="0" borderId="0"/>
    <xf numFmtId="0" fontId="5" fillId="0" borderId="0"/>
    <xf numFmtId="0" fontId="5" fillId="0" borderId="0"/>
    <xf numFmtId="0" fontId="5" fillId="0" borderId="0"/>
    <xf numFmtId="0" fontId="5" fillId="0" borderId="0"/>
    <xf numFmtId="180" fontId="5" fillId="0" borderId="0"/>
    <xf numFmtId="180" fontId="5" fillId="0" borderId="0"/>
    <xf numFmtId="0" fontId="5" fillId="0" borderId="0"/>
    <xf numFmtId="180" fontId="5" fillId="0" borderId="0"/>
    <xf numFmtId="180" fontId="5" fillId="0" borderId="0"/>
    <xf numFmtId="180" fontId="5" fillId="0" borderId="0"/>
    <xf numFmtId="0" fontId="5" fillId="0" borderId="0"/>
    <xf numFmtId="180" fontId="5" fillId="0" borderId="0"/>
    <xf numFmtId="180" fontId="5" fillId="0" borderId="0"/>
    <xf numFmtId="9" fontId="5" fillId="0" borderId="0" applyFont="0" applyFill="0" applyBorder="0" applyAlignment="0" applyProtection="0"/>
    <xf numFmtId="0" fontId="5" fillId="0" borderId="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2" fontId="5" fillId="0" borderId="0" applyFont="0" applyFill="0" applyBorder="0" applyAlignment="0" applyProtection="0"/>
    <xf numFmtId="173" fontId="5" fillId="0" borderId="0" applyFont="0" applyFill="0" applyBorder="0" applyAlignment="0" applyProtection="0"/>
    <xf numFmtId="180" fontId="5" fillId="0" borderId="0"/>
    <xf numFmtId="0" fontId="5" fillId="0" borderId="0"/>
    <xf numFmtId="0" fontId="5" fillId="0" borderId="0"/>
    <xf numFmtId="0" fontId="5" fillId="0" borderId="0"/>
    <xf numFmtId="0" fontId="5" fillId="0" borderId="0"/>
    <xf numFmtId="0" fontId="5" fillId="0" borderId="0"/>
    <xf numFmtId="180" fontId="5" fillId="0" borderId="0"/>
    <xf numFmtId="180" fontId="5" fillId="0" borderId="0"/>
    <xf numFmtId="0" fontId="5" fillId="0" borderId="0"/>
    <xf numFmtId="180" fontId="5" fillId="0" borderId="0"/>
    <xf numFmtId="180" fontId="5" fillId="0" borderId="0"/>
    <xf numFmtId="180" fontId="5" fillId="0" borderId="0"/>
    <xf numFmtId="0" fontId="5" fillId="0" borderId="0"/>
    <xf numFmtId="180" fontId="5" fillId="0" borderId="0"/>
    <xf numFmtId="180" fontId="5" fillId="0" borderId="0"/>
    <xf numFmtId="9"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2" fontId="5" fillId="0" borderId="0" applyFont="0" applyFill="0" applyBorder="0" applyAlignment="0" applyProtection="0"/>
    <xf numFmtId="173" fontId="5" fillId="0" borderId="0" applyFont="0" applyFill="0" applyBorder="0" applyAlignment="0" applyProtection="0"/>
    <xf numFmtId="180" fontId="5" fillId="0" borderId="0"/>
    <xf numFmtId="0" fontId="5" fillId="0" borderId="0"/>
    <xf numFmtId="0" fontId="5" fillId="0" borderId="0"/>
    <xf numFmtId="0" fontId="5" fillId="0" borderId="0"/>
    <xf numFmtId="0" fontId="5" fillId="0" borderId="0"/>
    <xf numFmtId="0" fontId="5" fillId="0" borderId="0"/>
    <xf numFmtId="180" fontId="5" fillId="0" borderId="0"/>
    <xf numFmtId="180" fontId="5" fillId="0" borderId="0"/>
    <xf numFmtId="0" fontId="5" fillId="0" borderId="0"/>
    <xf numFmtId="180" fontId="5" fillId="0" borderId="0"/>
    <xf numFmtId="180" fontId="5" fillId="0" borderId="0"/>
    <xf numFmtId="180" fontId="5" fillId="0" borderId="0"/>
    <xf numFmtId="0" fontId="5" fillId="0" borderId="0"/>
    <xf numFmtId="180" fontId="5" fillId="0" borderId="0"/>
    <xf numFmtId="180" fontId="5" fillId="0" borderId="0"/>
    <xf numFmtId="9"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2" fontId="5" fillId="0" borderId="0" applyFont="0" applyFill="0" applyBorder="0" applyAlignment="0" applyProtection="0"/>
    <xf numFmtId="173" fontId="5" fillId="0" borderId="0" applyFont="0" applyFill="0" applyBorder="0" applyAlignment="0" applyProtection="0"/>
    <xf numFmtId="180" fontId="5" fillId="0" borderId="0"/>
    <xf numFmtId="0" fontId="5" fillId="0" borderId="0"/>
    <xf numFmtId="0" fontId="5" fillId="0" borderId="0"/>
    <xf numFmtId="0" fontId="5" fillId="0" borderId="0"/>
    <xf numFmtId="0" fontId="5" fillId="0" borderId="0"/>
    <xf numFmtId="0" fontId="5" fillId="0" borderId="0"/>
    <xf numFmtId="180" fontId="5" fillId="0" borderId="0"/>
    <xf numFmtId="180" fontId="5" fillId="0" borderId="0"/>
    <xf numFmtId="0" fontId="5" fillId="0" borderId="0"/>
    <xf numFmtId="180" fontId="5" fillId="0" borderId="0"/>
    <xf numFmtId="180" fontId="5" fillId="0" borderId="0"/>
    <xf numFmtId="180" fontId="5" fillId="0" borderId="0"/>
    <xf numFmtId="0" fontId="5" fillId="0" borderId="0"/>
    <xf numFmtId="180" fontId="5" fillId="0" borderId="0"/>
    <xf numFmtId="180" fontId="5" fillId="0" borderId="0"/>
    <xf numFmtId="9"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2" fontId="5" fillId="0" borderId="0" applyFont="0" applyFill="0" applyBorder="0" applyAlignment="0" applyProtection="0"/>
    <xf numFmtId="173" fontId="5" fillId="0" borderId="0" applyFont="0" applyFill="0" applyBorder="0" applyAlignment="0" applyProtection="0"/>
    <xf numFmtId="180" fontId="5" fillId="0" borderId="0"/>
    <xf numFmtId="0" fontId="5" fillId="0" borderId="0"/>
    <xf numFmtId="0" fontId="5" fillId="0" borderId="0"/>
    <xf numFmtId="0" fontId="5" fillId="0" borderId="0"/>
    <xf numFmtId="0" fontId="5" fillId="0" borderId="0"/>
    <xf numFmtId="0" fontId="5" fillId="0" borderId="0"/>
    <xf numFmtId="180" fontId="5" fillId="0" borderId="0"/>
    <xf numFmtId="180" fontId="5" fillId="0" borderId="0"/>
    <xf numFmtId="0" fontId="5" fillId="0" borderId="0"/>
    <xf numFmtId="180" fontId="5" fillId="0" borderId="0"/>
    <xf numFmtId="180" fontId="5" fillId="0" borderId="0"/>
    <xf numFmtId="180" fontId="5" fillId="0" borderId="0"/>
    <xf numFmtId="0" fontId="5" fillId="0" borderId="0"/>
    <xf numFmtId="180" fontId="5" fillId="0" borderId="0"/>
    <xf numFmtId="180" fontId="5" fillId="0" borderId="0"/>
    <xf numFmtId="9"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2" fontId="5" fillId="0" borderId="0" applyFont="0" applyFill="0" applyBorder="0" applyAlignment="0" applyProtection="0"/>
    <xf numFmtId="173" fontId="5" fillId="0" borderId="0" applyFont="0" applyFill="0" applyBorder="0" applyAlignment="0" applyProtection="0"/>
    <xf numFmtId="180" fontId="5" fillId="0" borderId="0"/>
    <xf numFmtId="0" fontId="5" fillId="0" borderId="0"/>
    <xf numFmtId="0" fontId="5" fillId="0" borderId="0"/>
    <xf numFmtId="0" fontId="5" fillId="0" borderId="0"/>
    <xf numFmtId="0" fontId="5" fillId="0" borderId="0"/>
    <xf numFmtId="0" fontId="5" fillId="0" borderId="0"/>
    <xf numFmtId="180" fontId="5" fillId="0" borderId="0"/>
    <xf numFmtId="180" fontId="5" fillId="0" borderId="0"/>
    <xf numFmtId="0" fontId="5" fillId="0" borderId="0"/>
    <xf numFmtId="180" fontId="5" fillId="0" borderId="0"/>
    <xf numFmtId="180" fontId="5" fillId="0" borderId="0"/>
    <xf numFmtId="180" fontId="5" fillId="0" borderId="0"/>
    <xf numFmtId="0" fontId="5" fillId="0" borderId="0"/>
    <xf numFmtId="180" fontId="5" fillId="0" borderId="0"/>
    <xf numFmtId="180" fontId="5" fillId="0" borderId="0"/>
    <xf numFmtId="9"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2" fontId="5" fillId="0" borderId="0" applyFont="0" applyFill="0" applyBorder="0" applyAlignment="0" applyProtection="0"/>
    <xf numFmtId="173" fontId="5" fillId="0" borderId="0" applyFont="0" applyFill="0" applyBorder="0" applyAlignment="0" applyProtection="0"/>
    <xf numFmtId="180" fontId="5" fillId="0" borderId="0"/>
    <xf numFmtId="0" fontId="5" fillId="0" borderId="0"/>
    <xf numFmtId="0" fontId="5" fillId="0" borderId="0"/>
    <xf numFmtId="0" fontId="5" fillId="0" borderId="0"/>
    <xf numFmtId="0" fontId="5" fillId="0" borderId="0"/>
    <xf numFmtId="0" fontId="5" fillId="0" borderId="0"/>
    <xf numFmtId="180" fontId="5" fillId="0" borderId="0"/>
    <xf numFmtId="180" fontId="5" fillId="0" borderId="0"/>
    <xf numFmtId="0" fontId="5" fillId="0" borderId="0"/>
    <xf numFmtId="180" fontId="5" fillId="0" borderId="0"/>
    <xf numFmtId="180" fontId="5" fillId="0" borderId="0"/>
    <xf numFmtId="180" fontId="5" fillId="0" borderId="0"/>
    <xf numFmtId="0" fontId="5" fillId="0" borderId="0"/>
    <xf numFmtId="180" fontId="5" fillId="0" borderId="0"/>
    <xf numFmtId="180" fontId="5" fillId="0" borderId="0"/>
    <xf numFmtId="9"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2" fontId="5" fillId="0" borderId="0" applyFont="0" applyFill="0" applyBorder="0" applyAlignment="0" applyProtection="0"/>
    <xf numFmtId="173" fontId="5" fillId="0" borderId="0" applyFont="0" applyFill="0" applyBorder="0" applyAlignment="0" applyProtection="0"/>
    <xf numFmtId="180" fontId="5" fillId="0" borderId="0"/>
    <xf numFmtId="0" fontId="5" fillId="0" borderId="0"/>
    <xf numFmtId="0" fontId="5" fillId="0" borderId="0"/>
    <xf numFmtId="0" fontId="5" fillId="0" borderId="0"/>
    <xf numFmtId="0" fontId="5" fillId="0" borderId="0"/>
    <xf numFmtId="0" fontId="5" fillId="0" borderId="0"/>
    <xf numFmtId="180" fontId="5" fillId="0" borderId="0"/>
    <xf numFmtId="180" fontId="5" fillId="0" borderId="0"/>
    <xf numFmtId="0" fontId="5" fillId="0" borderId="0"/>
    <xf numFmtId="180" fontId="5" fillId="0" borderId="0"/>
    <xf numFmtId="180" fontId="5" fillId="0" borderId="0"/>
    <xf numFmtId="180" fontId="5" fillId="0" borderId="0"/>
    <xf numFmtId="0" fontId="5" fillId="0" borderId="0"/>
    <xf numFmtId="180" fontId="5" fillId="0" borderId="0"/>
    <xf numFmtId="180" fontId="5" fillId="0" borderId="0"/>
    <xf numFmtId="9"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2" fontId="5" fillId="0" borderId="0" applyFont="0" applyFill="0" applyBorder="0" applyAlignment="0" applyProtection="0"/>
    <xf numFmtId="173" fontId="5" fillId="0" borderId="0" applyFont="0" applyFill="0" applyBorder="0" applyAlignment="0" applyProtection="0"/>
    <xf numFmtId="180" fontId="5" fillId="0" borderId="0"/>
    <xf numFmtId="0" fontId="5" fillId="0" borderId="0"/>
    <xf numFmtId="0" fontId="5" fillId="0" borderId="0"/>
    <xf numFmtId="0" fontId="5" fillId="0" borderId="0"/>
    <xf numFmtId="0" fontId="5" fillId="0" borderId="0"/>
    <xf numFmtId="0" fontId="5" fillId="0" borderId="0"/>
    <xf numFmtId="180" fontId="5" fillId="0" borderId="0"/>
    <xf numFmtId="180" fontId="5" fillId="0" borderId="0"/>
    <xf numFmtId="0" fontId="5" fillId="0" borderId="0"/>
    <xf numFmtId="180" fontId="5" fillId="0" borderId="0"/>
    <xf numFmtId="180" fontId="5" fillId="0" borderId="0"/>
    <xf numFmtId="180" fontId="5" fillId="0" borderId="0"/>
    <xf numFmtId="0" fontId="5" fillId="0" borderId="0"/>
    <xf numFmtId="180" fontId="5" fillId="0" borderId="0"/>
    <xf numFmtId="180" fontId="5" fillId="0" borderId="0"/>
    <xf numFmtId="9" fontId="5" fillId="0" borderId="0" applyFont="0" applyFill="0" applyBorder="0" applyAlignment="0" applyProtection="0"/>
    <xf numFmtId="170" fontId="5" fillId="0" borderId="0" applyFont="0" applyFill="0" applyBorder="0" applyAlignment="0" applyProtection="0"/>
    <xf numFmtId="43" fontId="5" fillId="0" borderId="0" applyFont="0" applyFill="0" applyBorder="0" applyAlignment="0" applyProtection="0"/>
    <xf numFmtId="0" fontId="5" fillId="0" borderId="0"/>
    <xf numFmtId="168" fontId="5" fillId="0" borderId="0" applyFont="0" applyFill="0" applyBorder="0" applyAlignment="0" applyProtection="0"/>
    <xf numFmtId="0" fontId="5" fillId="0" borderId="0"/>
    <xf numFmtId="180" fontId="5" fillId="0" borderId="0"/>
    <xf numFmtId="0" fontId="5" fillId="0" borderId="0"/>
    <xf numFmtId="0" fontId="5" fillId="0" borderId="0"/>
    <xf numFmtId="0" fontId="5" fillId="0" borderId="0"/>
    <xf numFmtId="0" fontId="5" fillId="0" borderId="0"/>
    <xf numFmtId="0" fontId="5" fillId="0" borderId="0"/>
    <xf numFmtId="180" fontId="5" fillId="0" borderId="0"/>
    <xf numFmtId="180" fontId="5" fillId="0" borderId="0"/>
    <xf numFmtId="180" fontId="5" fillId="0" borderId="0"/>
    <xf numFmtId="180" fontId="5" fillId="0" borderId="0"/>
    <xf numFmtId="180" fontId="5" fillId="0" borderId="0"/>
    <xf numFmtId="0" fontId="5" fillId="0" borderId="0"/>
    <xf numFmtId="180" fontId="5" fillId="0" borderId="0"/>
    <xf numFmtId="180" fontId="5" fillId="0" borderId="0"/>
    <xf numFmtId="168" fontId="5" fillId="0" borderId="0" applyFont="0" applyFill="0" applyBorder="0" applyAlignment="0" applyProtection="0"/>
    <xf numFmtId="180" fontId="5" fillId="0" borderId="0"/>
    <xf numFmtId="0" fontId="5" fillId="0" borderId="0"/>
    <xf numFmtId="0" fontId="5" fillId="0" borderId="0"/>
    <xf numFmtId="0" fontId="5" fillId="0" borderId="0"/>
    <xf numFmtId="0" fontId="5" fillId="0" borderId="0"/>
    <xf numFmtId="0" fontId="5" fillId="0" borderId="0"/>
    <xf numFmtId="180" fontId="5" fillId="0" borderId="0"/>
    <xf numFmtId="180" fontId="5" fillId="0" borderId="0"/>
    <xf numFmtId="0" fontId="5" fillId="0" borderId="0"/>
    <xf numFmtId="180" fontId="5" fillId="0" borderId="0"/>
    <xf numFmtId="180" fontId="5" fillId="0" borderId="0"/>
    <xf numFmtId="180" fontId="5" fillId="0" borderId="0"/>
    <xf numFmtId="0" fontId="5" fillId="0" borderId="0"/>
    <xf numFmtId="180" fontId="5" fillId="0" borderId="0"/>
    <xf numFmtId="180" fontId="5" fillId="0" borderId="0"/>
    <xf numFmtId="18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180" fontId="5" fillId="0" borderId="0"/>
    <xf numFmtId="180" fontId="5" fillId="0" borderId="0"/>
    <xf numFmtId="0" fontId="5" fillId="0" borderId="0"/>
    <xf numFmtId="180" fontId="5" fillId="0" borderId="0"/>
    <xf numFmtId="180" fontId="5" fillId="0" borderId="0"/>
    <xf numFmtId="180" fontId="5" fillId="0" borderId="0"/>
    <xf numFmtId="0" fontId="5" fillId="0" borderId="0"/>
    <xf numFmtId="180" fontId="5" fillId="0" borderId="0"/>
    <xf numFmtId="180" fontId="5" fillId="0" borderId="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2" fontId="5" fillId="0" borderId="0" applyFont="0" applyFill="0" applyBorder="0" applyAlignment="0" applyProtection="0"/>
    <xf numFmtId="173" fontId="5" fillId="0" borderId="0" applyFont="0" applyFill="0" applyBorder="0" applyAlignment="0" applyProtection="0"/>
    <xf numFmtId="180" fontId="5" fillId="0" borderId="0"/>
    <xf numFmtId="0" fontId="5" fillId="0" borderId="0"/>
    <xf numFmtId="0" fontId="5" fillId="0" borderId="0"/>
    <xf numFmtId="0" fontId="5" fillId="0" borderId="0"/>
    <xf numFmtId="0" fontId="5" fillId="0" borderId="0"/>
    <xf numFmtId="0" fontId="5" fillId="0" borderId="0"/>
    <xf numFmtId="180" fontId="5" fillId="0" borderId="0"/>
    <xf numFmtId="180" fontId="5" fillId="0" borderId="0"/>
    <xf numFmtId="0" fontId="5" fillId="0" borderId="0"/>
    <xf numFmtId="180" fontId="5" fillId="0" borderId="0"/>
    <xf numFmtId="180" fontId="5" fillId="0" borderId="0"/>
    <xf numFmtId="180" fontId="5" fillId="0" borderId="0"/>
    <xf numFmtId="0" fontId="5" fillId="0" borderId="0"/>
    <xf numFmtId="180" fontId="5" fillId="0" borderId="0"/>
    <xf numFmtId="180" fontId="5" fillId="0" borderId="0"/>
    <xf numFmtId="9" fontId="5" fillId="0" borderId="0" applyFont="0" applyFill="0" applyBorder="0" applyAlignment="0" applyProtection="0"/>
    <xf numFmtId="0" fontId="5" fillId="0" borderId="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2" fontId="5" fillId="0" borderId="0" applyFont="0" applyFill="0" applyBorder="0" applyAlignment="0" applyProtection="0"/>
    <xf numFmtId="173" fontId="5" fillId="0" borderId="0" applyFont="0" applyFill="0" applyBorder="0" applyAlignment="0" applyProtection="0"/>
    <xf numFmtId="180" fontId="5" fillId="0" borderId="0"/>
    <xf numFmtId="0" fontId="5" fillId="0" borderId="0"/>
    <xf numFmtId="0" fontId="5" fillId="0" borderId="0"/>
    <xf numFmtId="0" fontId="5" fillId="0" borderId="0"/>
    <xf numFmtId="0" fontId="5" fillId="0" borderId="0"/>
    <xf numFmtId="0" fontId="5" fillId="0" borderId="0"/>
    <xf numFmtId="180" fontId="5" fillId="0" borderId="0"/>
    <xf numFmtId="180" fontId="5" fillId="0" borderId="0"/>
    <xf numFmtId="0" fontId="5" fillId="0" borderId="0"/>
    <xf numFmtId="180" fontId="5" fillId="0" borderId="0"/>
    <xf numFmtId="180" fontId="5" fillId="0" borderId="0"/>
    <xf numFmtId="180" fontId="5" fillId="0" borderId="0"/>
    <xf numFmtId="0" fontId="5" fillId="0" borderId="0"/>
    <xf numFmtId="180" fontId="5" fillId="0" borderId="0"/>
    <xf numFmtId="180" fontId="5" fillId="0" borderId="0"/>
    <xf numFmtId="9"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2" fontId="5" fillId="0" borderId="0" applyFont="0" applyFill="0" applyBorder="0" applyAlignment="0" applyProtection="0"/>
    <xf numFmtId="173" fontId="5" fillId="0" borderId="0" applyFont="0" applyFill="0" applyBorder="0" applyAlignment="0" applyProtection="0"/>
    <xf numFmtId="180" fontId="5" fillId="0" borderId="0"/>
    <xf numFmtId="0" fontId="5" fillId="0" borderId="0"/>
    <xf numFmtId="0" fontId="5" fillId="0" borderId="0"/>
    <xf numFmtId="0" fontId="5" fillId="0" borderId="0"/>
    <xf numFmtId="0" fontId="5" fillId="0" borderId="0"/>
    <xf numFmtId="0" fontId="5" fillId="0" borderId="0"/>
    <xf numFmtId="180" fontId="5" fillId="0" borderId="0"/>
    <xf numFmtId="180" fontId="5" fillId="0" borderId="0"/>
    <xf numFmtId="0" fontId="5" fillId="0" borderId="0"/>
    <xf numFmtId="180" fontId="5" fillId="0" borderId="0"/>
    <xf numFmtId="180" fontId="5" fillId="0" borderId="0"/>
    <xf numFmtId="180" fontId="5" fillId="0" borderId="0"/>
    <xf numFmtId="0" fontId="5" fillId="0" borderId="0"/>
    <xf numFmtId="180" fontId="5" fillId="0" borderId="0"/>
    <xf numFmtId="180" fontId="5" fillId="0" borderId="0"/>
    <xf numFmtId="9"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2" fontId="5" fillId="0" borderId="0" applyFont="0" applyFill="0" applyBorder="0" applyAlignment="0" applyProtection="0"/>
    <xf numFmtId="173" fontId="5" fillId="0" borderId="0" applyFont="0" applyFill="0" applyBorder="0" applyAlignment="0" applyProtection="0"/>
    <xf numFmtId="180" fontId="5" fillId="0" borderId="0"/>
    <xf numFmtId="0" fontId="5" fillId="0" borderId="0"/>
    <xf numFmtId="0" fontId="5" fillId="0" borderId="0"/>
    <xf numFmtId="0" fontId="5" fillId="0" borderId="0"/>
    <xf numFmtId="0" fontId="5" fillId="0" borderId="0"/>
    <xf numFmtId="0" fontId="5" fillId="0" borderId="0"/>
    <xf numFmtId="180" fontId="5" fillId="0" borderId="0"/>
    <xf numFmtId="180" fontId="5" fillId="0" borderId="0"/>
    <xf numFmtId="0" fontId="5" fillId="0" borderId="0"/>
    <xf numFmtId="180" fontId="5" fillId="0" borderId="0"/>
    <xf numFmtId="180" fontId="5" fillId="0" borderId="0"/>
    <xf numFmtId="180" fontId="5" fillId="0" borderId="0"/>
    <xf numFmtId="0" fontId="5" fillId="0" borderId="0"/>
    <xf numFmtId="180" fontId="5" fillId="0" borderId="0"/>
    <xf numFmtId="180" fontId="5" fillId="0" borderId="0"/>
    <xf numFmtId="9"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2" fontId="5" fillId="0" borderId="0" applyFont="0" applyFill="0" applyBorder="0" applyAlignment="0" applyProtection="0"/>
    <xf numFmtId="173" fontId="5" fillId="0" borderId="0" applyFont="0" applyFill="0" applyBorder="0" applyAlignment="0" applyProtection="0"/>
    <xf numFmtId="180" fontId="5" fillId="0" borderId="0"/>
    <xf numFmtId="0" fontId="5" fillId="0" borderId="0"/>
    <xf numFmtId="0" fontId="5" fillId="0" borderId="0"/>
    <xf numFmtId="0" fontId="5" fillId="0" borderId="0"/>
    <xf numFmtId="0" fontId="5" fillId="0" borderId="0"/>
    <xf numFmtId="0" fontId="5" fillId="0" borderId="0"/>
    <xf numFmtId="180" fontId="5" fillId="0" borderId="0"/>
    <xf numFmtId="180" fontId="5" fillId="0" borderId="0"/>
    <xf numFmtId="0" fontId="5" fillId="0" borderId="0"/>
    <xf numFmtId="180" fontId="5" fillId="0" borderId="0"/>
    <xf numFmtId="180" fontId="5" fillId="0" borderId="0"/>
    <xf numFmtId="180" fontId="5" fillId="0" borderId="0"/>
    <xf numFmtId="0" fontId="5" fillId="0" borderId="0"/>
    <xf numFmtId="180" fontId="5" fillId="0" borderId="0"/>
    <xf numFmtId="180" fontId="5" fillId="0" borderId="0"/>
    <xf numFmtId="9"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2" fontId="5" fillId="0" borderId="0" applyFont="0" applyFill="0" applyBorder="0" applyAlignment="0" applyProtection="0"/>
    <xf numFmtId="173" fontId="5" fillId="0" borderId="0" applyFont="0" applyFill="0" applyBorder="0" applyAlignment="0" applyProtection="0"/>
    <xf numFmtId="180" fontId="5" fillId="0" borderId="0"/>
    <xf numFmtId="0" fontId="5" fillId="0" borderId="0"/>
    <xf numFmtId="0" fontId="5" fillId="0" borderId="0"/>
    <xf numFmtId="0" fontId="5" fillId="0" borderId="0"/>
    <xf numFmtId="0" fontId="5" fillId="0" borderId="0"/>
    <xf numFmtId="0" fontId="5" fillId="0" borderId="0"/>
    <xf numFmtId="180" fontId="5" fillId="0" borderId="0"/>
    <xf numFmtId="180" fontId="5" fillId="0" borderId="0"/>
    <xf numFmtId="0" fontId="5" fillId="0" borderId="0"/>
    <xf numFmtId="180" fontId="5" fillId="0" borderId="0"/>
    <xf numFmtId="180" fontId="5" fillId="0" borderId="0"/>
    <xf numFmtId="180" fontId="5" fillId="0" borderId="0"/>
    <xf numFmtId="0" fontId="5" fillId="0" borderId="0"/>
    <xf numFmtId="180" fontId="5" fillId="0" borderId="0"/>
    <xf numFmtId="180" fontId="5" fillId="0" borderId="0"/>
    <xf numFmtId="9"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2" fontId="5" fillId="0" borderId="0" applyFont="0" applyFill="0" applyBorder="0" applyAlignment="0" applyProtection="0"/>
    <xf numFmtId="173" fontId="5" fillId="0" borderId="0" applyFont="0" applyFill="0" applyBorder="0" applyAlignment="0" applyProtection="0"/>
    <xf numFmtId="180" fontId="5" fillId="0" borderId="0"/>
    <xf numFmtId="0" fontId="5" fillId="0" borderId="0"/>
    <xf numFmtId="0" fontId="5" fillId="0" borderId="0"/>
    <xf numFmtId="0" fontId="5" fillId="0" borderId="0"/>
    <xf numFmtId="0" fontId="5" fillId="0" borderId="0"/>
    <xf numFmtId="0" fontId="5" fillId="0" borderId="0"/>
    <xf numFmtId="180" fontId="5" fillId="0" borderId="0"/>
    <xf numFmtId="180" fontId="5" fillId="0" borderId="0"/>
    <xf numFmtId="0" fontId="5" fillId="0" borderId="0"/>
    <xf numFmtId="180" fontId="5" fillId="0" borderId="0"/>
    <xf numFmtId="180" fontId="5" fillId="0" borderId="0"/>
    <xf numFmtId="180" fontId="5" fillId="0" borderId="0"/>
    <xf numFmtId="0" fontId="5" fillId="0" borderId="0"/>
    <xf numFmtId="180" fontId="5" fillId="0" borderId="0"/>
    <xf numFmtId="180" fontId="5" fillId="0" borderId="0"/>
    <xf numFmtId="9"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2" fontId="5" fillId="0" borderId="0" applyFont="0" applyFill="0" applyBorder="0" applyAlignment="0" applyProtection="0"/>
    <xf numFmtId="173" fontId="5" fillId="0" borderId="0" applyFont="0" applyFill="0" applyBorder="0" applyAlignment="0" applyProtection="0"/>
    <xf numFmtId="180" fontId="5" fillId="0" borderId="0"/>
    <xf numFmtId="0" fontId="5" fillId="0" borderId="0"/>
    <xf numFmtId="0" fontId="5" fillId="0" borderId="0"/>
    <xf numFmtId="0" fontId="5" fillId="0" borderId="0"/>
    <xf numFmtId="0" fontId="5" fillId="0" borderId="0"/>
    <xf numFmtId="0" fontId="5" fillId="0" borderId="0"/>
    <xf numFmtId="180" fontId="5" fillId="0" borderId="0"/>
    <xf numFmtId="180" fontId="5" fillId="0" borderId="0"/>
    <xf numFmtId="0" fontId="5" fillId="0" borderId="0"/>
    <xf numFmtId="180" fontId="5" fillId="0" borderId="0"/>
    <xf numFmtId="180" fontId="5" fillId="0" borderId="0"/>
    <xf numFmtId="180" fontId="5" fillId="0" borderId="0"/>
    <xf numFmtId="0" fontId="5" fillId="0" borderId="0"/>
    <xf numFmtId="180" fontId="5" fillId="0" borderId="0"/>
    <xf numFmtId="180" fontId="5" fillId="0" borderId="0"/>
    <xf numFmtId="9" fontId="5" fillId="0" borderId="0" applyFont="0" applyFill="0" applyBorder="0" applyAlignment="0" applyProtection="0"/>
    <xf numFmtId="18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180" fontId="5" fillId="0" borderId="0"/>
    <xf numFmtId="180" fontId="5" fillId="0" borderId="0"/>
    <xf numFmtId="0" fontId="5" fillId="0" borderId="0"/>
    <xf numFmtId="180" fontId="5" fillId="0" borderId="0"/>
    <xf numFmtId="180" fontId="5" fillId="0" borderId="0"/>
    <xf numFmtId="180" fontId="5" fillId="0" borderId="0"/>
    <xf numFmtId="0" fontId="5" fillId="0" borderId="0"/>
    <xf numFmtId="180" fontId="5" fillId="0" borderId="0"/>
    <xf numFmtId="180" fontId="5" fillId="0" borderId="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2" fontId="5" fillId="0" borderId="0" applyFont="0" applyFill="0" applyBorder="0" applyAlignment="0" applyProtection="0"/>
    <xf numFmtId="173" fontId="5" fillId="0" borderId="0" applyFont="0" applyFill="0" applyBorder="0" applyAlignment="0" applyProtection="0"/>
    <xf numFmtId="180" fontId="5" fillId="0" borderId="0"/>
    <xf numFmtId="0" fontId="5" fillId="0" borderId="0"/>
    <xf numFmtId="0" fontId="5" fillId="0" borderId="0"/>
    <xf numFmtId="0" fontId="5" fillId="0" borderId="0"/>
    <xf numFmtId="0" fontId="5" fillId="0" borderId="0"/>
    <xf numFmtId="0" fontId="5" fillId="0" borderId="0"/>
    <xf numFmtId="180" fontId="5" fillId="0" borderId="0"/>
    <xf numFmtId="180" fontId="5" fillId="0" borderId="0"/>
    <xf numFmtId="0" fontId="5" fillId="0" borderId="0"/>
    <xf numFmtId="180" fontId="5" fillId="0" borderId="0"/>
    <xf numFmtId="180" fontId="5" fillId="0" borderId="0"/>
    <xf numFmtId="180" fontId="5" fillId="0" borderId="0"/>
    <xf numFmtId="0" fontId="5" fillId="0" borderId="0"/>
    <xf numFmtId="180" fontId="5" fillId="0" borderId="0"/>
    <xf numFmtId="180" fontId="5" fillId="0" borderId="0"/>
    <xf numFmtId="9" fontId="5" fillId="0" borderId="0" applyFont="0" applyFill="0" applyBorder="0" applyAlignment="0" applyProtection="0"/>
    <xf numFmtId="0" fontId="5" fillId="0" borderId="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2" fontId="5" fillId="0" borderId="0" applyFont="0" applyFill="0" applyBorder="0" applyAlignment="0" applyProtection="0"/>
    <xf numFmtId="173" fontId="5" fillId="0" borderId="0" applyFont="0" applyFill="0" applyBorder="0" applyAlignment="0" applyProtection="0"/>
    <xf numFmtId="180" fontId="5" fillId="0" borderId="0"/>
    <xf numFmtId="0" fontId="5" fillId="0" borderId="0"/>
    <xf numFmtId="0" fontId="5" fillId="0" borderId="0"/>
    <xf numFmtId="0" fontId="5" fillId="0" borderId="0"/>
    <xf numFmtId="0" fontId="5" fillId="0" borderId="0"/>
    <xf numFmtId="0" fontId="5" fillId="0" borderId="0"/>
    <xf numFmtId="180" fontId="5" fillId="0" borderId="0"/>
    <xf numFmtId="180" fontId="5" fillId="0" borderId="0"/>
    <xf numFmtId="0" fontId="5" fillId="0" borderId="0"/>
    <xf numFmtId="180" fontId="5" fillId="0" borderId="0"/>
    <xf numFmtId="180" fontId="5" fillId="0" borderId="0"/>
    <xf numFmtId="180" fontId="5" fillId="0" borderId="0"/>
    <xf numFmtId="0" fontId="5" fillId="0" borderId="0"/>
    <xf numFmtId="180" fontId="5" fillId="0" borderId="0"/>
    <xf numFmtId="180" fontId="5" fillId="0" borderId="0"/>
    <xf numFmtId="9"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2" fontId="5" fillId="0" borderId="0" applyFont="0" applyFill="0" applyBorder="0" applyAlignment="0" applyProtection="0"/>
    <xf numFmtId="173" fontId="5" fillId="0" borderId="0" applyFont="0" applyFill="0" applyBorder="0" applyAlignment="0" applyProtection="0"/>
    <xf numFmtId="180" fontId="5" fillId="0" borderId="0"/>
    <xf numFmtId="0" fontId="5" fillId="0" borderId="0"/>
    <xf numFmtId="0" fontId="5" fillId="0" borderId="0"/>
    <xf numFmtId="0" fontId="5" fillId="0" borderId="0"/>
    <xf numFmtId="0" fontId="5" fillId="0" borderId="0"/>
    <xf numFmtId="0" fontId="5" fillId="0" borderId="0"/>
    <xf numFmtId="180" fontId="5" fillId="0" borderId="0"/>
    <xf numFmtId="180" fontId="5" fillId="0" borderId="0"/>
    <xf numFmtId="0" fontId="5" fillId="0" borderId="0"/>
    <xf numFmtId="180" fontId="5" fillId="0" borderId="0"/>
    <xf numFmtId="180" fontId="5" fillId="0" borderId="0"/>
    <xf numFmtId="180" fontId="5" fillId="0" borderId="0"/>
    <xf numFmtId="0" fontId="5" fillId="0" borderId="0"/>
    <xf numFmtId="180" fontId="5" fillId="0" borderId="0"/>
    <xf numFmtId="180" fontId="5" fillId="0" borderId="0"/>
    <xf numFmtId="9"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2" fontId="5" fillId="0" borderId="0" applyFont="0" applyFill="0" applyBorder="0" applyAlignment="0" applyProtection="0"/>
    <xf numFmtId="173" fontId="5" fillId="0" borderId="0" applyFont="0" applyFill="0" applyBorder="0" applyAlignment="0" applyProtection="0"/>
    <xf numFmtId="180" fontId="5" fillId="0" borderId="0"/>
    <xf numFmtId="0" fontId="5" fillId="0" borderId="0"/>
    <xf numFmtId="0" fontId="5" fillId="0" borderId="0"/>
    <xf numFmtId="0" fontId="5" fillId="0" borderId="0"/>
    <xf numFmtId="0" fontId="5" fillId="0" borderId="0"/>
    <xf numFmtId="0" fontId="5" fillId="0" borderId="0"/>
    <xf numFmtId="180" fontId="5" fillId="0" borderId="0"/>
    <xf numFmtId="180" fontId="5" fillId="0" borderId="0"/>
    <xf numFmtId="0" fontId="5" fillId="0" borderId="0"/>
    <xf numFmtId="180" fontId="5" fillId="0" borderId="0"/>
    <xf numFmtId="180" fontId="5" fillId="0" borderId="0"/>
    <xf numFmtId="180" fontId="5" fillId="0" borderId="0"/>
    <xf numFmtId="0" fontId="5" fillId="0" borderId="0"/>
    <xf numFmtId="180" fontId="5" fillId="0" borderId="0"/>
    <xf numFmtId="180" fontId="5" fillId="0" borderId="0"/>
    <xf numFmtId="9"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2" fontId="5" fillId="0" borderId="0" applyFont="0" applyFill="0" applyBorder="0" applyAlignment="0" applyProtection="0"/>
    <xf numFmtId="173" fontId="5" fillId="0" borderId="0" applyFont="0" applyFill="0" applyBorder="0" applyAlignment="0" applyProtection="0"/>
    <xf numFmtId="180" fontId="5" fillId="0" borderId="0"/>
    <xf numFmtId="0" fontId="5" fillId="0" borderId="0"/>
    <xf numFmtId="0" fontId="5" fillId="0" borderId="0"/>
    <xf numFmtId="0" fontId="5" fillId="0" borderId="0"/>
    <xf numFmtId="0" fontId="5" fillId="0" borderId="0"/>
    <xf numFmtId="0" fontId="5" fillId="0" borderId="0"/>
    <xf numFmtId="180" fontId="5" fillId="0" borderId="0"/>
    <xf numFmtId="180" fontId="5" fillId="0" borderId="0"/>
    <xf numFmtId="0" fontId="5" fillId="0" borderId="0"/>
    <xf numFmtId="180" fontId="5" fillId="0" borderId="0"/>
    <xf numFmtId="180" fontId="5" fillId="0" borderId="0"/>
    <xf numFmtId="180" fontId="5" fillId="0" borderId="0"/>
    <xf numFmtId="0" fontId="5" fillId="0" borderId="0"/>
    <xf numFmtId="180" fontId="5" fillId="0" borderId="0"/>
    <xf numFmtId="180" fontId="5" fillId="0" borderId="0"/>
    <xf numFmtId="9"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2" fontId="5" fillId="0" borderId="0" applyFont="0" applyFill="0" applyBorder="0" applyAlignment="0" applyProtection="0"/>
    <xf numFmtId="173" fontId="5" fillId="0" borderId="0" applyFont="0" applyFill="0" applyBorder="0" applyAlignment="0" applyProtection="0"/>
    <xf numFmtId="180" fontId="5" fillId="0" borderId="0"/>
    <xf numFmtId="0" fontId="5" fillId="0" borderId="0"/>
    <xf numFmtId="0" fontId="5" fillId="0" borderId="0"/>
    <xf numFmtId="0" fontId="5" fillId="0" borderId="0"/>
    <xf numFmtId="0" fontId="5" fillId="0" borderId="0"/>
    <xf numFmtId="0" fontId="5" fillId="0" borderId="0"/>
    <xf numFmtId="180" fontId="5" fillId="0" borderId="0"/>
    <xf numFmtId="180" fontId="5" fillId="0" borderId="0"/>
    <xf numFmtId="0" fontId="5" fillId="0" borderId="0"/>
    <xf numFmtId="180" fontId="5" fillId="0" borderId="0"/>
    <xf numFmtId="180" fontId="5" fillId="0" borderId="0"/>
    <xf numFmtId="180" fontId="5" fillId="0" borderId="0"/>
    <xf numFmtId="0" fontId="5" fillId="0" borderId="0"/>
    <xf numFmtId="180" fontId="5" fillId="0" borderId="0"/>
    <xf numFmtId="180" fontId="5" fillId="0" borderId="0"/>
    <xf numFmtId="9"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2" fontId="5" fillId="0" borderId="0" applyFont="0" applyFill="0" applyBorder="0" applyAlignment="0" applyProtection="0"/>
    <xf numFmtId="173" fontId="5" fillId="0" borderId="0" applyFont="0" applyFill="0" applyBorder="0" applyAlignment="0" applyProtection="0"/>
    <xf numFmtId="180" fontId="5" fillId="0" borderId="0"/>
    <xf numFmtId="0" fontId="5" fillId="0" borderId="0"/>
    <xf numFmtId="0" fontId="5" fillId="0" borderId="0"/>
    <xf numFmtId="0" fontId="5" fillId="0" borderId="0"/>
    <xf numFmtId="0" fontId="5" fillId="0" borderId="0"/>
    <xf numFmtId="0" fontId="5" fillId="0" borderId="0"/>
    <xf numFmtId="180" fontId="5" fillId="0" borderId="0"/>
    <xf numFmtId="180" fontId="5" fillId="0" borderId="0"/>
    <xf numFmtId="0" fontId="5" fillId="0" borderId="0"/>
    <xf numFmtId="180" fontId="5" fillId="0" borderId="0"/>
    <xf numFmtId="180" fontId="5" fillId="0" borderId="0"/>
    <xf numFmtId="180" fontId="5" fillId="0" borderId="0"/>
    <xf numFmtId="0" fontId="5" fillId="0" borderId="0"/>
    <xf numFmtId="180" fontId="5" fillId="0" borderId="0"/>
    <xf numFmtId="180" fontId="5" fillId="0" borderId="0"/>
    <xf numFmtId="9"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2" fontId="5" fillId="0" borderId="0" applyFont="0" applyFill="0" applyBorder="0" applyAlignment="0" applyProtection="0"/>
    <xf numFmtId="173" fontId="5" fillId="0" borderId="0" applyFont="0" applyFill="0" applyBorder="0" applyAlignment="0" applyProtection="0"/>
    <xf numFmtId="180" fontId="5" fillId="0" borderId="0"/>
    <xf numFmtId="0" fontId="5" fillId="0" borderId="0"/>
    <xf numFmtId="0" fontId="5" fillId="0" borderId="0"/>
    <xf numFmtId="0" fontId="5" fillId="0" borderId="0"/>
    <xf numFmtId="0" fontId="5" fillId="0" borderId="0"/>
    <xf numFmtId="0" fontId="5" fillId="0" borderId="0"/>
    <xf numFmtId="180" fontId="5" fillId="0" borderId="0"/>
    <xf numFmtId="180" fontId="5" fillId="0" borderId="0"/>
    <xf numFmtId="0" fontId="5" fillId="0" borderId="0"/>
    <xf numFmtId="180" fontId="5" fillId="0" borderId="0"/>
    <xf numFmtId="180" fontId="5" fillId="0" borderId="0"/>
    <xf numFmtId="180" fontId="5" fillId="0" borderId="0"/>
    <xf numFmtId="0" fontId="5" fillId="0" borderId="0"/>
    <xf numFmtId="180" fontId="5" fillId="0" borderId="0"/>
    <xf numFmtId="180" fontId="5" fillId="0" borderId="0"/>
    <xf numFmtId="9"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2" fontId="5" fillId="0" borderId="0" applyFont="0" applyFill="0" applyBorder="0" applyAlignment="0" applyProtection="0"/>
    <xf numFmtId="173" fontId="5" fillId="0" borderId="0" applyFont="0" applyFill="0" applyBorder="0" applyAlignment="0" applyProtection="0"/>
    <xf numFmtId="180" fontId="5" fillId="0" borderId="0"/>
    <xf numFmtId="0" fontId="5" fillId="0" borderId="0"/>
    <xf numFmtId="0" fontId="5" fillId="0" borderId="0"/>
    <xf numFmtId="0" fontId="5" fillId="0" borderId="0"/>
    <xf numFmtId="0" fontId="5" fillId="0" borderId="0"/>
    <xf numFmtId="0" fontId="5" fillId="0" borderId="0"/>
    <xf numFmtId="180" fontId="5" fillId="0" borderId="0"/>
    <xf numFmtId="180" fontId="5" fillId="0" borderId="0"/>
    <xf numFmtId="0" fontId="5" fillId="0" borderId="0"/>
    <xf numFmtId="180" fontId="5" fillId="0" borderId="0"/>
    <xf numFmtId="180" fontId="5" fillId="0" borderId="0"/>
    <xf numFmtId="180" fontId="5" fillId="0" borderId="0"/>
    <xf numFmtId="0" fontId="5" fillId="0" borderId="0"/>
    <xf numFmtId="180" fontId="5" fillId="0" borderId="0"/>
    <xf numFmtId="180" fontId="5" fillId="0" borderId="0"/>
    <xf numFmtId="9" fontId="5" fillId="0" borderId="0" applyFont="0" applyFill="0" applyBorder="0" applyAlignment="0" applyProtection="0"/>
    <xf numFmtId="0" fontId="5" fillId="0" borderId="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2" fontId="5" fillId="0" borderId="0" applyFont="0" applyFill="0" applyBorder="0" applyAlignment="0" applyProtection="0"/>
    <xf numFmtId="173" fontId="5" fillId="0" borderId="0" applyFont="0" applyFill="0" applyBorder="0" applyAlignment="0" applyProtection="0"/>
    <xf numFmtId="180" fontId="5" fillId="0" borderId="0"/>
    <xf numFmtId="0" fontId="5" fillId="0" borderId="0"/>
    <xf numFmtId="0" fontId="5" fillId="0" borderId="0"/>
    <xf numFmtId="0" fontId="5" fillId="0" borderId="0"/>
    <xf numFmtId="0" fontId="5" fillId="0" borderId="0"/>
    <xf numFmtId="0" fontId="5" fillId="0" borderId="0"/>
    <xf numFmtId="180" fontId="5" fillId="0" borderId="0"/>
    <xf numFmtId="180" fontId="5" fillId="0" borderId="0"/>
    <xf numFmtId="0" fontId="5" fillId="0" borderId="0"/>
    <xf numFmtId="180" fontId="5" fillId="0" borderId="0"/>
    <xf numFmtId="180" fontId="5" fillId="0" borderId="0"/>
    <xf numFmtId="180" fontId="5" fillId="0" borderId="0"/>
    <xf numFmtId="0" fontId="5" fillId="0" borderId="0"/>
    <xf numFmtId="180" fontId="5" fillId="0" borderId="0"/>
    <xf numFmtId="180" fontId="5" fillId="0" borderId="0"/>
    <xf numFmtId="9"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2" fontId="5" fillId="0" borderId="0" applyFont="0" applyFill="0" applyBorder="0" applyAlignment="0" applyProtection="0"/>
    <xf numFmtId="173" fontId="5" fillId="0" borderId="0" applyFont="0" applyFill="0" applyBorder="0" applyAlignment="0" applyProtection="0"/>
    <xf numFmtId="180" fontId="5" fillId="0" borderId="0"/>
    <xf numFmtId="0" fontId="5" fillId="0" borderId="0"/>
    <xf numFmtId="0" fontId="5" fillId="0" borderId="0"/>
    <xf numFmtId="0" fontId="5" fillId="0" borderId="0"/>
    <xf numFmtId="0" fontId="5" fillId="0" borderId="0"/>
    <xf numFmtId="0" fontId="5" fillId="0" borderId="0"/>
    <xf numFmtId="180" fontId="5" fillId="0" borderId="0"/>
    <xf numFmtId="180" fontId="5" fillId="0" borderId="0"/>
    <xf numFmtId="0" fontId="5" fillId="0" borderId="0"/>
    <xf numFmtId="180" fontId="5" fillId="0" borderId="0"/>
    <xf numFmtId="180" fontId="5" fillId="0" borderId="0"/>
    <xf numFmtId="180" fontId="5" fillId="0" borderId="0"/>
    <xf numFmtId="0" fontId="5" fillId="0" borderId="0"/>
    <xf numFmtId="180" fontId="5" fillId="0" borderId="0"/>
    <xf numFmtId="180" fontId="5" fillId="0" borderId="0"/>
    <xf numFmtId="9"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2" fontId="5" fillId="0" borderId="0" applyFont="0" applyFill="0" applyBorder="0" applyAlignment="0" applyProtection="0"/>
    <xf numFmtId="173" fontId="5" fillId="0" borderId="0" applyFont="0" applyFill="0" applyBorder="0" applyAlignment="0" applyProtection="0"/>
    <xf numFmtId="180" fontId="5" fillId="0" borderId="0"/>
    <xf numFmtId="0" fontId="5" fillId="0" borderId="0"/>
    <xf numFmtId="0" fontId="5" fillId="0" borderId="0"/>
    <xf numFmtId="0" fontId="5" fillId="0" borderId="0"/>
    <xf numFmtId="0" fontId="5" fillId="0" borderId="0"/>
    <xf numFmtId="0" fontId="5" fillId="0" borderId="0"/>
    <xf numFmtId="180" fontId="5" fillId="0" borderId="0"/>
    <xf numFmtId="180" fontId="5" fillId="0" borderId="0"/>
    <xf numFmtId="0" fontId="5" fillId="0" borderId="0"/>
    <xf numFmtId="180" fontId="5" fillId="0" borderId="0"/>
    <xf numFmtId="180" fontId="5" fillId="0" borderId="0"/>
    <xf numFmtId="180" fontId="5" fillId="0" borderId="0"/>
    <xf numFmtId="0" fontId="5" fillId="0" borderId="0"/>
    <xf numFmtId="180" fontId="5" fillId="0" borderId="0"/>
    <xf numFmtId="180" fontId="5" fillId="0" borderId="0"/>
    <xf numFmtId="9"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2" fontId="5" fillId="0" borderId="0" applyFont="0" applyFill="0" applyBorder="0" applyAlignment="0" applyProtection="0"/>
    <xf numFmtId="173" fontId="5" fillId="0" borderId="0" applyFont="0" applyFill="0" applyBorder="0" applyAlignment="0" applyProtection="0"/>
    <xf numFmtId="180" fontId="5" fillId="0" borderId="0"/>
    <xf numFmtId="0" fontId="5" fillId="0" borderId="0"/>
    <xf numFmtId="0" fontId="5" fillId="0" borderId="0"/>
    <xf numFmtId="0" fontId="5" fillId="0" borderId="0"/>
    <xf numFmtId="0" fontId="5" fillId="0" borderId="0"/>
    <xf numFmtId="0" fontId="5" fillId="0" borderId="0"/>
    <xf numFmtId="180" fontId="5" fillId="0" borderId="0"/>
    <xf numFmtId="180" fontId="5" fillId="0" borderId="0"/>
    <xf numFmtId="0" fontId="5" fillId="0" borderId="0"/>
    <xf numFmtId="180" fontId="5" fillId="0" borderId="0"/>
    <xf numFmtId="180" fontId="5" fillId="0" borderId="0"/>
    <xf numFmtId="180" fontId="5" fillId="0" borderId="0"/>
    <xf numFmtId="0" fontId="5" fillId="0" borderId="0"/>
    <xf numFmtId="180" fontId="5" fillId="0" borderId="0"/>
    <xf numFmtId="180" fontId="5" fillId="0" borderId="0"/>
    <xf numFmtId="9"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2" fontId="5" fillId="0" borderId="0" applyFont="0" applyFill="0" applyBorder="0" applyAlignment="0" applyProtection="0"/>
    <xf numFmtId="173" fontId="5" fillId="0" borderId="0" applyFont="0" applyFill="0" applyBorder="0" applyAlignment="0" applyProtection="0"/>
    <xf numFmtId="180" fontId="5" fillId="0" borderId="0"/>
    <xf numFmtId="0" fontId="5" fillId="0" borderId="0"/>
    <xf numFmtId="0" fontId="5" fillId="0" borderId="0"/>
    <xf numFmtId="0" fontId="5" fillId="0" borderId="0"/>
    <xf numFmtId="0" fontId="5" fillId="0" borderId="0"/>
    <xf numFmtId="0" fontId="5" fillId="0" borderId="0"/>
    <xf numFmtId="180" fontId="5" fillId="0" borderId="0"/>
    <xf numFmtId="180" fontId="5" fillId="0" borderId="0"/>
    <xf numFmtId="0" fontId="5" fillId="0" borderId="0"/>
    <xf numFmtId="180" fontId="5" fillId="0" borderId="0"/>
    <xf numFmtId="180" fontId="5" fillId="0" borderId="0"/>
    <xf numFmtId="180" fontId="5" fillId="0" borderId="0"/>
    <xf numFmtId="0" fontId="5" fillId="0" borderId="0"/>
    <xf numFmtId="180" fontId="5" fillId="0" borderId="0"/>
    <xf numFmtId="180" fontId="5" fillId="0" borderId="0"/>
    <xf numFmtId="9"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2" fontId="5" fillId="0" borderId="0" applyFont="0" applyFill="0" applyBorder="0" applyAlignment="0" applyProtection="0"/>
    <xf numFmtId="173" fontId="5" fillId="0" borderId="0" applyFont="0" applyFill="0" applyBorder="0" applyAlignment="0" applyProtection="0"/>
    <xf numFmtId="180" fontId="5" fillId="0" borderId="0"/>
    <xf numFmtId="0" fontId="5" fillId="0" borderId="0"/>
    <xf numFmtId="0" fontId="5" fillId="0" borderId="0"/>
    <xf numFmtId="0" fontId="5" fillId="0" borderId="0"/>
    <xf numFmtId="0" fontId="5" fillId="0" borderId="0"/>
    <xf numFmtId="0" fontId="5" fillId="0" borderId="0"/>
    <xf numFmtId="180" fontId="5" fillId="0" borderId="0"/>
    <xf numFmtId="180" fontId="5" fillId="0" borderId="0"/>
    <xf numFmtId="0" fontId="5" fillId="0" borderId="0"/>
    <xf numFmtId="180" fontId="5" fillId="0" borderId="0"/>
    <xf numFmtId="180" fontId="5" fillId="0" borderId="0"/>
    <xf numFmtId="180" fontId="5" fillId="0" borderId="0"/>
    <xf numFmtId="0" fontId="5" fillId="0" borderId="0"/>
    <xf numFmtId="180" fontId="5" fillId="0" borderId="0"/>
    <xf numFmtId="180" fontId="5" fillId="0" borderId="0"/>
    <xf numFmtId="9"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2" fontId="5" fillId="0" borderId="0" applyFont="0" applyFill="0" applyBorder="0" applyAlignment="0" applyProtection="0"/>
    <xf numFmtId="173" fontId="5" fillId="0" borderId="0" applyFont="0" applyFill="0" applyBorder="0" applyAlignment="0" applyProtection="0"/>
    <xf numFmtId="180" fontId="5" fillId="0" borderId="0"/>
    <xf numFmtId="0" fontId="5" fillId="0" borderId="0"/>
    <xf numFmtId="0" fontId="5" fillId="0" borderId="0"/>
    <xf numFmtId="0" fontId="5" fillId="0" borderId="0"/>
    <xf numFmtId="0" fontId="5" fillId="0" borderId="0"/>
    <xf numFmtId="0" fontId="5" fillId="0" borderId="0"/>
    <xf numFmtId="180" fontId="5" fillId="0" borderId="0"/>
    <xf numFmtId="180" fontId="5" fillId="0" borderId="0"/>
    <xf numFmtId="0" fontId="5" fillId="0" borderId="0"/>
    <xf numFmtId="180" fontId="5" fillId="0" borderId="0"/>
    <xf numFmtId="180" fontId="5" fillId="0" borderId="0"/>
    <xf numFmtId="180" fontId="5" fillId="0" borderId="0"/>
    <xf numFmtId="0" fontId="5" fillId="0" borderId="0"/>
    <xf numFmtId="180" fontId="5" fillId="0" borderId="0"/>
    <xf numFmtId="180" fontId="5" fillId="0" borderId="0"/>
    <xf numFmtId="9"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2" fontId="5" fillId="0" borderId="0" applyFont="0" applyFill="0" applyBorder="0" applyAlignment="0" applyProtection="0"/>
    <xf numFmtId="173" fontId="5" fillId="0" borderId="0" applyFont="0" applyFill="0" applyBorder="0" applyAlignment="0" applyProtection="0"/>
    <xf numFmtId="180" fontId="5" fillId="0" borderId="0"/>
    <xf numFmtId="0" fontId="5" fillId="0" borderId="0"/>
    <xf numFmtId="0" fontId="5" fillId="0" borderId="0"/>
    <xf numFmtId="0" fontId="5" fillId="0" borderId="0"/>
    <xf numFmtId="0" fontId="5" fillId="0" borderId="0"/>
    <xf numFmtId="0" fontId="5" fillId="0" borderId="0"/>
    <xf numFmtId="180" fontId="5" fillId="0" borderId="0"/>
    <xf numFmtId="180" fontId="5" fillId="0" borderId="0"/>
    <xf numFmtId="0" fontId="5" fillId="0" borderId="0"/>
    <xf numFmtId="180" fontId="5" fillId="0" borderId="0"/>
    <xf numFmtId="180" fontId="5" fillId="0" borderId="0"/>
    <xf numFmtId="180" fontId="5" fillId="0" borderId="0"/>
    <xf numFmtId="0" fontId="5" fillId="0" borderId="0"/>
    <xf numFmtId="180" fontId="5" fillId="0" borderId="0"/>
    <xf numFmtId="180" fontId="5" fillId="0" borderId="0"/>
    <xf numFmtId="9" fontId="5" fillId="0" borderId="0" applyFont="0" applyFill="0" applyBorder="0" applyAlignment="0" applyProtection="0"/>
    <xf numFmtId="170" fontId="5" fillId="0" borderId="0" applyFont="0" applyFill="0" applyBorder="0" applyAlignment="0" applyProtection="0"/>
    <xf numFmtId="43" fontId="5" fillId="0" borderId="0" applyFont="0" applyFill="0" applyBorder="0" applyAlignment="0" applyProtection="0"/>
    <xf numFmtId="0" fontId="5" fillId="0" borderId="0"/>
    <xf numFmtId="168" fontId="5" fillId="0" borderId="0" applyFont="0" applyFill="0" applyBorder="0" applyAlignment="0" applyProtection="0"/>
    <xf numFmtId="18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180" fontId="5" fillId="0" borderId="0"/>
    <xf numFmtId="180" fontId="5" fillId="0" borderId="0"/>
    <xf numFmtId="0" fontId="5" fillId="0" borderId="0"/>
    <xf numFmtId="180" fontId="5" fillId="0" borderId="0"/>
    <xf numFmtId="180" fontId="5" fillId="0" borderId="0"/>
    <xf numFmtId="180" fontId="5" fillId="0" borderId="0"/>
    <xf numFmtId="0" fontId="5" fillId="0" borderId="0"/>
    <xf numFmtId="180" fontId="5" fillId="0" borderId="0"/>
    <xf numFmtId="180" fontId="5" fillId="0" borderId="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2" fontId="5" fillId="0" borderId="0" applyFont="0" applyFill="0" applyBorder="0" applyAlignment="0" applyProtection="0"/>
    <xf numFmtId="173" fontId="5" fillId="0" borderId="0" applyFont="0" applyFill="0" applyBorder="0" applyAlignment="0" applyProtection="0"/>
    <xf numFmtId="180" fontId="5" fillId="0" borderId="0"/>
    <xf numFmtId="0" fontId="5" fillId="0" borderId="0"/>
    <xf numFmtId="0" fontId="5" fillId="0" borderId="0"/>
    <xf numFmtId="0" fontId="5" fillId="0" borderId="0"/>
    <xf numFmtId="0" fontId="5" fillId="0" borderId="0"/>
    <xf numFmtId="0" fontId="5" fillId="0" borderId="0"/>
    <xf numFmtId="180" fontId="5" fillId="0" borderId="0"/>
    <xf numFmtId="180" fontId="5" fillId="0" borderId="0"/>
    <xf numFmtId="0" fontId="5" fillId="0" borderId="0"/>
    <xf numFmtId="180" fontId="5" fillId="0" borderId="0"/>
    <xf numFmtId="180" fontId="5" fillId="0" borderId="0"/>
    <xf numFmtId="180" fontId="5" fillId="0" borderId="0"/>
    <xf numFmtId="0" fontId="5" fillId="0" borderId="0"/>
    <xf numFmtId="180" fontId="5" fillId="0" borderId="0"/>
    <xf numFmtId="180" fontId="5" fillId="0" borderId="0"/>
    <xf numFmtId="9" fontId="5" fillId="0" borderId="0" applyFont="0" applyFill="0" applyBorder="0" applyAlignment="0" applyProtection="0"/>
    <xf numFmtId="0" fontId="5" fillId="0" borderId="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2" fontId="5" fillId="0" borderId="0" applyFont="0" applyFill="0" applyBorder="0" applyAlignment="0" applyProtection="0"/>
    <xf numFmtId="173" fontId="5" fillId="0" borderId="0" applyFont="0" applyFill="0" applyBorder="0" applyAlignment="0" applyProtection="0"/>
    <xf numFmtId="180" fontId="5" fillId="0" borderId="0"/>
    <xf numFmtId="0" fontId="5" fillId="0" borderId="0"/>
    <xf numFmtId="0" fontId="5" fillId="0" borderId="0"/>
    <xf numFmtId="0" fontId="5" fillId="0" borderId="0"/>
    <xf numFmtId="0" fontId="5" fillId="0" borderId="0"/>
    <xf numFmtId="0" fontId="5" fillId="0" borderId="0"/>
    <xf numFmtId="180" fontId="5" fillId="0" borderId="0"/>
    <xf numFmtId="180" fontId="5" fillId="0" borderId="0"/>
    <xf numFmtId="0" fontId="5" fillId="0" borderId="0"/>
    <xf numFmtId="180" fontId="5" fillId="0" borderId="0"/>
    <xf numFmtId="180" fontId="5" fillId="0" borderId="0"/>
    <xf numFmtId="180" fontId="5" fillId="0" borderId="0"/>
    <xf numFmtId="0" fontId="5" fillId="0" borderId="0"/>
    <xf numFmtId="180" fontId="5" fillId="0" borderId="0"/>
    <xf numFmtId="180" fontId="5" fillId="0" borderId="0"/>
    <xf numFmtId="9"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2" fontId="5" fillId="0" borderId="0" applyFont="0" applyFill="0" applyBorder="0" applyAlignment="0" applyProtection="0"/>
    <xf numFmtId="173" fontId="5" fillId="0" borderId="0" applyFont="0" applyFill="0" applyBorder="0" applyAlignment="0" applyProtection="0"/>
    <xf numFmtId="180" fontId="5" fillId="0" borderId="0"/>
    <xf numFmtId="0" fontId="5" fillId="0" borderId="0"/>
    <xf numFmtId="0" fontId="5" fillId="0" borderId="0"/>
    <xf numFmtId="0" fontId="5" fillId="0" borderId="0"/>
    <xf numFmtId="0" fontId="5" fillId="0" borderId="0"/>
    <xf numFmtId="0" fontId="5" fillId="0" borderId="0"/>
    <xf numFmtId="180" fontId="5" fillId="0" borderId="0"/>
    <xf numFmtId="180" fontId="5" fillId="0" borderId="0"/>
    <xf numFmtId="0" fontId="5" fillId="0" borderId="0"/>
    <xf numFmtId="180" fontId="5" fillId="0" borderId="0"/>
    <xf numFmtId="180" fontId="5" fillId="0" borderId="0"/>
    <xf numFmtId="180" fontId="5" fillId="0" borderId="0"/>
    <xf numFmtId="0" fontId="5" fillId="0" borderId="0"/>
    <xf numFmtId="180" fontId="5" fillId="0" borderId="0"/>
    <xf numFmtId="180" fontId="5" fillId="0" borderId="0"/>
    <xf numFmtId="9"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2" fontId="5" fillId="0" borderId="0" applyFont="0" applyFill="0" applyBorder="0" applyAlignment="0" applyProtection="0"/>
    <xf numFmtId="173" fontId="5" fillId="0" borderId="0" applyFont="0" applyFill="0" applyBorder="0" applyAlignment="0" applyProtection="0"/>
    <xf numFmtId="180" fontId="5" fillId="0" borderId="0"/>
    <xf numFmtId="0" fontId="5" fillId="0" borderId="0"/>
    <xf numFmtId="0" fontId="5" fillId="0" borderId="0"/>
    <xf numFmtId="0" fontId="5" fillId="0" borderId="0"/>
    <xf numFmtId="0" fontId="5" fillId="0" borderId="0"/>
    <xf numFmtId="0" fontId="5" fillId="0" borderId="0"/>
    <xf numFmtId="180" fontId="5" fillId="0" borderId="0"/>
    <xf numFmtId="180" fontId="5" fillId="0" borderId="0"/>
    <xf numFmtId="0" fontId="5" fillId="0" borderId="0"/>
    <xf numFmtId="180" fontId="5" fillId="0" borderId="0"/>
    <xf numFmtId="180" fontId="5" fillId="0" borderId="0"/>
    <xf numFmtId="180" fontId="5" fillId="0" borderId="0"/>
    <xf numFmtId="0" fontId="5" fillId="0" borderId="0"/>
    <xf numFmtId="180" fontId="5" fillId="0" borderId="0"/>
    <xf numFmtId="180" fontId="5" fillId="0" borderId="0"/>
    <xf numFmtId="9"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2" fontId="5" fillId="0" borderId="0" applyFont="0" applyFill="0" applyBorder="0" applyAlignment="0" applyProtection="0"/>
    <xf numFmtId="173" fontId="5" fillId="0" borderId="0" applyFont="0" applyFill="0" applyBorder="0" applyAlignment="0" applyProtection="0"/>
    <xf numFmtId="180" fontId="5" fillId="0" borderId="0"/>
    <xf numFmtId="0" fontId="5" fillId="0" borderId="0"/>
    <xf numFmtId="0" fontId="5" fillId="0" borderId="0"/>
    <xf numFmtId="0" fontId="5" fillId="0" borderId="0"/>
    <xf numFmtId="0" fontId="5" fillId="0" borderId="0"/>
    <xf numFmtId="0" fontId="5" fillId="0" borderId="0"/>
    <xf numFmtId="180" fontId="5" fillId="0" borderId="0"/>
    <xf numFmtId="180" fontId="5" fillId="0" borderId="0"/>
    <xf numFmtId="0" fontId="5" fillId="0" borderId="0"/>
    <xf numFmtId="180" fontId="5" fillId="0" borderId="0"/>
    <xf numFmtId="180" fontId="5" fillId="0" borderId="0"/>
    <xf numFmtId="180" fontId="5" fillId="0" borderId="0"/>
    <xf numFmtId="0" fontId="5" fillId="0" borderId="0"/>
    <xf numFmtId="180" fontId="5" fillId="0" borderId="0"/>
    <xf numFmtId="180" fontId="5" fillId="0" borderId="0"/>
    <xf numFmtId="9"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2" fontId="5" fillId="0" borderId="0" applyFont="0" applyFill="0" applyBorder="0" applyAlignment="0" applyProtection="0"/>
    <xf numFmtId="173" fontId="5" fillId="0" borderId="0" applyFont="0" applyFill="0" applyBorder="0" applyAlignment="0" applyProtection="0"/>
    <xf numFmtId="180" fontId="5" fillId="0" borderId="0"/>
    <xf numFmtId="0" fontId="5" fillId="0" borderId="0"/>
    <xf numFmtId="0" fontId="5" fillId="0" borderId="0"/>
    <xf numFmtId="0" fontId="5" fillId="0" borderId="0"/>
    <xf numFmtId="0" fontId="5" fillId="0" borderId="0"/>
    <xf numFmtId="0" fontId="5" fillId="0" borderId="0"/>
    <xf numFmtId="180" fontId="5" fillId="0" borderId="0"/>
    <xf numFmtId="180" fontId="5" fillId="0" borderId="0"/>
    <xf numFmtId="0" fontId="5" fillId="0" borderId="0"/>
    <xf numFmtId="180" fontId="5" fillId="0" borderId="0"/>
    <xf numFmtId="180" fontId="5" fillId="0" borderId="0"/>
    <xf numFmtId="180" fontId="5" fillId="0" borderId="0"/>
    <xf numFmtId="0" fontId="5" fillId="0" borderId="0"/>
    <xf numFmtId="180" fontId="5" fillId="0" borderId="0"/>
    <xf numFmtId="180" fontId="5" fillId="0" borderId="0"/>
    <xf numFmtId="9"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2" fontId="5" fillId="0" borderId="0" applyFont="0" applyFill="0" applyBorder="0" applyAlignment="0" applyProtection="0"/>
    <xf numFmtId="173" fontId="5" fillId="0" borderId="0" applyFont="0" applyFill="0" applyBorder="0" applyAlignment="0" applyProtection="0"/>
    <xf numFmtId="180" fontId="5" fillId="0" borderId="0"/>
    <xf numFmtId="0" fontId="5" fillId="0" borderId="0"/>
    <xf numFmtId="0" fontId="5" fillId="0" borderId="0"/>
    <xf numFmtId="0" fontId="5" fillId="0" borderId="0"/>
    <xf numFmtId="0" fontId="5" fillId="0" borderId="0"/>
    <xf numFmtId="0" fontId="5" fillId="0" borderId="0"/>
    <xf numFmtId="180" fontId="5" fillId="0" borderId="0"/>
    <xf numFmtId="180" fontId="5" fillId="0" borderId="0"/>
    <xf numFmtId="0" fontId="5" fillId="0" borderId="0"/>
    <xf numFmtId="180" fontId="5" fillId="0" borderId="0"/>
    <xf numFmtId="180" fontId="5" fillId="0" borderId="0"/>
    <xf numFmtId="180" fontId="5" fillId="0" borderId="0"/>
    <xf numFmtId="0" fontId="5" fillId="0" borderId="0"/>
    <xf numFmtId="180" fontId="5" fillId="0" borderId="0"/>
    <xf numFmtId="180" fontId="5" fillId="0" borderId="0"/>
    <xf numFmtId="9"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2" fontId="5" fillId="0" borderId="0" applyFont="0" applyFill="0" applyBorder="0" applyAlignment="0" applyProtection="0"/>
    <xf numFmtId="173" fontId="5" fillId="0" borderId="0" applyFont="0" applyFill="0" applyBorder="0" applyAlignment="0" applyProtection="0"/>
    <xf numFmtId="180" fontId="5" fillId="0" borderId="0"/>
    <xf numFmtId="0" fontId="5" fillId="0" borderId="0"/>
    <xf numFmtId="0" fontId="5" fillId="0" borderId="0"/>
    <xf numFmtId="0" fontId="5" fillId="0" borderId="0"/>
    <xf numFmtId="0" fontId="5" fillId="0" borderId="0"/>
    <xf numFmtId="0" fontId="5" fillId="0" borderId="0"/>
    <xf numFmtId="180" fontId="5" fillId="0" borderId="0"/>
    <xf numFmtId="180" fontId="5" fillId="0" borderId="0"/>
    <xf numFmtId="0" fontId="5" fillId="0" borderId="0"/>
    <xf numFmtId="180" fontId="5" fillId="0" borderId="0"/>
    <xf numFmtId="180" fontId="5" fillId="0" borderId="0"/>
    <xf numFmtId="180" fontId="5" fillId="0" borderId="0"/>
    <xf numFmtId="0" fontId="5" fillId="0" borderId="0"/>
    <xf numFmtId="180" fontId="5" fillId="0" borderId="0"/>
    <xf numFmtId="180" fontId="5" fillId="0" borderId="0"/>
    <xf numFmtId="9" fontId="5" fillId="0" borderId="0" applyFont="0" applyFill="0" applyBorder="0" applyAlignment="0" applyProtection="0"/>
    <xf numFmtId="18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180" fontId="5" fillId="0" borderId="0"/>
    <xf numFmtId="180" fontId="5" fillId="0" borderId="0"/>
    <xf numFmtId="0" fontId="5" fillId="0" borderId="0"/>
    <xf numFmtId="180" fontId="5" fillId="0" borderId="0"/>
    <xf numFmtId="180" fontId="5" fillId="0" borderId="0"/>
    <xf numFmtId="180" fontId="5" fillId="0" borderId="0"/>
    <xf numFmtId="0" fontId="5" fillId="0" borderId="0"/>
    <xf numFmtId="180" fontId="5" fillId="0" borderId="0"/>
    <xf numFmtId="180" fontId="5" fillId="0" borderId="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2" fontId="5" fillId="0" borderId="0" applyFont="0" applyFill="0" applyBorder="0" applyAlignment="0" applyProtection="0"/>
    <xf numFmtId="173" fontId="5" fillId="0" borderId="0" applyFont="0" applyFill="0" applyBorder="0" applyAlignment="0" applyProtection="0"/>
    <xf numFmtId="180" fontId="5" fillId="0" borderId="0"/>
    <xf numFmtId="0" fontId="5" fillId="0" borderId="0"/>
    <xf numFmtId="0" fontId="5" fillId="0" borderId="0"/>
    <xf numFmtId="0" fontId="5" fillId="0" borderId="0"/>
    <xf numFmtId="0" fontId="5" fillId="0" borderId="0"/>
    <xf numFmtId="0" fontId="5" fillId="0" borderId="0"/>
    <xf numFmtId="180" fontId="5" fillId="0" borderId="0"/>
    <xf numFmtId="180" fontId="5" fillId="0" borderId="0"/>
    <xf numFmtId="0" fontId="5" fillId="0" borderId="0"/>
    <xf numFmtId="180" fontId="5" fillId="0" borderId="0"/>
    <xf numFmtId="180" fontId="5" fillId="0" borderId="0"/>
    <xf numFmtId="180" fontId="5" fillId="0" borderId="0"/>
    <xf numFmtId="0" fontId="5" fillId="0" borderId="0"/>
    <xf numFmtId="180" fontId="5" fillId="0" borderId="0"/>
    <xf numFmtId="180" fontId="5" fillId="0" borderId="0"/>
    <xf numFmtId="9" fontId="5" fillId="0" borderId="0" applyFont="0" applyFill="0" applyBorder="0" applyAlignment="0" applyProtection="0"/>
    <xf numFmtId="0" fontId="5" fillId="0" borderId="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2" fontId="5" fillId="0" borderId="0" applyFont="0" applyFill="0" applyBorder="0" applyAlignment="0" applyProtection="0"/>
    <xf numFmtId="173" fontId="5" fillId="0" borderId="0" applyFont="0" applyFill="0" applyBorder="0" applyAlignment="0" applyProtection="0"/>
    <xf numFmtId="180" fontId="5" fillId="0" borderId="0"/>
    <xf numFmtId="0" fontId="5" fillId="0" borderId="0"/>
    <xf numFmtId="0" fontId="5" fillId="0" borderId="0"/>
    <xf numFmtId="0" fontId="5" fillId="0" borderId="0"/>
    <xf numFmtId="0" fontId="5" fillId="0" borderId="0"/>
    <xf numFmtId="0" fontId="5" fillId="0" borderId="0"/>
    <xf numFmtId="180" fontId="5" fillId="0" borderId="0"/>
    <xf numFmtId="180" fontId="5" fillId="0" borderId="0"/>
    <xf numFmtId="0" fontId="5" fillId="0" borderId="0"/>
    <xf numFmtId="180" fontId="5" fillId="0" borderId="0"/>
    <xf numFmtId="180" fontId="5" fillId="0" borderId="0"/>
    <xf numFmtId="180" fontId="5" fillId="0" borderId="0"/>
    <xf numFmtId="0" fontId="5" fillId="0" borderId="0"/>
    <xf numFmtId="180" fontId="5" fillId="0" borderId="0"/>
    <xf numFmtId="180" fontId="5" fillId="0" borderId="0"/>
    <xf numFmtId="9"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2" fontId="5" fillId="0" borderId="0" applyFont="0" applyFill="0" applyBorder="0" applyAlignment="0" applyProtection="0"/>
    <xf numFmtId="173" fontId="5" fillId="0" borderId="0" applyFont="0" applyFill="0" applyBorder="0" applyAlignment="0" applyProtection="0"/>
    <xf numFmtId="180" fontId="5" fillId="0" borderId="0"/>
    <xf numFmtId="0" fontId="5" fillId="0" borderId="0"/>
    <xf numFmtId="0" fontId="5" fillId="0" borderId="0"/>
    <xf numFmtId="0" fontId="5" fillId="0" borderId="0"/>
    <xf numFmtId="0" fontId="5" fillId="0" borderId="0"/>
    <xf numFmtId="0" fontId="5" fillId="0" borderId="0"/>
    <xf numFmtId="180" fontId="5" fillId="0" borderId="0"/>
    <xf numFmtId="180" fontId="5" fillId="0" borderId="0"/>
    <xf numFmtId="0" fontId="5" fillId="0" borderId="0"/>
    <xf numFmtId="180" fontId="5" fillId="0" borderId="0"/>
    <xf numFmtId="180" fontId="5" fillId="0" borderId="0"/>
    <xf numFmtId="180" fontId="5" fillId="0" borderId="0"/>
    <xf numFmtId="0" fontId="5" fillId="0" borderId="0"/>
    <xf numFmtId="180" fontId="5" fillId="0" borderId="0"/>
    <xf numFmtId="180" fontId="5" fillId="0" borderId="0"/>
    <xf numFmtId="9"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2" fontId="5" fillId="0" borderId="0" applyFont="0" applyFill="0" applyBorder="0" applyAlignment="0" applyProtection="0"/>
    <xf numFmtId="173" fontId="5" fillId="0" borderId="0" applyFont="0" applyFill="0" applyBorder="0" applyAlignment="0" applyProtection="0"/>
    <xf numFmtId="180" fontId="5" fillId="0" borderId="0"/>
    <xf numFmtId="0" fontId="5" fillId="0" borderId="0"/>
    <xf numFmtId="0" fontId="5" fillId="0" borderId="0"/>
    <xf numFmtId="0" fontId="5" fillId="0" borderId="0"/>
    <xf numFmtId="0" fontId="5" fillId="0" borderId="0"/>
    <xf numFmtId="0" fontId="5" fillId="0" borderId="0"/>
    <xf numFmtId="180" fontId="5" fillId="0" borderId="0"/>
    <xf numFmtId="180" fontId="5" fillId="0" borderId="0"/>
    <xf numFmtId="0" fontId="5" fillId="0" borderId="0"/>
    <xf numFmtId="180" fontId="5" fillId="0" borderId="0"/>
    <xf numFmtId="180" fontId="5" fillId="0" borderId="0"/>
    <xf numFmtId="180" fontId="5" fillId="0" borderId="0"/>
    <xf numFmtId="0" fontId="5" fillId="0" borderId="0"/>
    <xf numFmtId="180" fontId="5" fillId="0" borderId="0"/>
    <xf numFmtId="180" fontId="5" fillId="0" borderId="0"/>
    <xf numFmtId="9"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2" fontId="5" fillId="0" borderId="0" applyFont="0" applyFill="0" applyBorder="0" applyAlignment="0" applyProtection="0"/>
    <xf numFmtId="173" fontId="5" fillId="0" borderId="0" applyFont="0" applyFill="0" applyBorder="0" applyAlignment="0" applyProtection="0"/>
    <xf numFmtId="180" fontId="5" fillId="0" borderId="0"/>
    <xf numFmtId="0" fontId="5" fillId="0" borderId="0"/>
    <xf numFmtId="0" fontId="5" fillId="0" borderId="0"/>
    <xf numFmtId="0" fontId="5" fillId="0" borderId="0"/>
    <xf numFmtId="0" fontId="5" fillId="0" borderId="0"/>
    <xf numFmtId="0" fontId="5" fillId="0" borderId="0"/>
    <xf numFmtId="180" fontId="5" fillId="0" borderId="0"/>
    <xf numFmtId="180" fontId="5" fillId="0" borderId="0"/>
    <xf numFmtId="0" fontId="5" fillId="0" borderId="0"/>
    <xf numFmtId="180" fontId="5" fillId="0" borderId="0"/>
    <xf numFmtId="180" fontId="5" fillId="0" borderId="0"/>
    <xf numFmtId="180" fontId="5" fillId="0" borderId="0"/>
    <xf numFmtId="0" fontId="5" fillId="0" borderId="0"/>
    <xf numFmtId="180" fontId="5" fillId="0" borderId="0"/>
    <xf numFmtId="180" fontId="5" fillId="0" borderId="0"/>
    <xf numFmtId="9"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2" fontId="5" fillId="0" borderId="0" applyFont="0" applyFill="0" applyBorder="0" applyAlignment="0" applyProtection="0"/>
    <xf numFmtId="173" fontId="5" fillId="0" borderId="0" applyFont="0" applyFill="0" applyBorder="0" applyAlignment="0" applyProtection="0"/>
    <xf numFmtId="180" fontId="5" fillId="0" borderId="0"/>
    <xf numFmtId="0" fontId="5" fillId="0" borderId="0"/>
    <xf numFmtId="0" fontId="5" fillId="0" borderId="0"/>
    <xf numFmtId="0" fontId="5" fillId="0" borderId="0"/>
    <xf numFmtId="0" fontId="5" fillId="0" borderId="0"/>
    <xf numFmtId="0" fontId="5" fillId="0" borderId="0"/>
    <xf numFmtId="180" fontId="5" fillId="0" borderId="0"/>
    <xf numFmtId="180" fontId="5" fillId="0" borderId="0"/>
    <xf numFmtId="0" fontId="5" fillId="0" borderId="0"/>
    <xf numFmtId="180" fontId="5" fillId="0" borderId="0"/>
    <xf numFmtId="180" fontId="5" fillId="0" borderId="0"/>
    <xf numFmtId="180" fontId="5" fillId="0" borderId="0"/>
    <xf numFmtId="0" fontId="5" fillId="0" borderId="0"/>
    <xf numFmtId="180" fontId="5" fillId="0" borderId="0"/>
    <xf numFmtId="180" fontId="5" fillId="0" borderId="0"/>
    <xf numFmtId="9"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2" fontId="5" fillId="0" borderId="0" applyFont="0" applyFill="0" applyBorder="0" applyAlignment="0" applyProtection="0"/>
    <xf numFmtId="173" fontId="5" fillId="0" borderId="0" applyFont="0" applyFill="0" applyBorder="0" applyAlignment="0" applyProtection="0"/>
    <xf numFmtId="180" fontId="5" fillId="0" borderId="0"/>
    <xf numFmtId="0" fontId="5" fillId="0" borderId="0"/>
    <xf numFmtId="0" fontId="5" fillId="0" borderId="0"/>
    <xf numFmtId="0" fontId="5" fillId="0" borderId="0"/>
    <xf numFmtId="0" fontId="5" fillId="0" borderId="0"/>
    <xf numFmtId="0" fontId="5" fillId="0" borderId="0"/>
    <xf numFmtId="180" fontId="5" fillId="0" borderId="0"/>
    <xf numFmtId="180" fontId="5" fillId="0" borderId="0"/>
    <xf numFmtId="0" fontId="5" fillId="0" borderId="0"/>
    <xf numFmtId="180" fontId="5" fillId="0" borderId="0"/>
    <xf numFmtId="180" fontId="5" fillId="0" borderId="0"/>
    <xf numFmtId="180" fontId="5" fillId="0" borderId="0"/>
    <xf numFmtId="0" fontId="5" fillId="0" borderId="0"/>
    <xf numFmtId="180" fontId="5" fillId="0" borderId="0"/>
    <xf numFmtId="180" fontId="5" fillId="0" borderId="0"/>
    <xf numFmtId="9"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2" fontId="5" fillId="0" borderId="0" applyFont="0" applyFill="0" applyBorder="0" applyAlignment="0" applyProtection="0"/>
    <xf numFmtId="173" fontId="5" fillId="0" borderId="0" applyFont="0" applyFill="0" applyBorder="0" applyAlignment="0" applyProtection="0"/>
    <xf numFmtId="180" fontId="5" fillId="0" borderId="0"/>
    <xf numFmtId="0" fontId="5" fillId="0" borderId="0"/>
    <xf numFmtId="0" fontId="5" fillId="0" borderId="0"/>
    <xf numFmtId="0" fontId="5" fillId="0" borderId="0"/>
    <xf numFmtId="0" fontId="5" fillId="0" borderId="0"/>
    <xf numFmtId="0" fontId="5" fillId="0" borderId="0"/>
    <xf numFmtId="180" fontId="5" fillId="0" borderId="0"/>
    <xf numFmtId="180" fontId="5" fillId="0" borderId="0"/>
    <xf numFmtId="0" fontId="5" fillId="0" borderId="0"/>
    <xf numFmtId="180" fontId="5" fillId="0" borderId="0"/>
    <xf numFmtId="180" fontId="5" fillId="0" borderId="0"/>
    <xf numFmtId="180" fontId="5" fillId="0" borderId="0"/>
    <xf numFmtId="0" fontId="5" fillId="0" borderId="0"/>
    <xf numFmtId="180" fontId="5" fillId="0" borderId="0"/>
    <xf numFmtId="180" fontId="5" fillId="0" borderId="0"/>
    <xf numFmtId="9"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2" fontId="5" fillId="0" borderId="0" applyFont="0" applyFill="0" applyBorder="0" applyAlignment="0" applyProtection="0"/>
    <xf numFmtId="173" fontId="5" fillId="0" borderId="0" applyFont="0" applyFill="0" applyBorder="0" applyAlignment="0" applyProtection="0"/>
    <xf numFmtId="180" fontId="5" fillId="0" borderId="0"/>
    <xf numFmtId="0" fontId="5" fillId="0" borderId="0"/>
    <xf numFmtId="0" fontId="5" fillId="0" borderId="0"/>
    <xf numFmtId="0" fontId="5" fillId="0" borderId="0"/>
    <xf numFmtId="0" fontId="5" fillId="0" borderId="0"/>
    <xf numFmtId="0" fontId="5" fillId="0" borderId="0"/>
    <xf numFmtId="180" fontId="5" fillId="0" borderId="0"/>
    <xf numFmtId="180" fontId="5" fillId="0" borderId="0"/>
    <xf numFmtId="0" fontId="5" fillId="0" borderId="0"/>
    <xf numFmtId="180" fontId="5" fillId="0" borderId="0"/>
    <xf numFmtId="180" fontId="5" fillId="0" borderId="0"/>
    <xf numFmtId="180" fontId="5" fillId="0" borderId="0"/>
    <xf numFmtId="0" fontId="5" fillId="0" borderId="0"/>
    <xf numFmtId="180" fontId="5" fillId="0" borderId="0"/>
    <xf numFmtId="180" fontId="5" fillId="0" borderId="0"/>
    <xf numFmtId="9" fontId="5" fillId="0" borderId="0" applyFont="0" applyFill="0" applyBorder="0" applyAlignment="0" applyProtection="0"/>
    <xf numFmtId="0" fontId="5" fillId="0" borderId="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2" fontId="5" fillId="0" borderId="0" applyFont="0" applyFill="0" applyBorder="0" applyAlignment="0" applyProtection="0"/>
    <xf numFmtId="173" fontId="5" fillId="0" borderId="0" applyFont="0" applyFill="0" applyBorder="0" applyAlignment="0" applyProtection="0"/>
    <xf numFmtId="180" fontId="5" fillId="0" borderId="0"/>
    <xf numFmtId="0" fontId="5" fillId="0" borderId="0"/>
    <xf numFmtId="0" fontId="5" fillId="0" borderId="0"/>
    <xf numFmtId="0" fontId="5" fillId="0" borderId="0"/>
    <xf numFmtId="0" fontId="5" fillId="0" borderId="0"/>
    <xf numFmtId="0" fontId="5" fillId="0" borderId="0"/>
    <xf numFmtId="180" fontId="5" fillId="0" borderId="0"/>
    <xf numFmtId="180" fontId="5" fillId="0" borderId="0"/>
    <xf numFmtId="0" fontId="5" fillId="0" borderId="0"/>
    <xf numFmtId="180" fontId="5" fillId="0" borderId="0"/>
    <xf numFmtId="180" fontId="5" fillId="0" borderId="0"/>
    <xf numFmtId="180" fontId="5" fillId="0" borderId="0"/>
    <xf numFmtId="0" fontId="5" fillId="0" borderId="0"/>
    <xf numFmtId="180" fontId="5" fillId="0" borderId="0"/>
    <xf numFmtId="180" fontId="5" fillId="0" borderId="0"/>
    <xf numFmtId="9"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2" fontId="5" fillId="0" borderId="0" applyFont="0" applyFill="0" applyBorder="0" applyAlignment="0" applyProtection="0"/>
    <xf numFmtId="173" fontId="5" fillId="0" borderId="0" applyFont="0" applyFill="0" applyBorder="0" applyAlignment="0" applyProtection="0"/>
    <xf numFmtId="180" fontId="5" fillId="0" borderId="0"/>
    <xf numFmtId="0" fontId="5" fillId="0" borderId="0"/>
    <xf numFmtId="0" fontId="5" fillId="0" borderId="0"/>
    <xf numFmtId="0" fontId="5" fillId="0" borderId="0"/>
    <xf numFmtId="0" fontId="5" fillId="0" borderId="0"/>
    <xf numFmtId="0" fontId="5" fillId="0" borderId="0"/>
    <xf numFmtId="180" fontId="5" fillId="0" borderId="0"/>
    <xf numFmtId="180" fontId="5" fillId="0" borderId="0"/>
    <xf numFmtId="0" fontId="5" fillId="0" borderId="0"/>
    <xf numFmtId="180" fontId="5" fillId="0" borderId="0"/>
    <xf numFmtId="180" fontId="5" fillId="0" borderId="0"/>
    <xf numFmtId="180" fontId="5" fillId="0" borderId="0"/>
    <xf numFmtId="0" fontId="5" fillId="0" borderId="0"/>
    <xf numFmtId="180" fontId="5" fillId="0" borderId="0"/>
    <xf numFmtId="180" fontId="5" fillId="0" borderId="0"/>
    <xf numFmtId="9"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2" fontId="5" fillId="0" borderId="0" applyFont="0" applyFill="0" applyBorder="0" applyAlignment="0" applyProtection="0"/>
    <xf numFmtId="173" fontId="5" fillId="0" borderId="0" applyFont="0" applyFill="0" applyBorder="0" applyAlignment="0" applyProtection="0"/>
    <xf numFmtId="180" fontId="5" fillId="0" borderId="0"/>
    <xf numFmtId="0" fontId="5" fillId="0" borderId="0"/>
    <xf numFmtId="0" fontId="5" fillId="0" borderId="0"/>
    <xf numFmtId="0" fontId="5" fillId="0" borderId="0"/>
    <xf numFmtId="0" fontId="5" fillId="0" borderId="0"/>
    <xf numFmtId="0" fontId="5" fillId="0" borderId="0"/>
    <xf numFmtId="180" fontId="5" fillId="0" borderId="0"/>
    <xf numFmtId="180" fontId="5" fillId="0" borderId="0"/>
    <xf numFmtId="0" fontId="5" fillId="0" borderId="0"/>
    <xf numFmtId="180" fontId="5" fillId="0" borderId="0"/>
    <xf numFmtId="180" fontId="5" fillId="0" borderId="0"/>
    <xf numFmtId="180" fontId="5" fillId="0" borderId="0"/>
    <xf numFmtId="0" fontId="5" fillId="0" borderId="0"/>
    <xf numFmtId="180" fontId="5" fillId="0" borderId="0"/>
    <xf numFmtId="180" fontId="5" fillId="0" borderId="0"/>
    <xf numFmtId="9"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2" fontId="5" fillId="0" borderId="0" applyFont="0" applyFill="0" applyBorder="0" applyAlignment="0" applyProtection="0"/>
    <xf numFmtId="173" fontId="5" fillId="0" borderId="0" applyFont="0" applyFill="0" applyBorder="0" applyAlignment="0" applyProtection="0"/>
    <xf numFmtId="180" fontId="5" fillId="0" borderId="0"/>
    <xf numFmtId="0" fontId="5" fillId="0" borderId="0"/>
    <xf numFmtId="0" fontId="5" fillId="0" borderId="0"/>
    <xf numFmtId="0" fontId="5" fillId="0" borderId="0"/>
    <xf numFmtId="0" fontId="5" fillId="0" borderId="0"/>
    <xf numFmtId="0" fontId="5" fillId="0" borderId="0"/>
    <xf numFmtId="180" fontId="5" fillId="0" borderId="0"/>
    <xf numFmtId="180" fontId="5" fillId="0" borderId="0"/>
    <xf numFmtId="0" fontId="5" fillId="0" borderId="0"/>
    <xf numFmtId="180" fontId="5" fillId="0" borderId="0"/>
    <xf numFmtId="180" fontId="5" fillId="0" borderId="0"/>
    <xf numFmtId="180" fontId="5" fillId="0" borderId="0"/>
    <xf numFmtId="0" fontId="5" fillId="0" borderId="0"/>
    <xf numFmtId="180" fontId="5" fillId="0" borderId="0"/>
    <xf numFmtId="180" fontId="5" fillId="0" borderId="0"/>
    <xf numFmtId="9"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2" fontId="5" fillId="0" borderId="0" applyFont="0" applyFill="0" applyBorder="0" applyAlignment="0" applyProtection="0"/>
    <xf numFmtId="173" fontId="5" fillId="0" borderId="0" applyFont="0" applyFill="0" applyBorder="0" applyAlignment="0" applyProtection="0"/>
    <xf numFmtId="180" fontId="5" fillId="0" borderId="0"/>
    <xf numFmtId="0" fontId="5" fillId="0" borderId="0"/>
    <xf numFmtId="0" fontId="5" fillId="0" borderId="0"/>
    <xf numFmtId="0" fontId="5" fillId="0" borderId="0"/>
    <xf numFmtId="0" fontId="5" fillId="0" borderId="0"/>
    <xf numFmtId="0" fontId="5" fillId="0" borderId="0"/>
    <xf numFmtId="180" fontId="5" fillId="0" borderId="0"/>
    <xf numFmtId="180" fontId="5" fillId="0" borderId="0"/>
    <xf numFmtId="0" fontId="5" fillId="0" borderId="0"/>
    <xf numFmtId="180" fontId="5" fillId="0" borderId="0"/>
    <xf numFmtId="180" fontId="5" fillId="0" borderId="0"/>
    <xf numFmtId="180" fontId="5" fillId="0" borderId="0"/>
    <xf numFmtId="0" fontId="5" fillId="0" borderId="0"/>
    <xf numFmtId="180" fontId="5" fillId="0" borderId="0"/>
    <xf numFmtId="180" fontId="5" fillId="0" borderId="0"/>
    <xf numFmtId="9"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2" fontId="5" fillId="0" borderId="0" applyFont="0" applyFill="0" applyBorder="0" applyAlignment="0" applyProtection="0"/>
    <xf numFmtId="173" fontId="5" fillId="0" borderId="0" applyFont="0" applyFill="0" applyBorder="0" applyAlignment="0" applyProtection="0"/>
    <xf numFmtId="180" fontId="5" fillId="0" borderId="0"/>
    <xf numFmtId="0" fontId="5" fillId="0" borderId="0"/>
    <xf numFmtId="0" fontId="5" fillId="0" borderId="0"/>
    <xf numFmtId="0" fontId="5" fillId="0" borderId="0"/>
    <xf numFmtId="0" fontId="5" fillId="0" borderId="0"/>
    <xf numFmtId="0" fontId="5" fillId="0" borderId="0"/>
    <xf numFmtId="180" fontId="5" fillId="0" borderId="0"/>
    <xf numFmtId="180" fontId="5" fillId="0" borderId="0"/>
    <xf numFmtId="0" fontId="5" fillId="0" borderId="0"/>
    <xf numFmtId="180" fontId="5" fillId="0" borderId="0"/>
    <xf numFmtId="180" fontId="5" fillId="0" borderId="0"/>
    <xf numFmtId="180" fontId="5" fillId="0" borderId="0"/>
    <xf numFmtId="0" fontId="5" fillId="0" borderId="0"/>
    <xf numFmtId="180" fontId="5" fillId="0" borderId="0"/>
    <xf numFmtId="180" fontId="5" fillId="0" borderId="0"/>
    <xf numFmtId="9"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2" fontId="5" fillId="0" borderId="0" applyFont="0" applyFill="0" applyBorder="0" applyAlignment="0" applyProtection="0"/>
    <xf numFmtId="173" fontId="5" fillId="0" borderId="0" applyFont="0" applyFill="0" applyBorder="0" applyAlignment="0" applyProtection="0"/>
    <xf numFmtId="180" fontId="5" fillId="0" borderId="0"/>
    <xf numFmtId="0" fontId="5" fillId="0" borderId="0"/>
    <xf numFmtId="0" fontId="5" fillId="0" borderId="0"/>
    <xf numFmtId="0" fontId="5" fillId="0" borderId="0"/>
    <xf numFmtId="0" fontId="5" fillId="0" borderId="0"/>
    <xf numFmtId="0" fontId="5" fillId="0" borderId="0"/>
    <xf numFmtId="180" fontId="5" fillId="0" borderId="0"/>
    <xf numFmtId="180" fontId="5" fillId="0" borderId="0"/>
    <xf numFmtId="0" fontId="5" fillId="0" borderId="0"/>
    <xf numFmtId="180" fontId="5" fillId="0" borderId="0"/>
    <xf numFmtId="180" fontId="5" fillId="0" borderId="0"/>
    <xf numFmtId="180" fontId="5" fillId="0" borderId="0"/>
    <xf numFmtId="0" fontId="5" fillId="0" borderId="0"/>
    <xf numFmtId="180" fontId="5" fillId="0" borderId="0"/>
    <xf numFmtId="180" fontId="5" fillId="0" borderId="0"/>
    <xf numFmtId="9"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2" fontId="5" fillId="0" borderId="0" applyFont="0" applyFill="0" applyBorder="0" applyAlignment="0" applyProtection="0"/>
    <xf numFmtId="173" fontId="5" fillId="0" borderId="0" applyFont="0" applyFill="0" applyBorder="0" applyAlignment="0" applyProtection="0"/>
    <xf numFmtId="180" fontId="5" fillId="0" borderId="0"/>
    <xf numFmtId="0" fontId="5" fillId="0" borderId="0"/>
    <xf numFmtId="0" fontId="5" fillId="0" borderId="0"/>
    <xf numFmtId="0" fontId="5" fillId="0" borderId="0"/>
    <xf numFmtId="0" fontId="5" fillId="0" borderId="0"/>
    <xf numFmtId="0" fontId="5" fillId="0" borderId="0"/>
    <xf numFmtId="180" fontId="5" fillId="0" borderId="0"/>
    <xf numFmtId="180" fontId="5" fillId="0" borderId="0"/>
    <xf numFmtId="0" fontId="5" fillId="0" borderId="0"/>
    <xf numFmtId="180" fontId="5" fillId="0" borderId="0"/>
    <xf numFmtId="180" fontId="5" fillId="0" borderId="0"/>
    <xf numFmtId="180" fontId="5" fillId="0" borderId="0"/>
    <xf numFmtId="0" fontId="5" fillId="0" borderId="0"/>
    <xf numFmtId="180" fontId="5" fillId="0" borderId="0"/>
    <xf numFmtId="180" fontId="5" fillId="0" borderId="0"/>
    <xf numFmtId="9" fontId="5" fillId="0" borderId="0" applyFont="0" applyFill="0" applyBorder="0" applyAlignment="0" applyProtection="0"/>
    <xf numFmtId="170" fontId="5" fillId="0" borderId="0" applyFont="0" applyFill="0" applyBorder="0" applyAlignment="0" applyProtection="0"/>
    <xf numFmtId="43" fontId="5" fillId="0" borderId="0" applyFont="0" applyFill="0" applyBorder="0" applyAlignment="0" applyProtection="0"/>
    <xf numFmtId="0" fontId="5" fillId="0" borderId="0"/>
    <xf numFmtId="168" fontId="5" fillId="0" borderId="0" applyFont="0" applyFill="0" applyBorder="0" applyAlignment="0" applyProtection="0"/>
    <xf numFmtId="0" fontId="5" fillId="0" borderId="0"/>
    <xf numFmtId="180" fontId="5" fillId="0" borderId="0"/>
    <xf numFmtId="0" fontId="5" fillId="0" borderId="0"/>
    <xf numFmtId="0" fontId="5" fillId="0" borderId="0"/>
    <xf numFmtId="0" fontId="5" fillId="0" borderId="0"/>
    <xf numFmtId="0" fontId="5" fillId="0" borderId="0"/>
    <xf numFmtId="0" fontId="5" fillId="0" borderId="0"/>
    <xf numFmtId="180" fontId="5" fillId="0" borderId="0"/>
    <xf numFmtId="180" fontId="5" fillId="0" borderId="0"/>
    <xf numFmtId="180" fontId="5" fillId="0" borderId="0"/>
    <xf numFmtId="180" fontId="5" fillId="0" borderId="0"/>
    <xf numFmtId="180" fontId="5" fillId="0" borderId="0"/>
    <xf numFmtId="0" fontId="5" fillId="0" borderId="0"/>
    <xf numFmtId="180" fontId="5" fillId="0" borderId="0"/>
    <xf numFmtId="180" fontId="5" fillId="0" borderId="0"/>
    <xf numFmtId="168" fontId="5" fillId="0" borderId="0" applyFont="0" applyFill="0" applyBorder="0" applyAlignment="0" applyProtection="0"/>
    <xf numFmtId="180" fontId="5" fillId="0" borderId="0"/>
    <xf numFmtId="0" fontId="5" fillId="0" borderId="0"/>
    <xf numFmtId="0" fontId="5" fillId="0" borderId="0"/>
    <xf numFmtId="0" fontId="5" fillId="0" borderId="0"/>
    <xf numFmtId="0" fontId="5" fillId="0" borderId="0"/>
    <xf numFmtId="0" fontId="5" fillId="0" borderId="0"/>
    <xf numFmtId="180" fontId="5" fillId="0" borderId="0"/>
    <xf numFmtId="180" fontId="5" fillId="0" borderId="0"/>
    <xf numFmtId="0" fontId="5" fillId="0" borderId="0"/>
    <xf numFmtId="180" fontId="5" fillId="0" borderId="0"/>
    <xf numFmtId="180" fontId="5" fillId="0" borderId="0"/>
    <xf numFmtId="180" fontId="5" fillId="0" borderId="0"/>
    <xf numFmtId="0" fontId="5" fillId="0" borderId="0"/>
    <xf numFmtId="180" fontId="5" fillId="0" borderId="0"/>
    <xf numFmtId="180" fontId="5" fillId="0" borderId="0"/>
    <xf numFmtId="0" fontId="5" fillId="0" borderId="0"/>
    <xf numFmtId="180" fontId="5" fillId="0" borderId="0"/>
    <xf numFmtId="0" fontId="5" fillId="0" borderId="0"/>
    <xf numFmtId="0" fontId="5" fillId="0" borderId="0"/>
    <xf numFmtId="0" fontId="5" fillId="0" borderId="0"/>
    <xf numFmtId="0" fontId="5" fillId="0" borderId="0"/>
    <xf numFmtId="0" fontId="5" fillId="0" borderId="0"/>
    <xf numFmtId="180" fontId="5" fillId="0" borderId="0"/>
    <xf numFmtId="180" fontId="5" fillId="0" borderId="0"/>
    <xf numFmtId="180" fontId="5" fillId="0" borderId="0"/>
    <xf numFmtId="180" fontId="5" fillId="0" borderId="0"/>
    <xf numFmtId="180" fontId="5" fillId="0" borderId="0"/>
    <xf numFmtId="0" fontId="5" fillId="0" borderId="0"/>
    <xf numFmtId="180" fontId="5" fillId="0" borderId="0"/>
    <xf numFmtId="180" fontId="5" fillId="0" borderId="0"/>
    <xf numFmtId="168" fontId="5"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185" fontId="52" fillId="0" borderId="0" applyFont="0" applyFill="0" applyBorder="0" applyAlignment="0" applyProtection="0"/>
    <xf numFmtId="43" fontId="52" fillId="0" borderId="0" applyFont="0" applyFill="0" applyBorder="0" applyAlignment="0" applyProtection="0"/>
    <xf numFmtId="185" fontId="52" fillId="0" borderId="0" applyFont="0" applyFill="0" applyBorder="0" applyAlignment="0" applyProtection="0"/>
    <xf numFmtId="18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80" fontId="4" fillId="0" borderId="0"/>
    <xf numFmtId="180" fontId="4" fillId="0" borderId="0"/>
    <xf numFmtId="0" fontId="4" fillId="0" borderId="0"/>
    <xf numFmtId="180" fontId="4" fillId="0" borderId="0"/>
    <xf numFmtId="180" fontId="4" fillId="0" borderId="0"/>
    <xf numFmtId="180" fontId="4" fillId="0" borderId="0"/>
    <xf numFmtId="0" fontId="4" fillId="0" borderId="0"/>
    <xf numFmtId="180" fontId="4" fillId="0" borderId="0"/>
    <xf numFmtId="180" fontId="4" fillId="0" borderId="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2" fontId="4" fillId="0" borderId="0" applyFont="0" applyFill="0" applyBorder="0" applyAlignment="0" applyProtection="0"/>
    <xf numFmtId="173" fontId="4" fillId="0" borderId="0" applyFont="0" applyFill="0" applyBorder="0" applyAlignment="0" applyProtection="0"/>
    <xf numFmtId="180" fontId="4" fillId="0" borderId="0"/>
    <xf numFmtId="0" fontId="4" fillId="0" borderId="0"/>
    <xf numFmtId="0" fontId="4" fillId="0" borderId="0"/>
    <xf numFmtId="0" fontId="4" fillId="0" borderId="0"/>
    <xf numFmtId="0" fontId="4" fillId="0" borderId="0"/>
    <xf numFmtId="0" fontId="4" fillId="0" borderId="0"/>
    <xf numFmtId="180" fontId="4" fillId="0" borderId="0"/>
    <xf numFmtId="180" fontId="4" fillId="0" borderId="0"/>
    <xf numFmtId="0" fontId="4" fillId="0" borderId="0"/>
    <xf numFmtId="180" fontId="4" fillId="0" borderId="0"/>
    <xf numFmtId="180" fontId="4" fillId="0" borderId="0"/>
    <xf numFmtId="180" fontId="4" fillId="0" borderId="0"/>
    <xf numFmtId="0" fontId="4" fillId="0" borderId="0"/>
    <xf numFmtId="180" fontId="4" fillId="0" borderId="0"/>
    <xf numFmtId="180" fontId="4" fillId="0" borderId="0"/>
    <xf numFmtId="9" fontId="4" fillId="0" borderId="0" applyFont="0" applyFill="0" applyBorder="0" applyAlignment="0" applyProtection="0"/>
    <xf numFmtId="0" fontId="4" fillId="0" borderId="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2" fontId="4" fillId="0" borderId="0" applyFont="0" applyFill="0" applyBorder="0" applyAlignment="0" applyProtection="0"/>
    <xf numFmtId="173" fontId="4" fillId="0" borderId="0" applyFont="0" applyFill="0" applyBorder="0" applyAlignment="0" applyProtection="0"/>
    <xf numFmtId="180" fontId="4" fillId="0" borderId="0"/>
    <xf numFmtId="0" fontId="4" fillId="0" borderId="0"/>
    <xf numFmtId="0" fontId="4" fillId="0" borderId="0"/>
    <xf numFmtId="0" fontId="4" fillId="0" borderId="0"/>
    <xf numFmtId="0" fontId="4" fillId="0" borderId="0"/>
    <xf numFmtId="0" fontId="4" fillId="0" borderId="0"/>
    <xf numFmtId="180" fontId="4" fillId="0" borderId="0"/>
    <xf numFmtId="180" fontId="4" fillId="0" borderId="0"/>
    <xf numFmtId="0" fontId="4" fillId="0" borderId="0"/>
    <xf numFmtId="180" fontId="4" fillId="0" borderId="0"/>
    <xf numFmtId="180" fontId="4" fillId="0" borderId="0"/>
    <xf numFmtId="180" fontId="4" fillId="0" borderId="0"/>
    <xf numFmtId="0" fontId="4" fillId="0" borderId="0"/>
    <xf numFmtId="180" fontId="4" fillId="0" borderId="0"/>
    <xf numFmtId="180" fontId="4" fillId="0" borderId="0"/>
    <xf numFmtId="9"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2" fontId="4" fillId="0" borderId="0" applyFont="0" applyFill="0" applyBorder="0" applyAlignment="0" applyProtection="0"/>
    <xf numFmtId="173" fontId="4" fillId="0" borderId="0" applyFont="0" applyFill="0" applyBorder="0" applyAlignment="0" applyProtection="0"/>
    <xf numFmtId="180" fontId="4" fillId="0" borderId="0"/>
    <xf numFmtId="0" fontId="4" fillId="0" borderId="0"/>
    <xf numFmtId="0" fontId="4" fillId="0" borderId="0"/>
    <xf numFmtId="0" fontId="4" fillId="0" borderId="0"/>
    <xf numFmtId="0" fontId="4" fillId="0" borderId="0"/>
    <xf numFmtId="0" fontId="4" fillId="0" borderId="0"/>
    <xf numFmtId="180" fontId="4" fillId="0" borderId="0"/>
    <xf numFmtId="180" fontId="4" fillId="0" borderId="0"/>
    <xf numFmtId="0" fontId="4" fillId="0" borderId="0"/>
    <xf numFmtId="180" fontId="4" fillId="0" borderId="0"/>
    <xf numFmtId="180" fontId="4" fillId="0" borderId="0"/>
    <xf numFmtId="180" fontId="4" fillId="0" borderId="0"/>
    <xf numFmtId="0" fontId="4" fillId="0" borderId="0"/>
    <xf numFmtId="180" fontId="4" fillId="0" borderId="0"/>
    <xf numFmtId="180" fontId="4" fillId="0" borderId="0"/>
    <xf numFmtId="9"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2" fontId="4" fillId="0" borderId="0" applyFont="0" applyFill="0" applyBorder="0" applyAlignment="0" applyProtection="0"/>
    <xf numFmtId="173" fontId="4" fillId="0" borderId="0" applyFont="0" applyFill="0" applyBorder="0" applyAlignment="0" applyProtection="0"/>
    <xf numFmtId="180" fontId="4" fillId="0" borderId="0"/>
    <xf numFmtId="0" fontId="4" fillId="0" borderId="0"/>
    <xf numFmtId="0" fontId="4" fillId="0" borderId="0"/>
    <xf numFmtId="0" fontId="4" fillId="0" borderId="0"/>
    <xf numFmtId="0" fontId="4" fillId="0" borderId="0"/>
    <xf numFmtId="0" fontId="4" fillId="0" borderId="0"/>
    <xf numFmtId="180" fontId="4" fillId="0" borderId="0"/>
    <xf numFmtId="180" fontId="4" fillId="0" borderId="0"/>
    <xf numFmtId="0" fontId="4" fillId="0" borderId="0"/>
    <xf numFmtId="180" fontId="4" fillId="0" borderId="0"/>
    <xf numFmtId="180" fontId="4" fillId="0" borderId="0"/>
    <xf numFmtId="180" fontId="4" fillId="0" borderId="0"/>
    <xf numFmtId="0" fontId="4" fillId="0" borderId="0"/>
    <xf numFmtId="180" fontId="4" fillId="0" borderId="0"/>
    <xf numFmtId="180" fontId="4" fillId="0" borderId="0"/>
    <xf numFmtId="9"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2" fontId="4" fillId="0" borderId="0" applyFont="0" applyFill="0" applyBorder="0" applyAlignment="0" applyProtection="0"/>
    <xf numFmtId="173" fontId="4" fillId="0" borderId="0" applyFont="0" applyFill="0" applyBorder="0" applyAlignment="0" applyProtection="0"/>
    <xf numFmtId="180" fontId="4" fillId="0" borderId="0"/>
    <xf numFmtId="0" fontId="4" fillId="0" borderId="0"/>
    <xf numFmtId="0" fontId="4" fillId="0" borderId="0"/>
    <xf numFmtId="0" fontId="4" fillId="0" borderId="0"/>
    <xf numFmtId="0" fontId="4" fillId="0" borderId="0"/>
    <xf numFmtId="0" fontId="4" fillId="0" borderId="0"/>
    <xf numFmtId="180" fontId="4" fillId="0" borderId="0"/>
    <xf numFmtId="180" fontId="4" fillId="0" borderId="0"/>
    <xf numFmtId="0" fontId="4" fillId="0" borderId="0"/>
    <xf numFmtId="180" fontId="4" fillId="0" borderId="0"/>
    <xf numFmtId="180" fontId="4" fillId="0" borderId="0"/>
    <xf numFmtId="180" fontId="4" fillId="0" borderId="0"/>
    <xf numFmtId="0" fontId="4" fillId="0" borderId="0"/>
    <xf numFmtId="180" fontId="4" fillId="0" borderId="0"/>
    <xf numFmtId="180" fontId="4" fillId="0" borderId="0"/>
    <xf numFmtId="9"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2" fontId="4" fillId="0" borderId="0" applyFont="0" applyFill="0" applyBorder="0" applyAlignment="0" applyProtection="0"/>
    <xf numFmtId="173" fontId="4" fillId="0" borderId="0" applyFont="0" applyFill="0" applyBorder="0" applyAlignment="0" applyProtection="0"/>
    <xf numFmtId="180" fontId="4" fillId="0" borderId="0"/>
    <xf numFmtId="0" fontId="4" fillId="0" borderId="0"/>
    <xf numFmtId="0" fontId="4" fillId="0" borderId="0"/>
    <xf numFmtId="0" fontId="4" fillId="0" borderId="0"/>
    <xf numFmtId="0" fontId="4" fillId="0" borderId="0"/>
    <xf numFmtId="0" fontId="4" fillId="0" borderId="0"/>
    <xf numFmtId="180" fontId="4" fillId="0" borderId="0"/>
    <xf numFmtId="180" fontId="4" fillId="0" borderId="0"/>
    <xf numFmtId="0" fontId="4" fillId="0" borderId="0"/>
    <xf numFmtId="180" fontId="4" fillId="0" borderId="0"/>
    <xf numFmtId="180" fontId="4" fillId="0" borderId="0"/>
    <xf numFmtId="180" fontId="4" fillId="0" borderId="0"/>
    <xf numFmtId="0" fontId="4" fillId="0" borderId="0"/>
    <xf numFmtId="180" fontId="4" fillId="0" borderId="0"/>
    <xf numFmtId="180" fontId="4" fillId="0" borderId="0"/>
    <xf numFmtId="9"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2" fontId="4" fillId="0" borderId="0" applyFont="0" applyFill="0" applyBorder="0" applyAlignment="0" applyProtection="0"/>
    <xf numFmtId="173" fontId="4" fillId="0" borderId="0" applyFont="0" applyFill="0" applyBorder="0" applyAlignment="0" applyProtection="0"/>
    <xf numFmtId="180" fontId="4" fillId="0" borderId="0"/>
    <xf numFmtId="0" fontId="4" fillId="0" borderId="0"/>
    <xf numFmtId="0" fontId="4" fillId="0" borderId="0"/>
    <xf numFmtId="0" fontId="4" fillId="0" borderId="0"/>
    <xf numFmtId="0" fontId="4" fillId="0" borderId="0"/>
    <xf numFmtId="0" fontId="4" fillId="0" borderId="0"/>
    <xf numFmtId="180" fontId="4" fillId="0" borderId="0"/>
    <xf numFmtId="180" fontId="4" fillId="0" borderId="0"/>
    <xf numFmtId="0" fontId="4" fillId="0" borderId="0"/>
    <xf numFmtId="180" fontId="4" fillId="0" borderId="0"/>
    <xf numFmtId="180" fontId="4" fillId="0" borderId="0"/>
    <xf numFmtId="180" fontId="4" fillId="0" borderId="0"/>
    <xf numFmtId="0" fontId="4" fillId="0" borderId="0"/>
    <xf numFmtId="180" fontId="4" fillId="0" borderId="0"/>
    <xf numFmtId="180" fontId="4" fillId="0" borderId="0"/>
    <xf numFmtId="9"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2" fontId="4" fillId="0" borderId="0" applyFont="0" applyFill="0" applyBorder="0" applyAlignment="0" applyProtection="0"/>
    <xf numFmtId="173" fontId="4" fillId="0" borderId="0" applyFont="0" applyFill="0" applyBorder="0" applyAlignment="0" applyProtection="0"/>
    <xf numFmtId="180" fontId="4" fillId="0" borderId="0"/>
    <xf numFmtId="0" fontId="4" fillId="0" borderId="0"/>
    <xf numFmtId="0" fontId="4" fillId="0" borderId="0"/>
    <xf numFmtId="0" fontId="4" fillId="0" borderId="0"/>
    <xf numFmtId="0" fontId="4" fillId="0" borderId="0"/>
    <xf numFmtId="0" fontId="4" fillId="0" borderId="0"/>
    <xf numFmtId="180" fontId="4" fillId="0" borderId="0"/>
    <xf numFmtId="180" fontId="4" fillId="0" borderId="0"/>
    <xf numFmtId="0" fontId="4" fillId="0" borderId="0"/>
    <xf numFmtId="180" fontId="4" fillId="0" borderId="0"/>
    <xf numFmtId="180" fontId="4" fillId="0" borderId="0"/>
    <xf numFmtId="180" fontId="4" fillId="0" borderId="0"/>
    <xf numFmtId="0" fontId="4" fillId="0" borderId="0"/>
    <xf numFmtId="180" fontId="4" fillId="0" borderId="0"/>
    <xf numFmtId="180" fontId="4" fillId="0" borderId="0"/>
    <xf numFmtId="9" fontId="4" fillId="0" borderId="0" applyFont="0" applyFill="0" applyBorder="0" applyAlignment="0" applyProtection="0"/>
    <xf numFmtId="18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80" fontId="4" fillId="0" borderId="0"/>
    <xf numFmtId="180" fontId="4" fillId="0" borderId="0"/>
    <xf numFmtId="0" fontId="4" fillId="0" borderId="0"/>
    <xf numFmtId="180" fontId="4" fillId="0" borderId="0"/>
    <xf numFmtId="180" fontId="4" fillId="0" borderId="0"/>
    <xf numFmtId="180" fontId="4" fillId="0" borderId="0"/>
    <xf numFmtId="0" fontId="4" fillId="0" borderId="0"/>
    <xf numFmtId="180" fontId="4" fillId="0" borderId="0"/>
    <xf numFmtId="180" fontId="4" fillId="0" borderId="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2" fontId="4" fillId="0" borderId="0" applyFont="0" applyFill="0" applyBorder="0" applyAlignment="0" applyProtection="0"/>
    <xf numFmtId="173" fontId="4" fillId="0" borderId="0" applyFont="0" applyFill="0" applyBorder="0" applyAlignment="0" applyProtection="0"/>
    <xf numFmtId="180" fontId="4" fillId="0" borderId="0"/>
    <xf numFmtId="0" fontId="4" fillId="0" borderId="0"/>
    <xf numFmtId="0" fontId="4" fillId="0" borderId="0"/>
    <xf numFmtId="0" fontId="4" fillId="0" borderId="0"/>
    <xf numFmtId="0" fontId="4" fillId="0" borderId="0"/>
    <xf numFmtId="0" fontId="4" fillId="0" borderId="0"/>
    <xf numFmtId="180" fontId="4" fillId="0" borderId="0"/>
    <xf numFmtId="180" fontId="4" fillId="0" borderId="0"/>
    <xf numFmtId="0" fontId="4" fillId="0" borderId="0"/>
    <xf numFmtId="180" fontId="4" fillId="0" borderId="0"/>
    <xf numFmtId="180" fontId="4" fillId="0" borderId="0"/>
    <xf numFmtId="180" fontId="4" fillId="0" borderId="0"/>
    <xf numFmtId="0" fontId="4" fillId="0" borderId="0"/>
    <xf numFmtId="180" fontId="4" fillId="0" borderId="0"/>
    <xf numFmtId="180" fontId="4" fillId="0" borderId="0"/>
    <xf numFmtId="9" fontId="4" fillId="0" borderId="0" applyFont="0" applyFill="0" applyBorder="0" applyAlignment="0" applyProtection="0"/>
    <xf numFmtId="0" fontId="4" fillId="0" borderId="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2" fontId="4" fillId="0" borderId="0" applyFont="0" applyFill="0" applyBorder="0" applyAlignment="0" applyProtection="0"/>
    <xf numFmtId="173" fontId="4" fillId="0" borderId="0" applyFont="0" applyFill="0" applyBorder="0" applyAlignment="0" applyProtection="0"/>
    <xf numFmtId="180" fontId="4" fillId="0" borderId="0"/>
    <xf numFmtId="0" fontId="4" fillId="0" borderId="0"/>
    <xf numFmtId="0" fontId="4" fillId="0" borderId="0"/>
    <xf numFmtId="0" fontId="4" fillId="0" borderId="0"/>
    <xf numFmtId="0" fontId="4" fillId="0" borderId="0"/>
    <xf numFmtId="0" fontId="4" fillId="0" borderId="0"/>
    <xf numFmtId="180" fontId="4" fillId="0" borderId="0"/>
    <xf numFmtId="180" fontId="4" fillId="0" borderId="0"/>
    <xf numFmtId="0" fontId="4" fillId="0" borderId="0"/>
    <xf numFmtId="180" fontId="4" fillId="0" borderId="0"/>
    <xf numFmtId="180" fontId="4" fillId="0" borderId="0"/>
    <xf numFmtId="180" fontId="4" fillId="0" borderId="0"/>
    <xf numFmtId="0" fontId="4" fillId="0" borderId="0"/>
    <xf numFmtId="180" fontId="4" fillId="0" borderId="0"/>
    <xf numFmtId="180" fontId="4" fillId="0" borderId="0"/>
    <xf numFmtId="9"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2" fontId="4" fillId="0" borderId="0" applyFont="0" applyFill="0" applyBorder="0" applyAlignment="0" applyProtection="0"/>
    <xf numFmtId="173" fontId="4" fillId="0" borderId="0" applyFont="0" applyFill="0" applyBorder="0" applyAlignment="0" applyProtection="0"/>
    <xf numFmtId="180" fontId="4" fillId="0" borderId="0"/>
    <xf numFmtId="0" fontId="4" fillId="0" borderId="0"/>
    <xf numFmtId="0" fontId="4" fillId="0" borderId="0"/>
    <xf numFmtId="0" fontId="4" fillId="0" borderId="0"/>
    <xf numFmtId="0" fontId="4" fillId="0" borderId="0"/>
    <xf numFmtId="0" fontId="4" fillId="0" borderId="0"/>
    <xf numFmtId="180" fontId="4" fillId="0" borderId="0"/>
    <xf numFmtId="180" fontId="4" fillId="0" borderId="0"/>
    <xf numFmtId="0" fontId="4" fillId="0" borderId="0"/>
    <xf numFmtId="180" fontId="4" fillId="0" borderId="0"/>
    <xf numFmtId="180" fontId="4" fillId="0" borderId="0"/>
    <xf numFmtId="180" fontId="4" fillId="0" borderId="0"/>
    <xf numFmtId="0" fontId="4" fillId="0" borderId="0"/>
    <xf numFmtId="180" fontId="4" fillId="0" borderId="0"/>
    <xf numFmtId="180" fontId="4" fillId="0" borderId="0"/>
    <xf numFmtId="9"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2" fontId="4" fillId="0" borderId="0" applyFont="0" applyFill="0" applyBorder="0" applyAlignment="0" applyProtection="0"/>
    <xf numFmtId="173" fontId="4" fillId="0" borderId="0" applyFont="0" applyFill="0" applyBorder="0" applyAlignment="0" applyProtection="0"/>
    <xf numFmtId="180" fontId="4" fillId="0" borderId="0"/>
    <xf numFmtId="0" fontId="4" fillId="0" borderId="0"/>
    <xf numFmtId="0" fontId="4" fillId="0" borderId="0"/>
    <xf numFmtId="0" fontId="4" fillId="0" borderId="0"/>
    <xf numFmtId="0" fontId="4" fillId="0" borderId="0"/>
    <xf numFmtId="0" fontId="4" fillId="0" borderId="0"/>
    <xf numFmtId="180" fontId="4" fillId="0" borderId="0"/>
    <xf numFmtId="180" fontId="4" fillId="0" borderId="0"/>
    <xf numFmtId="0" fontId="4" fillId="0" borderId="0"/>
    <xf numFmtId="180" fontId="4" fillId="0" borderId="0"/>
    <xf numFmtId="180" fontId="4" fillId="0" borderId="0"/>
    <xf numFmtId="180" fontId="4" fillId="0" borderId="0"/>
    <xf numFmtId="0" fontId="4" fillId="0" borderId="0"/>
    <xf numFmtId="180" fontId="4" fillId="0" borderId="0"/>
    <xf numFmtId="180" fontId="4" fillId="0" borderId="0"/>
    <xf numFmtId="9"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2" fontId="4" fillId="0" borderId="0" applyFont="0" applyFill="0" applyBorder="0" applyAlignment="0" applyProtection="0"/>
    <xf numFmtId="173" fontId="4" fillId="0" borderId="0" applyFont="0" applyFill="0" applyBorder="0" applyAlignment="0" applyProtection="0"/>
    <xf numFmtId="180" fontId="4" fillId="0" borderId="0"/>
    <xf numFmtId="0" fontId="4" fillId="0" borderId="0"/>
    <xf numFmtId="0" fontId="4" fillId="0" borderId="0"/>
    <xf numFmtId="0" fontId="4" fillId="0" borderId="0"/>
    <xf numFmtId="0" fontId="4" fillId="0" borderId="0"/>
    <xf numFmtId="0" fontId="4" fillId="0" borderId="0"/>
    <xf numFmtId="180" fontId="4" fillId="0" borderId="0"/>
    <xf numFmtId="180" fontId="4" fillId="0" borderId="0"/>
    <xf numFmtId="0" fontId="4" fillId="0" borderId="0"/>
    <xf numFmtId="180" fontId="4" fillId="0" borderId="0"/>
    <xf numFmtId="180" fontId="4" fillId="0" borderId="0"/>
    <xf numFmtId="180" fontId="4" fillId="0" borderId="0"/>
    <xf numFmtId="0" fontId="4" fillId="0" borderId="0"/>
    <xf numFmtId="180" fontId="4" fillId="0" borderId="0"/>
    <xf numFmtId="180" fontId="4" fillId="0" borderId="0"/>
    <xf numFmtId="9"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2" fontId="4" fillId="0" borderId="0" applyFont="0" applyFill="0" applyBorder="0" applyAlignment="0" applyProtection="0"/>
    <xf numFmtId="173" fontId="4" fillId="0" borderId="0" applyFont="0" applyFill="0" applyBorder="0" applyAlignment="0" applyProtection="0"/>
    <xf numFmtId="180" fontId="4" fillId="0" borderId="0"/>
    <xf numFmtId="0" fontId="4" fillId="0" borderId="0"/>
    <xf numFmtId="0" fontId="4" fillId="0" borderId="0"/>
    <xf numFmtId="0" fontId="4" fillId="0" borderId="0"/>
    <xf numFmtId="0" fontId="4" fillId="0" borderId="0"/>
    <xf numFmtId="0" fontId="4" fillId="0" borderId="0"/>
    <xf numFmtId="180" fontId="4" fillId="0" borderId="0"/>
    <xf numFmtId="180" fontId="4" fillId="0" borderId="0"/>
    <xf numFmtId="0" fontId="4" fillId="0" borderId="0"/>
    <xf numFmtId="180" fontId="4" fillId="0" borderId="0"/>
    <xf numFmtId="180" fontId="4" fillId="0" borderId="0"/>
    <xf numFmtId="180" fontId="4" fillId="0" borderId="0"/>
    <xf numFmtId="0" fontId="4" fillId="0" borderId="0"/>
    <xf numFmtId="180" fontId="4" fillId="0" borderId="0"/>
    <xf numFmtId="180" fontId="4" fillId="0" borderId="0"/>
    <xf numFmtId="9"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2" fontId="4" fillId="0" borderId="0" applyFont="0" applyFill="0" applyBorder="0" applyAlignment="0" applyProtection="0"/>
    <xf numFmtId="173" fontId="4" fillId="0" borderId="0" applyFont="0" applyFill="0" applyBorder="0" applyAlignment="0" applyProtection="0"/>
    <xf numFmtId="180" fontId="4" fillId="0" borderId="0"/>
    <xf numFmtId="0" fontId="4" fillId="0" borderId="0"/>
    <xf numFmtId="0" fontId="4" fillId="0" borderId="0"/>
    <xf numFmtId="0" fontId="4" fillId="0" borderId="0"/>
    <xf numFmtId="0" fontId="4" fillId="0" borderId="0"/>
    <xf numFmtId="0" fontId="4" fillId="0" borderId="0"/>
    <xf numFmtId="180" fontId="4" fillId="0" borderId="0"/>
    <xf numFmtId="180" fontId="4" fillId="0" borderId="0"/>
    <xf numFmtId="0" fontId="4" fillId="0" borderId="0"/>
    <xf numFmtId="180" fontId="4" fillId="0" borderId="0"/>
    <xf numFmtId="180" fontId="4" fillId="0" borderId="0"/>
    <xf numFmtId="180" fontId="4" fillId="0" borderId="0"/>
    <xf numFmtId="0" fontId="4" fillId="0" borderId="0"/>
    <xf numFmtId="180" fontId="4" fillId="0" borderId="0"/>
    <xf numFmtId="180" fontId="4" fillId="0" borderId="0"/>
    <xf numFmtId="9"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2" fontId="4" fillId="0" borderId="0" applyFont="0" applyFill="0" applyBorder="0" applyAlignment="0" applyProtection="0"/>
    <xf numFmtId="173" fontId="4" fillId="0" borderId="0" applyFont="0" applyFill="0" applyBorder="0" applyAlignment="0" applyProtection="0"/>
    <xf numFmtId="180" fontId="4" fillId="0" borderId="0"/>
    <xf numFmtId="0" fontId="4" fillId="0" borderId="0"/>
    <xf numFmtId="0" fontId="4" fillId="0" borderId="0"/>
    <xf numFmtId="0" fontId="4" fillId="0" borderId="0"/>
    <xf numFmtId="0" fontId="4" fillId="0" borderId="0"/>
    <xf numFmtId="0" fontId="4" fillId="0" borderId="0"/>
    <xf numFmtId="180" fontId="4" fillId="0" borderId="0"/>
    <xf numFmtId="180" fontId="4" fillId="0" borderId="0"/>
    <xf numFmtId="0" fontId="4" fillId="0" borderId="0"/>
    <xf numFmtId="180" fontId="4" fillId="0" borderId="0"/>
    <xf numFmtId="180" fontId="4" fillId="0" borderId="0"/>
    <xf numFmtId="180" fontId="4" fillId="0" borderId="0"/>
    <xf numFmtId="0" fontId="4" fillId="0" borderId="0"/>
    <xf numFmtId="180" fontId="4" fillId="0" borderId="0"/>
    <xf numFmtId="180" fontId="4" fillId="0" borderId="0"/>
    <xf numFmtId="9"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2" fontId="4" fillId="0" borderId="0" applyFont="0" applyFill="0" applyBorder="0" applyAlignment="0" applyProtection="0"/>
    <xf numFmtId="173" fontId="4" fillId="0" borderId="0" applyFont="0" applyFill="0" applyBorder="0" applyAlignment="0" applyProtection="0"/>
    <xf numFmtId="180" fontId="4" fillId="0" borderId="0"/>
    <xf numFmtId="0" fontId="4" fillId="0" borderId="0"/>
    <xf numFmtId="0" fontId="4" fillId="0" borderId="0"/>
    <xf numFmtId="0" fontId="4" fillId="0" borderId="0"/>
    <xf numFmtId="0" fontId="4" fillId="0" borderId="0"/>
    <xf numFmtId="0" fontId="4" fillId="0" borderId="0"/>
    <xf numFmtId="180" fontId="4" fillId="0" borderId="0"/>
    <xf numFmtId="180" fontId="4" fillId="0" borderId="0"/>
    <xf numFmtId="0" fontId="4" fillId="0" borderId="0"/>
    <xf numFmtId="180" fontId="4" fillId="0" borderId="0"/>
    <xf numFmtId="180" fontId="4" fillId="0" borderId="0"/>
    <xf numFmtId="180" fontId="4" fillId="0" borderId="0"/>
    <xf numFmtId="0" fontId="4" fillId="0" borderId="0"/>
    <xf numFmtId="180" fontId="4" fillId="0" borderId="0"/>
    <xf numFmtId="180" fontId="4" fillId="0" borderId="0"/>
    <xf numFmtId="9" fontId="4" fillId="0" borderId="0" applyFont="0" applyFill="0" applyBorder="0" applyAlignment="0" applyProtection="0"/>
    <xf numFmtId="0" fontId="4" fillId="0" borderId="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2" fontId="4" fillId="0" borderId="0" applyFont="0" applyFill="0" applyBorder="0" applyAlignment="0" applyProtection="0"/>
    <xf numFmtId="173" fontId="4" fillId="0" borderId="0" applyFont="0" applyFill="0" applyBorder="0" applyAlignment="0" applyProtection="0"/>
    <xf numFmtId="180" fontId="4" fillId="0" borderId="0"/>
    <xf numFmtId="0" fontId="4" fillId="0" borderId="0"/>
    <xf numFmtId="0" fontId="4" fillId="0" borderId="0"/>
    <xf numFmtId="0" fontId="4" fillId="0" borderId="0"/>
    <xf numFmtId="0" fontId="4" fillId="0" borderId="0"/>
    <xf numFmtId="0" fontId="4" fillId="0" borderId="0"/>
    <xf numFmtId="180" fontId="4" fillId="0" borderId="0"/>
    <xf numFmtId="180" fontId="4" fillId="0" borderId="0"/>
    <xf numFmtId="0" fontId="4" fillId="0" borderId="0"/>
    <xf numFmtId="180" fontId="4" fillId="0" borderId="0"/>
    <xf numFmtId="180" fontId="4" fillId="0" borderId="0"/>
    <xf numFmtId="180" fontId="4" fillId="0" borderId="0"/>
    <xf numFmtId="0" fontId="4" fillId="0" borderId="0"/>
    <xf numFmtId="180" fontId="4" fillId="0" borderId="0"/>
    <xf numFmtId="180" fontId="4" fillId="0" borderId="0"/>
    <xf numFmtId="9"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2" fontId="4" fillId="0" borderId="0" applyFont="0" applyFill="0" applyBorder="0" applyAlignment="0" applyProtection="0"/>
    <xf numFmtId="173" fontId="4" fillId="0" borderId="0" applyFont="0" applyFill="0" applyBorder="0" applyAlignment="0" applyProtection="0"/>
    <xf numFmtId="180" fontId="4" fillId="0" borderId="0"/>
    <xf numFmtId="0" fontId="4" fillId="0" borderId="0"/>
    <xf numFmtId="0" fontId="4" fillId="0" borderId="0"/>
    <xf numFmtId="0" fontId="4" fillId="0" borderId="0"/>
    <xf numFmtId="0" fontId="4" fillId="0" borderId="0"/>
    <xf numFmtId="0" fontId="4" fillId="0" borderId="0"/>
    <xf numFmtId="180" fontId="4" fillId="0" borderId="0"/>
    <xf numFmtId="180" fontId="4" fillId="0" borderId="0"/>
    <xf numFmtId="0" fontId="4" fillId="0" borderId="0"/>
    <xf numFmtId="180" fontId="4" fillId="0" borderId="0"/>
    <xf numFmtId="180" fontId="4" fillId="0" borderId="0"/>
    <xf numFmtId="180" fontId="4" fillId="0" borderId="0"/>
    <xf numFmtId="0" fontId="4" fillId="0" borderId="0"/>
    <xf numFmtId="180" fontId="4" fillId="0" borderId="0"/>
    <xf numFmtId="180" fontId="4" fillId="0" borderId="0"/>
    <xf numFmtId="9"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2" fontId="4" fillId="0" borderId="0" applyFont="0" applyFill="0" applyBorder="0" applyAlignment="0" applyProtection="0"/>
    <xf numFmtId="173" fontId="4" fillId="0" borderId="0" applyFont="0" applyFill="0" applyBorder="0" applyAlignment="0" applyProtection="0"/>
    <xf numFmtId="180" fontId="4" fillId="0" borderId="0"/>
    <xf numFmtId="0" fontId="4" fillId="0" borderId="0"/>
    <xf numFmtId="0" fontId="4" fillId="0" borderId="0"/>
    <xf numFmtId="0" fontId="4" fillId="0" borderId="0"/>
    <xf numFmtId="0" fontId="4" fillId="0" borderId="0"/>
    <xf numFmtId="0" fontId="4" fillId="0" borderId="0"/>
    <xf numFmtId="180" fontId="4" fillId="0" borderId="0"/>
    <xf numFmtId="180" fontId="4" fillId="0" borderId="0"/>
    <xf numFmtId="0" fontId="4" fillId="0" borderId="0"/>
    <xf numFmtId="180" fontId="4" fillId="0" borderId="0"/>
    <xf numFmtId="180" fontId="4" fillId="0" borderId="0"/>
    <xf numFmtId="180" fontId="4" fillId="0" borderId="0"/>
    <xf numFmtId="0" fontId="4" fillId="0" borderId="0"/>
    <xf numFmtId="180" fontId="4" fillId="0" borderId="0"/>
    <xf numFmtId="180" fontId="4" fillId="0" borderId="0"/>
    <xf numFmtId="9"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2" fontId="4" fillId="0" borderId="0" applyFont="0" applyFill="0" applyBorder="0" applyAlignment="0" applyProtection="0"/>
    <xf numFmtId="173" fontId="4" fillId="0" borderId="0" applyFont="0" applyFill="0" applyBorder="0" applyAlignment="0" applyProtection="0"/>
    <xf numFmtId="180" fontId="4" fillId="0" borderId="0"/>
    <xf numFmtId="0" fontId="4" fillId="0" borderId="0"/>
    <xf numFmtId="0" fontId="4" fillId="0" borderId="0"/>
    <xf numFmtId="0" fontId="4" fillId="0" borderId="0"/>
    <xf numFmtId="0" fontId="4" fillId="0" borderId="0"/>
    <xf numFmtId="0" fontId="4" fillId="0" borderId="0"/>
    <xf numFmtId="180" fontId="4" fillId="0" borderId="0"/>
    <xf numFmtId="180" fontId="4" fillId="0" borderId="0"/>
    <xf numFmtId="0" fontId="4" fillId="0" borderId="0"/>
    <xf numFmtId="180" fontId="4" fillId="0" borderId="0"/>
    <xf numFmtId="180" fontId="4" fillId="0" borderId="0"/>
    <xf numFmtId="180" fontId="4" fillId="0" borderId="0"/>
    <xf numFmtId="0" fontId="4" fillId="0" borderId="0"/>
    <xf numFmtId="180" fontId="4" fillId="0" borderId="0"/>
    <xf numFmtId="180" fontId="4" fillId="0" borderId="0"/>
    <xf numFmtId="9"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2" fontId="4" fillId="0" borderId="0" applyFont="0" applyFill="0" applyBorder="0" applyAlignment="0" applyProtection="0"/>
    <xf numFmtId="173" fontId="4" fillId="0" borderId="0" applyFont="0" applyFill="0" applyBorder="0" applyAlignment="0" applyProtection="0"/>
    <xf numFmtId="180" fontId="4" fillId="0" borderId="0"/>
    <xf numFmtId="0" fontId="4" fillId="0" borderId="0"/>
    <xf numFmtId="0" fontId="4" fillId="0" borderId="0"/>
    <xf numFmtId="0" fontId="4" fillId="0" borderId="0"/>
    <xf numFmtId="0" fontId="4" fillId="0" borderId="0"/>
    <xf numFmtId="0" fontId="4" fillId="0" borderId="0"/>
    <xf numFmtId="180" fontId="4" fillId="0" borderId="0"/>
    <xf numFmtId="180" fontId="4" fillId="0" borderId="0"/>
    <xf numFmtId="0" fontId="4" fillId="0" borderId="0"/>
    <xf numFmtId="180" fontId="4" fillId="0" borderId="0"/>
    <xf numFmtId="180" fontId="4" fillId="0" borderId="0"/>
    <xf numFmtId="180" fontId="4" fillId="0" borderId="0"/>
    <xf numFmtId="0" fontId="4" fillId="0" borderId="0"/>
    <xf numFmtId="180" fontId="4" fillId="0" borderId="0"/>
    <xf numFmtId="180" fontId="4" fillId="0" borderId="0"/>
    <xf numFmtId="9"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2" fontId="4" fillId="0" borderId="0" applyFont="0" applyFill="0" applyBorder="0" applyAlignment="0" applyProtection="0"/>
    <xf numFmtId="173" fontId="4" fillId="0" borderId="0" applyFont="0" applyFill="0" applyBorder="0" applyAlignment="0" applyProtection="0"/>
    <xf numFmtId="180" fontId="4" fillId="0" borderId="0"/>
    <xf numFmtId="0" fontId="4" fillId="0" borderId="0"/>
    <xf numFmtId="0" fontId="4" fillId="0" borderId="0"/>
    <xf numFmtId="0" fontId="4" fillId="0" borderId="0"/>
    <xf numFmtId="0" fontId="4" fillId="0" borderId="0"/>
    <xf numFmtId="0" fontId="4" fillId="0" borderId="0"/>
    <xf numFmtId="180" fontId="4" fillId="0" borderId="0"/>
    <xf numFmtId="180" fontId="4" fillId="0" borderId="0"/>
    <xf numFmtId="0" fontId="4" fillId="0" borderId="0"/>
    <xf numFmtId="180" fontId="4" fillId="0" borderId="0"/>
    <xf numFmtId="180" fontId="4" fillId="0" borderId="0"/>
    <xf numFmtId="180" fontId="4" fillId="0" borderId="0"/>
    <xf numFmtId="0" fontId="4" fillId="0" borderId="0"/>
    <xf numFmtId="180" fontId="4" fillId="0" borderId="0"/>
    <xf numFmtId="180" fontId="4" fillId="0" borderId="0"/>
    <xf numFmtId="9"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2" fontId="4" fillId="0" borderId="0" applyFont="0" applyFill="0" applyBorder="0" applyAlignment="0" applyProtection="0"/>
    <xf numFmtId="173" fontId="4" fillId="0" borderId="0" applyFont="0" applyFill="0" applyBorder="0" applyAlignment="0" applyProtection="0"/>
    <xf numFmtId="180" fontId="4" fillId="0" borderId="0"/>
    <xf numFmtId="0" fontId="4" fillId="0" borderId="0"/>
    <xf numFmtId="0" fontId="4" fillId="0" borderId="0"/>
    <xf numFmtId="0" fontId="4" fillId="0" borderId="0"/>
    <xf numFmtId="0" fontId="4" fillId="0" borderId="0"/>
    <xf numFmtId="0" fontId="4" fillId="0" borderId="0"/>
    <xf numFmtId="180" fontId="4" fillId="0" borderId="0"/>
    <xf numFmtId="180" fontId="4" fillId="0" borderId="0"/>
    <xf numFmtId="0" fontId="4" fillId="0" borderId="0"/>
    <xf numFmtId="180" fontId="4" fillId="0" borderId="0"/>
    <xf numFmtId="180" fontId="4" fillId="0" borderId="0"/>
    <xf numFmtId="180" fontId="4" fillId="0" borderId="0"/>
    <xf numFmtId="0" fontId="4" fillId="0" borderId="0"/>
    <xf numFmtId="180" fontId="4" fillId="0" borderId="0"/>
    <xf numFmtId="180" fontId="4" fillId="0" borderId="0"/>
    <xf numFmtId="9"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2" fontId="4" fillId="0" borderId="0" applyFont="0" applyFill="0" applyBorder="0" applyAlignment="0" applyProtection="0"/>
    <xf numFmtId="173" fontId="4" fillId="0" borderId="0" applyFont="0" applyFill="0" applyBorder="0" applyAlignment="0" applyProtection="0"/>
    <xf numFmtId="180" fontId="4" fillId="0" borderId="0"/>
    <xf numFmtId="0" fontId="4" fillId="0" borderId="0"/>
    <xf numFmtId="0" fontId="4" fillId="0" borderId="0"/>
    <xf numFmtId="0" fontId="4" fillId="0" borderId="0"/>
    <xf numFmtId="0" fontId="4" fillId="0" borderId="0"/>
    <xf numFmtId="0" fontId="4" fillId="0" borderId="0"/>
    <xf numFmtId="180" fontId="4" fillId="0" borderId="0"/>
    <xf numFmtId="180" fontId="4" fillId="0" borderId="0"/>
    <xf numFmtId="0" fontId="4" fillId="0" borderId="0"/>
    <xf numFmtId="180" fontId="4" fillId="0" borderId="0"/>
    <xf numFmtId="180" fontId="4" fillId="0" borderId="0"/>
    <xf numFmtId="180" fontId="4" fillId="0" borderId="0"/>
    <xf numFmtId="0" fontId="4" fillId="0" borderId="0"/>
    <xf numFmtId="180" fontId="4" fillId="0" borderId="0"/>
    <xf numFmtId="180" fontId="4" fillId="0" borderId="0"/>
    <xf numFmtId="9" fontId="4" fillId="0" borderId="0" applyFont="0" applyFill="0" applyBorder="0" applyAlignment="0" applyProtection="0"/>
    <xf numFmtId="170" fontId="4" fillId="0" borderId="0" applyFont="0" applyFill="0" applyBorder="0" applyAlignment="0" applyProtection="0"/>
    <xf numFmtId="43" fontId="4" fillId="0" borderId="0" applyFont="0" applyFill="0" applyBorder="0" applyAlignment="0" applyProtection="0"/>
    <xf numFmtId="0" fontId="4" fillId="0" borderId="0"/>
    <xf numFmtId="168" fontId="4" fillId="0" borderId="0" applyFont="0" applyFill="0" applyBorder="0" applyAlignment="0" applyProtection="0"/>
    <xf numFmtId="18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80" fontId="4" fillId="0" borderId="0"/>
    <xf numFmtId="180" fontId="4" fillId="0" borderId="0"/>
    <xf numFmtId="0" fontId="4" fillId="0" borderId="0"/>
    <xf numFmtId="180" fontId="4" fillId="0" borderId="0"/>
    <xf numFmtId="180" fontId="4" fillId="0" borderId="0"/>
    <xf numFmtId="180" fontId="4" fillId="0" borderId="0"/>
    <xf numFmtId="0" fontId="4" fillId="0" borderId="0"/>
    <xf numFmtId="180" fontId="4" fillId="0" borderId="0"/>
    <xf numFmtId="180" fontId="4" fillId="0" borderId="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2" fontId="4" fillId="0" borderId="0" applyFont="0" applyFill="0" applyBorder="0" applyAlignment="0" applyProtection="0"/>
    <xf numFmtId="173" fontId="4" fillId="0" borderId="0" applyFont="0" applyFill="0" applyBorder="0" applyAlignment="0" applyProtection="0"/>
    <xf numFmtId="180" fontId="4" fillId="0" borderId="0"/>
    <xf numFmtId="0" fontId="4" fillId="0" borderId="0"/>
    <xf numFmtId="0" fontId="4" fillId="0" borderId="0"/>
    <xf numFmtId="0" fontId="4" fillId="0" borderId="0"/>
    <xf numFmtId="0" fontId="4" fillId="0" borderId="0"/>
    <xf numFmtId="0" fontId="4" fillId="0" borderId="0"/>
    <xf numFmtId="180" fontId="4" fillId="0" borderId="0"/>
    <xf numFmtId="180" fontId="4" fillId="0" borderId="0"/>
    <xf numFmtId="0" fontId="4" fillId="0" borderId="0"/>
    <xf numFmtId="180" fontId="4" fillId="0" borderId="0"/>
    <xf numFmtId="180" fontId="4" fillId="0" borderId="0"/>
    <xf numFmtId="180" fontId="4" fillId="0" borderId="0"/>
    <xf numFmtId="0" fontId="4" fillId="0" borderId="0"/>
    <xf numFmtId="180" fontId="4" fillId="0" borderId="0"/>
    <xf numFmtId="180" fontId="4" fillId="0" borderId="0"/>
    <xf numFmtId="9" fontId="4" fillId="0" borderId="0" applyFont="0" applyFill="0" applyBorder="0" applyAlignment="0" applyProtection="0"/>
    <xf numFmtId="0" fontId="4" fillId="0" borderId="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2" fontId="4" fillId="0" borderId="0" applyFont="0" applyFill="0" applyBorder="0" applyAlignment="0" applyProtection="0"/>
    <xf numFmtId="173" fontId="4" fillId="0" borderId="0" applyFont="0" applyFill="0" applyBorder="0" applyAlignment="0" applyProtection="0"/>
    <xf numFmtId="180" fontId="4" fillId="0" borderId="0"/>
    <xf numFmtId="0" fontId="4" fillId="0" borderId="0"/>
    <xf numFmtId="0" fontId="4" fillId="0" borderId="0"/>
    <xf numFmtId="0" fontId="4" fillId="0" borderId="0"/>
    <xf numFmtId="0" fontId="4" fillId="0" borderId="0"/>
    <xf numFmtId="0" fontId="4" fillId="0" borderId="0"/>
    <xf numFmtId="180" fontId="4" fillId="0" borderId="0"/>
    <xf numFmtId="180" fontId="4" fillId="0" borderId="0"/>
    <xf numFmtId="0" fontId="4" fillId="0" borderId="0"/>
    <xf numFmtId="180" fontId="4" fillId="0" borderId="0"/>
    <xf numFmtId="180" fontId="4" fillId="0" borderId="0"/>
    <xf numFmtId="180" fontId="4" fillId="0" borderId="0"/>
    <xf numFmtId="0" fontId="4" fillId="0" borderId="0"/>
    <xf numFmtId="180" fontId="4" fillId="0" borderId="0"/>
    <xf numFmtId="180" fontId="4" fillId="0" borderId="0"/>
    <xf numFmtId="9"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2" fontId="4" fillId="0" borderId="0" applyFont="0" applyFill="0" applyBorder="0" applyAlignment="0" applyProtection="0"/>
    <xf numFmtId="173" fontId="4" fillId="0" borderId="0" applyFont="0" applyFill="0" applyBorder="0" applyAlignment="0" applyProtection="0"/>
    <xf numFmtId="180" fontId="4" fillId="0" borderId="0"/>
    <xf numFmtId="0" fontId="4" fillId="0" borderId="0"/>
    <xf numFmtId="0" fontId="4" fillId="0" borderId="0"/>
    <xf numFmtId="0" fontId="4" fillId="0" borderId="0"/>
    <xf numFmtId="0" fontId="4" fillId="0" borderId="0"/>
    <xf numFmtId="0" fontId="4" fillId="0" borderId="0"/>
    <xf numFmtId="180" fontId="4" fillId="0" borderId="0"/>
    <xf numFmtId="180" fontId="4" fillId="0" borderId="0"/>
    <xf numFmtId="0" fontId="4" fillId="0" borderId="0"/>
    <xf numFmtId="180" fontId="4" fillId="0" borderId="0"/>
    <xf numFmtId="180" fontId="4" fillId="0" borderId="0"/>
    <xf numFmtId="180" fontId="4" fillId="0" borderId="0"/>
    <xf numFmtId="0" fontId="4" fillId="0" borderId="0"/>
    <xf numFmtId="180" fontId="4" fillId="0" borderId="0"/>
    <xf numFmtId="180" fontId="4" fillId="0" borderId="0"/>
    <xf numFmtId="9"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2" fontId="4" fillId="0" borderId="0" applyFont="0" applyFill="0" applyBorder="0" applyAlignment="0" applyProtection="0"/>
    <xf numFmtId="173" fontId="4" fillId="0" borderId="0" applyFont="0" applyFill="0" applyBorder="0" applyAlignment="0" applyProtection="0"/>
    <xf numFmtId="180" fontId="4" fillId="0" borderId="0"/>
    <xf numFmtId="0" fontId="4" fillId="0" borderId="0"/>
    <xf numFmtId="0" fontId="4" fillId="0" borderId="0"/>
    <xf numFmtId="0" fontId="4" fillId="0" borderId="0"/>
    <xf numFmtId="0" fontId="4" fillId="0" borderId="0"/>
    <xf numFmtId="0" fontId="4" fillId="0" borderId="0"/>
    <xf numFmtId="180" fontId="4" fillId="0" borderId="0"/>
    <xf numFmtId="180" fontId="4" fillId="0" borderId="0"/>
    <xf numFmtId="0" fontId="4" fillId="0" borderId="0"/>
    <xf numFmtId="180" fontId="4" fillId="0" borderId="0"/>
    <xf numFmtId="180" fontId="4" fillId="0" borderId="0"/>
    <xf numFmtId="180" fontId="4" fillId="0" borderId="0"/>
    <xf numFmtId="0" fontId="4" fillId="0" borderId="0"/>
    <xf numFmtId="180" fontId="4" fillId="0" borderId="0"/>
    <xf numFmtId="180" fontId="4" fillId="0" borderId="0"/>
    <xf numFmtId="9"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2" fontId="4" fillId="0" borderId="0" applyFont="0" applyFill="0" applyBorder="0" applyAlignment="0" applyProtection="0"/>
    <xf numFmtId="173" fontId="4" fillId="0" borderId="0" applyFont="0" applyFill="0" applyBorder="0" applyAlignment="0" applyProtection="0"/>
    <xf numFmtId="180" fontId="4" fillId="0" borderId="0"/>
    <xf numFmtId="0" fontId="4" fillId="0" borderId="0"/>
    <xf numFmtId="0" fontId="4" fillId="0" borderId="0"/>
    <xf numFmtId="0" fontId="4" fillId="0" borderId="0"/>
    <xf numFmtId="0" fontId="4" fillId="0" borderId="0"/>
    <xf numFmtId="0" fontId="4" fillId="0" borderId="0"/>
    <xf numFmtId="180" fontId="4" fillId="0" borderId="0"/>
    <xf numFmtId="180" fontId="4" fillId="0" borderId="0"/>
    <xf numFmtId="0" fontId="4" fillId="0" borderId="0"/>
    <xf numFmtId="180" fontId="4" fillId="0" borderId="0"/>
    <xf numFmtId="180" fontId="4" fillId="0" borderId="0"/>
    <xf numFmtId="180" fontId="4" fillId="0" borderId="0"/>
    <xf numFmtId="0" fontId="4" fillId="0" borderId="0"/>
    <xf numFmtId="180" fontId="4" fillId="0" borderId="0"/>
    <xf numFmtId="180" fontId="4" fillId="0" borderId="0"/>
    <xf numFmtId="9"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2" fontId="4" fillId="0" borderId="0" applyFont="0" applyFill="0" applyBorder="0" applyAlignment="0" applyProtection="0"/>
    <xf numFmtId="173" fontId="4" fillId="0" borderId="0" applyFont="0" applyFill="0" applyBorder="0" applyAlignment="0" applyProtection="0"/>
    <xf numFmtId="180" fontId="4" fillId="0" borderId="0"/>
    <xf numFmtId="0" fontId="4" fillId="0" borderId="0"/>
    <xf numFmtId="0" fontId="4" fillId="0" borderId="0"/>
    <xf numFmtId="0" fontId="4" fillId="0" borderId="0"/>
    <xf numFmtId="0" fontId="4" fillId="0" borderId="0"/>
    <xf numFmtId="0" fontId="4" fillId="0" borderId="0"/>
    <xf numFmtId="180" fontId="4" fillId="0" borderId="0"/>
    <xf numFmtId="180" fontId="4" fillId="0" borderId="0"/>
    <xf numFmtId="0" fontId="4" fillId="0" borderId="0"/>
    <xf numFmtId="180" fontId="4" fillId="0" borderId="0"/>
    <xf numFmtId="180" fontId="4" fillId="0" borderId="0"/>
    <xf numFmtId="180" fontId="4" fillId="0" borderId="0"/>
    <xf numFmtId="0" fontId="4" fillId="0" borderId="0"/>
    <xf numFmtId="180" fontId="4" fillId="0" borderId="0"/>
    <xf numFmtId="180" fontId="4" fillId="0" borderId="0"/>
    <xf numFmtId="9"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2" fontId="4" fillId="0" borderId="0" applyFont="0" applyFill="0" applyBorder="0" applyAlignment="0" applyProtection="0"/>
    <xf numFmtId="173" fontId="4" fillId="0" borderId="0" applyFont="0" applyFill="0" applyBorder="0" applyAlignment="0" applyProtection="0"/>
    <xf numFmtId="180" fontId="4" fillId="0" borderId="0"/>
    <xf numFmtId="0" fontId="4" fillId="0" borderId="0"/>
    <xf numFmtId="0" fontId="4" fillId="0" borderId="0"/>
    <xf numFmtId="0" fontId="4" fillId="0" borderId="0"/>
    <xf numFmtId="0" fontId="4" fillId="0" borderId="0"/>
    <xf numFmtId="0" fontId="4" fillId="0" borderId="0"/>
    <xf numFmtId="180" fontId="4" fillId="0" borderId="0"/>
    <xf numFmtId="180" fontId="4" fillId="0" borderId="0"/>
    <xf numFmtId="0" fontId="4" fillId="0" borderId="0"/>
    <xf numFmtId="180" fontId="4" fillId="0" borderId="0"/>
    <xf numFmtId="180" fontId="4" fillId="0" borderId="0"/>
    <xf numFmtId="180" fontId="4" fillId="0" borderId="0"/>
    <xf numFmtId="0" fontId="4" fillId="0" borderId="0"/>
    <xf numFmtId="180" fontId="4" fillId="0" borderId="0"/>
    <xf numFmtId="180" fontId="4" fillId="0" borderId="0"/>
    <xf numFmtId="9"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2" fontId="4" fillId="0" borderId="0" applyFont="0" applyFill="0" applyBorder="0" applyAlignment="0" applyProtection="0"/>
    <xf numFmtId="173" fontId="4" fillId="0" borderId="0" applyFont="0" applyFill="0" applyBorder="0" applyAlignment="0" applyProtection="0"/>
    <xf numFmtId="180" fontId="4" fillId="0" borderId="0"/>
    <xf numFmtId="0" fontId="4" fillId="0" borderId="0"/>
    <xf numFmtId="0" fontId="4" fillId="0" borderId="0"/>
    <xf numFmtId="0" fontId="4" fillId="0" borderId="0"/>
    <xf numFmtId="0" fontId="4" fillId="0" borderId="0"/>
    <xf numFmtId="0" fontId="4" fillId="0" borderId="0"/>
    <xf numFmtId="180" fontId="4" fillId="0" borderId="0"/>
    <xf numFmtId="180" fontId="4" fillId="0" borderId="0"/>
    <xf numFmtId="0" fontId="4" fillId="0" borderId="0"/>
    <xf numFmtId="180" fontId="4" fillId="0" borderId="0"/>
    <xf numFmtId="180" fontId="4" fillId="0" borderId="0"/>
    <xf numFmtId="180" fontId="4" fillId="0" borderId="0"/>
    <xf numFmtId="0" fontId="4" fillId="0" borderId="0"/>
    <xf numFmtId="180" fontId="4" fillId="0" borderId="0"/>
    <xf numFmtId="180" fontId="4" fillId="0" borderId="0"/>
    <xf numFmtId="9" fontId="4" fillId="0" borderId="0" applyFont="0" applyFill="0" applyBorder="0" applyAlignment="0" applyProtection="0"/>
    <xf numFmtId="18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80" fontId="4" fillId="0" borderId="0"/>
    <xf numFmtId="180" fontId="4" fillId="0" borderId="0"/>
    <xf numFmtId="0" fontId="4" fillId="0" borderId="0"/>
    <xf numFmtId="180" fontId="4" fillId="0" borderId="0"/>
    <xf numFmtId="180" fontId="4" fillId="0" borderId="0"/>
    <xf numFmtId="180" fontId="4" fillId="0" borderId="0"/>
    <xf numFmtId="0" fontId="4" fillId="0" borderId="0"/>
    <xf numFmtId="180" fontId="4" fillId="0" borderId="0"/>
    <xf numFmtId="180" fontId="4" fillId="0" borderId="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2" fontId="4" fillId="0" borderId="0" applyFont="0" applyFill="0" applyBorder="0" applyAlignment="0" applyProtection="0"/>
    <xf numFmtId="173" fontId="4" fillId="0" borderId="0" applyFont="0" applyFill="0" applyBorder="0" applyAlignment="0" applyProtection="0"/>
    <xf numFmtId="180" fontId="4" fillId="0" borderId="0"/>
    <xf numFmtId="0" fontId="4" fillId="0" borderId="0"/>
    <xf numFmtId="0" fontId="4" fillId="0" borderId="0"/>
    <xf numFmtId="0" fontId="4" fillId="0" borderId="0"/>
    <xf numFmtId="0" fontId="4" fillId="0" borderId="0"/>
    <xf numFmtId="0" fontId="4" fillId="0" borderId="0"/>
    <xf numFmtId="180" fontId="4" fillId="0" borderId="0"/>
    <xf numFmtId="180" fontId="4" fillId="0" borderId="0"/>
    <xf numFmtId="0" fontId="4" fillId="0" borderId="0"/>
    <xf numFmtId="180" fontId="4" fillId="0" borderId="0"/>
    <xf numFmtId="180" fontId="4" fillId="0" borderId="0"/>
    <xf numFmtId="180" fontId="4" fillId="0" borderId="0"/>
    <xf numFmtId="0" fontId="4" fillId="0" borderId="0"/>
    <xf numFmtId="180" fontId="4" fillId="0" borderId="0"/>
    <xf numFmtId="180" fontId="4" fillId="0" borderId="0"/>
    <xf numFmtId="9" fontId="4" fillId="0" borderId="0" applyFont="0" applyFill="0" applyBorder="0" applyAlignment="0" applyProtection="0"/>
    <xf numFmtId="0" fontId="4" fillId="0" borderId="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2" fontId="4" fillId="0" borderId="0" applyFont="0" applyFill="0" applyBorder="0" applyAlignment="0" applyProtection="0"/>
    <xf numFmtId="173" fontId="4" fillId="0" borderId="0" applyFont="0" applyFill="0" applyBorder="0" applyAlignment="0" applyProtection="0"/>
    <xf numFmtId="180" fontId="4" fillId="0" borderId="0"/>
    <xf numFmtId="0" fontId="4" fillId="0" borderId="0"/>
    <xf numFmtId="0" fontId="4" fillId="0" borderId="0"/>
    <xf numFmtId="0" fontId="4" fillId="0" borderId="0"/>
    <xf numFmtId="0" fontId="4" fillId="0" borderId="0"/>
    <xf numFmtId="0" fontId="4" fillId="0" borderId="0"/>
    <xf numFmtId="180" fontId="4" fillId="0" borderId="0"/>
    <xf numFmtId="180" fontId="4" fillId="0" borderId="0"/>
    <xf numFmtId="0" fontId="4" fillId="0" borderId="0"/>
    <xf numFmtId="180" fontId="4" fillId="0" borderId="0"/>
    <xf numFmtId="180" fontId="4" fillId="0" borderId="0"/>
    <xf numFmtId="180" fontId="4" fillId="0" borderId="0"/>
    <xf numFmtId="0" fontId="4" fillId="0" borderId="0"/>
    <xf numFmtId="180" fontId="4" fillId="0" borderId="0"/>
    <xf numFmtId="180" fontId="4" fillId="0" borderId="0"/>
    <xf numFmtId="9"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2" fontId="4" fillId="0" borderId="0" applyFont="0" applyFill="0" applyBorder="0" applyAlignment="0" applyProtection="0"/>
    <xf numFmtId="173" fontId="4" fillId="0" borderId="0" applyFont="0" applyFill="0" applyBorder="0" applyAlignment="0" applyProtection="0"/>
    <xf numFmtId="180" fontId="4" fillId="0" borderId="0"/>
    <xf numFmtId="0" fontId="4" fillId="0" borderId="0"/>
    <xf numFmtId="0" fontId="4" fillId="0" borderId="0"/>
    <xf numFmtId="0" fontId="4" fillId="0" borderId="0"/>
    <xf numFmtId="0" fontId="4" fillId="0" borderId="0"/>
    <xf numFmtId="0" fontId="4" fillId="0" borderId="0"/>
    <xf numFmtId="180" fontId="4" fillId="0" borderId="0"/>
    <xf numFmtId="180" fontId="4" fillId="0" borderId="0"/>
    <xf numFmtId="0" fontId="4" fillId="0" borderId="0"/>
    <xf numFmtId="180" fontId="4" fillId="0" borderId="0"/>
    <xf numFmtId="180" fontId="4" fillId="0" borderId="0"/>
    <xf numFmtId="180" fontId="4" fillId="0" borderId="0"/>
    <xf numFmtId="0" fontId="4" fillId="0" borderId="0"/>
    <xf numFmtId="180" fontId="4" fillId="0" borderId="0"/>
    <xf numFmtId="180" fontId="4" fillId="0" borderId="0"/>
    <xf numFmtId="9"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2" fontId="4" fillId="0" borderId="0" applyFont="0" applyFill="0" applyBorder="0" applyAlignment="0" applyProtection="0"/>
    <xf numFmtId="173" fontId="4" fillId="0" borderId="0" applyFont="0" applyFill="0" applyBorder="0" applyAlignment="0" applyProtection="0"/>
    <xf numFmtId="180" fontId="4" fillId="0" borderId="0"/>
    <xf numFmtId="0" fontId="4" fillId="0" borderId="0"/>
    <xf numFmtId="0" fontId="4" fillId="0" borderId="0"/>
    <xf numFmtId="0" fontId="4" fillId="0" borderId="0"/>
    <xf numFmtId="0" fontId="4" fillId="0" borderId="0"/>
    <xf numFmtId="0" fontId="4" fillId="0" borderId="0"/>
    <xf numFmtId="180" fontId="4" fillId="0" borderId="0"/>
    <xf numFmtId="180" fontId="4" fillId="0" borderId="0"/>
    <xf numFmtId="0" fontId="4" fillId="0" borderId="0"/>
    <xf numFmtId="180" fontId="4" fillId="0" borderId="0"/>
    <xf numFmtId="180" fontId="4" fillId="0" borderId="0"/>
    <xf numFmtId="180" fontId="4" fillId="0" borderId="0"/>
    <xf numFmtId="0" fontId="4" fillId="0" borderId="0"/>
    <xf numFmtId="180" fontId="4" fillId="0" borderId="0"/>
    <xf numFmtId="180" fontId="4" fillId="0" borderId="0"/>
    <xf numFmtId="9"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2" fontId="4" fillId="0" borderId="0" applyFont="0" applyFill="0" applyBorder="0" applyAlignment="0" applyProtection="0"/>
    <xf numFmtId="173" fontId="4" fillId="0" borderId="0" applyFont="0" applyFill="0" applyBorder="0" applyAlignment="0" applyProtection="0"/>
    <xf numFmtId="180" fontId="4" fillId="0" borderId="0"/>
    <xf numFmtId="0" fontId="4" fillId="0" borderId="0"/>
    <xf numFmtId="0" fontId="4" fillId="0" borderId="0"/>
    <xf numFmtId="0" fontId="4" fillId="0" borderId="0"/>
    <xf numFmtId="0" fontId="4" fillId="0" borderId="0"/>
    <xf numFmtId="0" fontId="4" fillId="0" borderId="0"/>
    <xf numFmtId="180" fontId="4" fillId="0" borderId="0"/>
    <xf numFmtId="180" fontId="4" fillId="0" borderId="0"/>
    <xf numFmtId="0" fontId="4" fillId="0" borderId="0"/>
    <xf numFmtId="180" fontId="4" fillId="0" borderId="0"/>
    <xf numFmtId="180" fontId="4" fillId="0" borderId="0"/>
    <xf numFmtId="180" fontId="4" fillId="0" borderId="0"/>
    <xf numFmtId="0" fontId="4" fillId="0" borderId="0"/>
    <xf numFmtId="180" fontId="4" fillId="0" borderId="0"/>
    <xf numFmtId="180" fontId="4" fillId="0" borderId="0"/>
    <xf numFmtId="9"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2" fontId="4" fillId="0" borderId="0" applyFont="0" applyFill="0" applyBorder="0" applyAlignment="0" applyProtection="0"/>
    <xf numFmtId="173" fontId="4" fillId="0" borderId="0" applyFont="0" applyFill="0" applyBorder="0" applyAlignment="0" applyProtection="0"/>
    <xf numFmtId="180" fontId="4" fillId="0" borderId="0"/>
    <xf numFmtId="0" fontId="4" fillId="0" borderId="0"/>
    <xf numFmtId="0" fontId="4" fillId="0" borderId="0"/>
    <xf numFmtId="0" fontId="4" fillId="0" borderId="0"/>
    <xf numFmtId="0" fontId="4" fillId="0" borderId="0"/>
    <xf numFmtId="0" fontId="4" fillId="0" borderId="0"/>
    <xf numFmtId="180" fontId="4" fillId="0" borderId="0"/>
    <xf numFmtId="180" fontId="4" fillId="0" borderId="0"/>
    <xf numFmtId="0" fontId="4" fillId="0" borderId="0"/>
    <xf numFmtId="180" fontId="4" fillId="0" borderId="0"/>
    <xf numFmtId="180" fontId="4" fillId="0" borderId="0"/>
    <xf numFmtId="180" fontId="4" fillId="0" borderId="0"/>
    <xf numFmtId="0" fontId="4" fillId="0" borderId="0"/>
    <xf numFmtId="180" fontId="4" fillId="0" borderId="0"/>
    <xf numFmtId="180" fontId="4" fillId="0" borderId="0"/>
    <xf numFmtId="9"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2" fontId="4" fillId="0" borderId="0" applyFont="0" applyFill="0" applyBorder="0" applyAlignment="0" applyProtection="0"/>
    <xf numFmtId="173" fontId="4" fillId="0" borderId="0" applyFont="0" applyFill="0" applyBorder="0" applyAlignment="0" applyProtection="0"/>
    <xf numFmtId="180" fontId="4" fillId="0" borderId="0"/>
    <xf numFmtId="0" fontId="4" fillId="0" borderId="0"/>
    <xf numFmtId="0" fontId="4" fillId="0" borderId="0"/>
    <xf numFmtId="0" fontId="4" fillId="0" borderId="0"/>
    <xf numFmtId="0" fontId="4" fillId="0" borderId="0"/>
    <xf numFmtId="0" fontId="4" fillId="0" borderId="0"/>
    <xf numFmtId="180" fontId="4" fillId="0" borderId="0"/>
    <xf numFmtId="180" fontId="4" fillId="0" borderId="0"/>
    <xf numFmtId="0" fontId="4" fillId="0" borderId="0"/>
    <xf numFmtId="180" fontId="4" fillId="0" borderId="0"/>
    <xf numFmtId="180" fontId="4" fillId="0" borderId="0"/>
    <xf numFmtId="180" fontId="4" fillId="0" borderId="0"/>
    <xf numFmtId="0" fontId="4" fillId="0" borderId="0"/>
    <xf numFmtId="180" fontId="4" fillId="0" borderId="0"/>
    <xf numFmtId="180" fontId="4" fillId="0" borderId="0"/>
    <xf numFmtId="9"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2" fontId="4" fillId="0" borderId="0" applyFont="0" applyFill="0" applyBorder="0" applyAlignment="0" applyProtection="0"/>
    <xf numFmtId="173" fontId="4" fillId="0" borderId="0" applyFont="0" applyFill="0" applyBorder="0" applyAlignment="0" applyProtection="0"/>
    <xf numFmtId="180" fontId="4" fillId="0" borderId="0"/>
    <xf numFmtId="0" fontId="4" fillId="0" borderId="0"/>
    <xf numFmtId="0" fontId="4" fillId="0" borderId="0"/>
    <xf numFmtId="0" fontId="4" fillId="0" borderId="0"/>
    <xf numFmtId="0" fontId="4" fillId="0" borderId="0"/>
    <xf numFmtId="0" fontId="4" fillId="0" borderId="0"/>
    <xf numFmtId="180" fontId="4" fillId="0" borderId="0"/>
    <xf numFmtId="180" fontId="4" fillId="0" borderId="0"/>
    <xf numFmtId="0" fontId="4" fillId="0" borderId="0"/>
    <xf numFmtId="180" fontId="4" fillId="0" borderId="0"/>
    <xf numFmtId="180" fontId="4" fillId="0" borderId="0"/>
    <xf numFmtId="180" fontId="4" fillId="0" borderId="0"/>
    <xf numFmtId="0" fontId="4" fillId="0" borderId="0"/>
    <xf numFmtId="180" fontId="4" fillId="0" borderId="0"/>
    <xf numFmtId="180" fontId="4" fillId="0" borderId="0"/>
    <xf numFmtId="9"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2" fontId="4" fillId="0" borderId="0" applyFont="0" applyFill="0" applyBorder="0" applyAlignment="0" applyProtection="0"/>
    <xf numFmtId="173" fontId="4" fillId="0" borderId="0" applyFont="0" applyFill="0" applyBorder="0" applyAlignment="0" applyProtection="0"/>
    <xf numFmtId="180" fontId="4" fillId="0" borderId="0"/>
    <xf numFmtId="0" fontId="4" fillId="0" borderId="0"/>
    <xf numFmtId="0" fontId="4" fillId="0" borderId="0"/>
    <xf numFmtId="0" fontId="4" fillId="0" borderId="0"/>
    <xf numFmtId="0" fontId="4" fillId="0" borderId="0"/>
    <xf numFmtId="0" fontId="4" fillId="0" borderId="0"/>
    <xf numFmtId="180" fontId="4" fillId="0" borderId="0"/>
    <xf numFmtId="180" fontId="4" fillId="0" borderId="0"/>
    <xf numFmtId="0" fontId="4" fillId="0" borderId="0"/>
    <xf numFmtId="180" fontId="4" fillId="0" borderId="0"/>
    <xf numFmtId="180" fontId="4" fillId="0" borderId="0"/>
    <xf numFmtId="180" fontId="4" fillId="0" borderId="0"/>
    <xf numFmtId="0" fontId="4" fillId="0" borderId="0"/>
    <xf numFmtId="180" fontId="4" fillId="0" borderId="0"/>
    <xf numFmtId="180" fontId="4" fillId="0" borderId="0"/>
    <xf numFmtId="9" fontId="4" fillId="0" borderId="0" applyFont="0" applyFill="0" applyBorder="0" applyAlignment="0" applyProtection="0"/>
    <xf numFmtId="0" fontId="4" fillId="0" borderId="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2" fontId="4" fillId="0" borderId="0" applyFont="0" applyFill="0" applyBorder="0" applyAlignment="0" applyProtection="0"/>
    <xf numFmtId="173" fontId="4" fillId="0" borderId="0" applyFont="0" applyFill="0" applyBorder="0" applyAlignment="0" applyProtection="0"/>
    <xf numFmtId="180" fontId="4" fillId="0" borderId="0"/>
    <xf numFmtId="0" fontId="4" fillId="0" borderId="0"/>
    <xf numFmtId="0" fontId="4" fillId="0" borderId="0"/>
    <xf numFmtId="0" fontId="4" fillId="0" borderId="0"/>
    <xf numFmtId="0" fontId="4" fillId="0" borderId="0"/>
    <xf numFmtId="0" fontId="4" fillId="0" borderId="0"/>
    <xf numFmtId="180" fontId="4" fillId="0" borderId="0"/>
    <xf numFmtId="180" fontId="4" fillId="0" borderId="0"/>
    <xf numFmtId="0" fontId="4" fillId="0" borderId="0"/>
    <xf numFmtId="180" fontId="4" fillId="0" borderId="0"/>
    <xf numFmtId="180" fontId="4" fillId="0" borderId="0"/>
    <xf numFmtId="180" fontId="4" fillId="0" borderId="0"/>
    <xf numFmtId="0" fontId="4" fillId="0" borderId="0"/>
    <xf numFmtId="180" fontId="4" fillId="0" borderId="0"/>
    <xf numFmtId="180" fontId="4" fillId="0" borderId="0"/>
    <xf numFmtId="9"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2" fontId="4" fillId="0" borderId="0" applyFont="0" applyFill="0" applyBorder="0" applyAlignment="0" applyProtection="0"/>
    <xf numFmtId="173" fontId="4" fillId="0" borderId="0" applyFont="0" applyFill="0" applyBorder="0" applyAlignment="0" applyProtection="0"/>
    <xf numFmtId="180" fontId="4" fillId="0" borderId="0"/>
    <xf numFmtId="0" fontId="4" fillId="0" borderId="0"/>
    <xf numFmtId="0" fontId="4" fillId="0" borderId="0"/>
    <xf numFmtId="0" fontId="4" fillId="0" borderId="0"/>
    <xf numFmtId="0" fontId="4" fillId="0" borderId="0"/>
    <xf numFmtId="0" fontId="4" fillId="0" borderId="0"/>
    <xf numFmtId="180" fontId="4" fillId="0" borderId="0"/>
    <xf numFmtId="180" fontId="4" fillId="0" borderId="0"/>
    <xf numFmtId="0" fontId="4" fillId="0" borderId="0"/>
    <xf numFmtId="180" fontId="4" fillId="0" borderId="0"/>
    <xf numFmtId="180" fontId="4" fillId="0" borderId="0"/>
    <xf numFmtId="180" fontId="4" fillId="0" borderId="0"/>
    <xf numFmtId="0" fontId="4" fillId="0" borderId="0"/>
    <xf numFmtId="180" fontId="4" fillId="0" borderId="0"/>
    <xf numFmtId="180" fontId="4" fillId="0" borderId="0"/>
    <xf numFmtId="9"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2" fontId="4" fillId="0" borderId="0" applyFont="0" applyFill="0" applyBorder="0" applyAlignment="0" applyProtection="0"/>
    <xf numFmtId="173" fontId="4" fillId="0" borderId="0" applyFont="0" applyFill="0" applyBorder="0" applyAlignment="0" applyProtection="0"/>
    <xf numFmtId="180" fontId="4" fillId="0" borderId="0"/>
    <xf numFmtId="0" fontId="4" fillId="0" borderId="0"/>
    <xf numFmtId="0" fontId="4" fillId="0" borderId="0"/>
    <xf numFmtId="0" fontId="4" fillId="0" borderId="0"/>
    <xf numFmtId="0" fontId="4" fillId="0" borderId="0"/>
    <xf numFmtId="0" fontId="4" fillId="0" borderId="0"/>
    <xf numFmtId="180" fontId="4" fillId="0" borderId="0"/>
    <xf numFmtId="180" fontId="4" fillId="0" borderId="0"/>
    <xf numFmtId="0" fontId="4" fillId="0" borderId="0"/>
    <xf numFmtId="180" fontId="4" fillId="0" borderId="0"/>
    <xf numFmtId="180" fontId="4" fillId="0" borderId="0"/>
    <xf numFmtId="180" fontId="4" fillId="0" borderId="0"/>
    <xf numFmtId="0" fontId="4" fillId="0" borderId="0"/>
    <xf numFmtId="180" fontId="4" fillId="0" borderId="0"/>
    <xf numFmtId="180" fontId="4" fillId="0" borderId="0"/>
    <xf numFmtId="9"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2" fontId="4" fillId="0" borderId="0" applyFont="0" applyFill="0" applyBorder="0" applyAlignment="0" applyProtection="0"/>
    <xf numFmtId="173" fontId="4" fillId="0" borderId="0" applyFont="0" applyFill="0" applyBorder="0" applyAlignment="0" applyProtection="0"/>
    <xf numFmtId="180" fontId="4" fillId="0" borderId="0"/>
    <xf numFmtId="0" fontId="4" fillId="0" borderId="0"/>
    <xf numFmtId="0" fontId="4" fillId="0" borderId="0"/>
    <xf numFmtId="0" fontId="4" fillId="0" borderId="0"/>
    <xf numFmtId="0" fontId="4" fillId="0" borderId="0"/>
    <xf numFmtId="0" fontId="4" fillId="0" borderId="0"/>
    <xf numFmtId="180" fontId="4" fillId="0" borderId="0"/>
    <xf numFmtId="180" fontId="4" fillId="0" borderId="0"/>
    <xf numFmtId="0" fontId="4" fillId="0" borderId="0"/>
    <xf numFmtId="180" fontId="4" fillId="0" borderId="0"/>
    <xf numFmtId="180" fontId="4" fillId="0" borderId="0"/>
    <xf numFmtId="180" fontId="4" fillId="0" borderId="0"/>
    <xf numFmtId="0" fontId="4" fillId="0" borderId="0"/>
    <xf numFmtId="180" fontId="4" fillId="0" borderId="0"/>
    <xf numFmtId="180" fontId="4" fillId="0" borderId="0"/>
    <xf numFmtId="9"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2" fontId="4" fillId="0" borderId="0" applyFont="0" applyFill="0" applyBorder="0" applyAlignment="0" applyProtection="0"/>
    <xf numFmtId="173" fontId="4" fillId="0" borderId="0" applyFont="0" applyFill="0" applyBorder="0" applyAlignment="0" applyProtection="0"/>
    <xf numFmtId="180" fontId="4" fillId="0" borderId="0"/>
    <xf numFmtId="0" fontId="4" fillId="0" borderId="0"/>
    <xf numFmtId="0" fontId="4" fillId="0" borderId="0"/>
    <xf numFmtId="0" fontId="4" fillId="0" borderId="0"/>
    <xf numFmtId="0" fontId="4" fillId="0" borderId="0"/>
    <xf numFmtId="0" fontId="4" fillId="0" borderId="0"/>
    <xf numFmtId="180" fontId="4" fillId="0" borderId="0"/>
    <xf numFmtId="180" fontId="4" fillId="0" borderId="0"/>
    <xf numFmtId="0" fontId="4" fillId="0" borderId="0"/>
    <xf numFmtId="180" fontId="4" fillId="0" borderId="0"/>
    <xf numFmtId="180" fontId="4" fillId="0" borderId="0"/>
    <xf numFmtId="180" fontId="4" fillId="0" borderId="0"/>
    <xf numFmtId="0" fontId="4" fillId="0" borderId="0"/>
    <xf numFmtId="180" fontId="4" fillId="0" borderId="0"/>
    <xf numFmtId="180" fontId="4" fillId="0" borderId="0"/>
    <xf numFmtId="9"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2" fontId="4" fillId="0" borderId="0" applyFont="0" applyFill="0" applyBorder="0" applyAlignment="0" applyProtection="0"/>
    <xf numFmtId="173" fontId="4" fillId="0" borderId="0" applyFont="0" applyFill="0" applyBorder="0" applyAlignment="0" applyProtection="0"/>
    <xf numFmtId="180" fontId="4" fillId="0" borderId="0"/>
    <xf numFmtId="0" fontId="4" fillId="0" borderId="0"/>
    <xf numFmtId="0" fontId="4" fillId="0" borderId="0"/>
    <xf numFmtId="0" fontId="4" fillId="0" borderId="0"/>
    <xf numFmtId="0" fontId="4" fillId="0" borderId="0"/>
    <xf numFmtId="0" fontId="4" fillId="0" borderId="0"/>
    <xf numFmtId="180" fontId="4" fillId="0" borderId="0"/>
    <xf numFmtId="180" fontId="4" fillId="0" borderId="0"/>
    <xf numFmtId="0" fontId="4" fillId="0" borderId="0"/>
    <xf numFmtId="180" fontId="4" fillId="0" borderId="0"/>
    <xf numFmtId="180" fontId="4" fillId="0" borderId="0"/>
    <xf numFmtId="180" fontId="4" fillId="0" borderId="0"/>
    <xf numFmtId="0" fontId="4" fillId="0" borderId="0"/>
    <xf numFmtId="180" fontId="4" fillId="0" borderId="0"/>
    <xf numFmtId="180" fontId="4" fillId="0" borderId="0"/>
    <xf numFmtId="9"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2" fontId="4" fillId="0" borderId="0" applyFont="0" applyFill="0" applyBorder="0" applyAlignment="0" applyProtection="0"/>
    <xf numFmtId="173" fontId="4" fillId="0" borderId="0" applyFont="0" applyFill="0" applyBorder="0" applyAlignment="0" applyProtection="0"/>
    <xf numFmtId="180" fontId="4" fillId="0" borderId="0"/>
    <xf numFmtId="0" fontId="4" fillId="0" borderId="0"/>
    <xf numFmtId="0" fontId="4" fillId="0" borderId="0"/>
    <xf numFmtId="0" fontId="4" fillId="0" borderId="0"/>
    <xf numFmtId="0" fontId="4" fillId="0" borderId="0"/>
    <xf numFmtId="0" fontId="4" fillId="0" borderId="0"/>
    <xf numFmtId="180" fontId="4" fillId="0" borderId="0"/>
    <xf numFmtId="180" fontId="4" fillId="0" borderId="0"/>
    <xf numFmtId="0" fontId="4" fillId="0" borderId="0"/>
    <xf numFmtId="180" fontId="4" fillId="0" borderId="0"/>
    <xf numFmtId="180" fontId="4" fillId="0" borderId="0"/>
    <xf numFmtId="180" fontId="4" fillId="0" borderId="0"/>
    <xf numFmtId="0" fontId="4" fillId="0" borderId="0"/>
    <xf numFmtId="180" fontId="4" fillId="0" borderId="0"/>
    <xf numFmtId="180" fontId="4" fillId="0" borderId="0"/>
    <xf numFmtId="9"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2" fontId="4" fillId="0" borderId="0" applyFont="0" applyFill="0" applyBorder="0" applyAlignment="0" applyProtection="0"/>
    <xf numFmtId="173" fontId="4" fillId="0" borderId="0" applyFont="0" applyFill="0" applyBorder="0" applyAlignment="0" applyProtection="0"/>
    <xf numFmtId="180" fontId="4" fillId="0" borderId="0"/>
    <xf numFmtId="0" fontId="4" fillId="0" borderId="0"/>
    <xf numFmtId="0" fontId="4" fillId="0" borderId="0"/>
    <xf numFmtId="0" fontId="4" fillId="0" borderId="0"/>
    <xf numFmtId="0" fontId="4" fillId="0" borderId="0"/>
    <xf numFmtId="0" fontId="4" fillId="0" borderId="0"/>
    <xf numFmtId="180" fontId="4" fillId="0" borderId="0"/>
    <xf numFmtId="180" fontId="4" fillId="0" borderId="0"/>
    <xf numFmtId="0" fontId="4" fillId="0" borderId="0"/>
    <xf numFmtId="180" fontId="4" fillId="0" borderId="0"/>
    <xf numFmtId="180" fontId="4" fillId="0" borderId="0"/>
    <xf numFmtId="180" fontId="4" fillId="0" borderId="0"/>
    <xf numFmtId="0" fontId="4" fillId="0" borderId="0"/>
    <xf numFmtId="180" fontId="4" fillId="0" borderId="0"/>
    <xf numFmtId="180" fontId="4" fillId="0" borderId="0"/>
    <xf numFmtId="9" fontId="4" fillId="0" borderId="0" applyFont="0" applyFill="0" applyBorder="0" applyAlignment="0" applyProtection="0"/>
    <xf numFmtId="170" fontId="4" fillId="0" borderId="0" applyFont="0" applyFill="0" applyBorder="0" applyAlignment="0" applyProtection="0"/>
    <xf numFmtId="43" fontId="4" fillId="0" borderId="0" applyFont="0" applyFill="0" applyBorder="0" applyAlignment="0" applyProtection="0"/>
    <xf numFmtId="0" fontId="4" fillId="0" borderId="0"/>
    <xf numFmtId="168" fontId="4" fillId="0" borderId="0" applyFont="0" applyFill="0" applyBorder="0" applyAlignment="0" applyProtection="0"/>
    <xf numFmtId="0" fontId="4" fillId="0" borderId="0"/>
    <xf numFmtId="180" fontId="4" fillId="0" borderId="0"/>
    <xf numFmtId="0" fontId="4" fillId="0" borderId="0"/>
    <xf numFmtId="0" fontId="4" fillId="0" borderId="0"/>
    <xf numFmtId="0" fontId="4" fillId="0" borderId="0"/>
    <xf numFmtId="0" fontId="4" fillId="0" borderId="0"/>
    <xf numFmtId="0" fontId="4" fillId="0" borderId="0"/>
    <xf numFmtId="180" fontId="4" fillId="0" borderId="0"/>
    <xf numFmtId="180" fontId="4" fillId="0" borderId="0"/>
    <xf numFmtId="180" fontId="4" fillId="0" borderId="0"/>
    <xf numFmtId="180" fontId="4" fillId="0" borderId="0"/>
    <xf numFmtId="180" fontId="4" fillId="0" borderId="0"/>
    <xf numFmtId="0" fontId="4" fillId="0" borderId="0"/>
    <xf numFmtId="180" fontId="4" fillId="0" borderId="0"/>
    <xf numFmtId="180" fontId="4" fillId="0" borderId="0"/>
    <xf numFmtId="168" fontId="4" fillId="0" borderId="0" applyFont="0" applyFill="0" applyBorder="0" applyAlignment="0" applyProtection="0"/>
    <xf numFmtId="180" fontId="4" fillId="0" borderId="0"/>
    <xf numFmtId="0" fontId="4" fillId="0" borderId="0"/>
    <xf numFmtId="0" fontId="4" fillId="0" borderId="0"/>
    <xf numFmtId="0" fontId="4" fillId="0" borderId="0"/>
    <xf numFmtId="0" fontId="4" fillId="0" borderId="0"/>
    <xf numFmtId="0" fontId="4" fillId="0" borderId="0"/>
    <xf numFmtId="180" fontId="4" fillId="0" borderId="0"/>
    <xf numFmtId="180" fontId="4" fillId="0" borderId="0"/>
    <xf numFmtId="0" fontId="4" fillId="0" borderId="0"/>
    <xf numFmtId="180" fontId="4" fillId="0" borderId="0"/>
    <xf numFmtId="180" fontId="4" fillId="0" borderId="0"/>
    <xf numFmtId="180" fontId="4" fillId="0" borderId="0"/>
    <xf numFmtId="0" fontId="4" fillId="0" borderId="0"/>
    <xf numFmtId="180" fontId="4" fillId="0" borderId="0"/>
    <xf numFmtId="180" fontId="4" fillId="0" borderId="0"/>
    <xf numFmtId="18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80" fontId="4" fillId="0" borderId="0"/>
    <xf numFmtId="180" fontId="4" fillId="0" borderId="0"/>
    <xf numFmtId="0" fontId="4" fillId="0" borderId="0"/>
    <xf numFmtId="180" fontId="4" fillId="0" borderId="0"/>
    <xf numFmtId="180" fontId="4" fillId="0" borderId="0"/>
    <xf numFmtId="180" fontId="4" fillId="0" borderId="0"/>
    <xf numFmtId="0" fontId="4" fillId="0" borderId="0"/>
    <xf numFmtId="180" fontId="4" fillId="0" borderId="0"/>
    <xf numFmtId="180" fontId="4" fillId="0" borderId="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2" fontId="4" fillId="0" borderId="0" applyFont="0" applyFill="0" applyBorder="0" applyAlignment="0" applyProtection="0"/>
    <xf numFmtId="173" fontId="4" fillId="0" borderId="0" applyFont="0" applyFill="0" applyBorder="0" applyAlignment="0" applyProtection="0"/>
    <xf numFmtId="180" fontId="4" fillId="0" borderId="0"/>
    <xf numFmtId="0" fontId="4" fillId="0" borderId="0"/>
    <xf numFmtId="0" fontId="4" fillId="0" borderId="0"/>
    <xf numFmtId="0" fontId="4" fillId="0" borderId="0"/>
    <xf numFmtId="0" fontId="4" fillId="0" borderId="0"/>
    <xf numFmtId="0" fontId="4" fillId="0" borderId="0"/>
    <xf numFmtId="180" fontId="4" fillId="0" borderId="0"/>
    <xf numFmtId="180" fontId="4" fillId="0" borderId="0"/>
    <xf numFmtId="0" fontId="4" fillId="0" borderId="0"/>
    <xf numFmtId="180" fontId="4" fillId="0" borderId="0"/>
    <xf numFmtId="180" fontId="4" fillId="0" borderId="0"/>
    <xf numFmtId="180" fontId="4" fillId="0" borderId="0"/>
    <xf numFmtId="0" fontId="4" fillId="0" borderId="0"/>
    <xf numFmtId="180" fontId="4" fillId="0" borderId="0"/>
    <xf numFmtId="180" fontId="4" fillId="0" borderId="0"/>
    <xf numFmtId="9" fontId="4" fillId="0" borderId="0" applyFont="0" applyFill="0" applyBorder="0" applyAlignment="0" applyProtection="0"/>
    <xf numFmtId="0" fontId="4" fillId="0" borderId="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2" fontId="4" fillId="0" borderId="0" applyFont="0" applyFill="0" applyBorder="0" applyAlignment="0" applyProtection="0"/>
    <xf numFmtId="173" fontId="4" fillId="0" borderId="0" applyFont="0" applyFill="0" applyBorder="0" applyAlignment="0" applyProtection="0"/>
    <xf numFmtId="180" fontId="4" fillId="0" borderId="0"/>
    <xf numFmtId="0" fontId="4" fillId="0" borderId="0"/>
    <xf numFmtId="0" fontId="4" fillId="0" borderId="0"/>
    <xf numFmtId="0" fontId="4" fillId="0" borderId="0"/>
    <xf numFmtId="0" fontId="4" fillId="0" borderId="0"/>
    <xf numFmtId="0" fontId="4" fillId="0" borderId="0"/>
    <xf numFmtId="180" fontId="4" fillId="0" borderId="0"/>
    <xf numFmtId="180" fontId="4" fillId="0" borderId="0"/>
    <xf numFmtId="0" fontId="4" fillId="0" borderId="0"/>
    <xf numFmtId="180" fontId="4" fillId="0" borderId="0"/>
    <xf numFmtId="180" fontId="4" fillId="0" borderId="0"/>
    <xf numFmtId="180" fontId="4" fillId="0" borderId="0"/>
    <xf numFmtId="0" fontId="4" fillId="0" borderId="0"/>
    <xf numFmtId="180" fontId="4" fillId="0" borderId="0"/>
    <xf numFmtId="180" fontId="4" fillId="0" borderId="0"/>
    <xf numFmtId="9"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2" fontId="4" fillId="0" borderId="0" applyFont="0" applyFill="0" applyBorder="0" applyAlignment="0" applyProtection="0"/>
    <xf numFmtId="173" fontId="4" fillId="0" borderId="0" applyFont="0" applyFill="0" applyBorder="0" applyAlignment="0" applyProtection="0"/>
    <xf numFmtId="180" fontId="4" fillId="0" borderId="0"/>
    <xf numFmtId="0" fontId="4" fillId="0" borderId="0"/>
    <xf numFmtId="0" fontId="4" fillId="0" borderId="0"/>
    <xf numFmtId="0" fontId="4" fillId="0" borderId="0"/>
    <xf numFmtId="0" fontId="4" fillId="0" borderId="0"/>
    <xf numFmtId="0" fontId="4" fillId="0" borderId="0"/>
    <xf numFmtId="180" fontId="4" fillId="0" borderId="0"/>
    <xf numFmtId="180" fontId="4" fillId="0" borderId="0"/>
    <xf numFmtId="0" fontId="4" fillId="0" borderId="0"/>
    <xf numFmtId="180" fontId="4" fillId="0" borderId="0"/>
    <xf numFmtId="180" fontId="4" fillId="0" borderId="0"/>
    <xf numFmtId="180" fontId="4" fillId="0" borderId="0"/>
    <xf numFmtId="0" fontId="4" fillId="0" borderId="0"/>
    <xf numFmtId="180" fontId="4" fillId="0" borderId="0"/>
    <xf numFmtId="180" fontId="4" fillId="0" borderId="0"/>
    <xf numFmtId="9"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2" fontId="4" fillId="0" borderId="0" applyFont="0" applyFill="0" applyBorder="0" applyAlignment="0" applyProtection="0"/>
    <xf numFmtId="173" fontId="4" fillId="0" borderId="0" applyFont="0" applyFill="0" applyBorder="0" applyAlignment="0" applyProtection="0"/>
    <xf numFmtId="180" fontId="4" fillId="0" borderId="0"/>
    <xf numFmtId="0" fontId="4" fillId="0" borderId="0"/>
    <xf numFmtId="0" fontId="4" fillId="0" borderId="0"/>
    <xf numFmtId="0" fontId="4" fillId="0" borderId="0"/>
    <xf numFmtId="0" fontId="4" fillId="0" borderId="0"/>
    <xf numFmtId="0" fontId="4" fillId="0" borderId="0"/>
    <xf numFmtId="180" fontId="4" fillId="0" borderId="0"/>
    <xf numFmtId="180" fontId="4" fillId="0" borderId="0"/>
    <xf numFmtId="0" fontId="4" fillId="0" borderId="0"/>
    <xf numFmtId="180" fontId="4" fillId="0" borderId="0"/>
    <xf numFmtId="180" fontId="4" fillId="0" borderId="0"/>
    <xf numFmtId="180" fontId="4" fillId="0" borderId="0"/>
    <xf numFmtId="0" fontId="4" fillId="0" borderId="0"/>
    <xf numFmtId="180" fontId="4" fillId="0" borderId="0"/>
    <xf numFmtId="180" fontId="4" fillId="0" borderId="0"/>
    <xf numFmtId="9"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2" fontId="4" fillId="0" borderId="0" applyFont="0" applyFill="0" applyBorder="0" applyAlignment="0" applyProtection="0"/>
    <xf numFmtId="173" fontId="4" fillId="0" borderId="0" applyFont="0" applyFill="0" applyBorder="0" applyAlignment="0" applyProtection="0"/>
    <xf numFmtId="180" fontId="4" fillId="0" borderId="0"/>
    <xf numFmtId="0" fontId="4" fillId="0" borderId="0"/>
    <xf numFmtId="0" fontId="4" fillId="0" borderId="0"/>
    <xf numFmtId="0" fontId="4" fillId="0" borderId="0"/>
    <xf numFmtId="0" fontId="4" fillId="0" borderId="0"/>
    <xf numFmtId="0" fontId="4" fillId="0" borderId="0"/>
    <xf numFmtId="180" fontId="4" fillId="0" borderId="0"/>
    <xf numFmtId="180" fontId="4" fillId="0" borderId="0"/>
    <xf numFmtId="0" fontId="4" fillId="0" borderId="0"/>
    <xf numFmtId="180" fontId="4" fillId="0" borderId="0"/>
    <xf numFmtId="180" fontId="4" fillId="0" borderId="0"/>
    <xf numFmtId="180" fontId="4" fillId="0" borderId="0"/>
    <xf numFmtId="0" fontId="4" fillId="0" borderId="0"/>
    <xf numFmtId="180" fontId="4" fillId="0" borderId="0"/>
    <xf numFmtId="180" fontId="4" fillId="0" borderId="0"/>
    <xf numFmtId="9"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2" fontId="4" fillId="0" borderId="0" applyFont="0" applyFill="0" applyBorder="0" applyAlignment="0" applyProtection="0"/>
    <xf numFmtId="173" fontId="4" fillId="0" borderId="0" applyFont="0" applyFill="0" applyBorder="0" applyAlignment="0" applyProtection="0"/>
    <xf numFmtId="180" fontId="4" fillId="0" borderId="0"/>
    <xf numFmtId="0" fontId="4" fillId="0" borderId="0"/>
    <xf numFmtId="0" fontId="4" fillId="0" borderId="0"/>
    <xf numFmtId="0" fontId="4" fillId="0" borderId="0"/>
    <xf numFmtId="0" fontId="4" fillId="0" borderId="0"/>
    <xf numFmtId="0" fontId="4" fillId="0" borderId="0"/>
    <xf numFmtId="180" fontId="4" fillId="0" borderId="0"/>
    <xf numFmtId="180" fontId="4" fillId="0" borderId="0"/>
    <xf numFmtId="0" fontId="4" fillId="0" borderId="0"/>
    <xf numFmtId="180" fontId="4" fillId="0" borderId="0"/>
    <xf numFmtId="180" fontId="4" fillId="0" borderId="0"/>
    <xf numFmtId="180" fontId="4" fillId="0" borderId="0"/>
    <xf numFmtId="0" fontId="4" fillId="0" borderId="0"/>
    <xf numFmtId="180" fontId="4" fillId="0" borderId="0"/>
    <xf numFmtId="180" fontId="4" fillId="0" borderId="0"/>
    <xf numFmtId="9"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2" fontId="4" fillId="0" borderId="0" applyFont="0" applyFill="0" applyBorder="0" applyAlignment="0" applyProtection="0"/>
    <xf numFmtId="173" fontId="4" fillId="0" borderId="0" applyFont="0" applyFill="0" applyBorder="0" applyAlignment="0" applyProtection="0"/>
    <xf numFmtId="180" fontId="4" fillId="0" borderId="0"/>
    <xf numFmtId="0" fontId="4" fillId="0" borderId="0"/>
    <xf numFmtId="0" fontId="4" fillId="0" borderId="0"/>
    <xf numFmtId="0" fontId="4" fillId="0" borderId="0"/>
    <xf numFmtId="0" fontId="4" fillId="0" borderId="0"/>
    <xf numFmtId="0" fontId="4" fillId="0" borderId="0"/>
    <xf numFmtId="180" fontId="4" fillId="0" borderId="0"/>
    <xf numFmtId="180" fontId="4" fillId="0" borderId="0"/>
    <xf numFmtId="0" fontId="4" fillId="0" borderId="0"/>
    <xf numFmtId="180" fontId="4" fillId="0" borderId="0"/>
    <xf numFmtId="180" fontId="4" fillId="0" borderId="0"/>
    <xf numFmtId="180" fontId="4" fillId="0" borderId="0"/>
    <xf numFmtId="0" fontId="4" fillId="0" borderId="0"/>
    <xf numFmtId="180" fontId="4" fillId="0" borderId="0"/>
    <xf numFmtId="180" fontId="4" fillId="0" borderId="0"/>
    <xf numFmtId="9"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2" fontId="4" fillId="0" borderId="0" applyFont="0" applyFill="0" applyBorder="0" applyAlignment="0" applyProtection="0"/>
    <xf numFmtId="173" fontId="4" fillId="0" borderId="0" applyFont="0" applyFill="0" applyBorder="0" applyAlignment="0" applyProtection="0"/>
    <xf numFmtId="180" fontId="4" fillId="0" borderId="0"/>
    <xf numFmtId="0" fontId="4" fillId="0" borderId="0"/>
    <xf numFmtId="0" fontId="4" fillId="0" borderId="0"/>
    <xf numFmtId="0" fontId="4" fillId="0" borderId="0"/>
    <xf numFmtId="0" fontId="4" fillId="0" borderId="0"/>
    <xf numFmtId="0" fontId="4" fillId="0" borderId="0"/>
    <xf numFmtId="180" fontId="4" fillId="0" borderId="0"/>
    <xf numFmtId="180" fontId="4" fillId="0" borderId="0"/>
    <xf numFmtId="0" fontId="4" fillId="0" borderId="0"/>
    <xf numFmtId="180" fontId="4" fillId="0" borderId="0"/>
    <xf numFmtId="180" fontId="4" fillId="0" borderId="0"/>
    <xf numFmtId="180" fontId="4" fillId="0" borderId="0"/>
    <xf numFmtId="0" fontId="4" fillId="0" borderId="0"/>
    <xf numFmtId="180" fontId="4" fillId="0" borderId="0"/>
    <xf numFmtId="180" fontId="4" fillId="0" borderId="0"/>
    <xf numFmtId="9" fontId="4" fillId="0" borderId="0" applyFont="0" applyFill="0" applyBorder="0" applyAlignment="0" applyProtection="0"/>
    <xf numFmtId="18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80" fontId="4" fillId="0" borderId="0"/>
    <xf numFmtId="180" fontId="4" fillId="0" borderId="0"/>
    <xf numFmtId="0" fontId="4" fillId="0" borderId="0"/>
    <xf numFmtId="180" fontId="4" fillId="0" borderId="0"/>
    <xf numFmtId="180" fontId="4" fillId="0" borderId="0"/>
    <xf numFmtId="180" fontId="4" fillId="0" borderId="0"/>
    <xf numFmtId="0" fontId="4" fillId="0" borderId="0"/>
    <xf numFmtId="180" fontId="4" fillId="0" borderId="0"/>
    <xf numFmtId="180" fontId="4" fillId="0" borderId="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2" fontId="4" fillId="0" borderId="0" applyFont="0" applyFill="0" applyBorder="0" applyAlignment="0" applyProtection="0"/>
    <xf numFmtId="173" fontId="4" fillId="0" borderId="0" applyFont="0" applyFill="0" applyBorder="0" applyAlignment="0" applyProtection="0"/>
    <xf numFmtId="180" fontId="4" fillId="0" borderId="0"/>
    <xf numFmtId="0" fontId="4" fillId="0" borderId="0"/>
    <xf numFmtId="0" fontId="4" fillId="0" borderId="0"/>
    <xf numFmtId="0" fontId="4" fillId="0" borderId="0"/>
    <xf numFmtId="0" fontId="4" fillId="0" borderId="0"/>
    <xf numFmtId="0" fontId="4" fillId="0" borderId="0"/>
    <xf numFmtId="180" fontId="4" fillId="0" borderId="0"/>
    <xf numFmtId="180" fontId="4" fillId="0" borderId="0"/>
    <xf numFmtId="0" fontId="4" fillId="0" borderId="0"/>
    <xf numFmtId="180" fontId="4" fillId="0" borderId="0"/>
    <xf numFmtId="180" fontId="4" fillId="0" borderId="0"/>
    <xf numFmtId="180" fontId="4" fillId="0" borderId="0"/>
    <xf numFmtId="0" fontId="4" fillId="0" borderId="0"/>
    <xf numFmtId="180" fontId="4" fillId="0" borderId="0"/>
    <xf numFmtId="180" fontId="4" fillId="0" borderId="0"/>
    <xf numFmtId="9" fontId="4" fillId="0" borderId="0" applyFont="0" applyFill="0" applyBorder="0" applyAlignment="0" applyProtection="0"/>
    <xf numFmtId="0" fontId="4" fillId="0" borderId="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2" fontId="4" fillId="0" borderId="0" applyFont="0" applyFill="0" applyBorder="0" applyAlignment="0" applyProtection="0"/>
    <xf numFmtId="173" fontId="4" fillId="0" borderId="0" applyFont="0" applyFill="0" applyBorder="0" applyAlignment="0" applyProtection="0"/>
    <xf numFmtId="180" fontId="4" fillId="0" borderId="0"/>
    <xf numFmtId="0" fontId="4" fillId="0" borderId="0"/>
    <xf numFmtId="0" fontId="4" fillId="0" borderId="0"/>
    <xf numFmtId="0" fontId="4" fillId="0" borderId="0"/>
    <xf numFmtId="0" fontId="4" fillId="0" borderId="0"/>
    <xf numFmtId="0" fontId="4" fillId="0" borderId="0"/>
    <xf numFmtId="180" fontId="4" fillId="0" borderId="0"/>
    <xf numFmtId="180" fontId="4" fillId="0" borderId="0"/>
    <xf numFmtId="0" fontId="4" fillId="0" borderId="0"/>
    <xf numFmtId="180" fontId="4" fillId="0" borderId="0"/>
    <xf numFmtId="180" fontId="4" fillId="0" borderId="0"/>
    <xf numFmtId="180" fontId="4" fillId="0" borderId="0"/>
    <xf numFmtId="0" fontId="4" fillId="0" borderId="0"/>
    <xf numFmtId="180" fontId="4" fillId="0" borderId="0"/>
    <xf numFmtId="180" fontId="4" fillId="0" borderId="0"/>
    <xf numFmtId="9"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2" fontId="4" fillId="0" borderId="0" applyFont="0" applyFill="0" applyBorder="0" applyAlignment="0" applyProtection="0"/>
    <xf numFmtId="173" fontId="4" fillId="0" borderId="0" applyFont="0" applyFill="0" applyBorder="0" applyAlignment="0" applyProtection="0"/>
    <xf numFmtId="180" fontId="4" fillId="0" borderId="0"/>
    <xf numFmtId="0" fontId="4" fillId="0" borderId="0"/>
    <xf numFmtId="0" fontId="4" fillId="0" borderId="0"/>
    <xf numFmtId="0" fontId="4" fillId="0" borderId="0"/>
    <xf numFmtId="0" fontId="4" fillId="0" borderId="0"/>
    <xf numFmtId="0" fontId="4" fillId="0" borderId="0"/>
    <xf numFmtId="180" fontId="4" fillId="0" borderId="0"/>
    <xf numFmtId="180" fontId="4" fillId="0" borderId="0"/>
    <xf numFmtId="0" fontId="4" fillId="0" borderId="0"/>
    <xf numFmtId="180" fontId="4" fillId="0" borderId="0"/>
    <xf numFmtId="180" fontId="4" fillId="0" borderId="0"/>
    <xf numFmtId="180" fontId="4" fillId="0" borderId="0"/>
    <xf numFmtId="0" fontId="4" fillId="0" borderId="0"/>
    <xf numFmtId="180" fontId="4" fillId="0" borderId="0"/>
    <xf numFmtId="180" fontId="4" fillId="0" borderId="0"/>
    <xf numFmtId="9"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2" fontId="4" fillId="0" borderId="0" applyFont="0" applyFill="0" applyBorder="0" applyAlignment="0" applyProtection="0"/>
    <xf numFmtId="173" fontId="4" fillId="0" borderId="0" applyFont="0" applyFill="0" applyBorder="0" applyAlignment="0" applyProtection="0"/>
    <xf numFmtId="180" fontId="4" fillId="0" borderId="0"/>
    <xf numFmtId="0" fontId="4" fillId="0" borderId="0"/>
    <xf numFmtId="0" fontId="4" fillId="0" borderId="0"/>
    <xf numFmtId="0" fontId="4" fillId="0" borderId="0"/>
    <xf numFmtId="0" fontId="4" fillId="0" borderId="0"/>
    <xf numFmtId="0" fontId="4" fillId="0" borderId="0"/>
    <xf numFmtId="180" fontId="4" fillId="0" borderId="0"/>
    <xf numFmtId="180" fontId="4" fillId="0" borderId="0"/>
    <xf numFmtId="0" fontId="4" fillId="0" borderId="0"/>
    <xf numFmtId="180" fontId="4" fillId="0" borderId="0"/>
    <xf numFmtId="180" fontId="4" fillId="0" borderId="0"/>
    <xf numFmtId="180" fontId="4" fillId="0" borderId="0"/>
    <xf numFmtId="0" fontId="4" fillId="0" borderId="0"/>
    <xf numFmtId="180" fontId="4" fillId="0" borderId="0"/>
    <xf numFmtId="180" fontId="4" fillId="0" borderId="0"/>
    <xf numFmtId="9"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2" fontId="4" fillId="0" borderId="0" applyFont="0" applyFill="0" applyBorder="0" applyAlignment="0" applyProtection="0"/>
    <xf numFmtId="173" fontId="4" fillId="0" borderId="0" applyFont="0" applyFill="0" applyBorder="0" applyAlignment="0" applyProtection="0"/>
    <xf numFmtId="180" fontId="4" fillId="0" borderId="0"/>
    <xf numFmtId="0" fontId="4" fillId="0" borderId="0"/>
    <xf numFmtId="0" fontId="4" fillId="0" borderId="0"/>
    <xf numFmtId="0" fontId="4" fillId="0" borderId="0"/>
    <xf numFmtId="0" fontId="4" fillId="0" borderId="0"/>
    <xf numFmtId="0" fontId="4" fillId="0" borderId="0"/>
    <xf numFmtId="180" fontId="4" fillId="0" borderId="0"/>
    <xf numFmtId="180" fontId="4" fillId="0" borderId="0"/>
    <xf numFmtId="0" fontId="4" fillId="0" borderId="0"/>
    <xf numFmtId="180" fontId="4" fillId="0" borderId="0"/>
    <xf numFmtId="180" fontId="4" fillId="0" borderId="0"/>
    <xf numFmtId="180" fontId="4" fillId="0" borderId="0"/>
    <xf numFmtId="0" fontId="4" fillId="0" borderId="0"/>
    <xf numFmtId="180" fontId="4" fillId="0" borderId="0"/>
    <xf numFmtId="180" fontId="4" fillId="0" borderId="0"/>
    <xf numFmtId="9"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2" fontId="4" fillId="0" borderId="0" applyFont="0" applyFill="0" applyBorder="0" applyAlignment="0" applyProtection="0"/>
    <xf numFmtId="173" fontId="4" fillId="0" borderId="0" applyFont="0" applyFill="0" applyBorder="0" applyAlignment="0" applyProtection="0"/>
    <xf numFmtId="180" fontId="4" fillId="0" borderId="0"/>
    <xf numFmtId="0" fontId="4" fillId="0" borderId="0"/>
    <xf numFmtId="0" fontId="4" fillId="0" borderId="0"/>
    <xf numFmtId="0" fontId="4" fillId="0" borderId="0"/>
    <xf numFmtId="0" fontId="4" fillId="0" borderId="0"/>
    <xf numFmtId="0" fontId="4" fillId="0" borderId="0"/>
    <xf numFmtId="180" fontId="4" fillId="0" borderId="0"/>
    <xf numFmtId="180" fontId="4" fillId="0" borderId="0"/>
    <xf numFmtId="0" fontId="4" fillId="0" borderId="0"/>
    <xf numFmtId="180" fontId="4" fillId="0" borderId="0"/>
    <xf numFmtId="180" fontId="4" fillId="0" borderId="0"/>
    <xf numFmtId="180" fontId="4" fillId="0" borderId="0"/>
    <xf numFmtId="0" fontId="4" fillId="0" borderId="0"/>
    <xf numFmtId="180" fontId="4" fillId="0" borderId="0"/>
    <xf numFmtId="180" fontId="4" fillId="0" borderId="0"/>
    <xf numFmtId="9"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2" fontId="4" fillId="0" borderId="0" applyFont="0" applyFill="0" applyBorder="0" applyAlignment="0" applyProtection="0"/>
    <xf numFmtId="173" fontId="4" fillId="0" borderId="0" applyFont="0" applyFill="0" applyBorder="0" applyAlignment="0" applyProtection="0"/>
    <xf numFmtId="180" fontId="4" fillId="0" borderId="0"/>
    <xf numFmtId="0" fontId="4" fillId="0" borderId="0"/>
    <xf numFmtId="0" fontId="4" fillId="0" borderId="0"/>
    <xf numFmtId="0" fontId="4" fillId="0" borderId="0"/>
    <xf numFmtId="0" fontId="4" fillId="0" borderId="0"/>
    <xf numFmtId="0" fontId="4" fillId="0" borderId="0"/>
    <xf numFmtId="180" fontId="4" fillId="0" borderId="0"/>
    <xf numFmtId="180" fontId="4" fillId="0" borderId="0"/>
    <xf numFmtId="0" fontId="4" fillId="0" borderId="0"/>
    <xf numFmtId="180" fontId="4" fillId="0" borderId="0"/>
    <xf numFmtId="180" fontId="4" fillId="0" borderId="0"/>
    <xf numFmtId="180" fontId="4" fillId="0" borderId="0"/>
    <xf numFmtId="0" fontId="4" fillId="0" borderId="0"/>
    <xf numFmtId="180" fontId="4" fillId="0" borderId="0"/>
    <xf numFmtId="180" fontId="4" fillId="0" borderId="0"/>
    <xf numFmtId="9"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2" fontId="4" fillId="0" borderId="0" applyFont="0" applyFill="0" applyBorder="0" applyAlignment="0" applyProtection="0"/>
    <xf numFmtId="173" fontId="4" fillId="0" borderId="0" applyFont="0" applyFill="0" applyBorder="0" applyAlignment="0" applyProtection="0"/>
    <xf numFmtId="180" fontId="4" fillId="0" borderId="0"/>
    <xf numFmtId="0" fontId="4" fillId="0" borderId="0"/>
    <xf numFmtId="0" fontId="4" fillId="0" borderId="0"/>
    <xf numFmtId="0" fontId="4" fillId="0" borderId="0"/>
    <xf numFmtId="0" fontId="4" fillId="0" borderId="0"/>
    <xf numFmtId="0" fontId="4" fillId="0" borderId="0"/>
    <xf numFmtId="180" fontId="4" fillId="0" borderId="0"/>
    <xf numFmtId="180" fontId="4" fillId="0" borderId="0"/>
    <xf numFmtId="0" fontId="4" fillId="0" borderId="0"/>
    <xf numFmtId="180" fontId="4" fillId="0" borderId="0"/>
    <xf numFmtId="180" fontId="4" fillId="0" borderId="0"/>
    <xf numFmtId="180" fontId="4" fillId="0" borderId="0"/>
    <xf numFmtId="0" fontId="4" fillId="0" borderId="0"/>
    <xf numFmtId="180" fontId="4" fillId="0" borderId="0"/>
    <xf numFmtId="180" fontId="4" fillId="0" borderId="0"/>
    <xf numFmtId="9"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2" fontId="4" fillId="0" borderId="0" applyFont="0" applyFill="0" applyBorder="0" applyAlignment="0" applyProtection="0"/>
    <xf numFmtId="173" fontId="4" fillId="0" borderId="0" applyFont="0" applyFill="0" applyBorder="0" applyAlignment="0" applyProtection="0"/>
    <xf numFmtId="180" fontId="4" fillId="0" borderId="0"/>
    <xf numFmtId="0" fontId="4" fillId="0" borderId="0"/>
    <xf numFmtId="0" fontId="4" fillId="0" borderId="0"/>
    <xf numFmtId="0" fontId="4" fillId="0" borderId="0"/>
    <xf numFmtId="0" fontId="4" fillId="0" borderId="0"/>
    <xf numFmtId="0" fontId="4" fillId="0" borderId="0"/>
    <xf numFmtId="180" fontId="4" fillId="0" borderId="0"/>
    <xf numFmtId="180" fontId="4" fillId="0" borderId="0"/>
    <xf numFmtId="0" fontId="4" fillId="0" borderId="0"/>
    <xf numFmtId="180" fontId="4" fillId="0" borderId="0"/>
    <xf numFmtId="180" fontId="4" fillId="0" borderId="0"/>
    <xf numFmtId="180" fontId="4" fillId="0" borderId="0"/>
    <xf numFmtId="0" fontId="4" fillId="0" borderId="0"/>
    <xf numFmtId="180" fontId="4" fillId="0" borderId="0"/>
    <xf numFmtId="180" fontId="4" fillId="0" borderId="0"/>
    <xf numFmtId="9" fontId="4" fillId="0" borderId="0" applyFont="0" applyFill="0" applyBorder="0" applyAlignment="0" applyProtection="0"/>
    <xf numFmtId="0" fontId="4" fillId="0" borderId="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2" fontId="4" fillId="0" borderId="0" applyFont="0" applyFill="0" applyBorder="0" applyAlignment="0" applyProtection="0"/>
    <xf numFmtId="173" fontId="4" fillId="0" borderId="0" applyFont="0" applyFill="0" applyBorder="0" applyAlignment="0" applyProtection="0"/>
    <xf numFmtId="180" fontId="4" fillId="0" borderId="0"/>
    <xf numFmtId="0" fontId="4" fillId="0" borderId="0"/>
    <xf numFmtId="0" fontId="4" fillId="0" borderId="0"/>
    <xf numFmtId="0" fontId="4" fillId="0" borderId="0"/>
    <xf numFmtId="0" fontId="4" fillId="0" borderId="0"/>
    <xf numFmtId="0" fontId="4" fillId="0" borderId="0"/>
    <xf numFmtId="180" fontId="4" fillId="0" borderId="0"/>
    <xf numFmtId="180" fontId="4" fillId="0" borderId="0"/>
    <xf numFmtId="0" fontId="4" fillId="0" borderId="0"/>
    <xf numFmtId="180" fontId="4" fillId="0" borderId="0"/>
    <xf numFmtId="180" fontId="4" fillId="0" borderId="0"/>
    <xf numFmtId="180" fontId="4" fillId="0" borderId="0"/>
    <xf numFmtId="0" fontId="4" fillId="0" borderId="0"/>
    <xf numFmtId="180" fontId="4" fillId="0" borderId="0"/>
    <xf numFmtId="180" fontId="4" fillId="0" borderId="0"/>
    <xf numFmtId="9"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2" fontId="4" fillId="0" borderId="0" applyFont="0" applyFill="0" applyBorder="0" applyAlignment="0" applyProtection="0"/>
    <xf numFmtId="173" fontId="4" fillId="0" borderId="0" applyFont="0" applyFill="0" applyBorder="0" applyAlignment="0" applyProtection="0"/>
    <xf numFmtId="180" fontId="4" fillId="0" borderId="0"/>
    <xf numFmtId="0" fontId="4" fillId="0" borderId="0"/>
    <xf numFmtId="0" fontId="4" fillId="0" borderId="0"/>
    <xf numFmtId="0" fontId="4" fillId="0" borderId="0"/>
    <xf numFmtId="0" fontId="4" fillId="0" borderId="0"/>
    <xf numFmtId="0" fontId="4" fillId="0" borderId="0"/>
    <xf numFmtId="180" fontId="4" fillId="0" borderId="0"/>
    <xf numFmtId="180" fontId="4" fillId="0" borderId="0"/>
    <xf numFmtId="0" fontId="4" fillId="0" borderId="0"/>
    <xf numFmtId="180" fontId="4" fillId="0" borderId="0"/>
    <xf numFmtId="180" fontId="4" fillId="0" borderId="0"/>
    <xf numFmtId="180" fontId="4" fillId="0" borderId="0"/>
    <xf numFmtId="0" fontId="4" fillId="0" borderId="0"/>
    <xf numFmtId="180" fontId="4" fillId="0" borderId="0"/>
    <xf numFmtId="180" fontId="4" fillId="0" borderId="0"/>
    <xf numFmtId="9"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2" fontId="4" fillId="0" borderId="0" applyFont="0" applyFill="0" applyBorder="0" applyAlignment="0" applyProtection="0"/>
    <xf numFmtId="173" fontId="4" fillId="0" borderId="0" applyFont="0" applyFill="0" applyBorder="0" applyAlignment="0" applyProtection="0"/>
    <xf numFmtId="180" fontId="4" fillId="0" borderId="0"/>
    <xf numFmtId="0" fontId="4" fillId="0" borderId="0"/>
    <xf numFmtId="0" fontId="4" fillId="0" borderId="0"/>
    <xf numFmtId="0" fontId="4" fillId="0" borderId="0"/>
    <xf numFmtId="0" fontId="4" fillId="0" borderId="0"/>
    <xf numFmtId="0" fontId="4" fillId="0" borderId="0"/>
    <xf numFmtId="180" fontId="4" fillId="0" borderId="0"/>
    <xf numFmtId="180" fontId="4" fillId="0" borderId="0"/>
    <xf numFmtId="0" fontId="4" fillId="0" borderId="0"/>
    <xf numFmtId="180" fontId="4" fillId="0" borderId="0"/>
    <xf numFmtId="180" fontId="4" fillId="0" borderId="0"/>
    <xf numFmtId="180" fontId="4" fillId="0" borderId="0"/>
    <xf numFmtId="0" fontId="4" fillId="0" borderId="0"/>
    <xf numFmtId="180" fontId="4" fillId="0" borderId="0"/>
    <xf numFmtId="180" fontId="4" fillId="0" borderId="0"/>
    <xf numFmtId="9"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2" fontId="4" fillId="0" borderId="0" applyFont="0" applyFill="0" applyBorder="0" applyAlignment="0" applyProtection="0"/>
    <xf numFmtId="173" fontId="4" fillId="0" borderId="0" applyFont="0" applyFill="0" applyBorder="0" applyAlignment="0" applyProtection="0"/>
    <xf numFmtId="180" fontId="4" fillId="0" borderId="0"/>
    <xf numFmtId="0" fontId="4" fillId="0" borderId="0"/>
    <xf numFmtId="0" fontId="4" fillId="0" borderId="0"/>
    <xf numFmtId="0" fontId="4" fillId="0" borderId="0"/>
    <xf numFmtId="0" fontId="4" fillId="0" borderId="0"/>
    <xf numFmtId="0" fontId="4" fillId="0" borderId="0"/>
    <xf numFmtId="180" fontId="4" fillId="0" borderId="0"/>
    <xf numFmtId="180" fontId="4" fillId="0" borderId="0"/>
    <xf numFmtId="0" fontId="4" fillId="0" borderId="0"/>
    <xf numFmtId="180" fontId="4" fillId="0" borderId="0"/>
    <xf numFmtId="180" fontId="4" fillId="0" borderId="0"/>
    <xf numFmtId="180" fontId="4" fillId="0" borderId="0"/>
    <xf numFmtId="0" fontId="4" fillId="0" borderId="0"/>
    <xf numFmtId="180" fontId="4" fillId="0" borderId="0"/>
    <xf numFmtId="180" fontId="4" fillId="0" borderId="0"/>
    <xf numFmtId="9"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2" fontId="4" fillId="0" borderId="0" applyFont="0" applyFill="0" applyBorder="0" applyAlignment="0" applyProtection="0"/>
    <xf numFmtId="173" fontId="4" fillId="0" borderId="0" applyFont="0" applyFill="0" applyBorder="0" applyAlignment="0" applyProtection="0"/>
    <xf numFmtId="180" fontId="4" fillId="0" borderId="0"/>
    <xf numFmtId="0" fontId="4" fillId="0" borderId="0"/>
    <xf numFmtId="0" fontId="4" fillId="0" borderId="0"/>
    <xf numFmtId="0" fontId="4" fillId="0" borderId="0"/>
    <xf numFmtId="0" fontId="4" fillId="0" borderId="0"/>
    <xf numFmtId="0" fontId="4" fillId="0" borderId="0"/>
    <xf numFmtId="180" fontId="4" fillId="0" borderId="0"/>
    <xf numFmtId="180" fontId="4" fillId="0" borderId="0"/>
    <xf numFmtId="0" fontId="4" fillId="0" borderId="0"/>
    <xf numFmtId="180" fontId="4" fillId="0" borderId="0"/>
    <xf numFmtId="180" fontId="4" fillId="0" borderId="0"/>
    <xf numFmtId="180" fontId="4" fillId="0" borderId="0"/>
    <xf numFmtId="0" fontId="4" fillId="0" borderId="0"/>
    <xf numFmtId="180" fontId="4" fillId="0" borderId="0"/>
    <xf numFmtId="180" fontId="4" fillId="0" borderId="0"/>
    <xf numFmtId="9"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2" fontId="4" fillId="0" borderId="0" applyFont="0" applyFill="0" applyBorder="0" applyAlignment="0" applyProtection="0"/>
    <xf numFmtId="173" fontId="4" fillId="0" borderId="0" applyFont="0" applyFill="0" applyBorder="0" applyAlignment="0" applyProtection="0"/>
    <xf numFmtId="180" fontId="4" fillId="0" borderId="0"/>
    <xf numFmtId="0" fontId="4" fillId="0" borderId="0"/>
    <xf numFmtId="0" fontId="4" fillId="0" borderId="0"/>
    <xf numFmtId="0" fontId="4" fillId="0" borderId="0"/>
    <xf numFmtId="0" fontId="4" fillId="0" borderId="0"/>
    <xf numFmtId="0" fontId="4" fillId="0" borderId="0"/>
    <xf numFmtId="180" fontId="4" fillId="0" borderId="0"/>
    <xf numFmtId="180" fontId="4" fillId="0" borderId="0"/>
    <xf numFmtId="0" fontId="4" fillId="0" borderId="0"/>
    <xf numFmtId="180" fontId="4" fillId="0" borderId="0"/>
    <xf numFmtId="180" fontId="4" fillId="0" borderId="0"/>
    <xf numFmtId="180" fontId="4" fillId="0" borderId="0"/>
    <xf numFmtId="0" fontId="4" fillId="0" borderId="0"/>
    <xf numFmtId="180" fontId="4" fillId="0" borderId="0"/>
    <xf numFmtId="180" fontId="4" fillId="0" borderId="0"/>
    <xf numFmtId="9"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2" fontId="4" fillId="0" borderId="0" applyFont="0" applyFill="0" applyBorder="0" applyAlignment="0" applyProtection="0"/>
    <xf numFmtId="173" fontId="4" fillId="0" borderId="0" applyFont="0" applyFill="0" applyBorder="0" applyAlignment="0" applyProtection="0"/>
    <xf numFmtId="180" fontId="4" fillId="0" borderId="0"/>
    <xf numFmtId="0" fontId="4" fillId="0" borderId="0"/>
    <xf numFmtId="0" fontId="4" fillId="0" borderId="0"/>
    <xf numFmtId="0" fontId="4" fillId="0" borderId="0"/>
    <xf numFmtId="0" fontId="4" fillId="0" borderId="0"/>
    <xf numFmtId="0" fontId="4" fillId="0" borderId="0"/>
    <xf numFmtId="180" fontId="4" fillId="0" borderId="0"/>
    <xf numFmtId="180" fontId="4" fillId="0" borderId="0"/>
    <xf numFmtId="0" fontId="4" fillId="0" borderId="0"/>
    <xf numFmtId="180" fontId="4" fillId="0" borderId="0"/>
    <xf numFmtId="180" fontId="4" fillId="0" borderId="0"/>
    <xf numFmtId="180" fontId="4" fillId="0" borderId="0"/>
    <xf numFmtId="0" fontId="4" fillId="0" borderId="0"/>
    <xf numFmtId="180" fontId="4" fillId="0" borderId="0"/>
    <xf numFmtId="180" fontId="4" fillId="0" borderId="0"/>
    <xf numFmtId="9"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2" fontId="4" fillId="0" borderId="0" applyFont="0" applyFill="0" applyBorder="0" applyAlignment="0" applyProtection="0"/>
    <xf numFmtId="173" fontId="4" fillId="0" borderId="0" applyFont="0" applyFill="0" applyBorder="0" applyAlignment="0" applyProtection="0"/>
    <xf numFmtId="180" fontId="4" fillId="0" borderId="0"/>
    <xf numFmtId="0" fontId="4" fillId="0" borderId="0"/>
    <xf numFmtId="0" fontId="4" fillId="0" borderId="0"/>
    <xf numFmtId="0" fontId="4" fillId="0" borderId="0"/>
    <xf numFmtId="0" fontId="4" fillId="0" borderId="0"/>
    <xf numFmtId="0" fontId="4" fillId="0" borderId="0"/>
    <xf numFmtId="180" fontId="4" fillId="0" borderId="0"/>
    <xf numFmtId="180" fontId="4" fillId="0" borderId="0"/>
    <xf numFmtId="0" fontId="4" fillId="0" borderId="0"/>
    <xf numFmtId="180" fontId="4" fillId="0" borderId="0"/>
    <xf numFmtId="180" fontId="4" fillId="0" borderId="0"/>
    <xf numFmtId="180" fontId="4" fillId="0" borderId="0"/>
    <xf numFmtId="0" fontId="4" fillId="0" borderId="0"/>
    <xf numFmtId="180" fontId="4" fillId="0" borderId="0"/>
    <xf numFmtId="180" fontId="4" fillId="0" borderId="0"/>
    <xf numFmtId="9" fontId="4" fillId="0" borderId="0" applyFont="0" applyFill="0" applyBorder="0" applyAlignment="0" applyProtection="0"/>
    <xf numFmtId="170" fontId="4" fillId="0" borderId="0" applyFont="0" applyFill="0" applyBorder="0" applyAlignment="0" applyProtection="0"/>
    <xf numFmtId="43" fontId="4" fillId="0" borderId="0" applyFont="0" applyFill="0" applyBorder="0" applyAlignment="0" applyProtection="0"/>
    <xf numFmtId="0" fontId="4" fillId="0" borderId="0"/>
    <xf numFmtId="168" fontId="4" fillId="0" borderId="0" applyFont="0" applyFill="0" applyBorder="0" applyAlignment="0" applyProtection="0"/>
    <xf numFmtId="18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80" fontId="4" fillId="0" borderId="0"/>
    <xf numFmtId="180" fontId="4" fillId="0" borderId="0"/>
    <xf numFmtId="0" fontId="4" fillId="0" borderId="0"/>
    <xf numFmtId="180" fontId="4" fillId="0" borderId="0"/>
    <xf numFmtId="180" fontId="4" fillId="0" borderId="0"/>
    <xf numFmtId="180" fontId="4" fillId="0" borderId="0"/>
    <xf numFmtId="0" fontId="4" fillId="0" borderId="0"/>
    <xf numFmtId="180" fontId="4" fillId="0" borderId="0"/>
    <xf numFmtId="180" fontId="4" fillId="0" borderId="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2" fontId="4" fillId="0" borderId="0" applyFont="0" applyFill="0" applyBorder="0" applyAlignment="0" applyProtection="0"/>
    <xf numFmtId="173" fontId="4" fillId="0" borderId="0" applyFont="0" applyFill="0" applyBorder="0" applyAlignment="0" applyProtection="0"/>
    <xf numFmtId="180" fontId="4" fillId="0" borderId="0"/>
    <xf numFmtId="0" fontId="4" fillId="0" borderId="0"/>
    <xf numFmtId="0" fontId="4" fillId="0" borderId="0"/>
    <xf numFmtId="0" fontId="4" fillId="0" borderId="0"/>
    <xf numFmtId="0" fontId="4" fillId="0" borderId="0"/>
    <xf numFmtId="0" fontId="4" fillId="0" borderId="0"/>
    <xf numFmtId="180" fontId="4" fillId="0" borderId="0"/>
    <xf numFmtId="180" fontId="4" fillId="0" borderId="0"/>
    <xf numFmtId="0" fontId="4" fillId="0" borderId="0"/>
    <xf numFmtId="180" fontId="4" fillId="0" borderId="0"/>
    <xf numFmtId="180" fontId="4" fillId="0" borderId="0"/>
    <xf numFmtId="180" fontId="4" fillId="0" borderId="0"/>
    <xf numFmtId="0" fontId="4" fillId="0" borderId="0"/>
    <xf numFmtId="180" fontId="4" fillId="0" borderId="0"/>
    <xf numFmtId="180" fontId="4" fillId="0" borderId="0"/>
    <xf numFmtId="9" fontId="4" fillId="0" borderId="0" applyFont="0" applyFill="0" applyBorder="0" applyAlignment="0" applyProtection="0"/>
    <xf numFmtId="0" fontId="4" fillId="0" borderId="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2" fontId="4" fillId="0" borderId="0" applyFont="0" applyFill="0" applyBorder="0" applyAlignment="0" applyProtection="0"/>
    <xf numFmtId="173" fontId="4" fillId="0" borderId="0" applyFont="0" applyFill="0" applyBorder="0" applyAlignment="0" applyProtection="0"/>
    <xf numFmtId="180" fontId="4" fillId="0" borderId="0"/>
    <xf numFmtId="0" fontId="4" fillId="0" borderId="0"/>
    <xf numFmtId="0" fontId="4" fillId="0" borderId="0"/>
    <xf numFmtId="0" fontId="4" fillId="0" borderId="0"/>
    <xf numFmtId="0" fontId="4" fillId="0" borderId="0"/>
    <xf numFmtId="0" fontId="4" fillId="0" borderId="0"/>
    <xf numFmtId="180" fontId="4" fillId="0" borderId="0"/>
    <xf numFmtId="180" fontId="4" fillId="0" borderId="0"/>
    <xf numFmtId="0" fontId="4" fillId="0" borderId="0"/>
    <xf numFmtId="180" fontId="4" fillId="0" borderId="0"/>
    <xf numFmtId="180" fontId="4" fillId="0" borderId="0"/>
    <xf numFmtId="180" fontId="4" fillId="0" borderId="0"/>
    <xf numFmtId="0" fontId="4" fillId="0" borderId="0"/>
    <xf numFmtId="180" fontId="4" fillId="0" borderId="0"/>
    <xf numFmtId="180" fontId="4" fillId="0" borderId="0"/>
    <xf numFmtId="9"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2" fontId="4" fillId="0" borderId="0" applyFont="0" applyFill="0" applyBorder="0" applyAlignment="0" applyProtection="0"/>
    <xf numFmtId="173" fontId="4" fillId="0" borderId="0" applyFont="0" applyFill="0" applyBorder="0" applyAlignment="0" applyProtection="0"/>
    <xf numFmtId="180" fontId="4" fillId="0" borderId="0"/>
    <xf numFmtId="0" fontId="4" fillId="0" borderId="0"/>
    <xf numFmtId="0" fontId="4" fillId="0" borderId="0"/>
    <xf numFmtId="0" fontId="4" fillId="0" borderId="0"/>
    <xf numFmtId="0" fontId="4" fillId="0" borderId="0"/>
    <xf numFmtId="0" fontId="4" fillId="0" borderId="0"/>
    <xf numFmtId="180" fontId="4" fillId="0" borderId="0"/>
    <xf numFmtId="180" fontId="4" fillId="0" borderId="0"/>
    <xf numFmtId="0" fontId="4" fillId="0" borderId="0"/>
    <xf numFmtId="180" fontId="4" fillId="0" borderId="0"/>
    <xf numFmtId="180" fontId="4" fillId="0" borderId="0"/>
    <xf numFmtId="180" fontId="4" fillId="0" borderId="0"/>
    <xf numFmtId="0" fontId="4" fillId="0" borderId="0"/>
    <xf numFmtId="180" fontId="4" fillId="0" borderId="0"/>
    <xf numFmtId="180" fontId="4" fillId="0" borderId="0"/>
    <xf numFmtId="9"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2" fontId="4" fillId="0" borderId="0" applyFont="0" applyFill="0" applyBorder="0" applyAlignment="0" applyProtection="0"/>
    <xf numFmtId="173" fontId="4" fillId="0" borderId="0" applyFont="0" applyFill="0" applyBorder="0" applyAlignment="0" applyProtection="0"/>
    <xf numFmtId="180" fontId="4" fillId="0" borderId="0"/>
    <xf numFmtId="0" fontId="4" fillId="0" borderId="0"/>
    <xf numFmtId="0" fontId="4" fillId="0" borderId="0"/>
    <xf numFmtId="0" fontId="4" fillId="0" borderId="0"/>
    <xf numFmtId="0" fontId="4" fillId="0" borderId="0"/>
    <xf numFmtId="0" fontId="4" fillId="0" borderId="0"/>
    <xf numFmtId="180" fontId="4" fillId="0" borderId="0"/>
    <xf numFmtId="180" fontId="4" fillId="0" borderId="0"/>
    <xf numFmtId="0" fontId="4" fillId="0" borderId="0"/>
    <xf numFmtId="180" fontId="4" fillId="0" borderId="0"/>
    <xf numFmtId="180" fontId="4" fillId="0" borderId="0"/>
    <xf numFmtId="180" fontId="4" fillId="0" borderId="0"/>
    <xf numFmtId="0" fontId="4" fillId="0" borderId="0"/>
    <xf numFmtId="180" fontId="4" fillId="0" borderId="0"/>
    <xf numFmtId="180" fontId="4" fillId="0" borderId="0"/>
    <xf numFmtId="9"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2" fontId="4" fillId="0" borderId="0" applyFont="0" applyFill="0" applyBorder="0" applyAlignment="0" applyProtection="0"/>
    <xf numFmtId="173" fontId="4" fillId="0" borderId="0" applyFont="0" applyFill="0" applyBorder="0" applyAlignment="0" applyProtection="0"/>
    <xf numFmtId="180" fontId="4" fillId="0" borderId="0"/>
    <xf numFmtId="0" fontId="4" fillId="0" borderId="0"/>
    <xf numFmtId="0" fontId="4" fillId="0" borderId="0"/>
    <xf numFmtId="0" fontId="4" fillId="0" borderId="0"/>
    <xf numFmtId="0" fontId="4" fillId="0" borderId="0"/>
    <xf numFmtId="0" fontId="4" fillId="0" borderId="0"/>
    <xf numFmtId="180" fontId="4" fillId="0" borderId="0"/>
    <xf numFmtId="180" fontId="4" fillId="0" borderId="0"/>
    <xf numFmtId="0" fontId="4" fillId="0" borderId="0"/>
    <xf numFmtId="180" fontId="4" fillId="0" borderId="0"/>
    <xf numFmtId="180" fontId="4" fillId="0" borderId="0"/>
    <xf numFmtId="180" fontId="4" fillId="0" borderId="0"/>
    <xf numFmtId="0" fontId="4" fillId="0" borderId="0"/>
    <xf numFmtId="180" fontId="4" fillId="0" borderId="0"/>
    <xf numFmtId="180" fontId="4" fillId="0" borderId="0"/>
    <xf numFmtId="9"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2" fontId="4" fillId="0" borderId="0" applyFont="0" applyFill="0" applyBorder="0" applyAlignment="0" applyProtection="0"/>
    <xf numFmtId="173" fontId="4" fillId="0" borderId="0" applyFont="0" applyFill="0" applyBorder="0" applyAlignment="0" applyProtection="0"/>
    <xf numFmtId="180" fontId="4" fillId="0" borderId="0"/>
    <xf numFmtId="0" fontId="4" fillId="0" borderId="0"/>
    <xf numFmtId="0" fontId="4" fillId="0" borderId="0"/>
    <xf numFmtId="0" fontId="4" fillId="0" borderId="0"/>
    <xf numFmtId="0" fontId="4" fillId="0" borderId="0"/>
    <xf numFmtId="0" fontId="4" fillId="0" borderId="0"/>
    <xf numFmtId="180" fontId="4" fillId="0" borderId="0"/>
    <xf numFmtId="180" fontId="4" fillId="0" borderId="0"/>
    <xf numFmtId="0" fontId="4" fillId="0" borderId="0"/>
    <xf numFmtId="180" fontId="4" fillId="0" borderId="0"/>
    <xf numFmtId="180" fontId="4" fillId="0" borderId="0"/>
    <xf numFmtId="180" fontId="4" fillId="0" borderId="0"/>
    <xf numFmtId="0" fontId="4" fillId="0" borderId="0"/>
    <xf numFmtId="180" fontId="4" fillId="0" borderId="0"/>
    <xf numFmtId="180" fontId="4" fillId="0" borderId="0"/>
    <xf numFmtId="9"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2" fontId="4" fillId="0" borderId="0" applyFont="0" applyFill="0" applyBorder="0" applyAlignment="0" applyProtection="0"/>
    <xf numFmtId="173" fontId="4" fillId="0" borderId="0" applyFont="0" applyFill="0" applyBorder="0" applyAlignment="0" applyProtection="0"/>
    <xf numFmtId="180" fontId="4" fillId="0" borderId="0"/>
    <xf numFmtId="0" fontId="4" fillId="0" borderId="0"/>
    <xf numFmtId="0" fontId="4" fillId="0" borderId="0"/>
    <xf numFmtId="0" fontId="4" fillId="0" borderId="0"/>
    <xf numFmtId="0" fontId="4" fillId="0" borderId="0"/>
    <xf numFmtId="0" fontId="4" fillId="0" borderId="0"/>
    <xf numFmtId="180" fontId="4" fillId="0" borderId="0"/>
    <xf numFmtId="180" fontId="4" fillId="0" borderId="0"/>
    <xf numFmtId="0" fontId="4" fillId="0" borderId="0"/>
    <xf numFmtId="180" fontId="4" fillId="0" borderId="0"/>
    <xf numFmtId="180" fontId="4" fillId="0" borderId="0"/>
    <xf numFmtId="180" fontId="4" fillId="0" borderId="0"/>
    <xf numFmtId="0" fontId="4" fillId="0" borderId="0"/>
    <xf numFmtId="180" fontId="4" fillId="0" borderId="0"/>
    <xf numFmtId="180" fontId="4" fillId="0" borderId="0"/>
    <xf numFmtId="9"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2" fontId="4" fillId="0" borderId="0" applyFont="0" applyFill="0" applyBorder="0" applyAlignment="0" applyProtection="0"/>
    <xf numFmtId="173" fontId="4" fillId="0" borderId="0" applyFont="0" applyFill="0" applyBorder="0" applyAlignment="0" applyProtection="0"/>
    <xf numFmtId="180" fontId="4" fillId="0" borderId="0"/>
    <xf numFmtId="0" fontId="4" fillId="0" borderId="0"/>
    <xf numFmtId="0" fontId="4" fillId="0" borderId="0"/>
    <xf numFmtId="0" fontId="4" fillId="0" borderId="0"/>
    <xf numFmtId="0" fontId="4" fillId="0" borderId="0"/>
    <xf numFmtId="0" fontId="4" fillId="0" borderId="0"/>
    <xf numFmtId="180" fontId="4" fillId="0" borderId="0"/>
    <xf numFmtId="180" fontId="4" fillId="0" borderId="0"/>
    <xf numFmtId="0" fontId="4" fillId="0" borderId="0"/>
    <xf numFmtId="180" fontId="4" fillId="0" borderId="0"/>
    <xf numFmtId="180" fontId="4" fillId="0" borderId="0"/>
    <xf numFmtId="180" fontId="4" fillId="0" borderId="0"/>
    <xf numFmtId="0" fontId="4" fillId="0" borderId="0"/>
    <xf numFmtId="180" fontId="4" fillId="0" borderId="0"/>
    <xf numFmtId="180" fontId="4" fillId="0" borderId="0"/>
    <xf numFmtId="9" fontId="4" fillId="0" borderId="0" applyFont="0" applyFill="0" applyBorder="0" applyAlignment="0" applyProtection="0"/>
    <xf numFmtId="18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80" fontId="4" fillId="0" borderId="0"/>
    <xf numFmtId="180" fontId="4" fillId="0" borderId="0"/>
    <xf numFmtId="0" fontId="4" fillId="0" borderId="0"/>
    <xf numFmtId="180" fontId="4" fillId="0" borderId="0"/>
    <xf numFmtId="180" fontId="4" fillId="0" borderId="0"/>
    <xf numFmtId="180" fontId="4" fillId="0" borderId="0"/>
    <xf numFmtId="0" fontId="4" fillId="0" borderId="0"/>
    <xf numFmtId="180" fontId="4" fillId="0" borderId="0"/>
    <xf numFmtId="180" fontId="4" fillId="0" borderId="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2" fontId="4" fillId="0" borderId="0" applyFont="0" applyFill="0" applyBorder="0" applyAlignment="0" applyProtection="0"/>
    <xf numFmtId="173" fontId="4" fillId="0" borderId="0" applyFont="0" applyFill="0" applyBorder="0" applyAlignment="0" applyProtection="0"/>
    <xf numFmtId="180" fontId="4" fillId="0" borderId="0"/>
    <xf numFmtId="0" fontId="4" fillId="0" borderId="0"/>
    <xf numFmtId="0" fontId="4" fillId="0" borderId="0"/>
    <xf numFmtId="0" fontId="4" fillId="0" borderId="0"/>
    <xf numFmtId="0" fontId="4" fillId="0" borderId="0"/>
    <xf numFmtId="0" fontId="4" fillId="0" borderId="0"/>
    <xf numFmtId="180" fontId="4" fillId="0" borderId="0"/>
    <xf numFmtId="180" fontId="4" fillId="0" borderId="0"/>
    <xf numFmtId="0" fontId="4" fillId="0" borderId="0"/>
    <xf numFmtId="180" fontId="4" fillId="0" borderId="0"/>
    <xf numFmtId="180" fontId="4" fillId="0" borderId="0"/>
    <xf numFmtId="180" fontId="4" fillId="0" borderId="0"/>
    <xf numFmtId="0" fontId="4" fillId="0" borderId="0"/>
    <xf numFmtId="180" fontId="4" fillId="0" borderId="0"/>
    <xf numFmtId="180" fontId="4" fillId="0" borderId="0"/>
    <xf numFmtId="9" fontId="4" fillId="0" borderId="0" applyFont="0" applyFill="0" applyBorder="0" applyAlignment="0" applyProtection="0"/>
    <xf numFmtId="0" fontId="4" fillId="0" borderId="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2" fontId="4" fillId="0" borderId="0" applyFont="0" applyFill="0" applyBorder="0" applyAlignment="0" applyProtection="0"/>
    <xf numFmtId="173" fontId="4" fillId="0" borderId="0" applyFont="0" applyFill="0" applyBorder="0" applyAlignment="0" applyProtection="0"/>
    <xf numFmtId="180" fontId="4" fillId="0" borderId="0"/>
    <xf numFmtId="0" fontId="4" fillId="0" borderId="0"/>
    <xf numFmtId="0" fontId="4" fillId="0" borderId="0"/>
    <xf numFmtId="0" fontId="4" fillId="0" borderId="0"/>
    <xf numFmtId="0" fontId="4" fillId="0" borderId="0"/>
    <xf numFmtId="0" fontId="4" fillId="0" borderId="0"/>
    <xf numFmtId="180" fontId="4" fillId="0" borderId="0"/>
    <xf numFmtId="180" fontId="4" fillId="0" borderId="0"/>
    <xf numFmtId="0" fontId="4" fillId="0" borderId="0"/>
    <xf numFmtId="180" fontId="4" fillId="0" borderId="0"/>
    <xf numFmtId="180" fontId="4" fillId="0" borderId="0"/>
    <xf numFmtId="180" fontId="4" fillId="0" borderId="0"/>
    <xf numFmtId="0" fontId="4" fillId="0" borderId="0"/>
    <xf numFmtId="180" fontId="4" fillId="0" borderId="0"/>
    <xf numFmtId="180" fontId="4" fillId="0" borderId="0"/>
    <xf numFmtId="9"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2" fontId="4" fillId="0" borderId="0" applyFont="0" applyFill="0" applyBorder="0" applyAlignment="0" applyProtection="0"/>
    <xf numFmtId="173" fontId="4" fillId="0" borderId="0" applyFont="0" applyFill="0" applyBorder="0" applyAlignment="0" applyProtection="0"/>
    <xf numFmtId="180" fontId="4" fillId="0" borderId="0"/>
    <xf numFmtId="0" fontId="4" fillId="0" borderId="0"/>
    <xf numFmtId="0" fontId="4" fillId="0" borderId="0"/>
    <xf numFmtId="0" fontId="4" fillId="0" borderId="0"/>
    <xf numFmtId="0" fontId="4" fillId="0" borderId="0"/>
    <xf numFmtId="0" fontId="4" fillId="0" borderId="0"/>
    <xf numFmtId="180" fontId="4" fillId="0" borderId="0"/>
    <xf numFmtId="180" fontId="4" fillId="0" borderId="0"/>
    <xf numFmtId="0" fontId="4" fillId="0" borderId="0"/>
    <xf numFmtId="180" fontId="4" fillId="0" borderId="0"/>
    <xf numFmtId="180" fontId="4" fillId="0" borderId="0"/>
    <xf numFmtId="180" fontId="4" fillId="0" borderId="0"/>
    <xf numFmtId="0" fontId="4" fillId="0" borderId="0"/>
    <xf numFmtId="180" fontId="4" fillId="0" borderId="0"/>
    <xf numFmtId="180" fontId="4" fillId="0" borderId="0"/>
    <xf numFmtId="9"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2" fontId="4" fillId="0" borderId="0" applyFont="0" applyFill="0" applyBorder="0" applyAlignment="0" applyProtection="0"/>
    <xf numFmtId="173" fontId="4" fillId="0" borderId="0" applyFont="0" applyFill="0" applyBorder="0" applyAlignment="0" applyProtection="0"/>
    <xf numFmtId="180" fontId="4" fillId="0" borderId="0"/>
    <xf numFmtId="0" fontId="4" fillId="0" borderId="0"/>
    <xf numFmtId="0" fontId="4" fillId="0" borderId="0"/>
    <xf numFmtId="0" fontId="4" fillId="0" borderId="0"/>
    <xf numFmtId="0" fontId="4" fillId="0" borderId="0"/>
    <xf numFmtId="0" fontId="4" fillId="0" borderId="0"/>
    <xf numFmtId="180" fontId="4" fillId="0" borderId="0"/>
    <xf numFmtId="180" fontId="4" fillId="0" borderId="0"/>
    <xf numFmtId="0" fontId="4" fillId="0" borderId="0"/>
    <xf numFmtId="180" fontId="4" fillId="0" borderId="0"/>
    <xf numFmtId="180" fontId="4" fillId="0" borderId="0"/>
    <xf numFmtId="180" fontId="4" fillId="0" borderId="0"/>
    <xf numFmtId="0" fontId="4" fillId="0" borderId="0"/>
    <xf numFmtId="180" fontId="4" fillId="0" borderId="0"/>
    <xf numFmtId="180" fontId="4" fillId="0" borderId="0"/>
    <xf numFmtId="9"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2" fontId="4" fillId="0" borderId="0" applyFont="0" applyFill="0" applyBorder="0" applyAlignment="0" applyProtection="0"/>
    <xf numFmtId="173" fontId="4" fillId="0" borderId="0" applyFont="0" applyFill="0" applyBorder="0" applyAlignment="0" applyProtection="0"/>
    <xf numFmtId="180" fontId="4" fillId="0" borderId="0"/>
    <xf numFmtId="0" fontId="4" fillId="0" borderId="0"/>
    <xf numFmtId="0" fontId="4" fillId="0" borderId="0"/>
    <xf numFmtId="0" fontId="4" fillId="0" borderId="0"/>
    <xf numFmtId="0" fontId="4" fillId="0" borderId="0"/>
    <xf numFmtId="0" fontId="4" fillId="0" borderId="0"/>
    <xf numFmtId="180" fontId="4" fillId="0" borderId="0"/>
    <xf numFmtId="180" fontId="4" fillId="0" borderId="0"/>
    <xf numFmtId="0" fontId="4" fillId="0" borderId="0"/>
    <xf numFmtId="180" fontId="4" fillId="0" borderId="0"/>
    <xf numFmtId="180" fontId="4" fillId="0" borderId="0"/>
    <xf numFmtId="180" fontId="4" fillId="0" borderId="0"/>
    <xf numFmtId="0" fontId="4" fillId="0" borderId="0"/>
    <xf numFmtId="180" fontId="4" fillId="0" borderId="0"/>
    <xf numFmtId="180" fontId="4" fillId="0" borderId="0"/>
    <xf numFmtId="9"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2" fontId="4" fillId="0" borderId="0" applyFont="0" applyFill="0" applyBorder="0" applyAlignment="0" applyProtection="0"/>
    <xf numFmtId="173" fontId="4" fillId="0" borderId="0" applyFont="0" applyFill="0" applyBorder="0" applyAlignment="0" applyProtection="0"/>
    <xf numFmtId="180" fontId="4" fillId="0" borderId="0"/>
    <xf numFmtId="0" fontId="4" fillId="0" borderId="0"/>
    <xf numFmtId="0" fontId="4" fillId="0" borderId="0"/>
    <xf numFmtId="0" fontId="4" fillId="0" borderId="0"/>
    <xf numFmtId="0" fontId="4" fillId="0" borderId="0"/>
    <xf numFmtId="0" fontId="4" fillId="0" borderId="0"/>
    <xf numFmtId="180" fontId="4" fillId="0" borderId="0"/>
    <xf numFmtId="180" fontId="4" fillId="0" borderId="0"/>
    <xf numFmtId="0" fontId="4" fillId="0" borderId="0"/>
    <xf numFmtId="180" fontId="4" fillId="0" borderId="0"/>
    <xf numFmtId="180" fontId="4" fillId="0" borderId="0"/>
    <xf numFmtId="180" fontId="4" fillId="0" borderId="0"/>
    <xf numFmtId="0" fontId="4" fillId="0" borderId="0"/>
    <xf numFmtId="180" fontId="4" fillId="0" borderId="0"/>
    <xf numFmtId="180" fontId="4" fillId="0" borderId="0"/>
    <xf numFmtId="9"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2" fontId="4" fillId="0" borderId="0" applyFont="0" applyFill="0" applyBorder="0" applyAlignment="0" applyProtection="0"/>
    <xf numFmtId="173" fontId="4" fillId="0" borderId="0" applyFont="0" applyFill="0" applyBorder="0" applyAlignment="0" applyProtection="0"/>
    <xf numFmtId="180" fontId="4" fillId="0" borderId="0"/>
    <xf numFmtId="0" fontId="4" fillId="0" borderId="0"/>
    <xf numFmtId="0" fontId="4" fillId="0" borderId="0"/>
    <xf numFmtId="0" fontId="4" fillId="0" borderId="0"/>
    <xf numFmtId="0" fontId="4" fillId="0" borderId="0"/>
    <xf numFmtId="0" fontId="4" fillId="0" borderId="0"/>
    <xf numFmtId="180" fontId="4" fillId="0" borderId="0"/>
    <xf numFmtId="180" fontId="4" fillId="0" borderId="0"/>
    <xf numFmtId="0" fontId="4" fillId="0" borderId="0"/>
    <xf numFmtId="180" fontId="4" fillId="0" borderId="0"/>
    <xf numFmtId="180" fontId="4" fillId="0" borderId="0"/>
    <xf numFmtId="180" fontId="4" fillId="0" borderId="0"/>
    <xf numFmtId="0" fontId="4" fillId="0" borderId="0"/>
    <xf numFmtId="180" fontId="4" fillId="0" borderId="0"/>
    <xf numFmtId="180" fontId="4" fillId="0" borderId="0"/>
    <xf numFmtId="9"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2" fontId="4" fillId="0" borderId="0" applyFont="0" applyFill="0" applyBorder="0" applyAlignment="0" applyProtection="0"/>
    <xf numFmtId="173" fontId="4" fillId="0" borderId="0" applyFont="0" applyFill="0" applyBorder="0" applyAlignment="0" applyProtection="0"/>
    <xf numFmtId="180" fontId="4" fillId="0" borderId="0"/>
    <xf numFmtId="0" fontId="4" fillId="0" borderId="0"/>
    <xf numFmtId="0" fontId="4" fillId="0" borderId="0"/>
    <xf numFmtId="0" fontId="4" fillId="0" borderId="0"/>
    <xf numFmtId="0" fontId="4" fillId="0" borderId="0"/>
    <xf numFmtId="0" fontId="4" fillId="0" borderId="0"/>
    <xf numFmtId="180" fontId="4" fillId="0" borderId="0"/>
    <xf numFmtId="180" fontId="4" fillId="0" borderId="0"/>
    <xf numFmtId="0" fontId="4" fillId="0" borderId="0"/>
    <xf numFmtId="180" fontId="4" fillId="0" borderId="0"/>
    <xf numFmtId="180" fontId="4" fillId="0" borderId="0"/>
    <xf numFmtId="180" fontId="4" fillId="0" borderId="0"/>
    <xf numFmtId="0" fontId="4" fillId="0" borderId="0"/>
    <xf numFmtId="180" fontId="4" fillId="0" borderId="0"/>
    <xf numFmtId="180" fontId="4" fillId="0" borderId="0"/>
    <xf numFmtId="9"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2" fontId="4" fillId="0" borderId="0" applyFont="0" applyFill="0" applyBorder="0" applyAlignment="0" applyProtection="0"/>
    <xf numFmtId="173" fontId="4" fillId="0" borderId="0" applyFont="0" applyFill="0" applyBorder="0" applyAlignment="0" applyProtection="0"/>
    <xf numFmtId="180" fontId="4" fillId="0" borderId="0"/>
    <xf numFmtId="0" fontId="4" fillId="0" borderId="0"/>
    <xf numFmtId="0" fontId="4" fillId="0" borderId="0"/>
    <xf numFmtId="0" fontId="4" fillId="0" borderId="0"/>
    <xf numFmtId="0" fontId="4" fillId="0" borderId="0"/>
    <xf numFmtId="0" fontId="4" fillId="0" borderId="0"/>
    <xf numFmtId="180" fontId="4" fillId="0" borderId="0"/>
    <xf numFmtId="180" fontId="4" fillId="0" borderId="0"/>
    <xf numFmtId="0" fontId="4" fillId="0" borderId="0"/>
    <xf numFmtId="180" fontId="4" fillId="0" borderId="0"/>
    <xf numFmtId="180" fontId="4" fillId="0" borderId="0"/>
    <xf numFmtId="180" fontId="4" fillId="0" borderId="0"/>
    <xf numFmtId="0" fontId="4" fillId="0" borderId="0"/>
    <xf numFmtId="180" fontId="4" fillId="0" borderId="0"/>
    <xf numFmtId="180" fontId="4" fillId="0" borderId="0"/>
    <xf numFmtId="9" fontId="4" fillId="0" borderId="0" applyFont="0" applyFill="0" applyBorder="0" applyAlignment="0" applyProtection="0"/>
    <xf numFmtId="0" fontId="4" fillId="0" borderId="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2" fontId="4" fillId="0" borderId="0" applyFont="0" applyFill="0" applyBorder="0" applyAlignment="0" applyProtection="0"/>
    <xf numFmtId="173" fontId="4" fillId="0" borderId="0" applyFont="0" applyFill="0" applyBorder="0" applyAlignment="0" applyProtection="0"/>
    <xf numFmtId="180" fontId="4" fillId="0" borderId="0"/>
    <xf numFmtId="0" fontId="4" fillId="0" borderId="0"/>
    <xf numFmtId="0" fontId="4" fillId="0" borderId="0"/>
    <xf numFmtId="0" fontId="4" fillId="0" borderId="0"/>
    <xf numFmtId="0" fontId="4" fillId="0" borderId="0"/>
    <xf numFmtId="0" fontId="4" fillId="0" borderId="0"/>
    <xf numFmtId="180" fontId="4" fillId="0" borderId="0"/>
    <xf numFmtId="180" fontId="4" fillId="0" borderId="0"/>
    <xf numFmtId="0" fontId="4" fillId="0" borderId="0"/>
    <xf numFmtId="180" fontId="4" fillId="0" borderId="0"/>
    <xf numFmtId="180" fontId="4" fillId="0" borderId="0"/>
    <xf numFmtId="180" fontId="4" fillId="0" borderId="0"/>
    <xf numFmtId="0" fontId="4" fillId="0" borderId="0"/>
    <xf numFmtId="180" fontId="4" fillId="0" borderId="0"/>
    <xf numFmtId="180" fontId="4" fillId="0" borderId="0"/>
    <xf numFmtId="9"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2" fontId="4" fillId="0" borderId="0" applyFont="0" applyFill="0" applyBorder="0" applyAlignment="0" applyProtection="0"/>
    <xf numFmtId="173" fontId="4" fillId="0" borderId="0" applyFont="0" applyFill="0" applyBorder="0" applyAlignment="0" applyProtection="0"/>
    <xf numFmtId="180" fontId="4" fillId="0" borderId="0"/>
    <xf numFmtId="0" fontId="4" fillId="0" borderId="0"/>
    <xf numFmtId="0" fontId="4" fillId="0" borderId="0"/>
    <xf numFmtId="0" fontId="4" fillId="0" borderId="0"/>
    <xf numFmtId="0" fontId="4" fillId="0" borderId="0"/>
    <xf numFmtId="0" fontId="4" fillId="0" borderId="0"/>
    <xf numFmtId="180" fontId="4" fillId="0" borderId="0"/>
    <xf numFmtId="180" fontId="4" fillId="0" borderId="0"/>
    <xf numFmtId="0" fontId="4" fillId="0" borderId="0"/>
    <xf numFmtId="180" fontId="4" fillId="0" borderId="0"/>
    <xf numFmtId="180" fontId="4" fillId="0" borderId="0"/>
    <xf numFmtId="180" fontId="4" fillId="0" borderId="0"/>
    <xf numFmtId="0" fontId="4" fillId="0" borderId="0"/>
    <xf numFmtId="180" fontId="4" fillId="0" borderId="0"/>
    <xf numFmtId="180" fontId="4" fillId="0" borderId="0"/>
    <xf numFmtId="9"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2" fontId="4" fillId="0" borderId="0" applyFont="0" applyFill="0" applyBorder="0" applyAlignment="0" applyProtection="0"/>
    <xf numFmtId="173" fontId="4" fillId="0" borderId="0" applyFont="0" applyFill="0" applyBorder="0" applyAlignment="0" applyProtection="0"/>
    <xf numFmtId="180" fontId="4" fillId="0" borderId="0"/>
    <xf numFmtId="0" fontId="4" fillId="0" borderId="0"/>
    <xf numFmtId="0" fontId="4" fillId="0" borderId="0"/>
    <xf numFmtId="0" fontId="4" fillId="0" borderId="0"/>
    <xf numFmtId="0" fontId="4" fillId="0" borderId="0"/>
    <xf numFmtId="0" fontId="4" fillId="0" borderId="0"/>
    <xf numFmtId="180" fontId="4" fillId="0" borderId="0"/>
    <xf numFmtId="180" fontId="4" fillId="0" borderId="0"/>
    <xf numFmtId="0" fontId="4" fillId="0" borderId="0"/>
    <xf numFmtId="180" fontId="4" fillId="0" borderId="0"/>
    <xf numFmtId="180" fontId="4" fillId="0" borderId="0"/>
    <xf numFmtId="180" fontId="4" fillId="0" borderId="0"/>
    <xf numFmtId="0" fontId="4" fillId="0" borderId="0"/>
    <xf numFmtId="180" fontId="4" fillId="0" borderId="0"/>
    <xf numFmtId="180" fontId="4" fillId="0" borderId="0"/>
    <xf numFmtId="9"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2" fontId="4" fillId="0" borderId="0" applyFont="0" applyFill="0" applyBorder="0" applyAlignment="0" applyProtection="0"/>
    <xf numFmtId="173" fontId="4" fillId="0" borderId="0" applyFont="0" applyFill="0" applyBorder="0" applyAlignment="0" applyProtection="0"/>
    <xf numFmtId="180" fontId="4" fillId="0" borderId="0"/>
    <xf numFmtId="0" fontId="4" fillId="0" borderId="0"/>
    <xf numFmtId="0" fontId="4" fillId="0" borderId="0"/>
    <xf numFmtId="0" fontId="4" fillId="0" borderId="0"/>
    <xf numFmtId="0" fontId="4" fillId="0" borderId="0"/>
    <xf numFmtId="0" fontId="4" fillId="0" borderId="0"/>
    <xf numFmtId="180" fontId="4" fillId="0" borderId="0"/>
    <xf numFmtId="180" fontId="4" fillId="0" borderId="0"/>
    <xf numFmtId="0" fontId="4" fillId="0" borderId="0"/>
    <xf numFmtId="180" fontId="4" fillId="0" borderId="0"/>
    <xf numFmtId="180" fontId="4" fillId="0" borderId="0"/>
    <xf numFmtId="180" fontId="4" fillId="0" borderId="0"/>
    <xf numFmtId="0" fontId="4" fillId="0" borderId="0"/>
    <xf numFmtId="180" fontId="4" fillId="0" borderId="0"/>
    <xf numFmtId="180" fontId="4" fillId="0" borderId="0"/>
    <xf numFmtId="9"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2" fontId="4" fillId="0" borderId="0" applyFont="0" applyFill="0" applyBorder="0" applyAlignment="0" applyProtection="0"/>
    <xf numFmtId="173" fontId="4" fillId="0" borderId="0" applyFont="0" applyFill="0" applyBorder="0" applyAlignment="0" applyProtection="0"/>
    <xf numFmtId="180" fontId="4" fillId="0" borderId="0"/>
    <xf numFmtId="0" fontId="4" fillId="0" borderId="0"/>
    <xf numFmtId="0" fontId="4" fillId="0" borderId="0"/>
    <xf numFmtId="0" fontId="4" fillId="0" borderId="0"/>
    <xf numFmtId="0" fontId="4" fillId="0" borderId="0"/>
    <xf numFmtId="0" fontId="4" fillId="0" borderId="0"/>
    <xf numFmtId="180" fontId="4" fillId="0" borderId="0"/>
    <xf numFmtId="180" fontId="4" fillId="0" borderId="0"/>
    <xf numFmtId="0" fontId="4" fillId="0" borderId="0"/>
    <xf numFmtId="180" fontId="4" fillId="0" borderId="0"/>
    <xf numFmtId="180" fontId="4" fillId="0" borderId="0"/>
    <xf numFmtId="180" fontId="4" fillId="0" borderId="0"/>
    <xf numFmtId="0" fontId="4" fillId="0" borderId="0"/>
    <xf numFmtId="180" fontId="4" fillId="0" borderId="0"/>
    <xf numFmtId="180" fontId="4" fillId="0" borderId="0"/>
    <xf numFmtId="9"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2" fontId="4" fillId="0" borderId="0" applyFont="0" applyFill="0" applyBorder="0" applyAlignment="0" applyProtection="0"/>
    <xf numFmtId="173" fontId="4" fillId="0" borderId="0" applyFont="0" applyFill="0" applyBorder="0" applyAlignment="0" applyProtection="0"/>
    <xf numFmtId="180" fontId="4" fillId="0" borderId="0"/>
    <xf numFmtId="0" fontId="4" fillId="0" borderId="0"/>
    <xf numFmtId="0" fontId="4" fillId="0" borderId="0"/>
    <xf numFmtId="0" fontId="4" fillId="0" borderId="0"/>
    <xf numFmtId="0" fontId="4" fillId="0" borderId="0"/>
    <xf numFmtId="0" fontId="4" fillId="0" borderId="0"/>
    <xf numFmtId="180" fontId="4" fillId="0" borderId="0"/>
    <xf numFmtId="180" fontId="4" fillId="0" borderId="0"/>
    <xf numFmtId="0" fontId="4" fillId="0" borderId="0"/>
    <xf numFmtId="180" fontId="4" fillId="0" borderId="0"/>
    <xf numFmtId="180" fontId="4" fillId="0" borderId="0"/>
    <xf numFmtId="180" fontId="4" fillId="0" borderId="0"/>
    <xf numFmtId="0" fontId="4" fillId="0" borderId="0"/>
    <xf numFmtId="180" fontId="4" fillId="0" borderId="0"/>
    <xf numFmtId="180" fontId="4" fillId="0" borderId="0"/>
    <xf numFmtId="9"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2" fontId="4" fillId="0" borderId="0" applyFont="0" applyFill="0" applyBorder="0" applyAlignment="0" applyProtection="0"/>
    <xf numFmtId="173" fontId="4" fillId="0" borderId="0" applyFont="0" applyFill="0" applyBorder="0" applyAlignment="0" applyProtection="0"/>
    <xf numFmtId="180" fontId="4" fillId="0" borderId="0"/>
    <xf numFmtId="0" fontId="4" fillId="0" borderId="0"/>
    <xf numFmtId="0" fontId="4" fillId="0" borderId="0"/>
    <xf numFmtId="0" fontId="4" fillId="0" borderId="0"/>
    <xf numFmtId="0" fontId="4" fillId="0" borderId="0"/>
    <xf numFmtId="0" fontId="4" fillId="0" borderId="0"/>
    <xf numFmtId="180" fontId="4" fillId="0" borderId="0"/>
    <xf numFmtId="180" fontId="4" fillId="0" borderId="0"/>
    <xf numFmtId="0" fontId="4" fillId="0" borderId="0"/>
    <xf numFmtId="180" fontId="4" fillId="0" borderId="0"/>
    <xf numFmtId="180" fontId="4" fillId="0" borderId="0"/>
    <xf numFmtId="180" fontId="4" fillId="0" borderId="0"/>
    <xf numFmtId="0" fontId="4" fillId="0" borderId="0"/>
    <xf numFmtId="180" fontId="4" fillId="0" borderId="0"/>
    <xf numFmtId="180" fontId="4" fillId="0" borderId="0"/>
    <xf numFmtId="9"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2" fontId="4" fillId="0" borderId="0" applyFont="0" applyFill="0" applyBorder="0" applyAlignment="0" applyProtection="0"/>
    <xf numFmtId="173" fontId="4" fillId="0" borderId="0" applyFont="0" applyFill="0" applyBorder="0" applyAlignment="0" applyProtection="0"/>
    <xf numFmtId="180" fontId="4" fillId="0" borderId="0"/>
    <xf numFmtId="0" fontId="4" fillId="0" borderId="0"/>
    <xf numFmtId="0" fontId="4" fillId="0" borderId="0"/>
    <xf numFmtId="0" fontId="4" fillId="0" borderId="0"/>
    <xf numFmtId="0" fontId="4" fillId="0" borderId="0"/>
    <xf numFmtId="0" fontId="4" fillId="0" borderId="0"/>
    <xf numFmtId="180" fontId="4" fillId="0" borderId="0"/>
    <xf numFmtId="180" fontId="4" fillId="0" borderId="0"/>
    <xf numFmtId="0" fontId="4" fillId="0" borderId="0"/>
    <xf numFmtId="180" fontId="4" fillId="0" borderId="0"/>
    <xf numFmtId="180" fontId="4" fillId="0" borderId="0"/>
    <xf numFmtId="180" fontId="4" fillId="0" borderId="0"/>
    <xf numFmtId="0" fontId="4" fillId="0" borderId="0"/>
    <xf numFmtId="180" fontId="4" fillId="0" borderId="0"/>
    <xf numFmtId="180" fontId="4" fillId="0" borderId="0"/>
    <xf numFmtId="9" fontId="4" fillId="0" borderId="0" applyFont="0" applyFill="0" applyBorder="0" applyAlignment="0" applyProtection="0"/>
    <xf numFmtId="170" fontId="4" fillId="0" borderId="0" applyFont="0" applyFill="0" applyBorder="0" applyAlignment="0" applyProtection="0"/>
    <xf numFmtId="43" fontId="4" fillId="0" borderId="0" applyFont="0" applyFill="0" applyBorder="0" applyAlignment="0" applyProtection="0"/>
    <xf numFmtId="0" fontId="4" fillId="0" borderId="0"/>
    <xf numFmtId="168" fontId="4" fillId="0" borderId="0" applyFont="0" applyFill="0" applyBorder="0" applyAlignment="0" applyProtection="0"/>
    <xf numFmtId="0" fontId="4" fillId="0" borderId="0"/>
    <xf numFmtId="180" fontId="4" fillId="0" borderId="0"/>
    <xf numFmtId="0" fontId="4" fillId="0" borderId="0"/>
    <xf numFmtId="0" fontId="4" fillId="0" borderId="0"/>
    <xf numFmtId="0" fontId="4" fillId="0" borderId="0"/>
    <xf numFmtId="0" fontId="4" fillId="0" borderId="0"/>
    <xf numFmtId="0" fontId="4" fillId="0" borderId="0"/>
    <xf numFmtId="180" fontId="4" fillId="0" borderId="0"/>
    <xf numFmtId="180" fontId="4" fillId="0" borderId="0"/>
    <xf numFmtId="180" fontId="4" fillId="0" borderId="0"/>
    <xf numFmtId="180" fontId="4" fillId="0" borderId="0"/>
    <xf numFmtId="180" fontId="4" fillId="0" borderId="0"/>
    <xf numFmtId="0" fontId="4" fillId="0" borderId="0"/>
    <xf numFmtId="180" fontId="4" fillId="0" borderId="0"/>
    <xf numFmtId="180" fontId="4" fillId="0" borderId="0"/>
    <xf numFmtId="168" fontId="4" fillId="0" borderId="0" applyFont="0" applyFill="0" applyBorder="0" applyAlignment="0" applyProtection="0"/>
    <xf numFmtId="180" fontId="4" fillId="0" borderId="0"/>
    <xf numFmtId="0" fontId="4" fillId="0" borderId="0"/>
    <xf numFmtId="0" fontId="4" fillId="0" borderId="0"/>
    <xf numFmtId="0" fontId="4" fillId="0" borderId="0"/>
    <xf numFmtId="0" fontId="4" fillId="0" borderId="0"/>
    <xf numFmtId="0" fontId="4" fillId="0" borderId="0"/>
    <xf numFmtId="180" fontId="4" fillId="0" borderId="0"/>
    <xf numFmtId="180" fontId="4" fillId="0" borderId="0"/>
    <xf numFmtId="0" fontId="4" fillId="0" borderId="0"/>
    <xf numFmtId="180" fontId="4" fillId="0" borderId="0"/>
    <xf numFmtId="180" fontId="4" fillId="0" borderId="0"/>
    <xf numFmtId="180" fontId="4" fillId="0" borderId="0"/>
    <xf numFmtId="0" fontId="4" fillId="0" borderId="0"/>
    <xf numFmtId="180" fontId="4" fillId="0" borderId="0"/>
    <xf numFmtId="180" fontId="4" fillId="0" borderId="0"/>
    <xf numFmtId="0" fontId="4" fillId="0" borderId="0"/>
    <xf numFmtId="180" fontId="4" fillId="0" borderId="0"/>
    <xf numFmtId="0" fontId="4" fillId="0" borderId="0"/>
    <xf numFmtId="0" fontId="4" fillId="0" borderId="0"/>
    <xf numFmtId="0" fontId="4" fillId="0" borderId="0"/>
    <xf numFmtId="0" fontId="4" fillId="0" borderId="0"/>
    <xf numFmtId="0" fontId="4" fillId="0" borderId="0"/>
    <xf numFmtId="180" fontId="4" fillId="0" borderId="0"/>
    <xf numFmtId="180" fontId="4" fillId="0" borderId="0"/>
    <xf numFmtId="180" fontId="4" fillId="0" borderId="0"/>
    <xf numFmtId="180" fontId="4" fillId="0" borderId="0"/>
    <xf numFmtId="180" fontId="4" fillId="0" borderId="0"/>
    <xf numFmtId="0" fontId="4" fillId="0" borderId="0"/>
    <xf numFmtId="180" fontId="4" fillId="0" borderId="0"/>
    <xf numFmtId="180" fontId="4" fillId="0" borderId="0"/>
    <xf numFmtId="168" fontId="4" fillId="0" borderId="0" applyFont="0" applyFill="0" applyBorder="0" applyAlignment="0" applyProtection="0"/>
    <xf numFmtId="18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80" fontId="4" fillId="0" borderId="0"/>
    <xf numFmtId="180" fontId="4" fillId="0" borderId="0"/>
    <xf numFmtId="0" fontId="4" fillId="0" borderId="0"/>
    <xf numFmtId="180" fontId="4" fillId="0" borderId="0"/>
    <xf numFmtId="180" fontId="4" fillId="0" borderId="0"/>
    <xf numFmtId="180" fontId="4" fillId="0" borderId="0"/>
    <xf numFmtId="0" fontId="4" fillId="0" borderId="0"/>
    <xf numFmtId="180" fontId="4" fillId="0" borderId="0"/>
    <xf numFmtId="180" fontId="4" fillId="0" borderId="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2" fontId="4" fillId="0" borderId="0" applyFont="0" applyFill="0" applyBorder="0" applyAlignment="0" applyProtection="0"/>
    <xf numFmtId="173" fontId="4" fillId="0" borderId="0" applyFont="0" applyFill="0" applyBorder="0" applyAlignment="0" applyProtection="0"/>
    <xf numFmtId="180" fontId="4" fillId="0" borderId="0"/>
    <xf numFmtId="0" fontId="4" fillId="0" borderId="0"/>
    <xf numFmtId="0" fontId="4" fillId="0" borderId="0"/>
    <xf numFmtId="0" fontId="4" fillId="0" borderId="0"/>
    <xf numFmtId="0" fontId="4" fillId="0" borderId="0"/>
    <xf numFmtId="0" fontId="4" fillId="0" borderId="0"/>
    <xf numFmtId="180" fontId="4" fillId="0" borderId="0"/>
    <xf numFmtId="180" fontId="4" fillId="0" borderId="0"/>
    <xf numFmtId="0" fontId="4" fillId="0" borderId="0"/>
    <xf numFmtId="180" fontId="4" fillId="0" borderId="0"/>
    <xf numFmtId="180" fontId="4" fillId="0" borderId="0"/>
    <xf numFmtId="180" fontId="4" fillId="0" borderId="0"/>
    <xf numFmtId="0" fontId="4" fillId="0" borderId="0"/>
    <xf numFmtId="180" fontId="4" fillId="0" borderId="0"/>
    <xf numFmtId="180" fontId="4" fillId="0" borderId="0"/>
    <xf numFmtId="9" fontId="4" fillId="0" borderId="0" applyFont="0" applyFill="0" applyBorder="0" applyAlignment="0" applyProtection="0"/>
    <xf numFmtId="0" fontId="4" fillId="0" borderId="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2" fontId="4" fillId="0" borderId="0" applyFont="0" applyFill="0" applyBorder="0" applyAlignment="0" applyProtection="0"/>
    <xf numFmtId="173" fontId="4" fillId="0" borderId="0" applyFont="0" applyFill="0" applyBorder="0" applyAlignment="0" applyProtection="0"/>
    <xf numFmtId="180" fontId="4" fillId="0" borderId="0"/>
    <xf numFmtId="0" fontId="4" fillId="0" borderId="0"/>
    <xf numFmtId="0" fontId="4" fillId="0" borderId="0"/>
    <xf numFmtId="0" fontId="4" fillId="0" borderId="0"/>
    <xf numFmtId="0" fontId="4" fillId="0" borderId="0"/>
    <xf numFmtId="0" fontId="4" fillId="0" borderId="0"/>
    <xf numFmtId="180" fontId="4" fillId="0" borderId="0"/>
    <xf numFmtId="180" fontId="4" fillId="0" borderId="0"/>
    <xf numFmtId="0" fontId="4" fillId="0" borderId="0"/>
    <xf numFmtId="180" fontId="4" fillId="0" borderId="0"/>
    <xf numFmtId="180" fontId="4" fillId="0" borderId="0"/>
    <xf numFmtId="180" fontId="4" fillId="0" borderId="0"/>
    <xf numFmtId="0" fontId="4" fillId="0" borderId="0"/>
    <xf numFmtId="180" fontId="4" fillId="0" borderId="0"/>
    <xf numFmtId="180" fontId="4" fillId="0" borderId="0"/>
    <xf numFmtId="9"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2" fontId="4" fillId="0" borderId="0" applyFont="0" applyFill="0" applyBorder="0" applyAlignment="0" applyProtection="0"/>
    <xf numFmtId="173" fontId="4" fillId="0" borderId="0" applyFont="0" applyFill="0" applyBorder="0" applyAlignment="0" applyProtection="0"/>
    <xf numFmtId="180" fontId="4" fillId="0" borderId="0"/>
    <xf numFmtId="0" fontId="4" fillId="0" borderId="0"/>
    <xf numFmtId="0" fontId="4" fillId="0" borderId="0"/>
    <xf numFmtId="0" fontId="4" fillId="0" borderId="0"/>
    <xf numFmtId="0" fontId="4" fillId="0" borderId="0"/>
    <xf numFmtId="0" fontId="4" fillId="0" borderId="0"/>
    <xf numFmtId="180" fontId="4" fillId="0" borderId="0"/>
    <xf numFmtId="180" fontId="4" fillId="0" borderId="0"/>
    <xf numFmtId="0" fontId="4" fillId="0" borderId="0"/>
    <xf numFmtId="180" fontId="4" fillId="0" borderId="0"/>
    <xf numFmtId="180" fontId="4" fillId="0" borderId="0"/>
    <xf numFmtId="180" fontId="4" fillId="0" borderId="0"/>
    <xf numFmtId="0" fontId="4" fillId="0" borderId="0"/>
    <xf numFmtId="180" fontId="4" fillId="0" borderId="0"/>
    <xf numFmtId="180" fontId="4" fillId="0" borderId="0"/>
    <xf numFmtId="9"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2" fontId="4" fillId="0" borderId="0" applyFont="0" applyFill="0" applyBorder="0" applyAlignment="0" applyProtection="0"/>
    <xf numFmtId="173" fontId="4" fillId="0" borderId="0" applyFont="0" applyFill="0" applyBorder="0" applyAlignment="0" applyProtection="0"/>
    <xf numFmtId="180" fontId="4" fillId="0" borderId="0"/>
    <xf numFmtId="0" fontId="4" fillId="0" borderId="0"/>
    <xf numFmtId="0" fontId="4" fillId="0" borderId="0"/>
    <xf numFmtId="0" fontId="4" fillId="0" borderId="0"/>
    <xf numFmtId="0" fontId="4" fillId="0" borderId="0"/>
    <xf numFmtId="0" fontId="4" fillId="0" borderId="0"/>
    <xf numFmtId="180" fontId="4" fillId="0" borderId="0"/>
    <xf numFmtId="180" fontId="4" fillId="0" borderId="0"/>
    <xf numFmtId="0" fontId="4" fillId="0" borderId="0"/>
    <xf numFmtId="180" fontId="4" fillId="0" borderId="0"/>
    <xf numFmtId="180" fontId="4" fillId="0" borderId="0"/>
    <xf numFmtId="180" fontId="4" fillId="0" borderId="0"/>
    <xf numFmtId="0" fontId="4" fillId="0" borderId="0"/>
    <xf numFmtId="180" fontId="4" fillId="0" borderId="0"/>
    <xf numFmtId="180" fontId="4" fillId="0" borderId="0"/>
    <xf numFmtId="9"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2" fontId="4" fillId="0" borderId="0" applyFont="0" applyFill="0" applyBorder="0" applyAlignment="0" applyProtection="0"/>
    <xf numFmtId="173" fontId="4" fillId="0" borderId="0" applyFont="0" applyFill="0" applyBorder="0" applyAlignment="0" applyProtection="0"/>
    <xf numFmtId="180" fontId="4" fillId="0" borderId="0"/>
    <xf numFmtId="0" fontId="4" fillId="0" borderId="0"/>
    <xf numFmtId="0" fontId="4" fillId="0" borderId="0"/>
    <xf numFmtId="0" fontId="4" fillId="0" borderId="0"/>
    <xf numFmtId="0" fontId="4" fillId="0" borderId="0"/>
    <xf numFmtId="0" fontId="4" fillId="0" borderId="0"/>
    <xf numFmtId="180" fontId="4" fillId="0" borderId="0"/>
    <xf numFmtId="180" fontId="4" fillId="0" borderId="0"/>
    <xf numFmtId="0" fontId="4" fillId="0" borderId="0"/>
    <xf numFmtId="180" fontId="4" fillId="0" borderId="0"/>
    <xf numFmtId="180" fontId="4" fillId="0" borderId="0"/>
    <xf numFmtId="180" fontId="4" fillId="0" borderId="0"/>
    <xf numFmtId="0" fontId="4" fillId="0" borderId="0"/>
    <xf numFmtId="180" fontId="4" fillId="0" borderId="0"/>
    <xf numFmtId="180" fontId="4" fillId="0" borderId="0"/>
    <xf numFmtId="9"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2" fontId="4" fillId="0" borderId="0" applyFont="0" applyFill="0" applyBorder="0" applyAlignment="0" applyProtection="0"/>
    <xf numFmtId="173" fontId="4" fillId="0" borderId="0" applyFont="0" applyFill="0" applyBorder="0" applyAlignment="0" applyProtection="0"/>
    <xf numFmtId="180" fontId="4" fillId="0" borderId="0"/>
    <xf numFmtId="0" fontId="4" fillId="0" borderId="0"/>
    <xf numFmtId="0" fontId="4" fillId="0" borderId="0"/>
    <xf numFmtId="0" fontId="4" fillId="0" borderId="0"/>
    <xf numFmtId="0" fontId="4" fillId="0" borderId="0"/>
    <xf numFmtId="0" fontId="4" fillId="0" borderId="0"/>
    <xf numFmtId="180" fontId="4" fillId="0" borderId="0"/>
    <xf numFmtId="180" fontId="4" fillId="0" borderId="0"/>
    <xf numFmtId="0" fontId="4" fillId="0" borderId="0"/>
    <xf numFmtId="180" fontId="4" fillId="0" borderId="0"/>
    <xf numFmtId="180" fontId="4" fillId="0" borderId="0"/>
    <xf numFmtId="180" fontId="4" fillId="0" borderId="0"/>
    <xf numFmtId="0" fontId="4" fillId="0" borderId="0"/>
    <xf numFmtId="180" fontId="4" fillId="0" borderId="0"/>
    <xf numFmtId="180" fontId="4" fillId="0" borderId="0"/>
    <xf numFmtId="9"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2" fontId="4" fillId="0" borderId="0" applyFont="0" applyFill="0" applyBorder="0" applyAlignment="0" applyProtection="0"/>
    <xf numFmtId="173" fontId="4" fillId="0" borderId="0" applyFont="0" applyFill="0" applyBorder="0" applyAlignment="0" applyProtection="0"/>
    <xf numFmtId="180" fontId="4" fillId="0" borderId="0"/>
    <xf numFmtId="0" fontId="4" fillId="0" borderId="0"/>
    <xf numFmtId="0" fontId="4" fillId="0" borderId="0"/>
    <xf numFmtId="0" fontId="4" fillId="0" borderId="0"/>
    <xf numFmtId="0" fontId="4" fillId="0" borderId="0"/>
    <xf numFmtId="0" fontId="4" fillId="0" borderId="0"/>
    <xf numFmtId="180" fontId="4" fillId="0" borderId="0"/>
    <xf numFmtId="180" fontId="4" fillId="0" borderId="0"/>
    <xf numFmtId="0" fontId="4" fillId="0" borderId="0"/>
    <xf numFmtId="180" fontId="4" fillId="0" borderId="0"/>
    <xf numFmtId="180" fontId="4" fillId="0" borderId="0"/>
    <xf numFmtId="180" fontId="4" fillId="0" borderId="0"/>
    <xf numFmtId="0" fontId="4" fillId="0" borderId="0"/>
    <xf numFmtId="180" fontId="4" fillId="0" borderId="0"/>
    <xf numFmtId="180" fontId="4" fillId="0" borderId="0"/>
    <xf numFmtId="9"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2" fontId="4" fillId="0" borderId="0" applyFont="0" applyFill="0" applyBorder="0" applyAlignment="0" applyProtection="0"/>
    <xf numFmtId="173" fontId="4" fillId="0" borderId="0" applyFont="0" applyFill="0" applyBorder="0" applyAlignment="0" applyProtection="0"/>
    <xf numFmtId="180" fontId="4" fillId="0" borderId="0"/>
    <xf numFmtId="0" fontId="4" fillId="0" borderId="0"/>
    <xf numFmtId="0" fontId="4" fillId="0" borderId="0"/>
    <xf numFmtId="0" fontId="4" fillId="0" borderId="0"/>
    <xf numFmtId="0" fontId="4" fillId="0" borderId="0"/>
    <xf numFmtId="0" fontId="4" fillId="0" borderId="0"/>
    <xf numFmtId="180" fontId="4" fillId="0" borderId="0"/>
    <xf numFmtId="180" fontId="4" fillId="0" borderId="0"/>
    <xf numFmtId="0" fontId="4" fillId="0" borderId="0"/>
    <xf numFmtId="180" fontId="4" fillId="0" borderId="0"/>
    <xf numFmtId="180" fontId="4" fillId="0" borderId="0"/>
    <xf numFmtId="180" fontId="4" fillId="0" borderId="0"/>
    <xf numFmtId="0" fontId="4" fillId="0" borderId="0"/>
    <xf numFmtId="180" fontId="4" fillId="0" borderId="0"/>
    <xf numFmtId="180" fontId="4" fillId="0" borderId="0"/>
    <xf numFmtId="9" fontId="4" fillId="0" borderId="0" applyFont="0" applyFill="0" applyBorder="0" applyAlignment="0" applyProtection="0"/>
    <xf numFmtId="18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80" fontId="4" fillId="0" borderId="0"/>
    <xf numFmtId="180" fontId="4" fillId="0" borderId="0"/>
    <xf numFmtId="0" fontId="4" fillId="0" borderId="0"/>
    <xf numFmtId="180" fontId="4" fillId="0" borderId="0"/>
    <xf numFmtId="180" fontId="4" fillId="0" borderId="0"/>
    <xf numFmtId="180" fontId="4" fillId="0" borderId="0"/>
    <xf numFmtId="0" fontId="4" fillId="0" borderId="0"/>
    <xf numFmtId="180" fontId="4" fillId="0" borderId="0"/>
    <xf numFmtId="180" fontId="4" fillId="0" borderId="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2" fontId="4" fillId="0" borderId="0" applyFont="0" applyFill="0" applyBorder="0" applyAlignment="0" applyProtection="0"/>
    <xf numFmtId="173" fontId="4" fillId="0" borderId="0" applyFont="0" applyFill="0" applyBorder="0" applyAlignment="0" applyProtection="0"/>
    <xf numFmtId="180" fontId="4" fillId="0" borderId="0"/>
    <xf numFmtId="0" fontId="4" fillId="0" borderId="0"/>
    <xf numFmtId="0" fontId="4" fillId="0" borderId="0"/>
    <xf numFmtId="0" fontId="4" fillId="0" borderId="0"/>
    <xf numFmtId="0" fontId="4" fillId="0" borderId="0"/>
    <xf numFmtId="0" fontId="4" fillId="0" borderId="0"/>
    <xf numFmtId="180" fontId="4" fillId="0" borderId="0"/>
    <xf numFmtId="180" fontId="4" fillId="0" borderId="0"/>
    <xf numFmtId="0" fontId="4" fillId="0" borderId="0"/>
    <xf numFmtId="180" fontId="4" fillId="0" borderId="0"/>
    <xf numFmtId="180" fontId="4" fillId="0" borderId="0"/>
    <xf numFmtId="180" fontId="4" fillId="0" borderId="0"/>
    <xf numFmtId="0" fontId="4" fillId="0" borderId="0"/>
    <xf numFmtId="180" fontId="4" fillId="0" borderId="0"/>
    <xf numFmtId="180" fontId="4" fillId="0" borderId="0"/>
    <xf numFmtId="9" fontId="4" fillId="0" borderId="0" applyFont="0" applyFill="0" applyBorder="0" applyAlignment="0" applyProtection="0"/>
    <xf numFmtId="0" fontId="4" fillId="0" borderId="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2" fontId="4" fillId="0" borderId="0" applyFont="0" applyFill="0" applyBorder="0" applyAlignment="0" applyProtection="0"/>
    <xf numFmtId="173" fontId="4" fillId="0" borderId="0" applyFont="0" applyFill="0" applyBorder="0" applyAlignment="0" applyProtection="0"/>
    <xf numFmtId="180" fontId="4" fillId="0" borderId="0"/>
    <xf numFmtId="0" fontId="4" fillId="0" borderId="0"/>
    <xf numFmtId="0" fontId="4" fillId="0" borderId="0"/>
    <xf numFmtId="0" fontId="4" fillId="0" borderId="0"/>
    <xf numFmtId="0" fontId="4" fillId="0" borderId="0"/>
    <xf numFmtId="0" fontId="4" fillId="0" borderId="0"/>
    <xf numFmtId="180" fontId="4" fillId="0" borderId="0"/>
    <xf numFmtId="180" fontId="4" fillId="0" borderId="0"/>
    <xf numFmtId="0" fontId="4" fillId="0" borderId="0"/>
    <xf numFmtId="180" fontId="4" fillId="0" borderId="0"/>
    <xf numFmtId="180" fontId="4" fillId="0" borderId="0"/>
    <xf numFmtId="180" fontId="4" fillId="0" borderId="0"/>
    <xf numFmtId="0" fontId="4" fillId="0" borderId="0"/>
    <xf numFmtId="180" fontId="4" fillId="0" borderId="0"/>
    <xf numFmtId="180" fontId="4" fillId="0" borderId="0"/>
    <xf numFmtId="9"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2" fontId="4" fillId="0" borderId="0" applyFont="0" applyFill="0" applyBorder="0" applyAlignment="0" applyProtection="0"/>
    <xf numFmtId="173" fontId="4" fillId="0" borderId="0" applyFont="0" applyFill="0" applyBorder="0" applyAlignment="0" applyProtection="0"/>
    <xf numFmtId="180" fontId="4" fillId="0" borderId="0"/>
    <xf numFmtId="0" fontId="4" fillId="0" borderId="0"/>
    <xf numFmtId="0" fontId="4" fillId="0" borderId="0"/>
    <xf numFmtId="0" fontId="4" fillId="0" borderId="0"/>
    <xf numFmtId="0" fontId="4" fillId="0" borderId="0"/>
    <xf numFmtId="0" fontId="4" fillId="0" borderId="0"/>
    <xf numFmtId="180" fontId="4" fillId="0" borderId="0"/>
    <xf numFmtId="180" fontId="4" fillId="0" borderId="0"/>
    <xf numFmtId="0" fontId="4" fillId="0" borderId="0"/>
    <xf numFmtId="180" fontId="4" fillId="0" borderId="0"/>
    <xf numFmtId="180" fontId="4" fillId="0" borderId="0"/>
    <xf numFmtId="180" fontId="4" fillId="0" borderId="0"/>
    <xf numFmtId="0" fontId="4" fillId="0" borderId="0"/>
    <xf numFmtId="180" fontId="4" fillId="0" borderId="0"/>
    <xf numFmtId="180" fontId="4" fillId="0" borderId="0"/>
    <xf numFmtId="9"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2" fontId="4" fillId="0" borderId="0" applyFont="0" applyFill="0" applyBorder="0" applyAlignment="0" applyProtection="0"/>
    <xf numFmtId="173" fontId="4" fillId="0" borderId="0" applyFont="0" applyFill="0" applyBorder="0" applyAlignment="0" applyProtection="0"/>
    <xf numFmtId="180" fontId="4" fillId="0" borderId="0"/>
    <xf numFmtId="0" fontId="4" fillId="0" borderId="0"/>
    <xf numFmtId="0" fontId="4" fillId="0" borderId="0"/>
    <xf numFmtId="0" fontId="4" fillId="0" borderId="0"/>
    <xf numFmtId="0" fontId="4" fillId="0" borderId="0"/>
    <xf numFmtId="0" fontId="4" fillId="0" borderId="0"/>
    <xf numFmtId="180" fontId="4" fillId="0" borderId="0"/>
    <xf numFmtId="180" fontId="4" fillId="0" borderId="0"/>
    <xf numFmtId="0" fontId="4" fillId="0" borderId="0"/>
    <xf numFmtId="180" fontId="4" fillId="0" borderId="0"/>
    <xf numFmtId="180" fontId="4" fillId="0" borderId="0"/>
    <xf numFmtId="180" fontId="4" fillId="0" borderId="0"/>
    <xf numFmtId="0" fontId="4" fillId="0" borderId="0"/>
    <xf numFmtId="180" fontId="4" fillId="0" borderId="0"/>
    <xf numFmtId="180" fontId="4" fillId="0" borderId="0"/>
    <xf numFmtId="9"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2" fontId="4" fillId="0" borderId="0" applyFont="0" applyFill="0" applyBorder="0" applyAlignment="0" applyProtection="0"/>
    <xf numFmtId="173" fontId="4" fillId="0" borderId="0" applyFont="0" applyFill="0" applyBorder="0" applyAlignment="0" applyProtection="0"/>
    <xf numFmtId="180" fontId="4" fillId="0" borderId="0"/>
    <xf numFmtId="0" fontId="4" fillId="0" borderId="0"/>
    <xf numFmtId="0" fontId="4" fillId="0" borderId="0"/>
    <xf numFmtId="0" fontId="4" fillId="0" borderId="0"/>
    <xf numFmtId="0" fontId="4" fillId="0" borderId="0"/>
    <xf numFmtId="0" fontId="4" fillId="0" borderId="0"/>
    <xf numFmtId="180" fontId="4" fillId="0" borderId="0"/>
    <xf numFmtId="180" fontId="4" fillId="0" borderId="0"/>
    <xf numFmtId="0" fontId="4" fillId="0" borderId="0"/>
    <xf numFmtId="180" fontId="4" fillId="0" borderId="0"/>
    <xf numFmtId="180" fontId="4" fillId="0" borderId="0"/>
    <xf numFmtId="180" fontId="4" fillId="0" borderId="0"/>
    <xf numFmtId="0" fontId="4" fillId="0" borderId="0"/>
    <xf numFmtId="180" fontId="4" fillId="0" borderId="0"/>
    <xf numFmtId="180" fontId="4" fillId="0" borderId="0"/>
    <xf numFmtId="9"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2" fontId="4" fillId="0" borderId="0" applyFont="0" applyFill="0" applyBorder="0" applyAlignment="0" applyProtection="0"/>
    <xf numFmtId="173" fontId="4" fillId="0" borderId="0" applyFont="0" applyFill="0" applyBorder="0" applyAlignment="0" applyProtection="0"/>
    <xf numFmtId="180" fontId="4" fillId="0" borderId="0"/>
    <xf numFmtId="0" fontId="4" fillId="0" borderId="0"/>
    <xf numFmtId="0" fontId="4" fillId="0" borderId="0"/>
    <xf numFmtId="0" fontId="4" fillId="0" borderId="0"/>
    <xf numFmtId="0" fontId="4" fillId="0" borderId="0"/>
    <xf numFmtId="0" fontId="4" fillId="0" borderId="0"/>
    <xf numFmtId="180" fontId="4" fillId="0" borderId="0"/>
    <xf numFmtId="180" fontId="4" fillId="0" borderId="0"/>
    <xf numFmtId="0" fontId="4" fillId="0" borderId="0"/>
    <xf numFmtId="180" fontId="4" fillId="0" borderId="0"/>
    <xf numFmtId="180" fontId="4" fillId="0" borderId="0"/>
    <xf numFmtId="180" fontId="4" fillId="0" borderId="0"/>
    <xf numFmtId="0" fontId="4" fillId="0" borderId="0"/>
    <xf numFmtId="180" fontId="4" fillId="0" borderId="0"/>
    <xf numFmtId="180" fontId="4" fillId="0" borderId="0"/>
    <xf numFmtId="9"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2" fontId="4" fillId="0" borderId="0" applyFont="0" applyFill="0" applyBorder="0" applyAlignment="0" applyProtection="0"/>
    <xf numFmtId="173" fontId="4" fillId="0" borderId="0" applyFont="0" applyFill="0" applyBorder="0" applyAlignment="0" applyProtection="0"/>
    <xf numFmtId="180" fontId="4" fillId="0" borderId="0"/>
    <xf numFmtId="0" fontId="4" fillId="0" borderId="0"/>
    <xf numFmtId="0" fontId="4" fillId="0" borderId="0"/>
    <xf numFmtId="0" fontId="4" fillId="0" borderId="0"/>
    <xf numFmtId="0" fontId="4" fillId="0" borderId="0"/>
    <xf numFmtId="0" fontId="4" fillId="0" borderId="0"/>
    <xf numFmtId="180" fontId="4" fillId="0" borderId="0"/>
    <xf numFmtId="180" fontId="4" fillId="0" borderId="0"/>
    <xf numFmtId="0" fontId="4" fillId="0" borderId="0"/>
    <xf numFmtId="180" fontId="4" fillId="0" borderId="0"/>
    <xf numFmtId="180" fontId="4" fillId="0" borderId="0"/>
    <xf numFmtId="180" fontId="4" fillId="0" borderId="0"/>
    <xf numFmtId="0" fontId="4" fillId="0" borderId="0"/>
    <xf numFmtId="180" fontId="4" fillId="0" borderId="0"/>
    <xf numFmtId="180" fontId="4" fillId="0" borderId="0"/>
    <xf numFmtId="9"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2" fontId="4" fillId="0" borderId="0" applyFont="0" applyFill="0" applyBorder="0" applyAlignment="0" applyProtection="0"/>
    <xf numFmtId="173" fontId="4" fillId="0" borderId="0" applyFont="0" applyFill="0" applyBorder="0" applyAlignment="0" applyProtection="0"/>
    <xf numFmtId="180" fontId="4" fillId="0" borderId="0"/>
    <xf numFmtId="0" fontId="4" fillId="0" borderId="0"/>
    <xf numFmtId="0" fontId="4" fillId="0" borderId="0"/>
    <xf numFmtId="0" fontId="4" fillId="0" borderId="0"/>
    <xf numFmtId="0" fontId="4" fillId="0" borderId="0"/>
    <xf numFmtId="0" fontId="4" fillId="0" borderId="0"/>
    <xf numFmtId="180" fontId="4" fillId="0" borderId="0"/>
    <xf numFmtId="180" fontId="4" fillId="0" borderId="0"/>
    <xf numFmtId="0" fontId="4" fillId="0" borderId="0"/>
    <xf numFmtId="180" fontId="4" fillId="0" borderId="0"/>
    <xf numFmtId="180" fontId="4" fillId="0" borderId="0"/>
    <xf numFmtId="180" fontId="4" fillId="0" borderId="0"/>
    <xf numFmtId="0" fontId="4" fillId="0" borderId="0"/>
    <xf numFmtId="180" fontId="4" fillId="0" borderId="0"/>
    <xf numFmtId="180" fontId="4" fillId="0" borderId="0"/>
    <xf numFmtId="9"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2" fontId="4" fillId="0" borderId="0" applyFont="0" applyFill="0" applyBorder="0" applyAlignment="0" applyProtection="0"/>
    <xf numFmtId="173" fontId="4" fillId="0" borderId="0" applyFont="0" applyFill="0" applyBorder="0" applyAlignment="0" applyProtection="0"/>
    <xf numFmtId="180" fontId="4" fillId="0" borderId="0"/>
    <xf numFmtId="0" fontId="4" fillId="0" borderId="0"/>
    <xf numFmtId="0" fontId="4" fillId="0" borderId="0"/>
    <xf numFmtId="0" fontId="4" fillId="0" borderId="0"/>
    <xf numFmtId="0" fontId="4" fillId="0" borderId="0"/>
    <xf numFmtId="0" fontId="4" fillId="0" borderId="0"/>
    <xf numFmtId="180" fontId="4" fillId="0" borderId="0"/>
    <xf numFmtId="180" fontId="4" fillId="0" borderId="0"/>
    <xf numFmtId="0" fontId="4" fillId="0" borderId="0"/>
    <xf numFmtId="180" fontId="4" fillId="0" borderId="0"/>
    <xf numFmtId="180" fontId="4" fillId="0" borderId="0"/>
    <xf numFmtId="180" fontId="4" fillId="0" borderId="0"/>
    <xf numFmtId="0" fontId="4" fillId="0" borderId="0"/>
    <xf numFmtId="180" fontId="4" fillId="0" borderId="0"/>
    <xf numFmtId="180" fontId="4" fillId="0" borderId="0"/>
    <xf numFmtId="9" fontId="4" fillId="0" borderId="0" applyFont="0" applyFill="0" applyBorder="0" applyAlignment="0" applyProtection="0"/>
    <xf numFmtId="0" fontId="4" fillId="0" borderId="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2" fontId="4" fillId="0" borderId="0" applyFont="0" applyFill="0" applyBorder="0" applyAlignment="0" applyProtection="0"/>
    <xf numFmtId="173" fontId="4" fillId="0" borderId="0" applyFont="0" applyFill="0" applyBorder="0" applyAlignment="0" applyProtection="0"/>
    <xf numFmtId="180" fontId="4" fillId="0" borderId="0"/>
    <xf numFmtId="0" fontId="4" fillId="0" borderId="0"/>
    <xf numFmtId="0" fontId="4" fillId="0" borderId="0"/>
    <xf numFmtId="0" fontId="4" fillId="0" borderId="0"/>
    <xf numFmtId="0" fontId="4" fillId="0" borderId="0"/>
    <xf numFmtId="0" fontId="4" fillId="0" borderId="0"/>
    <xf numFmtId="180" fontId="4" fillId="0" borderId="0"/>
    <xf numFmtId="180" fontId="4" fillId="0" borderId="0"/>
    <xf numFmtId="0" fontId="4" fillId="0" borderId="0"/>
    <xf numFmtId="180" fontId="4" fillId="0" borderId="0"/>
    <xf numFmtId="180" fontId="4" fillId="0" borderId="0"/>
    <xf numFmtId="180" fontId="4" fillId="0" borderId="0"/>
    <xf numFmtId="0" fontId="4" fillId="0" borderId="0"/>
    <xf numFmtId="180" fontId="4" fillId="0" borderId="0"/>
    <xf numFmtId="180" fontId="4" fillId="0" borderId="0"/>
    <xf numFmtId="9"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2" fontId="4" fillId="0" borderId="0" applyFont="0" applyFill="0" applyBorder="0" applyAlignment="0" applyProtection="0"/>
    <xf numFmtId="173" fontId="4" fillId="0" borderId="0" applyFont="0" applyFill="0" applyBorder="0" applyAlignment="0" applyProtection="0"/>
    <xf numFmtId="180" fontId="4" fillId="0" borderId="0"/>
    <xf numFmtId="0" fontId="4" fillId="0" borderId="0"/>
    <xf numFmtId="0" fontId="4" fillId="0" borderId="0"/>
    <xf numFmtId="0" fontId="4" fillId="0" borderId="0"/>
    <xf numFmtId="0" fontId="4" fillId="0" borderId="0"/>
    <xf numFmtId="0" fontId="4" fillId="0" borderId="0"/>
    <xf numFmtId="180" fontId="4" fillId="0" borderId="0"/>
    <xf numFmtId="180" fontId="4" fillId="0" borderId="0"/>
    <xf numFmtId="0" fontId="4" fillId="0" borderId="0"/>
    <xf numFmtId="180" fontId="4" fillId="0" borderId="0"/>
    <xf numFmtId="180" fontId="4" fillId="0" borderId="0"/>
    <xf numFmtId="180" fontId="4" fillId="0" borderId="0"/>
    <xf numFmtId="0" fontId="4" fillId="0" borderId="0"/>
    <xf numFmtId="180" fontId="4" fillId="0" borderId="0"/>
    <xf numFmtId="180" fontId="4" fillId="0" borderId="0"/>
    <xf numFmtId="9"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2" fontId="4" fillId="0" borderId="0" applyFont="0" applyFill="0" applyBorder="0" applyAlignment="0" applyProtection="0"/>
    <xf numFmtId="173" fontId="4" fillId="0" borderId="0" applyFont="0" applyFill="0" applyBorder="0" applyAlignment="0" applyProtection="0"/>
    <xf numFmtId="180" fontId="4" fillId="0" borderId="0"/>
    <xf numFmtId="0" fontId="4" fillId="0" borderId="0"/>
    <xf numFmtId="0" fontId="4" fillId="0" borderId="0"/>
    <xf numFmtId="0" fontId="4" fillId="0" borderId="0"/>
    <xf numFmtId="0" fontId="4" fillId="0" borderId="0"/>
    <xf numFmtId="0" fontId="4" fillId="0" borderId="0"/>
    <xf numFmtId="180" fontId="4" fillId="0" borderId="0"/>
    <xf numFmtId="180" fontId="4" fillId="0" borderId="0"/>
    <xf numFmtId="0" fontId="4" fillId="0" borderId="0"/>
    <xf numFmtId="180" fontId="4" fillId="0" borderId="0"/>
    <xf numFmtId="180" fontId="4" fillId="0" borderId="0"/>
    <xf numFmtId="180" fontId="4" fillId="0" borderId="0"/>
    <xf numFmtId="0" fontId="4" fillId="0" borderId="0"/>
    <xf numFmtId="180" fontId="4" fillId="0" borderId="0"/>
    <xf numFmtId="180" fontId="4" fillId="0" borderId="0"/>
    <xf numFmtId="9"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2" fontId="4" fillId="0" borderId="0" applyFont="0" applyFill="0" applyBorder="0" applyAlignment="0" applyProtection="0"/>
    <xf numFmtId="173" fontId="4" fillId="0" borderId="0" applyFont="0" applyFill="0" applyBorder="0" applyAlignment="0" applyProtection="0"/>
    <xf numFmtId="180" fontId="4" fillId="0" borderId="0"/>
    <xf numFmtId="0" fontId="4" fillId="0" borderId="0"/>
    <xf numFmtId="0" fontId="4" fillId="0" borderId="0"/>
    <xf numFmtId="0" fontId="4" fillId="0" borderId="0"/>
    <xf numFmtId="0" fontId="4" fillId="0" borderId="0"/>
    <xf numFmtId="0" fontId="4" fillId="0" borderId="0"/>
    <xf numFmtId="180" fontId="4" fillId="0" borderId="0"/>
    <xf numFmtId="180" fontId="4" fillId="0" borderId="0"/>
    <xf numFmtId="0" fontId="4" fillId="0" borderId="0"/>
    <xf numFmtId="180" fontId="4" fillId="0" borderId="0"/>
    <xf numFmtId="180" fontId="4" fillId="0" borderId="0"/>
    <xf numFmtId="180" fontId="4" fillId="0" borderId="0"/>
    <xf numFmtId="0" fontId="4" fillId="0" borderId="0"/>
    <xf numFmtId="180" fontId="4" fillId="0" borderId="0"/>
    <xf numFmtId="180" fontId="4" fillId="0" borderId="0"/>
    <xf numFmtId="9"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2" fontId="4" fillId="0" borderId="0" applyFont="0" applyFill="0" applyBorder="0" applyAlignment="0" applyProtection="0"/>
    <xf numFmtId="173" fontId="4" fillId="0" borderId="0" applyFont="0" applyFill="0" applyBorder="0" applyAlignment="0" applyProtection="0"/>
    <xf numFmtId="180" fontId="4" fillId="0" borderId="0"/>
    <xf numFmtId="0" fontId="4" fillId="0" borderId="0"/>
    <xf numFmtId="0" fontId="4" fillId="0" borderId="0"/>
    <xf numFmtId="0" fontId="4" fillId="0" borderId="0"/>
    <xf numFmtId="0" fontId="4" fillId="0" borderId="0"/>
    <xf numFmtId="0" fontId="4" fillId="0" borderId="0"/>
    <xf numFmtId="180" fontId="4" fillId="0" borderId="0"/>
    <xf numFmtId="180" fontId="4" fillId="0" borderId="0"/>
    <xf numFmtId="0" fontId="4" fillId="0" borderId="0"/>
    <xf numFmtId="180" fontId="4" fillId="0" borderId="0"/>
    <xf numFmtId="180" fontId="4" fillId="0" borderId="0"/>
    <xf numFmtId="180" fontId="4" fillId="0" borderId="0"/>
    <xf numFmtId="0" fontId="4" fillId="0" borderId="0"/>
    <xf numFmtId="180" fontId="4" fillId="0" borderId="0"/>
    <xf numFmtId="180" fontId="4" fillId="0" borderId="0"/>
    <xf numFmtId="9"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2" fontId="4" fillId="0" borderId="0" applyFont="0" applyFill="0" applyBorder="0" applyAlignment="0" applyProtection="0"/>
    <xf numFmtId="173" fontId="4" fillId="0" borderId="0" applyFont="0" applyFill="0" applyBorder="0" applyAlignment="0" applyProtection="0"/>
    <xf numFmtId="180" fontId="4" fillId="0" borderId="0"/>
    <xf numFmtId="0" fontId="4" fillId="0" borderId="0"/>
    <xf numFmtId="0" fontId="4" fillId="0" borderId="0"/>
    <xf numFmtId="0" fontId="4" fillId="0" borderId="0"/>
    <xf numFmtId="0" fontId="4" fillId="0" borderId="0"/>
    <xf numFmtId="0" fontId="4" fillId="0" borderId="0"/>
    <xf numFmtId="180" fontId="4" fillId="0" borderId="0"/>
    <xf numFmtId="180" fontId="4" fillId="0" borderId="0"/>
    <xf numFmtId="0" fontId="4" fillId="0" borderId="0"/>
    <xf numFmtId="180" fontId="4" fillId="0" borderId="0"/>
    <xf numFmtId="180" fontId="4" fillId="0" borderId="0"/>
    <xf numFmtId="180" fontId="4" fillId="0" borderId="0"/>
    <xf numFmtId="0" fontId="4" fillId="0" borderId="0"/>
    <xf numFmtId="180" fontId="4" fillId="0" borderId="0"/>
    <xf numFmtId="180" fontId="4" fillId="0" borderId="0"/>
    <xf numFmtId="9"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2" fontId="4" fillId="0" borderId="0" applyFont="0" applyFill="0" applyBorder="0" applyAlignment="0" applyProtection="0"/>
    <xf numFmtId="173" fontId="4" fillId="0" borderId="0" applyFont="0" applyFill="0" applyBorder="0" applyAlignment="0" applyProtection="0"/>
    <xf numFmtId="180" fontId="4" fillId="0" borderId="0"/>
    <xf numFmtId="0" fontId="4" fillId="0" borderId="0"/>
    <xf numFmtId="0" fontId="4" fillId="0" borderId="0"/>
    <xf numFmtId="0" fontId="4" fillId="0" borderId="0"/>
    <xf numFmtId="0" fontId="4" fillId="0" borderId="0"/>
    <xf numFmtId="0" fontId="4" fillId="0" borderId="0"/>
    <xf numFmtId="180" fontId="4" fillId="0" borderId="0"/>
    <xf numFmtId="180" fontId="4" fillId="0" borderId="0"/>
    <xf numFmtId="0" fontId="4" fillId="0" borderId="0"/>
    <xf numFmtId="180" fontId="4" fillId="0" borderId="0"/>
    <xf numFmtId="180" fontId="4" fillId="0" borderId="0"/>
    <xf numFmtId="180" fontId="4" fillId="0" borderId="0"/>
    <xf numFmtId="0" fontId="4" fillId="0" borderId="0"/>
    <xf numFmtId="180" fontId="4" fillId="0" borderId="0"/>
    <xf numFmtId="180" fontId="4" fillId="0" borderId="0"/>
    <xf numFmtId="9"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2" fontId="4" fillId="0" borderId="0" applyFont="0" applyFill="0" applyBorder="0" applyAlignment="0" applyProtection="0"/>
    <xf numFmtId="173" fontId="4" fillId="0" borderId="0" applyFont="0" applyFill="0" applyBorder="0" applyAlignment="0" applyProtection="0"/>
    <xf numFmtId="180" fontId="4" fillId="0" borderId="0"/>
    <xf numFmtId="0" fontId="4" fillId="0" borderId="0"/>
    <xf numFmtId="0" fontId="4" fillId="0" borderId="0"/>
    <xf numFmtId="0" fontId="4" fillId="0" borderId="0"/>
    <xf numFmtId="0" fontId="4" fillId="0" borderId="0"/>
    <xf numFmtId="0" fontId="4" fillId="0" borderId="0"/>
    <xf numFmtId="180" fontId="4" fillId="0" borderId="0"/>
    <xf numFmtId="180" fontId="4" fillId="0" borderId="0"/>
    <xf numFmtId="0" fontId="4" fillId="0" borderId="0"/>
    <xf numFmtId="180" fontId="4" fillId="0" borderId="0"/>
    <xf numFmtId="180" fontId="4" fillId="0" borderId="0"/>
    <xf numFmtId="180" fontId="4" fillId="0" borderId="0"/>
    <xf numFmtId="0" fontId="4" fillId="0" borderId="0"/>
    <xf numFmtId="180" fontId="4" fillId="0" borderId="0"/>
    <xf numFmtId="180" fontId="4" fillId="0" borderId="0"/>
    <xf numFmtId="9" fontId="4" fillId="0" borderId="0" applyFont="0" applyFill="0" applyBorder="0" applyAlignment="0" applyProtection="0"/>
    <xf numFmtId="170" fontId="4" fillId="0" borderId="0" applyFont="0" applyFill="0" applyBorder="0" applyAlignment="0" applyProtection="0"/>
    <xf numFmtId="43" fontId="4" fillId="0" borderId="0" applyFont="0" applyFill="0" applyBorder="0" applyAlignment="0" applyProtection="0"/>
    <xf numFmtId="0" fontId="4" fillId="0" borderId="0"/>
    <xf numFmtId="168" fontId="4" fillId="0" borderId="0" applyFont="0" applyFill="0" applyBorder="0" applyAlignment="0" applyProtection="0"/>
    <xf numFmtId="18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80" fontId="4" fillId="0" borderId="0"/>
    <xf numFmtId="180" fontId="4" fillId="0" borderId="0"/>
    <xf numFmtId="0" fontId="4" fillId="0" borderId="0"/>
    <xf numFmtId="180" fontId="4" fillId="0" borderId="0"/>
    <xf numFmtId="180" fontId="4" fillId="0" borderId="0"/>
    <xf numFmtId="180" fontId="4" fillId="0" borderId="0"/>
    <xf numFmtId="0" fontId="4" fillId="0" borderId="0"/>
    <xf numFmtId="180" fontId="4" fillId="0" borderId="0"/>
    <xf numFmtId="180" fontId="4" fillId="0" borderId="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2" fontId="4" fillId="0" borderId="0" applyFont="0" applyFill="0" applyBorder="0" applyAlignment="0" applyProtection="0"/>
    <xf numFmtId="173" fontId="4" fillId="0" borderId="0" applyFont="0" applyFill="0" applyBorder="0" applyAlignment="0" applyProtection="0"/>
    <xf numFmtId="180" fontId="4" fillId="0" borderId="0"/>
    <xf numFmtId="0" fontId="4" fillId="0" borderId="0"/>
    <xf numFmtId="0" fontId="4" fillId="0" borderId="0"/>
    <xf numFmtId="0" fontId="4" fillId="0" borderId="0"/>
    <xf numFmtId="0" fontId="4" fillId="0" borderId="0"/>
    <xf numFmtId="0" fontId="4" fillId="0" borderId="0"/>
    <xf numFmtId="180" fontId="4" fillId="0" borderId="0"/>
    <xf numFmtId="180" fontId="4" fillId="0" borderId="0"/>
    <xf numFmtId="0" fontId="4" fillId="0" borderId="0"/>
    <xf numFmtId="180" fontId="4" fillId="0" borderId="0"/>
    <xf numFmtId="180" fontId="4" fillId="0" borderId="0"/>
    <xf numFmtId="180" fontId="4" fillId="0" borderId="0"/>
    <xf numFmtId="0" fontId="4" fillId="0" borderId="0"/>
    <xf numFmtId="180" fontId="4" fillId="0" borderId="0"/>
    <xf numFmtId="180" fontId="4" fillId="0" borderId="0"/>
    <xf numFmtId="9" fontId="4" fillId="0" borderId="0" applyFont="0" applyFill="0" applyBorder="0" applyAlignment="0" applyProtection="0"/>
    <xf numFmtId="0" fontId="4" fillId="0" borderId="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2" fontId="4" fillId="0" borderId="0" applyFont="0" applyFill="0" applyBorder="0" applyAlignment="0" applyProtection="0"/>
    <xf numFmtId="173" fontId="4" fillId="0" borderId="0" applyFont="0" applyFill="0" applyBorder="0" applyAlignment="0" applyProtection="0"/>
    <xf numFmtId="180" fontId="4" fillId="0" borderId="0"/>
    <xf numFmtId="0" fontId="4" fillId="0" borderId="0"/>
    <xf numFmtId="0" fontId="4" fillId="0" borderId="0"/>
    <xf numFmtId="0" fontId="4" fillId="0" borderId="0"/>
    <xf numFmtId="0" fontId="4" fillId="0" borderId="0"/>
    <xf numFmtId="0" fontId="4" fillId="0" borderId="0"/>
    <xf numFmtId="180" fontId="4" fillId="0" borderId="0"/>
    <xf numFmtId="180" fontId="4" fillId="0" borderId="0"/>
    <xf numFmtId="0" fontId="4" fillId="0" borderId="0"/>
    <xf numFmtId="180" fontId="4" fillId="0" borderId="0"/>
    <xf numFmtId="180" fontId="4" fillId="0" borderId="0"/>
    <xf numFmtId="180" fontId="4" fillId="0" borderId="0"/>
    <xf numFmtId="0" fontId="4" fillId="0" borderId="0"/>
    <xf numFmtId="180" fontId="4" fillId="0" borderId="0"/>
    <xf numFmtId="180" fontId="4" fillId="0" borderId="0"/>
    <xf numFmtId="9"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2" fontId="4" fillId="0" borderId="0" applyFont="0" applyFill="0" applyBorder="0" applyAlignment="0" applyProtection="0"/>
    <xf numFmtId="173" fontId="4" fillId="0" borderId="0" applyFont="0" applyFill="0" applyBorder="0" applyAlignment="0" applyProtection="0"/>
    <xf numFmtId="180" fontId="4" fillId="0" borderId="0"/>
    <xf numFmtId="0" fontId="4" fillId="0" borderId="0"/>
    <xf numFmtId="0" fontId="4" fillId="0" borderId="0"/>
    <xf numFmtId="0" fontId="4" fillId="0" borderId="0"/>
    <xf numFmtId="0" fontId="4" fillId="0" borderId="0"/>
    <xf numFmtId="0" fontId="4" fillId="0" borderId="0"/>
    <xf numFmtId="180" fontId="4" fillId="0" borderId="0"/>
    <xf numFmtId="180" fontId="4" fillId="0" borderId="0"/>
    <xf numFmtId="0" fontId="4" fillId="0" borderId="0"/>
    <xf numFmtId="180" fontId="4" fillId="0" borderId="0"/>
    <xf numFmtId="180" fontId="4" fillId="0" borderId="0"/>
    <xf numFmtId="180" fontId="4" fillId="0" borderId="0"/>
    <xf numFmtId="0" fontId="4" fillId="0" borderId="0"/>
    <xf numFmtId="180" fontId="4" fillId="0" borderId="0"/>
    <xf numFmtId="180" fontId="4" fillId="0" borderId="0"/>
    <xf numFmtId="9"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2" fontId="4" fillId="0" borderId="0" applyFont="0" applyFill="0" applyBorder="0" applyAlignment="0" applyProtection="0"/>
    <xf numFmtId="173" fontId="4" fillId="0" borderId="0" applyFont="0" applyFill="0" applyBorder="0" applyAlignment="0" applyProtection="0"/>
    <xf numFmtId="180" fontId="4" fillId="0" borderId="0"/>
    <xf numFmtId="0" fontId="4" fillId="0" borderId="0"/>
    <xf numFmtId="0" fontId="4" fillId="0" borderId="0"/>
    <xf numFmtId="0" fontId="4" fillId="0" borderId="0"/>
    <xf numFmtId="0" fontId="4" fillId="0" borderId="0"/>
    <xf numFmtId="0" fontId="4" fillId="0" borderId="0"/>
    <xf numFmtId="180" fontId="4" fillId="0" borderId="0"/>
    <xf numFmtId="180" fontId="4" fillId="0" borderId="0"/>
    <xf numFmtId="0" fontId="4" fillId="0" borderId="0"/>
    <xf numFmtId="180" fontId="4" fillId="0" borderId="0"/>
    <xf numFmtId="180" fontId="4" fillId="0" borderId="0"/>
    <xf numFmtId="180" fontId="4" fillId="0" borderId="0"/>
    <xf numFmtId="0" fontId="4" fillId="0" borderId="0"/>
    <xf numFmtId="180" fontId="4" fillId="0" borderId="0"/>
    <xf numFmtId="180" fontId="4" fillId="0" borderId="0"/>
    <xf numFmtId="9"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2" fontId="4" fillId="0" borderId="0" applyFont="0" applyFill="0" applyBorder="0" applyAlignment="0" applyProtection="0"/>
    <xf numFmtId="173" fontId="4" fillId="0" borderId="0" applyFont="0" applyFill="0" applyBorder="0" applyAlignment="0" applyProtection="0"/>
    <xf numFmtId="180" fontId="4" fillId="0" borderId="0"/>
    <xf numFmtId="0" fontId="4" fillId="0" borderId="0"/>
    <xf numFmtId="0" fontId="4" fillId="0" borderId="0"/>
    <xf numFmtId="0" fontId="4" fillId="0" borderId="0"/>
    <xf numFmtId="0" fontId="4" fillId="0" borderId="0"/>
    <xf numFmtId="0" fontId="4" fillId="0" borderId="0"/>
    <xf numFmtId="180" fontId="4" fillId="0" borderId="0"/>
    <xf numFmtId="180" fontId="4" fillId="0" borderId="0"/>
    <xf numFmtId="0" fontId="4" fillId="0" borderId="0"/>
    <xf numFmtId="180" fontId="4" fillId="0" borderId="0"/>
    <xf numFmtId="180" fontId="4" fillId="0" borderId="0"/>
    <xf numFmtId="180" fontId="4" fillId="0" borderId="0"/>
    <xf numFmtId="0" fontId="4" fillId="0" borderId="0"/>
    <xf numFmtId="180" fontId="4" fillId="0" borderId="0"/>
    <xf numFmtId="180" fontId="4" fillId="0" borderId="0"/>
    <xf numFmtId="9"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2" fontId="4" fillId="0" borderId="0" applyFont="0" applyFill="0" applyBorder="0" applyAlignment="0" applyProtection="0"/>
    <xf numFmtId="173" fontId="4" fillId="0" borderId="0" applyFont="0" applyFill="0" applyBorder="0" applyAlignment="0" applyProtection="0"/>
    <xf numFmtId="180" fontId="4" fillId="0" borderId="0"/>
    <xf numFmtId="0" fontId="4" fillId="0" borderId="0"/>
    <xf numFmtId="0" fontId="4" fillId="0" borderId="0"/>
    <xf numFmtId="0" fontId="4" fillId="0" borderId="0"/>
    <xf numFmtId="0" fontId="4" fillId="0" borderId="0"/>
    <xf numFmtId="0" fontId="4" fillId="0" borderId="0"/>
    <xf numFmtId="180" fontId="4" fillId="0" borderId="0"/>
    <xf numFmtId="180" fontId="4" fillId="0" borderId="0"/>
    <xf numFmtId="0" fontId="4" fillId="0" borderId="0"/>
    <xf numFmtId="180" fontId="4" fillId="0" borderId="0"/>
    <xf numFmtId="180" fontId="4" fillId="0" borderId="0"/>
    <xf numFmtId="180" fontId="4" fillId="0" borderId="0"/>
    <xf numFmtId="0" fontId="4" fillId="0" borderId="0"/>
    <xf numFmtId="180" fontId="4" fillId="0" borderId="0"/>
    <xf numFmtId="180" fontId="4" fillId="0" borderId="0"/>
    <xf numFmtId="9"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2" fontId="4" fillId="0" borderId="0" applyFont="0" applyFill="0" applyBorder="0" applyAlignment="0" applyProtection="0"/>
    <xf numFmtId="173" fontId="4" fillId="0" borderId="0" applyFont="0" applyFill="0" applyBorder="0" applyAlignment="0" applyProtection="0"/>
    <xf numFmtId="180" fontId="4" fillId="0" borderId="0"/>
    <xf numFmtId="0" fontId="4" fillId="0" borderId="0"/>
    <xf numFmtId="0" fontId="4" fillId="0" borderId="0"/>
    <xf numFmtId="0" fontId="4" fillId="0" borderId="0"/>
    <xf numFmtId="0" fontId="4" fillId="0" borderId="0"/>
    <xf numFmtId="0" fontId="4" fillId="0" borderId="0"/>
    <xf numFmtId="180" fontId="4" fillId="0" borderId="0"/>
    <xf numFmtId="180" fontId="4" fillId="0" borderId="0"/>
    <xf numFmtId="0" fontId="4" fillId="0" borderId="0"/>
    <xf numFmtId="180" fontId="4" fillId="0" borderId="0"/>
    <xf numFmtId="180" fontId="4" fillId="0" borderId="0"/>
    <xf numFmtId="180" fontId="4" fillId="0" borderId="0"/>
    <xf numFmtId="0" fontId="4" fillId="0" borderId="0"/>
    <xf numFmtId="180" fontId="4" fillId="0" borderId="0"/>
    <xf numFmtId="180" fontId="4" fillId="0" borderId="0"/>
    <xf numFmtId="9"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2" fontId="4" fillId="0" borderId="0" applyFont="0" applyFill="0" applyBorder="0" applyAlignment="0" applyProtection="0"/>
    <xf numFmtId="173" fontId="4" fillId="0" borderId="0" applyFont="0" applyFill="0" applyBorder="0" applyAlignment="0" applyProtection="0"/>
    <xf numFmtId="180" fontId="4" fillId="0" borderId="0"/>
    <xf numFmtId="0" fontId="4" fillId="0" borderId="0"/>
    <xf numFmtId="0" fontId="4" fillId="0" borderId="0"/>
    <xf numFmtId="0" fontId="4" fillId="0" borderId="0"/>
    <xf numFmtId="0" fontId="4" fillId="0" borderId="0"/>
    <xf numFmtId="0" fontId="4" fillId="0" borderId="0"/>
    <xf numFmtId="180" fontId="4" fillId="0" borderId="0"/>
    <xf numFmtId="180" fontId="4" fillId="0" borderId="0"/>
    <xf numFmtId="0" fontId="4" fillId="0" borderId="0"/>
    <xf numFmtId="180" fontId="4" fillId="0" borderId="0"/>
    <xf numFmtId="180" fontId="4" fillId="0" borderId="0"/>
    <xf numFmtId="180" fontId="4" fillId="0" borderId="0"/>
    <xf numFmtId="0" fontId="4" fillId="0" borderId="0"/>
    <xf numFmtId="180" fontId="4" fillId="0" borderId="0"/>
    <xf numFmtId="180" fontId="4" fillId="0" borderId="0"/>
    <xf numFmtId="9" fontId="4" fillId="0" borderId="0" applyFont="0" applyFill="0" applyBorder="0" applyAlignment="0" applyProtection="0"/>
    <xf numFmtId="18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80" fontId="4" fillId="0" borderId="0"/>
    <xf numFmtId="180" fontId="4" fillId="0" borderId="0"/>
    <xf numFmtId="0" fontId="4" fillId="0" borderId="0"/>
    <xf numFmtId="180" fontId="4" fillId="0" borderId="0"/>
    <xf numFmtId="180" fontId="4" fillId="0" borderId="0"/>
    <xf numFmtId="180" fontId="4" fillId="0" borderId="0"/>
    <xf numFmtId="0" fontId="4" fillId="0" borderId="0"/>
    <xf numFmtId="180" fontId="4" fillId="0" borderId="0"/>
    <xf numFmtId="180" fontId="4" fillId="0" borderId="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2" fontId="4" fillId="0" borderId="0" applyFont="0" applyFill="0" applyBorder="0" applyAlignment="0" applyProtection="0"/>
    <xf numFmtId="173" fontId="4" fillId="0" borderId="0" applyFont="0" applyFill="0" applyBorder="0" applyAlignment="0" applyProtection="0"/>
    <xf numFmtId="180" fontId="4" fillId="0" borderId="0"/>
    <xf numFmtId="0" fontId="4" fillId="0" borderId="0"/>
    <xf numFmtId="0" fontId="4" fillId="0" borderId="0"/>
    <xf numFmtId="0" fontId="4" fillId="0" borderId="0"/>
    <xf numFmtId="0" fontId="4" fillId="0" borderId="0"/>
    <xf numFmtId="0" fontId="4" fillId="0" borderId="0"/>
    <xf numFmtId="180" fontId="4" fillId="0" borderId="0"/>
    <xf numFmtId="180" fontId="4" fillId="0" borderId="0"/>
    <xf numFmtId="0" fontId="4" fillId="0" borderId="0"/>
    <xf numFmtId="180" fontId="4" fillId="0" borderId="0"/>
    <xf numFmtId="180" fontId="4" fillId="0" borderId="0"/>
    <xf numFmtId="180" fontId="4" fillId="0" borderId="0"/>
    <xf numFmtId="0" fontId="4" fillId="0" borderId="0"/>
    <xf numFmtId="180" fontId="4" fillId="0" borderId="0"/>
    <xf numFmtId="180" fontId="4" fillId="0" borderId="0"/>
    <xf numFmtId="9" fontId="4" fillId="0" borderId="0" applyFont="0" applyFill="0" applyBorder="0" applyAlignment="0" applyProtection="0"/>
    <xf numFmtId="0" fontId="4" fillId="0" borderId="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2" fontId="4" fillId="0" borderId="0" applyFont="0" applyFill="0" applyBorder="0" applyAlignment="0" applyProtection="0"/>
    <xf numFmtId="173" fontId="4" fillId="0" borderId="0" applyFont="0" applyFill="0" applyBorder="0" applyAlignment="0" applyProtection="0"/>
    <xf numFmtId="180" fontId="4" fillId="0" borderId="0"/>
    <xf numFmtId="0" fontId="4" fillId="0" borderId="0"/>
    <xf numFmtId="0" fontId="4" fillId="0" borderId="0"/>
    <xf numFmtId="0" fontId="4" fillId="0" borderId="0"/>
    <xf numFmtId="0" fontId="4" fillId="0" borderId="0"/>
    <xf numFmtId="0" fontId="4" fillId="0" borderId="0"/>
    <xf numFmtId="180" fontId="4" fillId="0" borderId="0"/>
    <xf numFmtId="180" fontId="4" fillId="0" borderId="0"/>
    <xf numFmtId="0" fontId="4" fillId="0" borderId="0"/>
    <xf numFmtId="180" fontId="4" fillId="0" borderId="0"/>
    <xf numFmtId="180" fontId="4" fillId="0" borderId="0"/>
    <xf numFmtId="180" fontId="4" fillId="0" borderId="0"/>
    <xf numFmtId="0" fontId="4" fillId="0" borderId="0"/>
    <xf numFmtId="180" fontId="4" fillId="0" borderId="0"/>
    <xf numFmtId="180" fontId="4" fillId="0" borderId="0"/>
    <xf numFmtId="9"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2" fontId="4" fillId="0" borderId="0" applyFont="0" applyFill="0" applyBorder="0" applyAlignment="0" applyProtection="0"/>
    <xf numFmtId="173" fontId="4" fillId="0" borderId="0" applyFont="0" applyFill="0" applyBorder="0" applyAlignment="0" applyProtection="0"/>
    <xf numFmtId="180" fontId="4" fillId="0" borderId="0"/>
    <xf numFmtId="0" fontId="4" fillId="0" borderId="0"/>
    <xf numFmtId="0" fontId="4" fillId="0" borderId="0"/>
    <xf numFmtId="0" fontId="4" fillId="0" borderId="0"/>
    <xf numFmtId="0" fontId="4" fillId="0" borderId="0"/>
    <xf numFmtId="0" fontId="4" fillId="0" borderId="0"/>
    <xf numFmtId="180" fontId="4" fillId="0" borderId="0"/>
    <xf numFmtId="180" fontId="4" fillId="0" borderId="0"/>
    <xf numFmtId="0" fontId="4" fillId="0" borderId="0"/>
    <xf numFmtId="180" fontId="4" fillId="0" borderId="0"/>
    <xf numFmtId="180" fontId="4" fillId="0" borderId="0"/>
    <xf numFmtId="180" fontId="4" fillId="0" borderId="0"/>
    <xf numFmtId="0" fontId="4" fillId="0" borderId="0"/>
    <xf numFmtId="180" fontId="4" fillId="0" borderId="0"/>
    <xf numFmtId="180" fontId="4" fillId="0" borderId="0"/>
    <xf numFmtId="9"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2" fontId="4" fillId="0" borderId="0" applyFont="0" applyFill="0" applyBorder="0" applyAlignment="0" applyProtection="0"/>
    <xf numFmtId="173" fontId="4" fillId="0" borderId="0" applyFont="0" applyFill="0" applyBorder="0" applyAlignment="0" applyProtection="0"/>
    <xf numFmtId="180" fontId="4" fillId="0" borderId="0"/>
    <xf numFmtId="0" fontId="4" fillId="0" borderId="0"/>
    <xf numFmtId="0" fontId="4" fillId="0" borderId="0"/>
    <xf numFmtId="0" fontId="4" fillId="0" borderId="0"/>
    <xf numFmtId="0" fontId="4" fillId="0" borderId="0"/>
    <xf numFmtId="0" fontId="4" fillId="0" borderId="0"/>
    <xf numFmtId="180" fontId="4" fillId="0" borderId="0"/>
    <xf numFmtId="180" fontId="4" fillId="0" borderId="0"/>
    <xf numFmtId="0" fontId="4" fillId="0" borderId="0"/>
    <xf numFmtId="180" fontId="4" fillId="0" borderId="0"/>
    <xf numFmtId="180" fontId="4" fillId="0" borderId="0"/>
    <xf numFmtId="180" fontId="4" fillId="0" borderId="0"/>
    <xf numFmtId="0" fontId="4" fillId="0" borderId="0"/>
    <xf numFmtId="180" fontId="4" fillId="0" borderId="0"/>
    <xf numFmtId="180" fontId="4" fillId="0" borderId="0"/>
    <xf numFmtId="9"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2" fontId="4" fillId="0" borderId="0" applyFont="0" applyFill="0" applyBorder="0" applyAlignment="0" applyProtection="0"/>
    <xf numFmtId="173" fontId="4" fillId="0" borderId="0" applyFont="0" applyFill="0" applyBorder="0" applyAlignment="0" applyProtection="0"/>
    <xf numFmtId="180" fontId="4" fillId="0" borderId="0"/>
    <xf numFmtId="0" fontId="4" fillId="0" borderId="0"/>
    <xf numFmtId="0" fontId="4" fillId="0" borderId="0"/>
    <xf numFmtId="0" fontId="4" fillId="0" borderId="0"/>
    <xf numFmtId="0" fontId="4" fillId="0" borderId="0"/>
    <xf numFmtId="0" fontId="4" fillId="0" borderId="0"/>
    <xf numFmtId="180" fontId="4" fillId="0" borderId="0"/>
    <xf numFmtId="180" fontId="4" fillId="0" borderId="0"/>
    <xf numFmtId="0" fontId="4" fillId="0" borderId="0"/>
    <xf numFmtId="180" fontId="4" fillId="0" borderId="0"/>
    <xf numFmtId="180" fontId="4" fillId="0" borderId="0"/>
    <xf numFmtId="180" fontId="4" fillId="0" borderId="0"/>
    <xf numFmtId="0" fontId="4" fillId="0" borderId="0"/>
    <xf numFmtId="180" fontId="4" fillId="0" borderId="0"/>
    <xf numFmtId="180" fontId="4" fillId="0" borderId="0"/>
    <xf numFmtId="9"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2" fontId="4" fillId="0" borderId="0" applyFont="0" applyFill="0" applyBorder="0" applyAlignment="0" applyProtection="0"/>
    <xf numFmtId="173" fontId="4" fillId="0" borderId="0" applyFont="0" applyFill="0" applyBorder="0" applyAlignment="0" applyProtection="0"/>
    <xf numFmtId="180" fontId="4" fillId="0" borderId="0"/>
    <xf numFmtId="0" fontId="4" fillId="0" borderId="0"/>
    <xf numFmtId="0" fontId="4" fillId="0" borderId="0"/>
    <xf numFmtId="0" fontId="4" fillId="0" borderId="0"/>
    <xf numFmtId="0" fontId="4" fillId="0" borderId="0"/>
    <xf numFmtId="0" fontId="4" fillId="0" borderId="0"/>
    <xf numFmtId="180" fontId="4" fillId="0" borderId="0"/>
    <xf numFmtId="180" fontId="4" fillId="0" borderId="0"/>
    <xf numFmtId="0" fontId="4" fillId="0" borderId="0"/>
    <xf numFmtId="180" fontId="4" fillId="0" borderId="0"/>
    <xf numFmtId="180" fontId="4" fillId="0" borderId="0"/>
    <xf numFmtId="180" fontId="4" fillId="0" borderId="0"/>
    <xf numFmtId="0" fontId="4" fillId="0" borderId="0"/>
    <xf numFmtId="180" fontId="4" fillId="0" borderId="0"/>
    <xf numFmtId="180" fontId="4" fillId="0" borderId="0"/>
    <xf numFmtId="9"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2" fontId="4" fillId="0" borderId="0" applyFont="0" applyFill="0" applyBorder="0" applyAlignment="0" applyProtection="0"/>
    <xf numFmtId="173" fontId="4" fillId="0" borderId="0" applyFont="0" applyFill="0" applyBorder="0" applyAlignment="0" applyProtection="0"/>
    <xf numFmtId="180" fontId="4" fillId="0" borderId="0"/>
    <xf numFmtId="0" fontId="4" fillId="0" borderId="0"/>
    <xf numFmtId="0" fontId="4" fillId="0" borderId="0"/>
    <xf numFmtId="0" fontId="4" fillId="0" borderId="0"/>
    <xf numFmtId="0" fontId="4" fillId="0" borderId="0"/>
    <xf numFmtId="0" fontId="4" fillId="0" borderId="0"/>
    <xf numFmtId="180" fontId="4" fillId="0" borderId="0"/>
    <xf numFmtId="180" fontId="4" fillId="0" borderId="0"/>
    <xf numFmtId="0" fontId="4" fillId="0" borderId="0"/>
    <xf numFmtId="180" fontId="4" fillId="0" borderId="0"/>
    <xf numFmtId="180" fontId="4" fillId="0" borderId="0"/>
    <xf numFmtId="180" fontId="4" fillId="0" borderId="0"/>
    <xf numFmtId="0" fontId="4" fillId="0" borderId="0"/>
    <xf numFmtId="180" fontId="4" fillId="0" borderId="0"/>
    <xf numFmtId="180" fontId="4" fillId="0" borderId="0"/>
    <xf numFmtId="9"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2" fontId="4" fillId="0" borderId="0" applyFont="0" applyFill="0" applyBorder="0" applyAlignment="0" applyProtection="0"/>
    <xf numFmtId="173" fontId="4" fillId="0" borderId="0" applyFont="0" applyFill="0" applyBorder="0" applyAlignment="0" applyProtection="0"/>
    <xf numFmtId="180" fontId="4" fillId="0" borderId="0"/>
    <xf numFmtId="0" fontId="4" fillId="0" borderId="0"/>
    <xf numFmtId="0" fontId="4" fillId="0" borderId="0"/>
    <xf numFmtId="0" fontId="4" fillId="0" borderId="0"/>
    <xf numFmtId="0" fontId="4" fillId="0" borderId="0"/>
    <xf numFmtId="0" fontId="4" fillId="0" borderId="0"/>
    <xf numFmtId="180" fontId="4" fillId="0" borderId="0"/>
    <xf numFmtId="180" fontId="4" fillId="0" borderId="0"/>
    <xf numFmtId="0" fontId="4" fillId="0" borderId="0"/>
    <xf numFmtId="180" fontId="4" fillId="0" borderId="0"/>
    <xf numFmtId="180" fontId="4" fillId="0" borderId="0"/>
    <xf numFmtId="180" fontId="4" fillId="0" borderId="0"/>
    <xf numFmtId="0" fontId="4" fillId="0" borderId="0"/>
    <xf numFmtId="180" fontId="4" fillId="0" borderId="0"/>
    <xf numFmtId="180" fontId="4" fillId="0" borderId="0"/>
    <xf numFmtId="9"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2" fontId="4" fillId="0" borderId="0" applyFont="0" applyFill="0" applyBorder="0" applyAlignment="0" applyProtection="0"/>
    <xf numFmtId="173" fontId="4" fillId="0" borderId="0" applyFont="0" applyFill="0" applyBorder="0" applyAlignment="0" applyProtection="0"/>
    <xf numFmtId="180" fontId="4" fillId="0" borderId="0"/>
    <xf numFmtId="0" fontId="4" fillId="0" borderId="0"/>
    <xf numFmtId="0" fontId="4" fillId="0" borderId="0"/>
    <xf numFmtId="0" fontId="4" fillId="0" borderId="0"/>
    <xf numFmtId="0" fontId="4" fillId="0" borderId="0"/>
    <xf numFmtId="0" fontId="4" fillId="0" borderId="0"/>
    <xf numFmtId="180" fontId="4" fillId="0" borderId="0"/>
    <xf numFmtId="180" fontId="4" fillId="0" borderId="0"/>
    <xf numFmtId="0" fontId="4" fillId="0" borderId="0"/>
    <xf numFmtId="180" fontId="4" fillId="0" borderId="0"/>
    <xf numFmtId="180" fontId="4" fillId="0" borderId="0"/>
    <xf numFmtId="180" fontId="4" fillId="0" borderId="0"/>
    <xf numFmtId="0" fontId="4" fillId="0" borderId="0"/>
    <xf numFmtId="180" fontId="4" fillId="0" borderId="0"/>
    <xf numFmtId="180" fontId="4" fillId="0" borderId="0"/>
    <xf numFmtId="9" fontId="4" fillId="0" borderId="0" applyFont="0" applyFill="0" applyBorder="0" applyAlignment="0" applyProtection="0"/>
    <xf numFmtId="0" fontId="4" fillId="0" borderId="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2" fontId="4" fillId="0" borderId="0" applyFont="0" applyFill="0" applyBorder="0" applyAlignment="0" applyProtection="0"/>
    <xf numFmtId="173" fontId="4" fillId="0" borderId="0" applyFont="0" applyFill="0" applyBorder="0" applyAlignment="0" applyProtection="0"/>
    <xf numFmtId="180" fontId="4" fillId="0" borderId="0"/>
    <xf numFmtId="0" fontId="4" fillId="0" borderId="0"/>
    <xf numFmtId="0" fontId="4" fillId="0" borderId="0"/>
    <xf numFmtId="0" fontId="4" fillId="0" borderId="0"/>
    <xf numFmtId="0" fontId="4" fillId="0" borderId="0"/>
    <xf numFmtId="0" fontId="4" fillId="0" borderId="0"/>
    <xf numFmtId="180" fontId="4" fillId="0" borderId="0"/>
    <xf numFmtId="180" fontId="4" fillId="0" borderId="0"/>
    <xf numFmtId="0" fontId="4" fillId="0" borderId="0"/>
    <xf numFmtId="180" fontId="4" fillId="0" borderId="0"/>
    <xf numFmtId="180" fontId="4" fillId="0" borderId="0"/>
    <xf numFmtId="180" fontId="4" fillId="0" borderId="0"/>
    <xf numFmtId="0" fontId="4" fillId="0" borderId="0"/>
    <xf numFmtId="180" fontId="4" fillId="0" borderId="0"/>
    <xf numFmtId="180" fontId="4" fillId="0" borderId="0"/>
    <xf numFmtId="9"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2" fontId="4" fillId="0" borderId="0" applyFont="0" applyFill="0" applyBorder="0" applyAlignment="0" applyProtection="0"/>
    <xf numFmtId="173" fontId="4" fillId="0" borderId="0" applyFont="0" applyFill="0" applyBorder="0" applyAlignment="0" applyProtection="0"/>
    <xf numFmtId="180" fontId="4" fillId="0" borderId="0"/>
    <xf numFmtId="0" fontId="4" fillId="0" borderId="0"/>
    <xf numFmtId="0" fontId="4" fillId="0" borderId="0"/>
    <xf numFmtId="0" fontId="4" fillId="0" borderId="0"/>
    <xf numFmtId="0" fontId="4" fillId="0" borderId="0"/>
    <xf numFmtId="0" fontId="4" fillId="0" borderId="0"/>
    <xf numFmtId="180" fontId="4" fillId="0" borderId="0"/>
    <xf numFmtId="180" fontId="4" fillId="0" borderId="0"/>
    <xf numFmtId="0" fontId="4" fillId="0" borderId="0"/>
    <xf numFmtId="180" fontId="4" fillId="0" borderId="0"/>
    <xf numFmtId="180" fontId="4" fillId="0" borderId="0"/>
    <xf numFmtId="180" fontId="4" fillId="0" borderId="0"/>
    <xf numFmtId="0" fontId="4" fillId="0" borderId="0"/>
    <xf numFmtId="180" fontId="4" fillId="0" borderId="0"/>
    <xf numFmtId="180" fontId="4" fillId="0" borderId="0"/>
    <xf numFmtId="9"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2" fontId="4" fillId="0" borderId="0" applyFont="0" applyFill="0" applyBorder="0" applyAlignment="0" applyProtection="0"/>
    <xf numFmtId="173" fontId="4" fillId="0" borderId="0" applyFont="0" applyFill="0" applyBorder="0" applyAlignment="0" applyProtection="0"/>
    <xf numFmtId="180" fontId="4" fillId="0" borderId="0"/>
    <xf numFmtId="0" fontId="4" fillId="0" borderId="0"/>
    <xf numFmtId="0" fontId="4" fillId="0" borderId="0"/>
    <xf numFmtId="0" fontId="4" fillId="0" borderId="0"/>
    <xf numFmtId="0" fontId="4" fillId="0" borderId="0"/>
    <xf numFmtId="0" fontId="4" fillId="0" borderId="0"/>
    <xf numFmtId="180" fontId="4" fillId="0" borderId="0"/>
    <xf numFmtId="180" fontId="4" fillId="0" borderId="0"/>
    <xf numFmtId="0" fontId="4" fillId="0" borderId="0"/>
    <xf numFmtId="180" fontId="4" fillId="0" borderId="0"/>
    <xf numFmtId="180" fontId="4" fillId="0" borderId="0"/>
    <xf numFmtId="180" fontId="4" fillId="0" borderId="0"/>
    <xf numFmtId="0" fontId="4" fillId="0" borderId="0"/>
    <xf numFmtId="180" fontId="4" fillId="0" borderId="0"/>
    <xf numFmtId="180" fontId="4" fillId="0" borderId="0"/>
    <xf numFmtId="9"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2" fontId="4" fillId="0" borderId="0" applyFont="0" applyFill="0" applyBorder="0" applyAlignment="0" applyProtection="0"/>
    <xf numFmtId="173" fontId="4" fillId="0" borderId="0" applyFont="0" applyFill="0" applyBorder="0" applyAlignment="0" applyProtection="0"/>
    <xf numFmtId="180" fontId="4" fillId="0" borderId="0"/>
    <xf numFmtId="0" fontId="4" fillId="0" borderId="0"/>
    <xf numFmtId="0" fontId="4" fillId="0" borderId="0"/>
    <xf numFmtId="0" fontId="4" fillId="0" borderId="0"/>
    <xf numFmtId="0" fontId="4" fillId="0" borderId="0"/>
    <xf numFmtId="0" fontId="4" fillId="0" borderId="0"/>
    <xf numFmtId="180" fontId="4" fillId="0" borderId="0"/>
    <xf numFmtId="180" fontId="4" fillId="0" borderId="0"/>
    <xf numFmtId="0" fontId="4" fillId="0" borderId="0"/>
    <xf numFmtId="180" fontId="4" fillId="0" borderId="0"/>
    <xf numFmtId="180" fontId="4" fillId="0" borderId="0"/>
    <xf numFmtId="180" fontId="4" fillId="0" borderId="0"/>
    <xf numFmtId="0" fontId="4" fillId="0" borderId="0"/>
    <xf numFmtId="180" fontId="4" fillId="0" borderId="0"/>
    <xf numFmtId="180" fontId="4" fillId="0" borderId="0"/>
    <xf numFmtId="9"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2" fontId="4" fillId="0" borderId="0" applyFont="0" applyFill="0" applyBorder="0" applyAlignment="0" applyProtection="0"/>
    <xf numFmtId="173" fontId="4" fillId="0" borderId="0" applyFont="0" applyFill="0" applyBorder="0" applyAlignment="0" applyProtection="0"/>
    <xf numFmtId="180" fontId="4" fillId="0" borderId="0"/>
    <xf numFmtId="0" fontId="4" fillId="0" borderId="0"/>
    <xf numFmtId="0" fontId="4" fillId="0" borderId="0"/>
    <xf numFmtId="0" fontId="4" fillId="0" borderId="0"/>
    <xf numFmtId="0" fontId="4" fillId="0" borderId="0"/>
    <xf numFmtId="0" fontId="4" fillId="0" borderId="0"/>
    <xf numFmtId="180" fontId="4" fillId="0" borderId="0"/>
    <xf numFmtId="180" fontId="4" fillId="0" borderId="0"/>
    <xf numFmtId="0" fontId="4" fillId="0" borderId="0"/>
    <xf numFmtId="180" fontId="4" fillId="0" borderId="0"/>
    <xf numFmtId="180" fontId="4" fillId="0" borderId="0"/>
    <xf numFmtId="180" fontId="4" fillId="0" borderId="0"/>
    <xf numFmtId="0" fontId="4" fillId="0" borderId="0"/>
    <xf numFmtId="180" fontId="4" fillId="0" borderId="0"/>
    <xf numFmtId="180" fontId="4" fillId="0" borderId="0"/>
    <xf numFmtId="9"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2" fontId="4" fillId="0" borderId="0" applyFont="0" applyFill="0" applyBorder="0" applyAlignment="0" applyProtection="0"/>
    <xf numFmtId="173" fontId="4" fillId="0" borderId="0" applyFont="0" applyFill="0" applyBorder="0" applyAlignment="0" applyProtection="0"/>
    <xf numFmtId="180" fontId="4" fillId="0" borderId="0"/>
    <xf numFmtId="0" fontId="4" fillId="0" borderId="0"/>
    <xf numFmtId="0" fontId="4" fillId="0" borderId="0"/>
    <xf numFmtId="0" fontId="4" fillId="0" borderId="0"/>
    <xf numFmtId="0" fontId="4" fillId="0" borderId="0"/>
    <xf numFmtId="0" fontId="4" fillId="0" borderId="0"/>
    <xf numFmtId="180" fontId="4" fillId="0" borderId="0"/>
    <xf numFmtId="180" fontId="4" fillId="0" borderId="0"/>
    <xf numFmtId="0" fontId="4" fillId="0" borderId="0"/>
    <xf numFmtId="180" fontId="4" fillId="0" borderId="0"/>
    <xf numFmtId="180" fontId="4" fillId="0" borderId="0"/>
    <xf numFmtId="180" fontId="4" fillId="0" borderId="0"/>
    <xf numFmtId="0" fontId="4" fillId="0" borderId="0"/>
    <xf numFmtId="180" fontId="4" fillId="0" borderId="0"/>
    <xf numFmtId="180" fontId="4" fillId="0" borderId="0"/>
    <xf numFmtId="9"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2" fontId="4" fillId="0" borderId="0" applyFont="0" applyFill="0" applyBorder="0" applyAlignment="0" applyProtection="0"/>
    <xf numFmtId="173" fontId="4" fillId="0" borderId="0" applyFont="0" applyFill="0" applyBorder="0" applyAlignment="0" applyProtection="0"/>
    <xf numFmtId="180" fontId="4" fillId="0" borderId="0"/>
    <xf numFmtId="0" fontId="4" fillId="0" borderId="0"/>
    <xf numFmtId="0" fontId="4" fillId="0" borderId="0"/>
    <xf numFmtId="0" fontId="4" fillId="0" borderId="0"/>
    <xf numFmtId="0" fontId="4" fillId="0" borderId="0"/>
    <xf numFmtId="0" fontId="4" fillId="0" borderId="0"/>
    <xf numFmtId="180" fontId="4" fillId="0" borderId="0"/>
    <xf numFmtId="180" fontId="4" fillId="0" borderId="0"/>
    <xf numFmtId="0" fontId="4" fillId="0" borderId="0"/>
    <xf numFmtId="180" fontId="4" fillId="0" borderId="0"/>
    <xf numFmtId="180" fontId="4" fillId="0" borderId="0"/>
    <xf numFmtId="180" fontId="4" fillId="0" borderId="0"/>
    <xf numFmtId="0" fontId="4" fillId="0" borderId="0"/>
    <xf numFmtId="180" fontId="4" fillId="0" borderId="0"/>
    <xf numFmtId="180" fontId="4" fillId="0" borderId="0"/>
    <xf numFmtId="9"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2" fontId="4" fillId="0" borderId="0" applyFont="0" applyFill="0" applyBorder="0" applyAlignment="0" applyProtection="0"/>
    <xf numFmtId="173" fontId="4" fillId="0" borderId="0" applyFont="0" applyFill="0" applyBorder="0" applyAlignment="0" applyProtection="0"/>
    <xf numFmtId="180" fontId="4" fillId="0" borderId="0"/>
    <xf numFmtId="0" fontId="4" fillId="0" borderId="0"/>
    <xf numFmtId="0" fontId="4" fillId="0" borderId="0"/>
    <xf numFmtId="0" fontId="4" fillId="0" borderId="0"/>
    <xf numFmtId="0" fontId="4" fillId="0" borderId="0"/>
    <xf numFmtId="0" fontId="4" fillId="0" borderId="0"/>
    <xf numFmtId="180" fontId="4" fillId="0" borderId="0"/>
    <xf numFmtId="180" fontId="4" fillId="0" borderId="0"/>
    <xf numFmtId="0" fontId="4" fillId="0" borderId="0"/>
    <xf numFmtId="180" fontId="4" fillId="0" borderId="0"/>
    <xf numFmtId="180" fontId="4" fillId="0" borderId="0"/>
    <xf numFmtId="180" fontId="4" fillId="0" borderId="0"/>
    <xf numFmtId="0" fontId="4" fillId="0" borderId="0"/>
    <xf numFmtId="180" fontId="4" fillId="0" borderId="0"/>
    <xf numFmtId="180" fontId="4" fillId="0" borderId="0"/>
    <xf numFmtId="9" fontId="4" fillId="0" borderId="0" applyFont="0" applyFill="0" applyBorder="0" applyAlignment="0" applyProtection="0"/>
    <xf numFmtId="170" fontId="4" fillId="0" borderId="0" applyFont="0" applyFill="0" applyBorder="0" applyAlignment="0" applyProtection="0"/>
    <xf numFmtId="43" fontId="4" fillId="0" borderId="0" applyFont="0" applyFill="0" applyBorder="0" applyAlignment="0" applyProtection="0"/>
    <xf numFmtId="0" fontId="4" fillId="0" borderId="0"/>
    <xf numFmtId="168" fontId="4" fillId="0" borderId="0" applyFont="0" applyFill="0" applyBorder="0" applyAlignment="0" applyProtection="0"/>
    <xf numFmtId="0" fontId="4" fillId="0" borderId="0"/>
    <xf numFmtId="180" fontId="4" fillId="0" borderId="0"/>
    <xf numFmtId="0" fontId="4" fillId="0" borderId="0"/>
    <xf numFmtId="0" fontId="4" fillId="0" borderId="0"/>
    <xf numFmtId="0" fontId="4" fillId="0" borderId="0"/>
    <xf numFmtId="0" fontId="4" fillId="0" borderId="0"/>
    <xf numFmtId="0" fontId="4" fillId="0" borderId="0"/>
    <xf numFmtId="180" fontId="4" fillId="0" borderId="0"/>
    <xf numFmtId="180" fontId="4" fillId="0" borderId="0"/>
    <xf numFmtId="180" fontId="4" fillId="0" borderId="0"/>
    <xf numFmtId="180" fontId="4" fillId="0" borderId="0"/>
    <xf numFmtId="180" fontId="4" fillId="0" borderId="0"/>
    <xf numFmtId="0" fontId="4" fillId="0" borderId="0"/>
    <xf numFmtId="180" fontId="4" fillId="0" borderId="0"/>
    <xf numFmtId="180" fontId="4" fillId="0" borderId="0"/>
    <xf numFmtId="168" fontId="4" fillId="0" borderId="0" applyFont="0" applyFill="0" applyBorder="0" applyAlignment="0" applyProtection="0"/>
    <xf numFmtId="180" fontId="4" fillId="0" borderId="0"/>
    <xf numFmtId="0" fontId="4" fillId="0" borderId="0"/>
    <xf numFmtId="0" fontId="4" fillId="0" borderId="0"/>
    <xf numFmtId="0" fontId="4" fillId="0" borderId="0"/>
    <xf numFmtId="0" fontId="4" fillId="0" borderId="0"/>
    <xf numFmtId="0" fontId="4" fillId="0" borderId="0"/>
    <xf numFmtId="180" fontId="4" fillId="0" borderId="0"/>
    <xf numFmtId="180" fontId="4" fillId="0" borderId="0"/>
    <xf numFmtId="0" fontId="4" fillId="0" borderId="0"/>
    <xf numFmtId="180" fontId="4" fillId="0" borderId="0"/>
    <xf numFmtId="180" fontId="4" fillId="0" borderId="0"/>
    <xf numFmtId="180" fontId="4" fillId="0" borderId="0"/>
    <xf numFmtId="0" fontId="4" fillId="0" borderId="0"/>
    <xf numFmtId="180" fontId="4" fillId="0" borderId="0"/>
    <xf numFmtId="180" fontId="4" fillId="0" borderId="0"/>
    <xf numFmtId="18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80" fontId="4" fillId="0" borderId="0"/>
    <xf numFmtId="180" fontId="4" fillId="0" borderId="0"/>
    <xf numFmtId="0" fontId="4" fillId="0" borderId="0"/>
    <xf numFmtId="180" fontId="4" fillId="0" borderId="0"/>
    <xf numFmtId="180" fontId="4" fillId="0" borderId="0"/>
    <xf numFmtId="180" fontId="4" fillId="0" borderId="0"/>
    <xf numFmtId="0" fontId="4" fillId="0" borderId="0"/>
    <xf numFmtId="180" fontId="4" fillId="0" borderId="0"/>
    <xf numFmtId="180" fontId="4" fillId="0" borderId="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2" fontId="4" fillId="0" borderId="0" applyFont="0" applyFill="0" applyBorder="0" applyAlignment="0" applyProtection="0"/>
    <xf numFmtId="173" fontId="4" fillId="0" borderId="0" applyFont="0" applyFill="0" applyBorder="0" applyAlignment="0" applyProtection="0"/>
    <xf numFmtId="180" fontId="4" fillId="0" borderId="0"/>
    <xf numFmtId="0" fontId="4" fillId="0" borderId="0"/>
    <xf numFmtId="0" fontId="4" fillId="0" borderId="0"/>
    <xf numFmtId="0" fontId="4" fillId="0" borderId="0"/>
    <xf numFmtId="0" fontId="4" fillId="0" borderId="0"/>
    <xf numFmtId="0" fontId="4" fillId="0" borderId="0"/>
    <xf numFmtId="180" fontId="4" fillId="0" borderId="0"/>
    <xf numFmtId="180" fontId="4" fillId="0" borderId="0"/>
    <xf numFmtId="0" fontId="4" fillId="0" borderId="0"/>
    <xf numFmtId="180" fontId="4" fillId="0" borderId="0"/>
    <xf numFmtId="180" fontId="4" fillId="0" borderId="0"/>
    <xf numFmtId="180" fontId="4" fillId="0" borderId="0"/>
    <xf numFmtId="0" fontId="4" fillId="0" borderId="0"/>
    <xf numFmtId="180" fontId="4" fillId="0" borderId="0"/>
    <xf numFmtId="180" fontId="4" fillId="0" borderId="0"/>
    <xf numFmtId="9" fontId="4" fillId="0" borderId="0" applyFont="0" applyFill="0" applyBorder="0" applyAlignment="0" applyProtection="0"/>
    <xf numFmtId="0" fontId="4" fillId="0" borderId="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2" fontId="4" fillId="0" borderId="0" applyFont="0" applyFill="0" applyBorder="0" applyAlignment="0" applyProtection="0"/>
    <xf numFmtId="173" fontId="4" fillId="0" borderId="0" applyFont="0" applyFill="0" applyBorder="0" applyAlignment="0" applyProtection="0"/>
    <xf numFmtId="180" fontId="4" fillId="0" borderId="0"/>
    <xf numFmtId="0" fontId="4" fillId="0" borderId="0"/>
    <xf numFmtId="0" fontId="4" fillId="0" borderId="0"/>
    <xf numFmtId="0" fontId="4" fillId="0" borderId="0"/>
    <xf numFmtId="0" fontId="4" fillId="0" borderId="0"/>
    <xf numFmtId="0" fontId="4" fillId="0" borderId="0"/>
    <xf numFmtId="180" fontId="4" fillId="0" borderId="0"/>
    <xf numFmtId="180" fontId="4" fillId="0" borderId="0"/>
    <xf numFmtId="0" fontId="4" fillId="0" borderId="0"/>
    <xf numFmtId="180" fontId="4" fillId="0" borderId="0"/>
    <xf numFmtId="180" fontId="4" fillId="0" borderId="0"/>
    <xf numFmtId="180" fontId="4" fillId="0" borderId="0"/>
    <xf numFmtId="0" fontId="4" fillId="0" borderId="0"/>
    <xf numFmtId="180" fontId="4" fillId="0" borderId="0"/>
    <xf numFmtId="180" fontId="4" fillId="0" borderId="0"/>
    <xf numFmtId="9"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2" fontId="4" fillId="0" borderId="0" applyFont="0" applyFill="0" applyBorder="0" applyAlignment="0" applyProtection="0"/>
    <xf numFmtId="173" fontId="4" fillId="0" borderId="0" applyFont="0" applyFill="0" applyBorder="0" applyAlignment="0" applyProtection="0"/>
    <xf numFmtId="180" fontId="4" fillId="0" borderId="0"/>
    <xf numFmtId="0" fontId="4" fillId="0" borderId="0"/>
    <xf numFmtId="0" fontId="4" fillId="0" borderId="0"/>
    <xf numFmtId="0" fontId="4" fillId="0" borderId="0"/>
    <xf numFmtId="0" fontId="4" fillId="0" borderId="0"/>
    <xf numFmtId="0" fontId="4" fillId="0" borderId="0"/>
    <xf numFmtId="180" fontId="4" fillId="0" borderId="0"/>
    <xf numFmtId="180" fontId="4" fillId="0" borderId="0"/>
    <xf numFmtId="0" fontId="4" fillId="0" borderId="0"/>
    <xf numFmtId="180" fontId="4" fillId="0" borderId="0"/>
    <xf numFmtId="180" fontId="4" fillId="0" borderId="0"/>
    <xf numFmtId="180" fontId="4" fillId="0" borderId="0"/>
    <xf numFmtId="0" fontId="4" fillId="0" borderId="0"/>
    <xf numFmtId="180" fontId="4" fillId="0" borderId="0"/>
    <xf numFmtId="180" fontId="4" fillId="0" borderId="0"/>
    <xf numFmtId="9"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2" fontId="4" fillId="0" borderId="0" applyFont="0" applyFill="0" applyBorder="0" applyAlignment="0" applyProtection="0"/>
    <xf numFmtId="173" fontId="4" fillId="0" borderId="0" applyFont="0" applyFill="0" applyBorder="0" applyAlignment="0" applyProtection="0"/>
    <xf numFmtId="180" fontId="4" fillId="0" borderId="0"/>
    <xf numFmtId="0" fontId="4" fillId="0" borderId="0"/>
    <xf numFmtId="0" fontId="4" fillId="0" borderId="0"/>
    <xf numFmtId="0" fontId="4" fillId="0" borderId="0"/>
    <xf numFmtId="0" fontId="4" fillId="0" borderId="0"/>
    <xf numFmtId="0" fontId="4" fillId="0" borderId="0"/>
    <xf numFmtId="180" fontId="4" fillId="0" borderId="0"/>
    <xf numFmtId="180" fontId="4" fillId="0" borderId="0"/>
    <xf numFmtId="0" fontId="4" fillId="0" borderId="0"/>
    <xf numFmtId="180" fontId="4" fillId="0" borderId="0"/>
    <xf numFmtId="180" fontId="4" fillId="0" borderId="0"/>
    <xf numFmtId="180" fontId="4" fillId="0" borderId="0"/>
    <xf numFmtId="0" fontId="4" fillId="0" borderId="0"/>
    <xf numFmtId="180" fontId="4" fillId="0" borderId="0"/>
    <xf numFmtId="180" fontId="4" fillId="0" borderId="0"/>
    <xf numFmtId="9"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2" fontId="4" fillId="0" borderId="0" applyFont="0" applyFill="0" applyBorder="0" applyAlignment="0" applyProtection="0"/>
    <xf numFmtId="173" fontId="4" fillId="0" borderId="0" applyFont="0" applyFill="0" applyBorder="0" applyAlignment="0" applyProtection="0"/>
    <xf numFmtId="180" fontId="4" fillId="0" borderId="0"/>
    <xf numFmtId="0" fontId="4" fillId="0" borderId="0"/>
    <xf numFmtId="0" fontId="4" fillId="0" borderId="0"/>
    <xf numFmtId="0" fontId="4" fillId="0" borderId="0"/>
    <xf numFmtId="0" fontId="4" fillId="0" borderId="0"/>
    <xf numFmtId="0" fontId="4" fillId="0" borderId="0"/>
    <xf numFmtId="180" fontId="4" fillId="0" borderId="0"/>
    <xf numFmtId="180" fontId="4" fillId="0" borderId="0"/>
    <xf numFmtId="0" fontId="4" fillId="0" borderId="0"/>
    <xf numFmtId="180" fontId="4" fillId="0" borderId="0"/>
    <xf numFmtId="180" fontId="4" fillId="0" borderId="0"/>
    <xf numFmtId="180" fontId="4" fillId="0" borderId="0"/>
    <xf numFmtId="0" fontId="4" fillId="0" borderId="0"/>
    <xf numFmtId="180" fontId="4" fillId="0" borderId="0"/>
    <xf numFmtId="180" fontId="4" fillId="0" borderId="0"/>
    <xf numFmtId="9"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2" fontId="4" fillId="0" borderId="0" applyFont="0" applyFill="0" applyBorder="0" applyAlignment="0" applyProtection="0"/>
    <xf numFmtId="173" fontId="4" fillId="0" borderId="0" applyFont="0" applyFill="0" applyBorder="0" applyAlignment="0" applyProtection="0"/>
    <xf numFmtId="180" fontId="4" fillId="0" borderId="0"/>
    <xf numFmtId="0" fontId="4" fillId="0" borderId="0"/>
    <xf numFmtId="0" fontId="4" fillId="0" borderId="0"/>
    <xf numFmtId="0" fontId="4" fillId="0" borderId="0"/>
    <xf numFmtId="0" fontId="4" fillId="0" borderId="0"/>
    <xf numFmtId="0" fontId="4" fillId="0" borderId="0"/>
    <xf numFmtId="180" fontId="4" fillId="0" borderId="0"/>
    <xf numFmtId="180" fontId="4" fillId="0" borderId="0"/>
    <xf numFmtId="0" fontId="4" fillId="0" borderId="0"/>
    <xf numFmtId="180" fontId="4" fillId="0" borderId="0"/>
    <xf numFmtId="180" fontId="4" fillId="0" borderId="0"/>
    <xf numFmtId="180" fontId="4" fillId="0" borderId="0"/>
    <xf numFmtId="0" fontId="4" fillId="0" borderId="0"/>
    <xf numFmtId="180" fontId="4" fillId="0" borderId="0"/>
    <xf numFmtId="180" fontId="4" fillId="0" borderId="0"/>
    <xf numFmtId="9"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2" fontId="4" fillId="0" borderId="0" applyFont="0" applyFill="0" applyBorder="0" applyAlignment="0" applyProtection="0"/>
    <xf numFmtId="173" fontId="4" fillId="0" borderId="0" applyFont="0" applyFill="0" applyBorder="0" applyAlignment="0" applyProtection="0"/>
    <xf numFmtId="180" fontId="4" fillId="0" borderId="0"/>
    <xf numFmtId="0" fontId="4" fillId="0" borderId="0"/>
    <xf numFmtId="0" fontId="4" fillId="0" borderId="0"/>
    <xf numFmtId="0" fontId="4" fillId="0" borderId="0"/>
    <xf numFmtId="0" fontId="4" fillId="0" borderId="0"/>
    <xf numFmtId="0" fontId="4" fillId="0" borderId="0"/>
    <xf numFmtId="180" fontId="4" fillId="0" borderId="0"/>
    <xf numFmtId="180" fontId="4" fillId="0" borderId="0"/>
    <xf numFmtId="0" fontId="4" fillId="0" borderId="0"/>
    <xf numFmtId="180" fontId="4" fillId="0" borderId="0"/>
    <xf numFmtId="180" fontId="4" fillId="0" borderId="0"/>
    <xf numFmtId="180" fontId="4" fillId="0" borderId="0"/>
    <xf numFmtId="0" fontId="4" fillId="0" borderId="0"/>
    <xf numFmtId="180" fontId="4" fillId="0" borderId="0"/>
    <xf numFmtId="180" fontId="4" fillId="0" borderId="0"/>
    <xf numFmtId="9"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2" fontId="4" fillId="0" borderId="0" applyFont="0" applyFill="0" applyBorder="0" applyAlignment="0" applyProtection="0"/>
    <xf numFmtId="173" fontId="4" fillId="0" borderId="0" applyFont="0" applyFill="0" applyBorder="0" applyAlignment="0" applyProtection="0"/>
    <xf numFmtId="180" fontId="4" fillId="0" borderId="0"/>
    <xf numFmtId="0" fontId="4" fillId="0" borderId="0"/>
    <xf numFmtId="0" fontId="4" fillId="0" borderId="0"/>
    <xf numFmtId="0" fontId="4" fillId="0" borderId="0"/>
    <xf numFmtId="0" fontId="4" fillId="0" borderId="0"/>
    <xf numFmtId="0" fontId="4" fillId="0" borderId="0"/>
    <xf numFmtId="180" fontId="4" fillId="0" borderId="0"/>
    <xf numFmtId="180" fontId="4" fillId="0" borderId="0"/>
    <xf numFmtId="0" fontId="4" fillId="0" borderId="0"/>
    <xf numFmtId="180" fontId="4" fillId="0" borderId="0"/>
    <xf numFmtId="180" fontId="4" fillId="0" borderId="0"/>
    <xf numFmtId="180" fontId="4" fillId="0" borderId="0"/>
    <xf numFmtId="0" fontId="4" fillId="0" borderId="0"/>
    <xf numFmtId="180" fontId="4" fillId="0" borderId="0"/>
    <xf numFmtId="180" fontId="4" fillId="0" borderId="0"/>
    <xf numFmtId="9" fontId="4" fillId="0" borderId="0" applyFont="0" applyFill="0" applyBorder="0" applyAlignment="0" applyProtection="0"/>
    <xf numFmtId="18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80" fontId="4" fillId="0" borderId="0"/>
    <xf numFmtId="180" fontId="4" fillId="0" borderId="0"/>
    <xf numFmtId="0" fontId="4" fillId="0" borderId="0"/>
    <xf numFmtId="180" fontId="4" fillId="0" borderId="0"/>
    <xf numFmtId="180" fontId="4" fillId="0" borderId="0"/>
    <xf numFmtId="180" fontId="4" fillId="0" borderId="0"/>
    <xf numFmtId="0" fontId="4" fillId="0" borderId="0"/>
    <xf numFmtId="180" fontId="4" fillId="0" borderId="0"/>
    <xf numFmtId="180" fontId="4" fillId="0" borderId="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2" fontId="4" fillId="0" borderId="0" applyFont="0" applyFill="0" applyBorder="0" applyAlignment="0" applyProtection="0"/>
    <xf numFmtId="173" fontId="4" fillId="0" borderId="0" applyFont="0" applyFill="0" applyBorder="0" applyAlignment="0" applyProtection="0"/>
    <xf numFmtId="180" fontId="4" fillId="0" borderId="0"/>
    <xf numFmtId="0" fontId="4" fillId="0" borderId="0"/>
    <xf numFmtId="0" fontId="4" fillId="0" borderId="0"/>
    <xf numFmtId="0" fontId="4" fillId="0" borderId="0"/>
    <xf numFmtId="0" fontId="4" fillId="0" borderId="0"/>
    <xf numFmtId="0" fontId="4" fillId="0" borderId="0"/>
    <xf numFmtId="180" fontId="4" fillId="0" borderId="0"/>
    <xf numFmtId="180" fontId="4" fillId="0" borderId="0"/>
    <xf numFmtId="0" fontId="4" fillId="0" borderId="0"/>
    <xf numFmtId="180" fontId="4" fillId="0" borderId="0"/>
    <xf numFmtId="180" fontId="4" fillId="0" borderId="0"/>
    <xf numFmtId="180" fontId="4" fillId="0" borderId="0"/>
    <xf numFmtId="0" fontId="4" fillId="0" borderId="0"/>
    <xf numFmtId="180" fontId="4" fillId="0" borderId="0"/>
    <xf numFmtId="180" fontId="4" fillId="0" borderId="0"/>
    <xf numFmtId="9" fontId="4" fillId="0" borderId="0" applyFont="0" applyFill="0" applyBorder="0" applyAlignment="0" applyProtection="0"/>
    <xf numFmtId="0" fontId="4" fillId="0" borderId="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2" fontId="4" fillId="0" borderId="0" applyFont="0" applyFill="0" applyBorder="0" applyAlignment="0" applyProtection="0"/>
    <xf numFmtId="173" fontId="4" fillId="0" borderId="0" applyFont="0" applyFill="0" applyBorder="0" applyAlignment="0" applyProtection="0"/>
    <xf numFmtId="180" fontId="4" fillId="0" borderId="0"/>
    <xf numFmtId="0" fontId="4" fillId="0" borderId="0"/>
    <xf numFmtId="0" fontId="4" fillId="0" borderId="0"/>
    <xf numFmtId="0" fontId="4" fillId="0" borderId="0"/>
    <xf numFmtId="0" fontId="4" fillId="0" borderId="0"/>
    <xf numFmtId="0" fontId="4" fillId="0" borderId="0"/>
    <xf numFmtId="180" fontId="4" fillId="0" borderId="0"/>
    <xf numFmtId="180" fontId="4" fillId="0" borderId="0"/>
    <xf numFmtId="0" fontId="4" fillId="0" borderId="0"/>
    <xf numFmtId="180" fontId="4" fillId="0" borderId="0"/>
    <xf numFmtId="180" fontId="4" fillId="0" borderId="0"/>
    <xf numFmtId="180" fontId="4" fillId="0" borderId="0"/>
    <xf numFmtId="0" fontId="4" fillId="0" borderId="0"/>
    <xf numFmtId="180" fontId="4" fillId="0" borderId="0"/>
    <xf numFmtId="180" fontId="4" fillId="0" borderId="0"/>
    <xf numFmtId="9"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2" fontId="4" fillId="0" borderId="0" applyFont="0" applyFill="0" applyBorder="0" applyAlignment="0" applyProtection="0"/>
    <xf numFmtId="173" fontId="4" fillId="0" borderId="0" applyFont="0" applyFill="0" applyBorder="0" applyAlignment="0" applyProtection="0"/>
    <xf numFmtId="180" fontId="4" fillId="0" borderId="0"/>
    <xf numFmtId="0" fontId="4" fillId="0" borderId="0"/>
    <xf numFmtId="0" fontId="4" fillId="0" borderId="0"/>
    <xf numFmtId="0" fontId="4" fillId="0" borderId="0"/>
    <xf numFmtId="0" fontId="4" fillId="0" borderId="0"/>
    <xf numFmtId="0" fontId="4" fillId="0" borderId="0"/>
    <xf numFmtId="180" fontId="4" fillId="0" borderId="0"/>
    <xf numFmtId="180" fontId="4" fillId="0" borderId="0"/>
    <xf numFmtId="0" fontId="4" fillId="0" borderId="0"/>
    <xf numFmtId="180" fontId="4" fillId="0" borderId="0"/>
    <xf numFmtId="180" fontId="4" fillId="0" borderId="0"/>
    <xf numFmtId="180" fontId="4" fillId="0" borderId="0"/>
    <xf numFmtId="0" fontId="4" fillId="0" borderId="0"/>
    <xf numFmtId="180" fontId="4" fillId="0" borderId="0"/>
    <xf numFmtId="180" fontId="4" fillId="0" borderId="0"/>
    <xf numFmtId="9"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2" fontId="4" fillId="0" borderId="0" applyFont="0" applyFill="0" applyBorder="0" applyAlignment="0" applyProtection="0"/>
    <xf numFmtId="173" fontId="4" fillId="0" borderId="0" applyFont="0" applyFill="0" applyBorder="0" applyAlignment="0" applyProtection="0"/>
    <xf numFmtId="180" fontId="4" fillId="0" borderId="0"/>
    <xf numFmtId="0" fontId="4" fillId="0" borderId="0"/>
    <xf numFmtId="0" fontId="4" fillId="0" borderId="0"/>
    <xf numFmtId="0" fontId="4" fillId="0" borderId="0"/>
    <xf numFmtId="0" fontId="4" fillId="0" borderId="0"/>
    <xf numFmtId="0" fontId="4" fillId="0" borderId="0"/>
    <xf numFmtId="180" fontId="4" fillId="0" borderId="0"/>
    <xf numFmtId="180" fontId="4" fillId="0" borderId="0"/>
    <xf numFmtId="0" fontId="4" fillId="0" borderId="0"/>
    <xf numFmtId="180" fontId="4" fillId="0" borderId="0"/>
    <xf numFmtId="180" fontId="4" fillId="0" borderId="0"/>
    <xf numFmtId="180" fontId="4" fillId="0" borderId="0"/>
    <xf numFmtId="0" fontId="4" fillId="0" borderId="0"/>
    <xf numFmtId="180" fontId="4" fillId="0" borderId="0"/>
    <xf numFmtId="180" fontId="4" fillId="0" borderId="0"/>
    <xf numFmtId="9"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2" fontId="4" fillId="0" borderId="0" applyFont="0" applyFill="0" applyBorder="0" applyAlignment="0" applyProtection="0"/>
    <xf numFmtId="173" fontId="4" fillId="0" borderId="0" applyFont="0" applyFill="0" applyBorder="0" applyAlignment="0" applyProtection="0"/>
    <xf numFmtId="180" fontId="4" fillId="0" borderId="0"/>
    <xf numFmtId="0" fontId="4" fillId="0" borderId="0"/>
    <xf numFmtId="0" fontId="4" fillId="0" borderId="0"/>
    <xf numFmtId="0" fontId="4" fillId="0" borderId="0"/>
    <xf numFmtId="0" fontId="4" fillId="0" borderId="0"/>
    <xf numFmtId="0" fontId="4" fillId="0" borderId="0"/>
    <xf numFmtId="180" fontId="4" fillId="0" borderId="0"/>
    <xf numFmtId="180" fontId="4" fillId="0" borderId="0"/>
    <xf numFmtId="0" fontId="4" fillId="0" borderId="0"/>
    <xf numFmtId="180" fontId="4" fillId="0" borderId="0"/>
    <xf numFmtId="180" fontId="4" fillId="0" borderId="0"/>
    <xf numFmtId="180" fontId="4" fillId="0" borderId="0"/>
    <xf numFmtId="0" fontId="4" fillId="0" borderId="0"/>
    <xf numFmtId="180" fontId="4" fillId="0" borderId="0"/>
    <xf numFmtId="180" fontId="4" fillId="0" borderId="0"/>
    <xf numFmtId="9"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2" fontId="4" fillId="0" borderId="0" applyFont="0" applyFill="0" applyBorder="0" applyAlignment="0" applyProtection="0"/>
    <xf numFmtId="173" fontId="4" fillId="0" borderId="0" applyFont="0" applyFill="0" applyBorder="0" applyAlignment="0" applyProtection="0"/>
    <xf numFmtId="180" fontId="4" fillId="0" borderId="0"/>
    <xf numFmtId="0" fontId="4" fillId="0" borderId="0"/>
    <xf numFmtId="0" fontId="4" fillId="0" borderId="0"/>
    <xf numFmtId="0" fontId="4" fillId="0" borderId="0"/>
    <xf numFmtId="0" fontId="4" fillId="0" borderId="0"/>
    <xf numFmtId="0" fontId="4" fillId="0" borderId="0"/>
    <xf numFmtId="180" fontId="4" fillId="0" borderId="0"/>
    <xf numFmtId="180" fontId="4" fillId="0" borderId="0"/>
    <xf numFmtId="0" fontId="4" fillId="0" borderId="0"/>
    <xf numFmtId="180" fontId="4" fillId="0" borderId="0"/>
    <xf numFmtId="180" fontId="4" fillId="0" borderId="0"/>
    <xf numFmtId="180" fontId="4" fillId="0" borderId="0"/>
    <xf numFmtId="0" fontId="4" fillId="0" borderId="0"/>
    <xf numFmtId="180" fontId="4" fillId="0" borderId="0"/>
    <xf numFmtId="180" fontId="4" fillId="0" borderId="0"/>
    <xf numFmtId="9"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2" fontId="4" fillId="0" borderId="0" applyFont="0" applyFill="0" applyBorder="0" applyAlignment="0" applyProtection="0"/>
    <xf numFmtId="173" fontId="4" fillId="0" borderId="0" applyFont="0" applyFill="0" applyBorder="0" applyAlignment="0" applyProtection="0"/>
    <xf numFmtId="180" fontId="4" fillId="0" borderId="0"/>
    <xf numFmtId="0" fontId="4" fillId="0" borderId="0"/>
    <xf numFmtId="0" fontId="4" fillId="0" borderId="0"/>
    <xf numFmtId="0" fontId="4" fillId="0" borderId="0"/>
    <xf numFmtId="0" fontId="4" fillId="0" borderId="0"/>
    <xf numFmtId="0" fontId="4" fillId="0" borderId="0"/>
    <xf numFmtId="180" fontId="4" fillId="0" borderId="0"/>
    <xf numFmtId="180" fontId="4" fillId="0" borderId="0"/>
    <xf numFmtId="0" fontId="4" fillId="0" borderId="0"/>
    <xf numFmtId="180" fontId="4" fillId="0" borderId="0"/>
    <xf numFmtId="180" fontId="4" fillId="0" borderId="0"/>
    <xf numFmtId="180" fontId="4" fillId="0" borderId="0"/>
    <xf numFmtId="0" fontId="4" fillId="0" borderId="0"/>
    <xf numFmtId="180" fontId="4" fillId="0" borderId="0"/>
    <xf numFmtId="180" fontId="4" fillId="0" borderId="0"/>
    <xf numFmtId="9"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2" fontId="4" fillId="0" borderId="0" applyFont="0" applyFill="0" applyBorder="0" applyAlignment="0" applyProtection="0"/>
    <xf numFmtId="173" fontId="4" fillId="0" borderId="0" applyFont="0" applyFill="0" applyBorder="0" applyAlignment="0" applyProtection="0"/>
    <xf numFmtId="180" fontId="4" fillId="0" borderId="0"/>
    <xf numFmtId="0" fontId="4" fillId="0" borderId="0"/>
    <xf numFmtId="0" fontId="4" fillId="0" borderId="0"/>
    <xf numFmtId="0" fontId="4" fillId="0" borderId="0"/>
    <xf numFmtId="0" fontId="4" fillId="0" borderId="0"/>
    <xf numFmtId="0" fontId="4" fillId="0" borderId="0"/>
    <xf numFmtId="180" fontId="4" fillId="0" borderId="0"/>
    <xf numFmtId="180" fontId="4" fillId="0" borderId="0"/>
    <xf numFmtId="0" fontId="4" fillId="0" borderId="0"/>
    <xf numFmtId="180" fontId="4" fillId="0" borderId="0"/>
    <xf numFmtId="180" fontId="4" fillId="0" borderId="0"/>
    <xf numFmtId="180" fontId="4" fillId="0" borderId="0"/>
    <xf numFmtId="0" fontId="4" fillId="0" borderId="0"/>
    <xf numFmtId="180" fontId="4" fillId="0" borderId="0"/>
    <xf numFmtId="180" fontId="4" fillId="0" borderId="0"/>
    <xf numFmtId="9"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2" fontId="4" fillId="0" borderId="0" applyFont="0" applyFill="0" applyBorder="0" applyAlignment="0" applyProtection="0"/>
    <xf numFmtId="173" fontId="4" fillId="0" borderId="0" applyFont="0" applyFill="0" applyBorder="0" applyAlignment="0" applyProtection="0"/>
    <xf numFmtId="180" fontId="4" fillId="0" borderId="0"/>
    <xf numFmtId="0" fontId="4" fillId="0" borderId="0"/>
    <xf numFmtId="0" fontId="4" fillId="0" borderId="0"/>
    <xf numFmtId="0" fontId="4" fillId="0" borderId="0"/>
    <xf numFmtId="0" fontId="4" fillId="0" borderId="0"/>
    <xf numFmtId="0" fontId="4" fillId="0" borderId="0"/>
    <xf numFmtId="180" fontId="4" fillId="0" borderId="0"/>
    <xf numFmtId="180" fontId="4" fillId="0" borderId="0"/>
    <xf numFmtId="0" fontId="4" fillId="0" borderId="0"/>
    <xf numFmtId="180" fontId="4" fillId="0" borderId="0"/>
    <xf numFmtId="180" fontId="4" fillId="0" borderId="0"/>
    <xf numFmtId="180" fontId="4" fillId="0" borderId="0"/>
    <xf numFmtId="0" fontId="4" fillId="0" borderId="0"/>
    <xf numFmtId="180" fontId="4" fillId="0" borderId="0"/>
    <xf numFmtId="180" fontId="4" fillId="0" borderId="0"/>
    <xf numFmtId="9" fontId="4" fillId="0" borderId="0" applyFont="0" applyFill="0" applyBorder="0" applyAlignment="0" applyProtection="0"/>
    <xf numFmtId="0" fontId="4" fillId="0" borderId="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2" fontId="4" fillId="0" borderId="0" applyFont="0" applyFill="0" applyBorder="0" applyAlignment="0" applyProtection="0"/>
    <xf numFmtId="173" fontId="4" fillId="0" borderId="0" applyFont="0" applyFill="0" applyBorder="0" applyAlignment="0" applyProtection="0"/>
    <xf numFmtId="180" fontId="4" fillId="0" borderId="0"/>
    <xf numFmtId="0" fontId="4" fillId="0" borderId="0"/>
    <xf numFmtId="0" fontId="4" fillId="0" borderId="0"/>
    <xf numFmtId="0" fontId="4" fillId="0" borderId="0"/>
    <xf numFmtId="0" fontId="4" fillId="0" borderId="0"/>
    <xf numFmtId="0" fontId="4" fillId="0" borderId="0"/>
    <xf numFmtId="180" fontId="4" fillId="0" borderId="0"/>
    <xf numFmtId="180" fontId="4" fillId="0" borderId="0"/>
    <xf numFmtId="0" fontId="4" fillId="0" borderId="0"/>
    <xf numFmtId="180" fontId="4" fillId="0" borderId="0"/>
    <xf numFmtId="180" fontId="4" fillId="0" borderId="0"/>
    <xf numFmtId="180" fontId="4" fillId="0" borderId="0"/>
    <xf numFmtId="0" fontId="4" fillId="0" borderId="0"/>
    <xf numFmtId="180" fontId="4" fillId="0" borderId="0"/>
    <xf numFmtId="180" fontId="4" fillId="0" borderId="0"/>
    <xf numFmtId="9"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2" fontId="4" fillId="0" borderId="0" applyFont="0" applyFill="0" applyBorder="0" applyAlignment="0" applyProtection="0"/>
    <xf numFmtId="173" fontId="4" fillId="0" borderId="0" applyFont="0" applyFill="0" applyBorder="0" applyAlignment="0" applyProtection="0"/>
    <xf numFmtId="180" fontId="4" fillId="0" borderId="0"/>
    <xf numFmtId="0" fontId="4" fillId="0" borderId="0"/>
    <xf numFmtId="0" fontId="4" fillId="0" borderId="0"/>
    <xf numFmtId="0" fontId="4" fillId="0" borderId="0"/>
    <xf numFmtId="0" fontId="4" fillId="0" borderId="0"/>
    <xf numFmtId="0" fontId="4" fillId="0" borderId="0"/>
    <xf numFmtId="180" fontId="4" fillId="0" borderId="0"/>
    <xf numFmtId="180" fontId="4" fillId="0" borderId="0"/>
    <xf numFmtId="0" fontId="4" fillId="0" borderId="0"/>
    <xf numFmtId="180" fontId="4" fillId="0" borderId="0"/>
    <xf numFmtId="180" fontId="4" fillId="0" borderId="0"/>
    <xf numFmtId="180" fontId="4" fillId="0" borderId="0"/>
    <xf numFmtId="0" fontId="4" fillId="0" borderId="0"/>
    <xf numFmtId="180" fontId="4" fillId="0" borderId="0"/>
    <xf numFmtId="180" fontId="4" fillId="0" borderId="0"/>
    <xf numFmtId="9"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2" fontId="4" fillId="0" borderId="0" applyFont="0" applyFill="0" applyBorder="0" applyAlignment="0" applyProtection="0"/>
    <xf numFmtId="173" fontId="4" fillId="0" borderId="0" applyFont="0" applyFill="0" applyBorder="0" applyAlignment="0" applyProtection="0"/>
    <xf numFmtId="180" fontId="4" fillId="0" borderId="0"/>
    <xf numFmtId="0" fontId="4" fillId="0" borderId="0"/>
    <xf numFmtId="0" fontId="4" fillId="0" borderId="0"/>
    <xf numFmtId="0" fontId="4" fillId="0" borderId="0"/>
    <xf numFmtId="0" fontId="4" fillId="0" borderId="0"/>
    <xf numFmtId="0" fontId="4" fillId="0" borderId="0"/>
    <xf numFmtId="180" fontId="4" fillId="0" borderId="0"/>
    <xf numFmtId="180" fontId="4" fillId="0" borderId="0"/>
    <xf numFmtId="0" fontId="4" fillId="0" borderId="0"/>
    <xf numFmtId="180" fontId="4" fillId="0" borderId="0"/>
    <xf numFmtId="180" fontId="4" fillId="0" borderId="0"/>
    <xf numFmtId="180" fontId="4" fillId="0" borderId="0"/>
    <xf numFmtId="0" fontId="4" fillId="0" borderId="0"/>
    <xf numFmtId="180" fontId="4" fillId="0" borderId="0"/>
    <xf numFmtId="180" fontId="4" fillId="0" borderId="0"/>
    <xf numFmtId="9"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2" fontId="4" fillId="0" borderId="0" applyFont="0" applyFill="0" applyBorder="0" applyAlignment="0" applyProtection="0"/>
    <xf numFmtId="173" fontId="4" fillId="0" borderId="0" applyFont="0" applyFill="0" applyBorder="0" applyAlignment="0" applyProtection="0"/>
    <xf numFmtId="180" fontId="4" fillId="0" borderId="0"/>
    <xf numFmtId="0" fontId="4" fillId="0" borderId="0"/>
    <xf numFmtId="0" fontId="4" fillId="0" borderId="0"/>
    <xf numFmtId="0" fontId="4" fillId="0" borderId="0"/>
    <xf numFmtId="0" fontId="4" fillId="0" borderId="0"/>
    <xf numFmtId="0" fontId="4" fillId="0" borderId="0"/>
    <xf numFmtId="180" fontId="4" fillId="0" borderId="0"/>
    <xf numFmtId="180" fontId="4" fillId="0" borderId="0"/>
    <xf numFmtId="0" fontId="4" fillId="0" borderId="0"/>
    <xf numFmtId="180" fontId="4" fillId="0" borderId="0"/>
    <xf numFmtId="180" fontId="4" fillId="0" borderId="0"/>
    <xf numFmtId="180" fontId="4" fillId="0" borderId="0"/>
    <xf numFmtId="0" fontId="4" fillId="0" borderId="0"/>
    <xf numFmtId="180" fontId="4" fillId="0" borderId="0"/>
    <xf numFmtId="180" fontId="4" fillId="0" borderId="0"/>
    <xf numFmtId="9"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2" fontId="4" fillId="0" borderId="0" applyFont="0" applyFill="0" applyBorder="0" applyAlignment="0" applyProtection="0"/>
    <xf numFmtId="173" fontId="4" fillId="0" borderId="0" applyFont="0" applyFill="0" applyBorder="0" applyAlignment="0" applyProtection="0"/>
    <xf numFmtId="180" fontId="4" fillId="0" borderId="0"/>
    <xf numFmtId="0" fontId="4" fillId="0" borderId="0"/>
    <xf numFmtId="0" fontId="4" fillId="0" borderId="0"/>
    <xf numFmtId="0" fontId="4" fillId="0" borderId="0"/>
    <xf numFmtId="0" fontId="4" fillId="0" borderId="0"/>
    <xf numFmtId="0" fontId="4" fillId="0" borderId="0"/>
    <xf numFmtId="180" fontId="4" fillId="0" borderId="0"/>
    <xf numFmtId="180" fontId="4" fillId="0" borderId="0"/>
    <xf numFmtId="0" fontId="4" fillId="0" borderId="0"/>
    <xf numFmtId="180" fontId="4" fillId="0" borderId="0"/>
    <xf numFmtId="180" fontId="4" fillId="0" borderId="0"/>
    <xf numFmtId="180" fontId="4" fillId="0" borderId="0"/>
    <xf numFmtId="0" fontId="4" fillId="0" borderId="0"/>
    <xf numFmtId="180" fontId="4" fillId="0" borderId="0"/>
    <xf numFmtId="180" fontId="4" fillId="0" borderId="0"/>
    <xf numFmtId="9"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2" fontId="4" fillId="0" borderId="0" applyFont="0" applyFill="0" applyBorder="0" applyAlignment="0" applyProtection="0"/>
    <xf numFmtId="173" fontId="4" fillId="0" borderId="0" applyFont="0" applyFill="0" applyBorder="0" applyAlignment="0" applyProtection="0"/>
    <xf numFmtId="180" fontId="4" fillId="0" borderId="0"/>
    <xf numFmtId="0" fontId="4" fillId="0" borderId="0"/>
    <xf numFmtId="0" fontId="4" fillId="0" borderId="0"/>
    <xf numFmtId="0" fontId="4" fillId="0" borderId="0"/>
    <xf numFmtId="0" fontId="4" fillId="0" borderId="0"/>
    <xf numFmtId="0" fontId="4" fillId="0" borderId="0"/>
    <xf numFmtId="180" fontId="4" fillId="0" borderId="0"/>
    <xf numFmtId="180" fontId="4" fillId="0" borderId="0"/>
    <xf numFmtId="0" fontId="4" fillId="0" borderId="0"/>
    <xf numFmtId="180" fontId="4" fillId="0" borderId="0"/>
    <xf numFmtId="180" fontId="4" fillId="0" borderId="0"/>
    <xf numFmtId="180" fontId="4" fillId="0" borderId="0"/>
    <xf numFmtId="0" fontId="4" fillId="0" borderId="0"/>
    <xf numFmtId="180" fontId="4" fillId="0" borderId="0"/>
    <xf numFmtId="180" fontId="4" fillId="0" borderId="0"/>
    <xf numFmtId="9"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2" fontId="4" fillId="0" borderId="0" applyFont="0" applyFill="0" applyBorder="0" applyAlignment="0" applyProtection="0"/>
    <xf numFmtId="173" fontId="4" fillId="0" borderId="0" applyFont="0" applyFill="0" applyBorder="0" applyAlignment="0" applyProtection="0"/>
    <xf numFmtId="180" fontId="4" fillId="0" borderId="0"/>
    <xf numFmtId="0" fontId="4" fillId="0" borderId="0"/>
    <xf numFmtId="0" fontId="4" fillId="0" borderId="0"/>
    <xf numFmtId="0" fontId="4" fillId="0" borderId="0"/>
    <xf numFmtId="0" fontId="4" fillId="0" borderId="0"/>
    <xf numFmtId="0" fontId="4" fillId="0" borderId="0"/>
    <xf numFmtId="180" fontId="4" fillId="0" borderId="0"/>
    <xf numFmtId="180" fontId="4" fillId="0" borderId="0"/>
    <xf numFmtId="0" fontId="4" fillId="0" borderId="0"/>
    <xf numFmtId="180" fontId="4" fillId="0" borderId="0"/>
    <xf numFmtId="180" fontId="4" fillId="0" borderId="0"/>
    <xf numFmtId="180" fontId="4" fillId="0" borderId="0"/>
    <xf numFmtId="0" fontId="4" fillId="0" borderId="0"/>
    <xf numFmtId="180" fontId="4" fillId="0" borderId="0"/>
    <xf numFmtId="180" fontId="4" fillId="0" borderId="0"/>
    <xf numFmtId="9"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2" fontId="4" fillId="0" borderId="0" applyFont="0" applyFill="0" applyBorder="0" applyAlignment="0" applyProtection="0"/>
    <xf numFmtId="173" fontId="4" fillId="0" borderId="0" applyFont="0" applyFill="0" applyBorder="0" applyAlignment="0" applyProtection="0"/>
    <xf numFmtId="180" fontId="4" fillId="0" borderId="0"/>
    <xf numFmtId="0" fontId="4" fillId="0" borderId="0"/>
    <xf numFmtId="0" fontId="4" fillId="0" borderId="0"/>
    <xf numFmtId="0" fontId="4" fillId="0" borderId="0"/>
    <xf numFmtId="0" fontId="4" fillId="0" borderId="0"/>
    <xf numFmtId="0" fontId="4" fillId="0" borderId="0"/>
    <xf numFmtId="180" fontId="4" fillId="0" borderId="0"/>
    <xf numFmtId="180" fontId="4" fillId="0" borderId="0"/>
    <xf numFmtId="0" fontId="4" fillId="0" borderId="0"/>
    <xf numFmtId="180" fontId="4" fillId="0" borderId="0"/>
    <xf numFmtId="180" fontId="4" fillId="0" borderId="0"/>
    <xf numFmtId="180" fontId="4" fillId="0" borderId="0"/>
    <xf numFmtId="0" fontId="4" fillId="0" borderId="0"/>
    <xf numFmtId="180" fontId="4" fillId="0" borderId="0"/>
    <xf numFmtId="180" fontId="4" fillId="0" borderId="0"/>
    <xf numFmtId="9" fontId="4" fillId="0" borderId="0" applyFont="0" applyFill="0" applyBorder="0" applyAlignment="0" applyProtection="0"/>
    <xf numFmtId="170" fontId="4" fillId="0" borderId="0" applyFont="0" applyFill="0" applyBorder="0" applyAlignment="0" applyProtection="0"/>
    <xf numFmtId="43" fontId="4" fillId="0" borderId="0" applyFont="0" applyFill="0" applyBorder="0" applyAlignment="0" applyProtection="0"/>
    <xf numFmtId="0" fontId="4" fillId="0" borderId="0"/>
    <xf numFmtId="168" fontId="4" fillId="0" borderId="0" applyFont="0" applyFill="0" applyBorder="0" applyAlignment="0" applyProtection="0"/>
    <xf numFmtId="18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80" fontId="4" fillId="0" borderId="0"/>
    <xf numFmtId="180" fontId="4" fillId="0" borderId="0"/>
    <xf numFmtId="0" fontId="4" fillId="0" borderId="0"/>
    <xf numFmtId="180" fontId="4" fillId="0" borderId="0"/>
    <xf numFmtId="180" fontId="4" fillId="0" borderId="0"/>
    <xf numFmtId="180" fontId="4" fillId="0" borderId="0"/>
    <xf numFmtId="0" fontId="4" fillId="0" borderId="0"/>
    <xf numFmtId="180" fontId="4" fillId="0" borderId="0"/>
    <xf numFmtId="180" fontId="4" fillId="0" borderId="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2" fontId="4" fillId="0" borderId="0" applyFont="0" applyFill="0" applyBorder="0" applyAlignment="0" applyProtection="0"/>
    <xf numFmtId="173" fontId="4" fillId="0" borderId="0" applyFont="0" applyFill="0" applyBorder="0" applyAlignment="0" applyProtection="0"/>
    <xf numFmtId="180" fontId="4" fillId="0" borderId="0"/>
    <xf numFmtId="0" fontId="4" fillId="0" borderId="0"/>
    <xf numFmtId="0" fontId="4" fillId="0" borderId="0"/>
    <xf numFmtId="0" fontId="4" fillId="0" borderId="0"/>
    <xf numFmtId="0" fontId="4" fillId="0" borderId="0"/>
    <xf numFmtId="0" fontId="4" fillId="0" borderId="0"/>
    <xf numFmtId="180" fontId="4" fillId="0" borderId="0"/>
    <xf numFmtId="180" fontId="4" fillId="0" borderId="0"/>
    <xf numFmtId="0" fontId="4" fillId="0" borderId="0"/>
    <xf numFmtId="180" fontId="4" fillId="0" borderId="0"/>
    <xf numFmtId="180" fontId="4" fillId="0" borderId="0"/>
    <xf numFmtId="180" fontId="4" fillId="0" borderId="0"/>
    <xf numFmtId="0" fontId="4" fillId="0" borderId="0"/>
    <xf numFmtId="180" fontId="4" fillId="0" borderId="0"/>
    <xf numFmtId="180" fontId="4" fillId="0" borderId="0"/>
    <xf numFmtId="9" fontId="4" fillId="0" borderId="0" applyFont="0" applyFill="0" applyBorder="0" applyAlignment="0" applyProtection="0"/>
    <xf numFmtId="0" fontId="4" fillId="0" borderId="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2" fontId="4" fillId="0" borderId="0" applyFont="0" applyFill="0" applyBorder="0" applyAlignment="0" applyProtection="0"/>
    <xf numFmtId="173" fontId="4" fillId="0" borderId="0" applyFont="0" applyFill="0" applyBorder="0" applyAlignment="0" applyProtection="0"/>
    <xf numFmtId="180" fontId="4" fillId="0" borderId="0"/>
    <xf numFmtId="0" fontId="4" fillId="0" borderId="0"/>
    <xf numFmtId="0" fontId="4" fillId="0" borderId="0"/>
    <xf numFmtId="0" fontId="4" fillId="0" borderId="0"/>
    <xf numFmtId="0" fontId="4" fillId="0" borderId="0"/>
    <xf numFmtId="0" fontId="4" fillId="0" borderId="0"/>
    <xf numFmtId="180" fontId="4" fillId="0" borderId="0"/>
    <xf numFmtId="180" fontId="4" fillId="0" borderId="0"/>
    <xf numFmtId="0" fontId="4" fillId="0" borderId="0"/>
    <xf numFmtId="180" fontId="4" fillId="0" borderId="0"/>
    <xf numFmtId="180" fontId="4" fillId="0" borderId="0"/>
    <xf numFmtId="180" fontId="4" fillId="0" borderId="0"/>
    <xf numFmtId="0" fontId="4" fillId="0" borderId="0"/>
    <xf numFmtId="180" fontId="4" fillId="0" borderId="0"/>
    <xf numFmtId="180" fontId="4" fillId="0" borderId="0"/>
    <xf numFmtId="9"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2" fontId="4" fillId="0" borderId="0" applyFont="0" applyFill="0" applyBorder="0" applyAlignment="0" applyProtection="0"/>
    <xf numFmtId="173" fontId="4" fillId="0" borderId="0" applyFont="0" applyFill="0" applyBorder="0" applyAlignment="0" applyProtection="0"/>
    <xf numFmtId="180" fontId="4" fillId="0" borderId="0"/>
    <xf numFmtId="0" fontId="4" fillId="0" borderId="0"/>
    <xf numFmtId="0" fontId="4" fillId="0" borderId="0"/>
    <xf numFmtId="0" fontId="4" fillId="0" borderId="0"/>
    <xf numFmtId="0" fontId="4" fillId="0" borderId="0"/>
    <xf numFmtId="0" fontId="4" fillId="0" borderId="0"/>
    <xf numFmtId="180" fontId="4" fillId="0" borderId="0"/>
    <xf numFmtId="180" fontId="4" fillId="0" borderId="0"/>
    <xf numFmtId="0" fontId="4" fillId="0" borderId="0"/>
    <xf numFmtId="180" fontId="4" fillId="0" borderId="0"/>
    <xf numFmtId="180" fontId="4" fillId="0" borderId="0"/>
    <xf numFmtId="180" fontId="4" fillId="0" borderId="0"/>
    <xf numFmtId="0" fontId="4" fillId="0" borderId="0"/>
    <xf numFmtId="180" fontId="4" fillId="0" borderId="0"/>
    <xf numFmtId="180" fontId="4" fillId="0" borderId="0"/>
    <xf numFmtId="9"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2" fontId="4" fillId="0" borderId="0" applyFont="0" applyFill="0" applyBorder="0" applyAlignment="0" applyProtection="0"/>
    <xf numFmtId="173" fontId="4" fillId="0" borderId="0" applyFont="0" applyFill="0" applyBorder="0" applyAlignment="0" applyProtection="0"/>
    <xf numFmtId="180" fontId="4" fillId="0" borderId="0"/>
    <xf numFmtId="0" fontId="4" fillId="0" borderId="0"/>
    <xf numFmtId="0" fontId="4" fillId="0" borderId="0"/>
    <xf numFmtId="0" fontId="4" fillId="0" borderId="0"/>
    <xf numFmtId="0" fontId="4" fillId="0" borderId="0"/>
    <xf numFmtId="0" fontId="4" fillId="0" borderId="0"/>
    <xf numFmtId="180" fontId="4" fillId="0" borderId="0"/>
    <xf numFmtId="180" fontId="4" fillId="0" borderId="0"/>
    <xf numFmtId="0" fontId="4" fillId="0" borderId="0"/>
    <xf numFmtId="180" fontId="4" fillId="0" borderId="0"/>
    <xf numFmtId="180" fontId="4" fillId="0" borderId="0"/>
    <xf numFmtId="180" fontId="4" fillId="0" borderId="0"/>
    <xf numFmtId="0" fontId="4" fillId="0" borderId="0"/>
    <xf numFmtId="180" fontId="4" fillId="0" borderId="0"/>
    <xf numFmtId="180" fontId="4" fillId="0" borderId="0"/>
    <xf numFmtId="9"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2" fontId="4" fillId="0" borderId="0" applyFont="0" applyFill="0" applyBorder="0" applyAlignment="0" applyProtection="0"/>
    <xf numFmtId="173" fontId="4" fillId="0" borderId="0" applyFont="0" applyFill="0" applyBorder="0" applyAlignment="0" applyProtection="0"/>
    <xf numFmtId="180" fontId="4" fillId="0" borderId="0"/>
    <xf numFmtId="0" fontId="4" fillId="0" borderId="0"/>
    <xf numFmtId="0" fontId="4" fillId="0" borderId="0"/>
    <xf numFmtId="0" fontId="4" fillId="0" borderId="0"/>
    <xf numFmtId="0" fontId="4" fillId="0" borderId="0"/>
    <xf numFmtId="0" fontId="4" fillId="0" borderId="0"/>
    <xf numFmtId="180" fontId="4" fillId="0" borderId="0"/>
    <xf numFmtId="180" fontId="4" fillId="0" borderId="0"/>
    <xf numFmtId="0" fontId="4" fillId="0" borderId="0"/>
    <xf numFmtId="180" fontId="4" fillId="0" borderId="0"/>
    <xf numFmtId="180" fontId="4" fillId="0" borderId="0"/>
    <xf numFmtId="180" fontId="4" fillId="0" borderId="0"/>
    <xf numFmtId="0" fontId="4" fillId="0" borderId="0"/>
    <xf numFmtId="180" fontId="4" fillId="0" borderId="0"/>
    <xf numFmtId="180" fontId="4" fillId="0" borderId="0"/>
    <xf numFmtId="9"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2" fontId="4" fillId="0" borderId="0" applyFont="0" applyFill="0" applyBorder="0" applyAlignment="0" applyProtection="0"/>
    <xf numFmtId="173" fontId="4" fillId="0" borderId="0" applyFont="0" applyFill="0" applyBorder="0" applyAlignment="0" applyProtection="0"/>
    <xf numFmtId="180" fontId="4" fillId="0" borderId="0"/>
    <xf numFmtId="0" fontId="4" fillId="0" borderId="0"/>
    <xf numFmtId="0" fontId="4" fillId="0" borderId="0"/>
    <xf numFmtId="0" fontId="4" fillId="0" borderId="0"/>
    <xf numFmtId="0" fontId="4" fillId="0" borderId="0"/>
    <xf numFmtId="0" fontId="4" fillId="0" borderId="0"/>
    <xf numFmtId="180" fontId="4" fillId="0" borderId="0"/>
    <xf numFmtId="180" fontId="4" fillId="0" borderId="0"/>
    <xf numFmtId="0" fontId="4" fillId="0" borderId="0"/>
    <xf numFmtId="180" fontId="4" fillId="0" borderId="0"/>
    <xf numFmtId="180" fontId="4" fillId="0" borderId="0"/>
    <xf numFmtId="180" fontId="4" fillId="0" borderId="0"/>
    <xf numFmtId="0" fontId="4" fillId="0" borderId="0"/>
    <xf numFmtId="180" fontId="4" fillId="0" borderId="0"/>
    <xf numFmtId="180" fontId="4" fillId="0" borderId="0"/>
    <xf numFmtId="9"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2" fontId="4" fillId="0" borderId="0" applyFont="0" applyFill="0" applyBorder="0" applyAlignment="0" applyProtection="0"/>
    <xf numFmtId="173" fontId="4" fillId="0" borderId="0" applyFont="0" applyFill="0" applyBorder="0" applyAlignment="0" applyProtection="0"/>
    <xf numFmtId="180" fontId="4" fillId="0" borderId="0"/>
    <xf numFmtId="0" fontId="4" fillId="0" borderId="0"/>
    <xf numFmtId="0" fontId="4" fillId="0" borderId="0"/>
    <xf numFmtId="0" fontId="4" fillId="0" borderId="0"/>
    <xf numFmtId="0" fontId="4" fillId="0" borderId="0"/>
    <xf numFmtId="0" fontId="4" fillId="0" borderId="0"/>
    <xf numFmtId="180" fontId="4" fillId="0" borderId="0"/>
    <xf numFmtId="180" fontId="4" fillId="0" borderId="0"/>
    <xf numFmtId="0" fontId="4" fillId="0" borderId="0"/>
    <xf numFmtId="180" fontId="4" fillId="0" borderId="0"/>
    <xf numFmtId="180" fontId="4" fillId="0" borderId="0"/>
    <xf numFmtId="180" fontId="4" fillId="0" borderId="0"/>
    <xf numFmtId="0" fontId="4" fillId="0" borderId="0"/>
    <xf numFmtId="180" fontId="4" fillId="0" borderId="0"/>
    <xf numFmtId="180" fontId="4" fillId="0" borderId="0"/>
    <xf numFmtId="9"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2" fontId="4" fillId="0" borderId="0" applyFont="0" applyFill="0" applyBorder="0" applyAlignment="0" applyProtection="0"/>
    <xf numFmtId="173" fontId="4" fillId="0" borderId="0" applyFont="0" applyFill="0" applyBorder="0" applyAlignment="0" applyProtection="0"/>
    <xf numFmtId="180" fontId="4" fillId="0" borderId="0"/>
    <xf numFmtId="0" fontId="4" fillId="0" borderId="0"/>
    <xf numFmtId="0" fontId="4" fillId="0" borderId="0"/>
    <xf numFmtId="0" fontId="4" fillId="0" borderId="0"/>
    <xf numFmtId="0" fontId="4" fillId="0" borderId="0"/>
    <xf numFmtId="0" fontId="4" fillId="0" borderId="0"/>
    <xf numFmtId="180" fontId="4" fillId="0" borderId="0"/>
    <xf numFmtId="180" fontId="4" fillId="0" borderId="0"/>
    <xf numFmtId="0" fontId="4" fillId="0" borderId="0"/>
    <xf numFmtId="180" fontId="4" fillId="0" borderId="0"/>
    <xf numFmtId="180" fontId="4" fillId="0" borderId="0"/>
    <xf numFmtId="180" fontId="4" fillId="0" borderId="0"/>
    <xf numFmtId="0" fontId="4" fillId="0" borderId="0"/>
    <xf numFmtId="180" fontId="4" fillId="0" borderId="0"/>
    <xf numFmtId="180" fontId="4" fillId="0" borderId="0"/>
    <xf numFmtId="9" fontId="4" fillId="0" borderId="0" applyFont="0" applyFill="0" applyBorder="0" applyAlignment="0" applyProtection="0"/>
    <xf numFmtId="18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80" fontId="4" fillId="0" borderId="0"/>
    <xf numFmtId="180" fontId="4" fillId="0" borderId="0"/>
    <xf numFmtId="0" fontId="4" fillId="0" borderId="0"/>
    <xf numFmtId="180" fontId="4" fillId="0" borderId="0"/>
    <xf numFmtId="180" fontId="4" fillId="0" borderId="0"/>
    <xf numFmtId="180" fontId="4" fillId="0" borderId="0"/>
    <xf numFmtId="0" fontId="4" fillId="0" borderId="0"/>
    <xf numFmtId="180" fontId="4" fillId="0" borderId="0"/>
    <xf numFmtId="180" fontId="4" fillId="0" borderId="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2" fontId="4" fillId="0" borderId="0" applyFont="0" applyFill="0" applyBorder="0" applyAlignment="0" applyProtection="0"/>
    <xf numFmtId="173" fontId="4" fillId="0" borderId="0" applyFont="0" applyFill="0" applyBorder="0" applyAlignment="0" applyProtection="0"/>
    <xf numFmtId="180" fontId="4" fillId="0" borderId="0"/>
    <xf numFmtId="0" fontId="4" fillId="0" borderId="0"/>
    <xf numFmtId="0" fontId="4" fillId="0" borderId="0"/>
    <xf numFmtId="0" fontId="4" fillId="0" borderId="0"/>
    <xf numFmtId="0" fontId="4" fillId="0" borderId="0"/>
    <xf numFmtId="0" fontId="4" fillId="0" borderId="0"/>
    <xf numFmtId="180" fontId="4" fillId="0" borderId="0"/>
    <xf numFmtId="180" fontId="4" fillId="0" borderId="0"/>
    <xf numFmtId="0" fontId="4" fillId="0" borderId="0"/>
    <xf numFmtId="180" fontId="4" fillId="0" borderId="0"/>
    <xf numFmtId="180" fontId="4" fillId="0" borderId="0"/>
    <xf numFmtId="180" fontId="4" fillId="0" borderId="0"/>
    <xf numFmtId="0" fontId="4" fillId="0" borderId="0"/>
    <xf numFmtId="180" fontId="4" fillId="0" borderId="0"/>
    <xf numFmtId="180" fontId="4" fillId="0" borderId="0"/>
    <xf numFmtId="9" fontId="4" fillId="0" borderId="0" applyFont="0" applyFill="0" applyBorder="0" applyAlignment="0" applyProtection="0"/>
    <xf numFmtId="0" fontId="4" fillId="0" borderId="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2" fontId="4" fillId="0" borderId="0" applyFont="0" applyFill="0" applyBorder="0" applyAlignment="0" applyProtection="0"/>
    <xf numFmtId="173" fontId="4" fillId="0" borderId="0" applyFont="0" applyFill="0" applyBorder="0" applyAlignment="0" applyProtection="0"/>
    <xf numFmtId="180" fontId="4" fillId="0" borderId="0"/>
    <xf numFmtId="0" fontId="4" fillId="0" borderId="0"/>
    <xf numFmtId="0" fontId="4" fillId="0" borderId="0"/>
    <xf numFmtId="0" fontId="4" fillId="0" borderId="0"/>
    <xf numFmtId="0" fontId="4" fillId="0" borderId="0"/>
    <xf numFmtId="0" fontId="4" fillId="0" borderId="0"/>
    <xf numFmtId="180" fontId="4" fillId="0" borderId="0"/>
    <xf numFmtId="180" fontId="4" fillId="0" borderId="0"/>
    <xf numFmtId="0" fontId="4" fillId="0" borderId="0"/>
    <xf numFmtId="180" fontId="4" fillId="0" borderId="0"/>
    <xf numFmtId="180" fontId="4" fillId="0" borderId="0"/>
    <xf numFmtId="180" fontId="4" fillId="0" borderId="0"/>
    <xf numFmtId="0" fontId="4" fillId="0" borderId="0"/>
    <xf numFmtId="180" fontId="4" fillId="0" borderId="0"/>
    <xf numFmtId="180" fontId="4" fillId="0" borderId="0"/>
    <xf numFmtId="9"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2" fontId="4" fillId="0" borderId="0" applyFont="0" applyFill="0" applyBorder="0" applyAlignment="0" applyProtection="0"/>
    <xf numFmtId="173" fontId="4" fillId="0" borderId="0" applyFont="0" applyFill="0" applyBorder="0" applyAlignment="0" applyProtection="0"/>
    <xf numFmtId="180" fontId="4" fillId="0" borderId="0"/>
    <xf numFmtId="0" fontId="4" fillId="0" borderId="0"/>
    <xf numFmtId="0" fontId="4" fillId="0" borderId="0"/>
    <xf numFmtId="0" fontId="4" fillId="0" borderId="0"/>
    <xf numFmtId="0" fontId="4" fillId="0" borderId="0"/>
    <xf numFmtId="0" fontId="4" fillId="0" borderId="0"/>
    <xf numFmtId="180" fontId="4" fillId="0" borderId="0"/>
    <xf numFmtId="180" fontId="4" fillId="0" borderId="0"/>
    <xf numFmtId="0" fontId="4" fillId="0" borderId="0"/>
    <xf numFmtId="180" fontId="4" fillId="0" borderId="0"/>
    <xf numFmtId="180" fontId="4" fillId="0" borderId="0"/>
    <xf numFmtId="180" fontId="4" fillId="0" borderId="0"/>
    <xf numFmtId="0" fontId="4" fillId="0" borderId="0"/>
    <xf numFmtId="180" fontId="4" fillId="0" borderId="0"/>
    <xf numFmtId="180" fontId="4" fillId="0" borderId="0"/>
    <xf numFmtId="9"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2" fontId="4" fillId="0" borderId="0" applyFont="0" applyFill="0" applyBorder="0" applyAlignment="0" applyProtection="0"/>
    <xf numFmtId="173" fontId="4" fillId="0" borderId="0" applyFont="0" applyFill="0" applyBorder="0" applyAlignment="0" applyProtection="0"/>
    <xf numFmtId="180" fontId="4" fillId="0" borderId="0"/>
    <xf numFmtId="0" fontId="4" fillId="0" borderId="0"/>
    <xf numFmtId="0" fontId="4" fillId="0" borderId="0"/>
    <xf numFmtId="0" fontId="4" fillId="0" borderId="0"/>
    <xf numFmtId="0" fontId="4" fillId="0" borderId="0"/>
    <xf numFmtId="0" fontId="4" fillId="0" borderId="0"/>
    <xf numFmtId="180" fontId="4" fillId="0" borderId="0"/>
    <xf numFmtId="180" fontId="4" fillId="0" borderId="0"/>
    <xf numFmtId="0" fontId="4" fillId="0" borderId="0"/>
    <xf numFmtId="180" fontId="4" fillId="0" borderId="0"/>
    <xf numFmtId="180" fontId="4" fillId="0" borderId="0"/>
    <xf numFmtId="180" fontId="4" fillId="0" borderId="0"/>
    <xf numFmtId="0" fontId="4" fillId="0" borderId="0"/>
    <xf numFmtId="180" fontId="4" fillId="0" borderId="0"/>
    <xf numFmtId="180" fontId="4" fillId="0" borderId="0"/>
    <xf numFmtId="9"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2" fontId="4" fillId="0" borderId="0" applyFont="0" applyFill="0" applyBorder="0" applyAlignment="0" applyProtection="0"/>
    <xf numFmtId="173" fontId="4" fillId="0" borderId="0" applyFont="0" applyFill="0" applyBorder="0" applyAlignment="0" applyProtection="0"/>
    <xf numFmtId="180" fontId="4" fillId="0" borderId="0"/>
    <xf numFmtId="0" fontId="4" fillId="0" borderId="0"/>
    <xf numFmtId="0" fontId="4" fillId="0" borderId="0"/>
    <xf numFmtId="0" fontId="4" fillId="0" borderId="0"/>
    <xf numFmtId="0" fontId="4" fillId="0" borderId="0"/>
    <xf numFmtId="0" fontId="4" fillId="0" borderId="0"/>
    <xf numFmtId="180" fontId="4" fillId="0" borderId="0"/>
    <xf numFmtId="180" fontId="4" fillId="0" borderId="0"/>
    <xf numFmtId="0" fontId="4" fillId="0" borderId="0"/>
    <xf numFmtId="180" fontId="4" fillId="0" borderId="0"/>
    <xf numFmtId="180" fontId="4" fillId="0" borderId="0"/>
    <xf numFmtId="180" fontId="4" fillId="0" borderId="0"/>
    <xf numFmtId="0" fontId="4" fillId="0" borderId="0"/>
    <xf numFmtId="180" fontId="4" fillId="0" borderId="0"/>
    <xf numFmtId="180" fontId="4" fillId="0" borderId="0"/>
    <xf numFmtId="9"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2" fontId="4" fillId="0" borderId="0" applyFont="0" applyFill="0" applyBorder="0" applyAlignment="0" applyProtection="0"/>
    <xf numFmtId="173" fontId="4" fillId="0" borderId="0" applyFont="0" applyFill="0" applyBorder="0" applyAlignment="0" applyProtection="0"/>
    <xf numFmtId="180" fontId="4" fillId="0" borderId="0"/>
    <xf numFmtId="0" fontId="4" fillId="0" borderId="0"/>
    <xf numFmtId="0" fontId="4" fillId="0" borderId="0"/>
    <xf numFmtId="0" fontId="4" fillId="0" borderId="0"/>
    <xf numFmtId="0" fontId="4" fillId="0" borderId="0"/>
    <xf numFmtId="0" fontId="4" fillId="0" borderId="0"/>
    <xf numFmtId="180" fontId="4" fillId="0" borderId="0"/>
    <xf numFmtId="180" fontId="4" fillId="0" borderId="0"/>
    <xf numFmtId="0" fontId="4" fillId="0" borderId="0"/>
    <xf numFmtId="180" fontId="4" fillId="0" borderId="0"/>
    <xf numFmtId="180" fontId="4" fillId="0" borderId="0"/>
    <xf numFmtId="180" fontId="4" fillId="0" borderId="0"/>
    <xf numFmtId="0" fontId="4" fillId="0" borderId="0"/>
    <xf numFmtId="180" fontId="4" fillId="0" borderId="0"/>
    <xf numFmtId="180" fontId="4" fillId="0" borderId="0"/>
    <xf numFmtId="9"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2" fontId="4" fillId="0" borderId="0" applyFont="0" applyFill="0" applyBorder="0" applyAlignment="0" applyProtection="0"/>
    <xf numFmtId="173" fontId="4" fillId="0" borderId="0" applyFont="0" applyFill="0" applyBorder="0" applyAlignment="0" applyProtection="0"/>
    <xf numFmtId="180" fontId="4" fillId="0" borderId="0"/>
    <xf numFmtId="0" fontId="4" fillId="0" borderId="0"/>
    <xf numFmtId="0" fontId="4" fillId="0" borderId="0"/>
    <xf numFmtId="0" fontId="4" fillId="0" borderId="0"/>
    <xf numFmtId="0" fontId="4" fillId="0" borderId="0"/>
    <xf numFmtId="0" fontId="4" fillId="0" borderId="0"/>
    <xf numFmtId="180" fontId="4" fillId="0" borderId="0"/>
    <xf numFmtId="180" fontId="4" fillId="0" borderId="0"/>
    <xf numFmtId="0" fontId="4" fillId="0" borderId="0"/>
    <xf numFmtId="180" fontId="4" fillId="0" borderId="0"/>
    <xf numFmtId="180" fontId="4" fillId="0" borderId="0"/>
    <xf numFmtId="180" fontId="4" fillId="0" borderId="0"/>
    <xf numFmtId="0" fontId="4" fillId="0" borderId="0"/>
    <xf numFmtId="180" fontId="4" fillId="0" borderId="0"/>
    <xf numFmtId="180" fontId="4" fillId="0" borderId="0"/>
    <xf numFmtId="9"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2" fontId="4" fillId="0" borderId="0" applyFont="0" applyFill="0" applyBorder="0" applyAlignment="0" applyProtection="0"/>
    <xf numFmtId="173" fontId="4" fillId="0" borderId="0" applyFont="0" applyFill="0" applyBorder="0" applyAlignment="0" applyProtection="0"/>
    <xf numFmtId="180" fontId="4" fillId="0" borderId="0"/>
    <xf numFmtId="0" fontId="4" fillId="0" borderId="0"/>
    <xf numFmtId="0" fontId="4" fillId="0" borderId="0"/>
    <xf numFmtId="0" fontId="4" fillId="0" borderId="0"/>
    <xf numFmtId="0" fontId="4" fillId="0" borderId="0"/>
    <xf numFmtId="0" fontId="4" fillId="0" borderId="0"/>
    <xf numFmtId="180" fontId="4" fillId="0" borderId="0"/>
    <xf numFmtId="180" fontId="4" fillId="0" borderId="0"/>
    <xf numFmtId="0" fontId="4" fillId="0" borderId="0"/>
    <xf numFmtId="180" fontId="4" fillId="0" borderId="0"/>
    <xf numFmtId="180" fontId="4" fillId="0" borderId="0"/>
    <xf numFmtId="180" fontId="4" fillId="0" borderId="0"/>
    <xf numFmtId="0" fontId="4" fillId="0" borderId="0"/>
    <xf numFmtId="180" fontId="4" fillId="0" borderId="0"/>
    <xf numFmtId="180" fontId="4" fillId="0" borderId="0"/>
    <xf numFmtId="9"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2" fontId="4" fillId="0" borderId="0" applyFont="0" applyFill="0" applyBorder="0" applyAlignment="0" applyProtection="0"/>
    <xf numFmtId="173" fontId="4" fillId="0" borderId="0" applyFont="0" applyFill="0" applyBorder="0" applyAlignment="0" applyProtection="0"/>
    <xf numFmtId="180" fontId="4" fillId="0" borderId="0"/>
    <xf numFmtId="0" fontId="4" fillId="0" borderId="0"/>
    <xf numFmtId="0" fontId="4" fillId="0" borderId="0"/>
    <xf numFmtId="0" fontId="4" fillId="0" borderId="0"/>
    <xf numFmtId="0" fontId="4" fillId="0" borderId="0"/>
    <xf numFmtId="0" fontId="4" fillId="0" borderId="0"/>
    <xf numFmtId="180" fontId="4" fillId="0" borderId="0"/>
    <xf numFmtId="180" fontId="4" fillId="0" borderId="0"/>
    <xf numFmtId="0" fontId="4" fillId="0" borderId="0"/>
    <xf numFmtId="180" fontId="4" fillId="0" borderId="0"/>
    <xf numFmtId="180" fontId="4" fillId="0" borderId="0"/>
    <xf numFmtId="180" fontId="4" fillId="0" borderId="0"/>
    <xf numFmtId="0" fontId="4" fillId="0" borderId="0"/>
    <xf numFmtId="180" fontId="4" fillId="0" borderId="0"/>
    <xf numFmtId="180" fontId="4" fillId="0" borderId="0"/>
    <xf numFmtId="9" fontId="4" fillId="0" borderId="0" applyFont="0" applyFill="0" applyBorder="0" applyAlignment="0" applyProtection="0"/>
    <xf numFmtId="0" fontId="4" fillId="0" borderId="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2" fontId="4" fillId="0" borderId="0" applyFont="0" applyFill="0" applyBorder="0" applyAlignment="0" applyProtection="0"/>
    <xf numFmtId="173" fontId="4" fillId="0" borderId="0" applyFont="0" applyFill="0" applyBorder="0" applyAlignment="0" applyProtection="0"/>
    <xf numFmtId="180" fontId="4" fillId="0" borderId="0"/>
    <xf numFmtId="0" fontId="4" fillId="0" borderId="0"/>
    <xf numFmtId="0" fontId="4" fillId="0" borderId="0"/>
    <xf numFmtId="0" fontId="4" fillId="0" borderId="0"/>
    <xf numFmtId="0" fontId="4" fillId="0" borderId="0"/>
    <xf numFmtId="0" fontId="4" fillId="0" borderId="0"/>
    <xf numFmtId="180" fontId="4" fillId="0" borderId="0"/>
    <xf numFmtId="180" fontId="4" fillId="0" borderId="0"/>
    <xf numFmtId="0" fontId="4" fillId="0" borderId="0"/>
    <xf numFmtId="180" fontId="4" fillId="0" borderId="0"/>
    <xf numFmtId="180" fontId="4" fillId="0" borderId="0"/>
    <xf numFmtId="180" fontId="4" fillId="0" borderId="0"/>
    <xf numFmtId="0" fontId="4" fillId="0" borderId="0"/>
    <xf numFmtId="180" fontId="4" fillId="0" borderId="0"/>
    <xf numFmtId="180" fontId="4" fillId="0" borderId="0"/>
    <xf numFmtId="9"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2" fontId="4" fillId="0" borderId="0" applyFont="0" applyFill="0" applyBorder="0" applyAlignment="0" applyProtection="0"/>
    <xf numFmtId="173" fontId="4" fillId="0" borderId="0" applyFont="0" applyFill="0" applyBorder="0" applyAlignment="0" applyProtection="0"/>
    <xf numFmtId="180" fontId="4" fillId="0" borderId="0"/>
    <xf numFmtId="0" fontId="4" fillId="0" borderId="0"/>
    <xf numFmtId="0" fontId="4" fillId="0" borderId="0"/>
    <xf numFmtId="0" fontId="4" fillId="0" borderId="0"/>
    <xf numFmtId="0" fontId="4" fillId="0" borderId="0"/>
    <xf numFmtId="0" fontId="4" fillId="0" borderId="0"/>
    <xf numFmtId="180" fontId="4" fillId="0" borderId="0"/>
    <xf numFmtId="180" fontId="4" fillId="0" borderId="0"/>
    <xf numFmtId="0" fontId="4" fillId="0" borderId="0"/>
    <xf numFmtId="180" fontId="4" fillId="0" borderId="0"/>
    <xf numFmtId="180" fontId="4" fillId="0" borderId="0"/>
    <xf numFmtId="180" fontId="4" fillId="0" borderId="0"/>
    <xf numFmtId="0" fontId="4" fillId="0" borderId="0"/>
    <xf numFmtId="180" fontId="4" fillId="0" borderId="0"/>
    <xf numFmtId="180" fontId="4" fillId="0" borderId="0"/>
    <xf numFmtId="9"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2" fontId="4" fillId="0" borderId="0" applyFont="0" applyFill="0" applyBorder="0" applyAlignment="0" applyProtection="0"/>
    <xf numFmtId="173" fontId="4" fillId="0" borderId="0" applyFont="0" applyFill="0" applyBorder="0" applyAlignment="0" applyProtection="0"/>
    <xf numFmtId="180" fontId="4" fillId="0" borderId="0"/>
    <xf numFmtId="0" fontId="4" fillId="0" borderId="0"/>
    <xf numFmtId="0" fontId="4" fillId="0" borderId="0"/>
    <xf numFmtId="0" fontId="4" fillId="0" borderId="0"/>
    <xf numFmtId="0" fontId="4" fillId="0" borderId="0"/>
    <xf numFmtId="0" fontId="4" fillId="0" borderId="0"/>
    <xf numFmtId="180" fontId="4" fillId="0" borderId="0"/>
    <xf numFmtId="180" fontId="4" fillId="0" borderId="0"/>
    <xf numFmtId="0" fontId="4" fillId="0" borderId="0"/>
    <xf numFmtId="180" fontId="4" fillId="0" borderId="0"/>
    <xf numFmtId="180" fontId="4" fillId="0" borderId="0"/>
    <xf numFmtId="180" fontId="4" fillId="0" borderId="0"/>
    <xf numFmtId="0" fontId="4" fillId="0" borderId="0"/>
    <xf numFmtId="180" fontId="4" fillId="0" borderId="0"/>
    <xf numFmtId="180" fontId="4" fillId="0" borderId="0"/>
    <xf numFmtId="9"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2" fontId="4" fillId="0" borderId="0" applyFont="0" applyFill="0" applyBorder="0" applyAlignment="0" applyProtection="0"/>
    <xf numFmtId="173" fontId="4" fillId="0" borderId="0" applyFont="0" applyFill="0" applyBorder="0" applyAlignment="0" applyProtection="0"/>
    <xf numFmtId="180" fontId="4" fillId="0" borderId="0"/>
    <xf numFmtId="0" fontId="4" fillId="0" borderId="0"/>
    <xf numFmtId="0" fontId="4" fillId="0" borderId="0"/>
    <xf numFmtId="0" fontId="4" fillId="0" borderId="0"/>
    <xf numFmtId="0" fontId="4" fillId="0" borderId="0"/>
    <xf numFmtId="0" fontId="4" fillId="0" borderId="0"/>
    <xf numFmtId="180" fontId="4" fillId="0" borderId="0"/>
    <xf numFmtId="180" fontId="4" fillId="0" borderId="0"/>
    <xf numFmtId="0" fontId="4" fillId="0" borderId="0"/>
    <xf numFmtId="180" fontId="4" fillId="0" borderId="0"/>
    <xf numFmtId="180" fontId="4" fillId="0" borderId="0"/>
    <xf numFmtId="180" fontId="4" fillId="0" borderId="0"/>
    <xf numFmtId="0" fontId="4" fillId="0" borderId="0"/>
    <xf numFmtId="180" fontId="4" fillId="0" borderId="0"/>
    <xf numFmtId="180" fontId="4" fillId="0" borderId="0"/>
    <xf numFmtId="9"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2" fontId="4" fillId="0" borderId="0" applyFont="0" applyFill="0" applyBorder="0" applyAlignment="0" applyProtection="0"/>
    <xf numFmtId="173" fontId="4" fillId="0" borderId="0" applyFont="0" applyFill="0" applyBorder="0" applyAlignment="0" applyProtection="0"/>
    <xf numFmtId="180" fontId="4" fillId="0" borderId="0"/>
    <xf numFmtId="0" fontId="4" fillId="0" borderId="0"/>
    <xf numFmtId="0" fontId="4" fillId="0" borderId="0"/>
    <xf numFmtId="0" fontId="4" fillId="0" borderId="0"/>
    <xf numFmtId="0" fontId="4" fillId="0" borderId="0"/>
    <xf numFmtId="0" fontId="4" fillId="0" borderId="0"/>
    <xf numFmtId="180" fontId="4" fillId="0" borderId="0"/>
    <xf numFmtId="180" fontId="4" fillId="0" borderId="0"/>
    <xf numFmtId="0" fontId="4" fillId="0" borderId="0"/>
    <xf numFmtId="180" fontId="4" fillId="0" borderId="0"/>
    <xf numFmtId="180" fontId="4" fillId="0" borderId="0"/>
    <xf numFmtId="180" fontId="4" fillId="0" borderId="0"/>
    <xf numFmtId="0" fontId="4" fillId="0" borderId="0"/>
    <xf numFmtId="180" fontId="4" fillId="0" borderId="0"/>
    <xf numFmtId="180" fontId="4" fillId="0" borderId="0"/>
    <xf numFmtId="9"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2" fontId="4" fillId="0" borderId="0" applyFont="0" applyFill="0" applyBorder="0" applyAlignment="0" applyProtection="0"/>
    <xf numFmtId="173" fontId="4" fillId="0" borderId="0" applyFont="0" applyFill="0" applyBorder="0" applyAlignment="0" applyProtection="0"/>
    <xf numFmtId="180" fontId="4" fillId="0" borderId="0"/>
    <xf numFmtId="0" fontId="4" fillId="0" borderId="0"/>
    <xf numFmtId="0" fontId="4" fillId="0" borderId="0"/>
    <xf numFmtId="0" fontId="4" fillId="0" borderId="0"/>
    <xf numFmtId="0" fontId="4" fillId="0" borderId="0"/>
    <xf numFmtId="0" fontId="4" fillId="0" borderId="0"/>
    <xf numFmtId="180" fontId="4" fillId="0" borderId="0"/>
    <xf numFmtId="180" fontId="4" fillId="0" borderId="0"/>
    <xf numFmtId="0" fontId="4" fillId="0" borderId="0"/>
    <xf numFmtId="180" fontId="4" fillId="0" borderId="0"/>
    <xf numFmtId="180" fontId="4" fillId="0" borderId="0"/>
    <xf numFmtId="180" fontId="4" fillId="0" borderId="0"/>
    <xf numFmtId="0" fontId="4" fillId="0" borderId="0"/>
    <xf numFmtId="180" fontId="4" fillId="0" borderId="0"/>
    <xf numFmtId="180" fontId="4" fillId="0" borderId="0"/>
    <xf numFmtId="9"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2" fontId="4" fillId="0" borderId="0" applyFont="0" applyFill="0" applyBorder="0" applyAlignment="0" applyProtection="0"/>
    <xf numFmtId="173" fontId="4" fillId="0" borderId="0" applyFont="0" applyFill="0" applyBorder="0" applyAlignment="0" applyProtection="0"/>
    <xf numFmtId="180" fontId="4" fillId="0" borderId="0"/>
    <xf numFmtId="0" fontId="4" fillId="0" borderId="0"/>
    <xf numFmtId="0" fontId="4" fillId="0" borderId="0"/>
    <xf numFmtId="0" fontId="4" fillId="0" borderId="0"/>
    <xf numFmtId="0" fontId="4" fillId="0" borderId="0"/>
    <xf numFmtId="0" fontId="4" fillId="0" borderId="0"/>
    <xf numFmtId="180" fontId="4" fillId="0" borderId="0"/>
    <xf numFmtId="180" fontId="4" fillId="0" borderId="0"/>
    <xf numFmtId="0" fontId="4" fillId="0" borderId="0"/>
    <xf numFmtId="180" fontId="4" fillId="0" borderId="0"/>
    <xf numFmtId="180" fontId="4" fillId="0" borderId="0"/>
    <xf numFmtId="180" fontId="4" fillId="0" borderId="0"/>
    <xf numFmtId="0" fontId="4" fillId="0" borderId="0"/>
    <xf numFmtId="180" fontId="4" fillId="0" borderId="0"/>
    <xf numFmtId="180" fontId="4" fillId="0" borderId="0"/>
    <xf numFmtId="9"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2" fontId="4" fillId="0" borderId="0" applyFont="0" applyFill="0" applyBorder="0" applyAlignment="0" applyProtection="0"/>
    <xf numFmtId="173" fontId="4" fillId="0" borderId="0" applyFont="0" applyFill="0" applyBorder="0" applyAlignment="0" applyProtection="0"/>
    <xf numFmtId="180" fontId="4" fillId="0" borderId="0"/>
    <xf numFmtId="0" fontId="4" fillId="0" borderId="0"/>
    <xf numFmtId="0" fontId="4" fillId="0" borderId="0"/>
    <xf numFmtId="0" fontId="4" fillId="0" borderId="0"/>
    <xf numFmtId="0" fontId="4" fillId="0" borderId="0"/>
    <xf numFmtId="0" fontId="4" fillId="0" borderId="0"/>
    <xf numFmtId="180" fontId="4" fillId="0" borderId="0"/>
    <xf numFmtId="180" fontId="4" fillId="0" borderId="0"/>
    <xf numFmtId="0" fontId="4" fillId="0" borderId="0"/>
    <xf numFmtId="180" fontId="4" fillId="0" borderId="0"/>
    <xf numFmtId="180" fontId="4" fillId="0" borderId="0"/>
    <xf numFmtId="180" fontId="4" fillId="0" borderId="0"/>
    <xf numFmtId="0" fontId="4" fillId="0" borderId="0"/>
    <xf numFmtId="180" fontId="4" fillId="0" borderId="0"/>
    <xf numFmtId="180" fontId="4" fillId="0" borderId="0"/>
    <xf numFmtId="9" fontId="4" fillId="0" borderId="0" applyFont="0" applyFill="0" applyBorder="0" applyAlignment="0" applyProtection="0"/>
    <xf numFmtId="170" fontId="4" fillId="0" borderId="0" applyFont="0" applyFill="0" applyBorder="0" applyAlignment="0" applyProtection="0"/>
    <xf numFmtId="43" fontId="4" fillId="0" borderId="0" applyFont="0" applyFill="0" applyBorder="0" applyAlignment="0" applyProtection="0"/>
    <xf numFmtId="0" fontId="4" fillId="0" borderId="0"/>
    <xf numFmtId="168" fontId="4" fillId="0" borderId="0" applyFont="0" applyFill="0" applyBorder="0" applyAlignment="0" applyProtection="0"/>
    <xf numFmtId="0" fontId="4" fillId="0" borderId="0"/>
    <xf numFmtId="180" fontId="4" fillId="0" borderId="0"/>
    <xf numFmtId="0" fontId="4" fillId="0" borderId="0"/>
    <xf numFmtId="0" fontId="4" fillId="0" borderId="0"/>
    <xf numFmtId="0" fontId="4" fillId="0" borderId="0"/>
    <xf numFmtId="0" fontId="4" fillId="0" borderId="0"/>
    <xf numFmtId="0" fontId="4" fillId="0" borderId="0"/>
    <xf numFmtId="180" fontId="4" fillId="0" borderId="0"/>
    <xf numFmtId="180" fontId="4" fillId="0" borderId="0"/>
    <xf numFmtId="180" fontId="4" fillId="0" borderId="0"/>
    <xf numFmtId="180" fontId="4" fillId="0" borderId="0"/>
    <xf numFmtId="180" fontId="4" fillId="0" borderId="0"/>
    <xf numFmtId="0" fontId="4" fillId="0" borderId="0"/>
    <xf numFmtId="180" fontId="4" fillId="0" borderId="0"/>
    <xf numFmtId="180" fontId="4" fillId="0" borderId="0"/>
    <xf numFmtId="168" fontId="4" fillId="0" borderId="0" applyFont="0" applyFill="0" applyBorder="0" applyAlignment="0" applyProtection="0"/>
    <xf numFmtId="180" fontId="4" fillId="0" borderId="0"/>
    <xf numFmtId="0" fontId="4" fillId="0" borderId="0"/>
    <xf numFmtId="0" fontId="4" fillId="0" borderId="0"/>
    <xf numFmtId="0" fontId="4" fillId="0" borderId="0"/>
    <xf numFmtId="0" fontId="4" fillId="0" borderId="0"/>
    <xf numFmtId="0" fontId="4" fillId="0" borderId="0"/>
    <xf numFmtId="180" fontId="4" fillId="0" borderId="0"/>
    <xf numFmtId="180" fontId="4" fillId="0" borderId="0"/>
    <xf numFmtId="0" fontId="4" fillId="0" borderId="0"/>
    <xf numFmtId="180" fontId="4" fillId="0" borderId="0"/>
    <xf numFmtId="180" fontId="4" fillId="0" borderId="0"/>
    <xf numFmtId="180" fontId="4" fillId="0" borderId="0"/>
    <xf numFmtId="0" fontId="4" fillId="0" borderId="0"/>
    <xf numFmtId="180" fontId="4" fillId="0" borderId="0"/>
    <xf numFmtId="180" fontId="4" fillId="0" borderId="0"/>
    <xf numFmtId="0" fontId="4" fillId="0" borderId="0"/>
    <xf numFmtId="180" fontId="4" fillId="0" borderId="0"/>
    <xf numFmtId="0" fontId="4" fillId="0" borderId="0"/>
    <xf numFmtId="0" fontId="4" fillId="0" borderId="0"/>
    <xf numFmtId="0" fontId="4" fillId="0" borderId="0"/>
    <xf numFmtId="0" fontId="4" fillId="0" borderId="0"/>
    <xf numFmtId="0" fontId="4" fillId="0" borderId="0"/>
    <xf numFmtId="180" fontId="4" fillId="0" borderId="0"/>
    <xf numFmtId="180" fontId="4" fillId="0" borderId="0"/>
    <xf numFmtId="180" fontId="4" fillId="0" borderId="0"/>
    <xf numFmtId="180" fontId="4" fillId="0" borderId="0"/>
    <xf numFmtId="180" fontId="4" fillId="0" borderId="0"/>
    <xf numFmtId="0" fontId="4" fillId="0" borderId="0"/>
    <xf numFmtId="180" fontId="4" fillId="0" borderId="0"/>
    <xf numFmtId="180" fontId="4" fillId="0" borderId="0"/>
    <xf numFmtId="168" fontId="4" fillId="0" borderId="0" applyFont="0" applyFill="0" applyBorder="0" applyAlignment="0" applyProtection="0"/>
    <xf numFmtId="170" fontId="39" fillId="0" borderId="0" applyFont="0" applyFill="0" applyBorder="0" applyAlignment="0" applyProtection="0"/>
    <xf numFmtId="183" fontId="52" fillId="0" borderId="0" applyFont="0" applyFill="0" applyBorder="0" applyAlignment="0" applyProtection="0"/>
    <xf numFmtId="164" fontId="34" fillId="0" borderId="0" applyFill="0" applyBorder="0" applyAlignment="0" applyProtection="0"/>
    <xf numFmtId="170" fontId="33" fillId="0" borderId="0" applyFont="0" applyFill="0" applyBorder="0" applyAlignment="0" applyProtection="0"/>
    <xf numFmtId="184" fontId="34" fillId="0" borderId="0" applyFont="0" applyFill="0" applyBorder="0" applyAlignment="0" applyProtection="0"/>
    <xf numFmtId="192" fontId="4" fillId="0" borderId="0" applyFont="0" applyFill="0" applyBorder="0" applyAlignment="0" applyProtection="0"/>
    <xf numFmtId="170" fontId="34" fillId="0" borderId="0" applyFont="0" applyFill="0" applyBorder="0" applyAlignment="0" applyProtection="0"/>
    <xf numFmtId="164" fontId="34" fillId="0" borderId="0" applyFill="0" applyBorder="0" applyAlignment="0" applyProtection="0"/>
    <xf numFmtId="170" fontId="39" fillId="0" borderId="0" applyFont="0" applyFill="0" applyBorder="0" applyAlignment="0" applyProtection="0"/>
    <xf numFmtId="170" fontId="34" fillId="0" borderId="0" applyFont="0" applyFill="0" applyBorder="0" applyAlignment="0" applyProtection="0"/>
    <xf numFmtId="44" fontId="33" fillId="0" borderId="0" applyFont="0" applyFill="0" applyBorder="0" applyAlignment="0" applyProtection="0"/>
    <xf numFmtId="0" fontId="34" fillId="0" borderId="0"/>
    <xf numFmtId="0" fontId="52" fillId="0" borderId="0"/>
    <xf numFmtId="170" fontId="34" fillId="0" borderId="0" applyFont="0" applyFill="0" applyBorder="0" applyAlignment="0" applyProtection="0"/>
    <xf numFmtId="0" fontId="33" fillId="0" borderId="0"/>
    <xf numFmtId="44" fontId="33" fillId="0" borderId="0" applyFont="0" applyFill="0" applyBorder="0" applyAlignment="0" applyProtection="0"/>
    <xf numFmtId="190" fontId="4" fillId="0" borderId="0" applyFont="0" applyFill="0" applyBorder="0" applyAlignment="0" applyProtection="0"/>
    <xf numFmtId="9" fontId="34" fillId="0" borderId="0" applyFont="0" applyFill="0" applyBorder="0" applyAlignment="0" applyProtection="0"/>
    <xf numFmtId="44" fontId="33" fillId="0" borderId="0" applyFont="0" applyFill="0" applyBorder="0" applyAlignment="0" applyProtection="0"/>
    <xf numFmtId="189" fontId="34" fillId="0" borderId="0" applyFont="0" applyFill="0" applyBorder="0" applyAlignment="0" applyProtection="0"/>
    <xf numFmtId="0" fontId="33" fillId="0" borderId="0"/>
    <xf numFmtId="179" fontId="52" fillId="0" borderId="0" applyFont="0" applyFill="0" applyBorder="0" applyAlignment="0" applyProtection="0"/>
    <xf numFmtId="170" fontId="33" fillId="0" borderId="0" applyFont="0" applyFill="0" applyBorder="0" applyAlignment="0" applyProtection="0"/>
    <xf numFmtId="190" fontId="4" fillId="0" borderId="0" applyFont="0" applyFill="0" applyBorder="0" applyAlignment="0" applyProtection="0"/>
    <xf numFmtId="0" fontId="33" fillId="0" borderId="0" applyNumberFormat="0"/>
    <xf numFmtId="164" fontId="34" fillId="0" borderId="0" applyFill="0" applyBorder="0" applyAlignment="0" applyProtection="0"/>
    <xf numFmtId="191" fontId="34" fillId="0" borderId="0" applyFont="0" applyFill="0" applyBorder="0" applyAlignment="0" applyProtection="0"/>
    <xf numFmtId="0" fontId="4" fillId="0" borderId="0"/>
    <xf numFmtId="0" fontId="33" fillId="0" borderId="0" applyNumberFormat="0"/>
    <xf numFmtId="0" fontId="4" fillId="0" borderId="0"/>
    <xf numFmtId="43" fontId="52" fillId="0" borderId="0" applyFont="0" applyFill="0" applyBorder="0" applyAlignment="0" applyProtection="0"/>
    <xf numFmtId="0" fontId="33" fillId="0" borderId="0"/>
    <xf numFmtId="0" fontId="33" fillId="0" borderId="0"/>
    <xf numFmtId="170" fontId="39" fillId="0" borderId="0" applyFont="0" applyFill="0" applyBorder="0" applyAlignment="0" applyProtection="0"/>
    <xf numFmtId="0" fontId="34" fillId="0" borderId="0"/>
    <xf numFmtId="0" fontId="33" fillId="0" borderId="0" applyNumberFormat="0"/>
    <xf numFmtId="190" fontId="4" fillId="0" borderId="0" applyFont="0" applyFill="0" applyBorder="0" applyAlignment="0" applyProtection="0"/>
    <xf numFmtId="0" fontId="33" fillId="0" borderId="0"/>
    <xf numFmtId="188" fontId="4" fillId="0" borderId="0" applyFont="0" applyFill="0" applyBorder="0" applyAlignment="0" applyProtection="0"/>
    <xf numFmtId="43" fontId="52" fillId="0" borderId="0" applyFont="0" applyFill="0" applyBorder="0" applyAlignment="0" applyProtection="0"/>
    <xf numFmtId="170" fontId="34" fillId="0" borderId="0" applyFont="0" applyFill="0" applyBorder="0" applyAlignment="0" applyProtection="0"/>
    <xf numFmtId="170" fontId="33" fillId="0" borderId="0" applyFont="0" applyFill="0" applyBorder="0" applyAlignment="0" applyProtection="0"/>
    <xf numFmtId="44" fontId="33" fillId="0" borderId="0" applyFont="0" applyFill="0" applyBorder="0" applyAlignment="0" applyProtection="0"/>
    <xf numFmtId="0" fontId="33" fillId="0" borderId="0"/>
    <xf numFmtId="168" fontId="52" fillId="0" borderId="0" applyFont="0" applyFill="0" applyBorder="0" applyAlignment="0" applyProtection="0"/>
    <xf numFmtId="168" fontId="33" fillId="0" borderId="0" applyFont="0" applyFill="0" applyBorder="0" applyAlignment="0" applyProtection="0"/>
    <xf numFmtId="0" fontId="33" fillId="0" borderId="0"/>
    <xf numFmtId="0" fontId="4" fillId="0" borderId="0"/>
    <xf numFmtId="183" fontId="52" fillId="0" borderId="0" applyFont="0" applyFill="0" applyBorder="0" applyAlignment="0" applyProtection="0"/>
    <xf numFmtId="184" fontId="33" fillId="0" borderId="0" applyFont="0" applyFill="0" applyBorder="0" applyAlignment="0" applyProtection="0"/>
    <xf numFmtId="0" fontId="34" fillId="0" borderId="0"/>
    <xf numFmtId="0" fontId="34" fillId="0" borderId="0"/>
    <xf numFmtId="170" fontId="34" fillId="0" borderId="0" applyFont="0" applyFill="0" applyBorder="0" applyAlignment="0" applyProtection="0"/>
    <xf numFmtId="0" fontId="33" fillId="0" borderId="0" applyNumberFormat="0"/>
    <xf numFmtId="0" fontId="33" fillId="0" borderId="0" applyNumberFormat="0"/>
    <xf numFmtId="188" fontId="4" fillId="0" borderId="0" applyFont="0" applyFill="0" applyBorder="0" applyAlignment="0" applyProtection="0"/>
    <xf numFmtId="0" fontId="33" fillId="0" borderId="0" applyNumberFormat="0"/>
    <xf numFmtId="176" fontId="34" fillId="0" borderId="0" applyFill="0" applyBorder="0" applyAlignment="0" applyProtection="0"/>
    <xf numFmtId="44" fontId="33" fillId="0" borderId="0" applyFont="0" applyFill="0" applyBorder="0" applyAlignment="0" applyProtection="0"/>
    <xf numFmtId="192" fontId="4" fillId="0" borderId="0" applyFont="0" applyFill="0" applyBorder="0" applyAlignment="0" applyProtection="0"/>
    <xf numFmtId="188" fontId="4" fillId="0" borderId="0" applyFont="0" applyFill="0" applyBorder="0" applyAlignment="0" applyProtection="0"/>
    <xf numFmtId="0" fontId="34" fillId="0" borderId="0"/>
    <xf numFmtId="0" fontId="33" fillId="0" borderId="0"/>
    <xf numFmtId="170" fontId="39" fillId="0" borderId="0" applyFont="0" applyFill="0" applyBorder="0" applyAlignment="0" applyProtection="0"/>
    <xf numFmtId="170" fontId="39" fillId="0" borderId="0" applyFont="0" applyFill="0" applyBorder="0" applyAlignment="0" applyProtection="0"/>
    <xf numFmtId="170" fontId="39" fillId="0" borderId="0" applyFont="0" applyFill="0" applyBorder="0" applyAlignment="0" applyProtection="0"/>
    <xf numFmtId="43" fontId="52" fillId="0" borderId="0" applyFont="0" applyFill="0" applyBorder="0" applyAlignment="0" applyProtection="0"/>
    <xf numFmtId="185" fontId="52" fillId="0" borderId="0" applyFont="0" applyFill="0" applyBorder="0" applyAlignment="0" applyProtection="0"/>
    <xf numFmtId="43" fontId="52" fillId="0" borderId="0" applyFont="0" applyFill="0" applyBorder="0" applyAlignment="0" applyProtection="0"/>
    <xf numFmtId="185" fontId="52" fillId="0" borderId="0" applyFont="0" applyFill="0" applyBorder="0" applyAlignment="0" applyProtection="0"/>
    <xf numFmtId="0" fontId="52" fillId="0" borderId="0">
      <alignment vertical="center"/>
    </xf>
    <xf numFmtId="43" fontId="52" fillId="0" borderId="0" applyFont="0" applyFill="0" applyBorder="0" applyAlignment="0" applyProtection="0">
      <alignment vertical="center"/>
    </xf>
    <xf numFmtId="41" fontId="52" fillId="0" borderId="0" applyFont="0" applyFill="0" applyBorder="0" applyAlignment="0" applyProtection="0">
      <alignment vertical="center"/>
    </xf>
    <xf numFmtId="0" fontId="84" fillId="0" borderId="0">
      <alignment horizontal="right" vertical="top"/>
    </xf>
    <xf numFmtId="0" fontId="67" fillId="0" borderId="0">
      <alignment horizontal="right" vertical="center"/>
    </xf>
    <xf numFmtId="0" fontId="76" fillId="0" borderId="0">
      <alignment horizontal="right" vertical="center"/>
    </xf>
    <xf numFmtId="0" fontId="84" fillId="0" borderId="0">
      <alignment horizontal="right" vertical="top"/>
    </xf>
    <xf numFmtId="0" fontId="84" fillId="0" borderId="0">
      <alignment horizontal="center" vertical="top"/>
    </xf>
    <xf numFmtId="0" fontId="67" fillId="0" borderId="0">
      <alignment horizontal="right" vertical="center"/>
    </xf>
    <xf numFmtId="0" fontId="52" fillId="10" borderId="79" applyNumberFormat="0" applyFont="0" applyAlignment="0" applyProtection="0">
      <alignment vertical="center"/>
    </xf>
    <xf numFmtId="0" fontId="85" fillId="0" borderId="0">
      <alignment horizontal="left" vertical="top"/>
    </xf>
    <xf numFmtId="0" fontId="81" fillId="20" borderId="0" applyNumberFormat="0" applyBorder="0" applyAlignment="0" applyProtection="0">
      <alignment vertical="center"/>
    </xf>
    <xf numFmtId="0" fontId="69" fillId="21" borderId="0" applyNumberFormat="0" applyBorder="0" applyAlignment="0" applyProtection="0">
      <alignment vertical="center"/>
    </xf>
    <xf numFmtId="0" fontId="67" fillId="0" borderId="0">
      <alignment horizontal="left" vertical="top"/>
    </xf>
    <xf numFmtId="0" fontId="87" fillId="0" borderId="0">
      <alignment horizontal="center" vertical="top"/>
    </xf>
    <xf numFmtId="0" fontId="86" fillId="0" borderId="0">
      <alignment horizontal="left" vertical="top"/>
    </xf>
    <xf numFmtId="0" fontId="87" fillId="0" borderId="0">
      <alignment horizontal="right" vertical="top"/>
    </xf>
    <xf numFmtId="0" fontId="87" fillId="0" borderId="0">
      <alignment horizontal="right" vertical="top"/>
    </xf>
    <xf numFmtId="0" fontId="84" fillId="0" borderId="0">
      <alignment horizontal="left" vertical="top"/>
    </xf>
    <xf numFmtId="0" fontId="75" fillId="0" borderId="0">
      <alignment horizontal="left" vertical="top"/>
    </xf>
    <xf numFmtId="0" fontId="84" fillId="0" borderId="0">
      <alignment horizontal="center" vertical="top"/>
    </xf>
    <xf numFmtId="0" fontId="88" fillId="0" borderId="0">
      <alignment horizontal="center" vertical="center"/>
    </xf>
    <xf numFmtId="0" fontId="75" fillId="0" borderId="0">
      <alignment horizontal="right" vertical="top"/>
    </xf>
    <xf numFmtId="0" fontId="76" fillId="0" borderId="0">
      <alignment horizontal="right" vertical="center"/>
    </xf>
    <xf numFmtId="0" fontId="76" fillId="0" borderId="0">
      <alignment horizontal="center" vertical="center"/>
    </xf>
    <xf numFmtId="0" fontId="87" fillId="0" borderId="0">
      <alignment horizontal="center" vertical="top"/>
    </xf>
    <xf numFmtId="0" fontId="87" fillId="0" borderId="0">
      <alignment horizontal="left" vertical="top"/>
    </xf>
    <xf numFmtId="0" fontId="87" fillId="0" borderId="0">
      <alignment horizontal="center" vertical="top"/>
    </xf>
    <xf numFmtId="43" fontId="52" fillId="0" borderId="0" applyFont="0" applyFill="0" applyBorder="0" applyAlignment="0" applyProtection="0"/>
    <xf numFmtId="185" fontId="52" fillId="0" borderId="0" applyFont="0" applyFill="0" applyBorder="0" applyAlignment="0" applyProtection="0"/>
    <xf numFmtId="43" fontId="52" fillId="0" borderId="0" applyFont="0" applyFill="0" applyBorder="0" applyAlignment="0" applyProtection="0"/>
    <xf numFmtId="185" fontId="52" fillId="0" borderId="0" applyFont="0" applyFill="0" applyBorder="0" applyAlignment="0" applyProtection="0"/>
    <xf numFmtId="43" fontId="52" fillId="0" borderId="0" applyFont="0" applyFill="0" applyBorder="0" applyAlignment="0" applyProtection="0"/>
    <xf numFmtId="185" fontId="52" fillId="0" borderId="0" applyFont="0" applyFill="0" applyBorder="0" applyAlignment="0" applyProtection="0"/>
    <xf numFmtId="43" fontId="52" fillId="0" borderId="0" applyFont="0" applyFill="0" applyBorder="0" applyAlignment="0" applyProtection="0"/>
    <xf numFmtId="185" fontId="52" fillId="0" borderId="0" applyFont="0" applyFill="0" applyBorder="0" applyAlignment="0" applyProtection="0"/>
    <xf numFmtId="179" fontId="33" fillId="0" borderId="0" applyFont="0" applyFill="0" applyBorder="0" applyAlignment="0" applyProtection="0"/>
    <xf numFmtId="43" fontId="52" fillId="0" borderId="0" applyFont="0" applyFill="0" applyBorder="0" applyAlignment="0" applyProtection="0"/>
    <xf numFmtId="185" fontId="52" fillId="0" borderId="0" applyFont="0" applyFill="0" applyBorder="0" applyAlignment="0" applyProtection="0"/>
    <xf numFmtId="43" fontId="52" fillId="0" borderId="0" applyFont="0" applyFill="0" applyBorder="0" applyAlignment="0" applyProtection="0"/>
    <xf numFmtId="185" fontId="52" fillId="0" borderId="0" applyFont="0" applyFill="0" applyBorder="0" applyAlignment="0" applyProtection="0"/>
    <xf numFmtId="170" fontId="39"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0" fontId="3" fillId="0" borderId="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0" fontId="3" fillId="0" borderId="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0" fontId="3" fillId="0" borderId="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70" fontId="3" fillId="0" borderId="0" applyFont="0" applyFill="0" applyBorder="0" applyAlignment="0" applyProtection="0"/>
    <xf numFmtId="43" fontId="3" fillId="0" borderId="0" applyFont="0" applyFill="0" applyBorder="0" applyAlignment="0" applyProtection="0"/>
    <xf numFmtId="0" fontId="3" fillId="0" borderId="0"/>
    <xf numFmtId="168"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0" fontId="3" fillId="0" borderId="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0" fontId="3" fillId="0" borderId="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0" fontId="3" fillId="0" borderId="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70" fontId="3" fillId="0" borderId="0" applyFont="0" applyFill="0" applyBorder="0" applyAlignment="0" applyProtection="0"/>
    <xf numFmtId="43" fontId="3" fillId="0" borderId="0" applyFont="0" applyFill="0" applyBorder="0" applyAlignment="0" applyProtection="0"/>
    <xf numFmtId="0" fontId="3" fillId="0" borderId="0"/>
    <xf numFmtId="168" fontId="3" fillId="0" borderId="0" applyFont="0" applyFill="0" applyBorder="0" applyAlignment="0" applyProtection="0"/>
    <xf numFmtId="0" fontId="3" fillId="0" borderId="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168"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0" fontId="3" fillId="0" borderId="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0" fontId="3" fillId="0" borderId="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0" fontId="3" fillId="0" borderId="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70" fontId="3" fillId="0" borderId="0" applyFont="0" applyFill="0" applyBorder="0" applyAlignment="0" applyProtection="0"/>
    <xf numFmtId="43" fontId="3" fillId="0" borderId="0" applyFont="0" applyFill="0" applyBorder="0" applyAlignment="0" applyProtection="0"/>
    <xf numFmtId="0" fontId="3" fillId="0" borderId="0"/>
    <xf numFmtId="168"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0" fontId="3" fillId="0" borderId="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0" fontId="3" fillId="0" borderId="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0" fontId="3" fillId="0" borderId="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70" fontId="3" fillId="0" borderId="0" applyFont="0" applyFill="0" applyBorder="0" applyAlignment="0" applyProtection="0"/>
    <xf numFmtId="43" fontId="3" fillId="0" borderId="0" applyFont="0" applyFill="0" applyBorder="0" applyAlignment="0" applyProtection="0"/>
    <xf numFmtId="0" fontId="3" fillId="0" borderId="0"/>
    <xf numFmtId="168" fontId="3" fillId="0" borderId="0" applyFont="0" applyFill="0" applyBorder="0" applyAlignment="0" applyProtection="0"/>
    <xf numFmtId="0" fontId="3" fillId="0" borderId="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168"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0" fontId="3" fillId="0" borderId="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168"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0" fontId="3" fillId="0" borderId="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0" fontId="3" fillId="0" borderId="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0" fontId="3" fillId="0" borderId="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70" fontId="3" fillId="0" borderId="0" applyFont="0" applyFill="0" applyBorder="0" applyAlignment="0" applyProtection="0"/>
    <xf numFmtId="43" fontId="3" fillId="0" borderId="0" applyFont="0" applyFill="0" applyBorder="0" applyAlignment="0" applyProtection="0"/>
    <xf numFmtId="0" fontId="3" fillId="0" borderId="0"/>
    <xf numFmtId="168"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0" fontId="3" fillId="0" borderId="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0" fontId="3" fillId="0" borderId="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0" fontId="3" fillId="0" borderId="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70" fontId="3" fillId="0" borderId="0" applyFont="0" applyFill="0" applyBorder="0" applyAlignment="0" applyProtection="0"/>
    <xf numFmtId="43" fontId="3" fillId="0" borderId="0" applyFont="0" applyFill="0" applyBorder="0" applyAlignment="0" applyProtection="0"/>
    <xf numFmtId="0" fontId="3" fillId="0" borderId="0"/>
    <xf numFmtId="168" fontId="3" fillId="0" borderId="0" applyFont="0" applyFill="0" applyBorder="0" applyAlignment="0" applyProtection="0"/>
    <xf numFmtId="0" fontId="3" fillId="0" borderId="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168"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0" fontId="3" fillId="0" borderId="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0" fontId="3" fillId="0" borderId="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0" fontId="3" fillId="0" borderId="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70" fontId="3" fillId="0" borderId="0" applyFont="0" applyFill="0" applyBorder="0" applyAlignment="0" applyProtection="0"/>
    <xf numFmtId="43" fontId="3" fillId="0" borderId="0" applyFont="0" applyFill="0" applyBorder="0" applyAlignment="0" applyProtection="0"/>
    <xf numFmtId="0" fontId="3" fillId="0" borderId="0"/>
    <xf numFmtId="168"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0" fontId="3" fillId="0" borderId="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0" fontId="3" fillId="0" borderId="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0" fontId="3" fillId="0" borderId="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70" fontId="3" fillId="0" borderId="0" applyFont="0" applyFill="0" applyBorder="0" applyAlignment="0" applyProtection="0"/>
    <xf numFmtId="43" fontId="3" fillId="0" borderId="0" applyFont="0" applyFill="0" applyBorder="0" applyAlignment="0" applyProtection="0"/>
    <xf numFmtId="0" fontId="3" fillId="0" borderId="0"/>
    <xf numFmtId="168" fontId="3" fillId="0" borderId="0" applyFont="0" applyFill="0" applyBorder="0" applyAlignment="0" applyProtection="0"/>
    <xf numFmtId="0" fontId="3" fillId="0" borderId="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168"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0" fontId="3" fillId="0" borderId="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168"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0" fontId="3" fillId="0" borderId="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0" fontId="3" fillId="0" borderId="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0" fontId="3" fillId="0" borderId="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70" fontId="3" fillId="0" borderId="0" applyFont="0" applyFill="0" applyBorder="0" applyAlignment="0" applyProtection="0"/>
    <xf numFmtId="43" fontId="3" fillId="0" borderId="0" applyFont="0" applyFill="0" applyBorder="0" applyAlignment="0" applyProtection="0"/>
    <xf numFmtId="0" fontId="3" fillId="0" borderId="0"/>
    <xf numFmtId="168"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0" fontId="3" fillId="0" borderId="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0" fontId="3" fillId="0" borderId="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0" fontId="3" fillId="0" borderId="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70" fontId="3" fillId="0" borderId="0" applyFont="0" applyFill="0" applyBorder="0" applyAlignment="0" applyProtection="0"/>
    <xf numFmtId="43" fontId="3" fillId="0" borderId="0" applyFont="0" applyFill="0" applyBorder="0" applyAlignment="0" applyProtection="0"/>
    <xf numFmtId="0" fontId="3" fillId="0" borderId="0"/>
    <xf numFmtId="168" fontId="3" fillId="0" borderId="0" applyFont="0" applyFill="0" applyBorder="0" applyAlignment="0" applyProtection="0"/>
    <xf numFmtId="0" fontId="3" fillId="0" borderId="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168"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0" fontId="3" fillId="0" borderId="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0" fontId="3" fillId="0" borderId="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0" fontId="3" fillId="0" borderId="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70" fontId="3" fillId="0" borderId="0" applyFont="0" applyFill="0" applyBorder="0" applyAlignment="0" applyProtection="0"/>
    <xf numFmtId="43" fontId="3" fillId="0" borderId="0" applyFont="0" applyFill="0" applyBorder="0" applyAlignment="0" applyProtection="0"/>
    <xf numFmtId="0" fontId="3" fillId="0" borderId="0"/>
    <xf numFmtId="168"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0" fontId="3" fillId="0" borderId="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0" fontId="3" fillId="0" borderId="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0" fontId="3" fillId="0" borderId="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70" fontId="3" fillId="0" borderId="0" applyFont="0" applyFill="0" applyBorder="0" applyAlignment="0" applyProtection="0"/>
    <xf numFmtId="43" fontId="3" fillId="0" borderId="0" applyFont="0" applyFill="0" applyBorder="0" applyAlignment="0" applyProtection="0"/>
    <xf numFmtId="0" fontId="3" fillId="0" borderId="0"/>
    <xf numFmtId="168" fontId="3" fillId="0" borderId="0" applyFont="0" applyFill="0" applyBorder="0" applyAlignment="0" applyProtection="0"/>
    <xf numFmtId="0" fontId="3" fillId="0" borderId="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168"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0" fontId="3" fillId="0" borderId="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168"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0" fontId="3" fillId="0" borderId="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0" fontId="3" fillId="0" borderId="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0" fontId="3" fillId="0" borderId="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70" fontId="3" fillId="0" borderId="0" applyFont="0" applyFill="0" applyBorder="0" applyAlignment="0" applyProtection="0"/>
    <xf numFmtId="43" fontId="3" fillId="0" borderId="0" applyFont="0" applyFill="0" applyBorder="0" applyAlignment="0" applyProtection="0"/>
    <xf numFmtId="0" fontId="3" fillId="0" borderId="0"/>
    <xf numFmtId="168"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0" fontId="3" fillId="0" borderId="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0" fontId="3" fillId="0" borderId="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0" fontId="3" fillId="0" borderId="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70" fontId="3" fillId="0" borderId="0" applyFont="0" applyFill="0" applyBorder="0" applyAlignment="0" applyProtection="0"/>
    <xf numFmtId="43" fontId="3" fillId="0" borderId="0" applyFont="0" applyFill="0" applyBorder="0" applyAlignment="0" applyProtection="0"/>
    <xf numFmtId="0" fontId="3" fillId="0" borderId="0"/>
    <xf numFmtId="168" fontId="3" fillId="0" borderId="0" applyFont="0" applyFill="0" applyBorder="0" applyAlignment="0" applyProtection="0"/>
    <xf numFmtId="0" fontId="3" fillId="0" borderId="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168"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0" fontId="3" fillId="0" borderId="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0" fontId="3" fillId="0" borderId="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0" fontId="3" fillId="0" borderId="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70" fontId="3" fillId="0" borderId="0" applyFont="0" applyFill="0" applyBorder="0" applyAlignment="0" applyProtection="0"/>
    <xf numFmtId="43" fontId="3" fillId="0" borderId="0" applyFont="0" applyFill="0" applyBorder="0" applyAlignment="0" applyProtection="0"/>
    <xf numFmtId="0" fontId="3" fillId="0" borderId="0"/>
    <xf numFmtId="168"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0" fontId="3" fillId="0" borderId="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0" fontId="3" fillId="0" borderId="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0" fontId="3" fillId="0" borderId="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9" fontId="3" fillId="0" borderId="0" applyFont="0" applyFill="0" applyBorder="0" applyAlignment="0" applyProtection="0"/>
    <xf numFmtId="170" fontId="3" fillId="0" borderId="0" applyFont="0" applyFill="0" applyBorder="0" applyAlignment="0" applyProtection="0"/>
    <xf numFmtId="43" fontId="3" fillId="0" borderId="0" applyFont="0" applyFill="0" applyBorder="0" applyAlignment="0" applyProtection="0"/>
    <xf numFmtId="0" fontId="3" fillId="0" borderId="0"/>
    <xf numFmtId="168" fontId="3" fillId="0" borderId="0" applyFont="0" applyFill="0" applyBorder="0" applyAlignment="0" applyProtection="0"/>
    <xf numFmtId="0" fontId="3" fillId="0" borderId="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168" fontId="3" fillId="0" borderId="0" applyFont="0" applyFill="0" applyBorder="0" applyAlignment="0" applyProtection="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0" fontId="3" fillId="0" borderId="0"/>
    <xf numFmtId="18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180" fontId="3" fillId="0" borderId="0"/>
    <xf numFmtId="180" fontId="3" fillId="0" borderId="0"/>
    <xf numFmtId="180" fontId="3" fillId="0" borderId="0"/>
    <xf numFmtId="0" fontId="3" fillId="0" borderId="0"/>
    <xf numFmtId="180" fontId="3" fillId="0" borderId="0"/>
    <xf numFmtId="180" fontId="3" fillId="0" borderId="0"/>
    <xf numFmtId="168" fontId="3" fillId="0" borderId="0" applyFont="0" applyFill="0" applyBorder="0" applyAlignment="0" applyProtection="0"/>
    <xf numFmtId="192" fontId="3" fillId="0" borderId="0" applyFont="0" applyFill="0" applyBorder="0" applyAlignment="0" applyProtection="0"/>
    <xf numFmtId="190" fontId="3" fillId="0" borderId="0" applyFont="0" applyFill="0" applyBorder="0" applyAlignment="0" applyProtection="0"/>
    <xf numFmtId="190" fontId="3" fillId="0" borderId="0" applyFont="0" applyFill="0" applyBorder="0" applyAlignment="0" applyProtection="0"/>
    <xf numFmtId="0" fontId="3" fillId="0" borderId="0"/>
    <xf numFmtId="0" fontId="3" fillId="0" borderId="0"/>
    <xf numFmtId="190" fontId="3" fillId="0" borderId="0" applyFont="0" applyFill="0" applyBorder="0" applyAlignment="0" applyProtection="0"/>
    <xf numFmtId="188" fontId="3" fillId="0" borderId="0" applyFont="0" applyFill="0" applyBorder="0" applyAlignment="0" applyProtection="0"/>
    <xf numFmtId="0" fontId="3" fillId="0" borderId="0"/>
    <xf numFmtId="188" fontId="3" fillId="0" borderId="0" applyFont="0" applyFill="0" applyBorder="0" applyAlignment="0" applyProtection="0"/>
    <xf numFmtId="192" fontId="3" fillId="0" borderId="0" applyFont="0" applyFill="0" applyBorder="0" applyAlignment="0" applyProtection="0"/>
    <xf numFmtId="188" fontId="3" fillId="0" borderId="0" applyFont="0" applyFill="0" applyBorder="0" applyAlignment="0" applyProtection="0"/>
    <xf numFmtId="170" fontId="39"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0" fontId="2" fillId="0" borderId="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0" fontId="2" fillId="0" borderId="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0" fontId="2" fillId="0" borderId="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70" fontId="2" fillId="0" borderId="0" applyFont="0" applyFill="0" applyBorder="0" applyAlignment="0" applyProtection="0"/>
    <xf numFmtId="43" fontId="2" fillId="0" borderId="0" applyFont="0" applyFill="0" applyBorder="0" applyAlignment="0" applyProtection="0"/>
    <xf numFmtId="0" fontId="2" fillId="0" borderId="0"/>
    <xf numFmtId="168"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0" fontId="2" fillId="0" borderId="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0" fontId="2" fillId="0" borderId="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0" fontId="2" fillId="0" borderId="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70" fontId="2" fillId="0" borderId="0" applyFont="0" applyFill="0" applyBorder="0" applyAlignment="0" applyProtection="0"/>
    <xf numFmtId="43" fontId="2" fillId="0" borderId="0" applyFont="0" applyFill="0" applyBorder="0" applyAlignment="0" applyProtection="0"/>
    <xf numFmtId="0" fontId="2" fillId="0" borderId="0"/>
    <xf numFmtId="168" fontId="2" fillId="0" borderId="0" applyFont="0" applyFill="0" applyBorder="0" applyAlignment="0" applyProtection="0"/>
    <xf numFmtId="0" fontId="2" fillId="0" borderId="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168"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0" fontId="2" fillId="0" borderId="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0" fontId="2" fillId="0" borderId="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0" fontId="2" fillId="0" borderId="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70" fontId="2" fillId="0" borderId="0" applyFont="0" applyFill="0" applyBorder="0" applyAlignment="0" applyProtection="0"/>
    <xf numFmtId="43" fontId="2" fillId="0" borderId="0" applyFont="0" applyFill="0" applyBorder="0" applyAlignment="0" applyProtection="0"/>
    <xf numFmtId="0" fontId="2" fillId="0" borderId="0"/>
    <xf numFmtId="168"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0" fontId="2" fillId="0" borderId="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0" fontId="2" fillId="0" borderId="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0" fontId="2" fillId="0" borderId="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70" fontId="2" fillId="0" borderId="0" applyFont="0" applyFill="0" applyBorder="0" applyAlignment="0" applyProtection="0"/>
    <xf numFmtId="43" fontId="2" fillId="0" borderId="0" applyFont="0" applyFill="0" applyBorder="0" applyAlignment="0" applyProtection="0"/>
    <xf numFmtId="0" fontId="2" fillId="0" borderId="0"/>
    <xf numFmtId="168" fontId="2" fillId="0" borderId="0" applyFont="0" applyFill="0" applyBorder="0" applyAlignment="0" applyProtection="0"/>
    <xf numFmtId="0" fontId="2" fillId="0" borderId="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168"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0" fontId="2" fillId="0" borderId="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168"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0" fontId="2" fillId="0" borderId="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0" fontId="2" fillId="0" borderId="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0" fontId="2" fillId="0" borderId="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70" fontId="2" fillId="0" borderId="0" applyFont="0" applyFill="0" applyBorder="0" applyAlignment="0" applyProtection="0"/>
    <xf numFmtId="43" fontId="2" fillId="0" borderId="0" applyFont="0" applyFill="0" applyBorder="0" applyAlignment="0" applyProtection="0"/>
    <xf numFmtId="0" fontId="2" fillId="0" borderId="0"/>
    <xf numFmtId="168"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0" fontId="2" fillId="0" borderId="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0" fontId="2" fillId="0" borderId="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0" fontId="2" fillId="0" borderId="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70" fontId="2" fillId="0" borderId="0" applyFont="0" applyFill="0" applyBorder="0" applyAlignment="0" applyProtection="0"/>
    <xf numFmtId="43" fontId="2" fillId="0" borderId="0" applyFont="0" applyFill="0" applyBorder="0" applyAlignment="0" applyProtection="0"/>
    <xf numFmtId="0" fontId="2" fillId="0" borderId="0"/>
    <xf numFmtId="168" fontId="2" fillId="0" borderId="0" applyFont="0" applyFill="0" applyBorder="0" applyAlignment="0" applyProtection="0"/>
    <xf numFmtId="0" fontId="2" fillId="0" borderId="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168"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0" fontId="2" fillId="0" borderId="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0" fontId="2" fillId="0" borderId="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0" fontId="2" fillId="0" borderId="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70" fontId="2" fillId="0" borderId="0" applyFont="0" applyFill="0" applyBorder="0" applyAlignment="0" applyProtection="0"/>
    <xf numFmtId="43" fontId="2" fillId="0" borderId="0" applyFont="0" applyFill="0" applyBorder="0" applyAlignment="0" applyProtection="0"/>
    <xf numFmtId="0" fontId="2" fillId="0" borderId="0"/>
    <xf numFmtId="168"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0" fontId="2" fillId="0" borderId="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0" fontId="2" fillId="0" borderId="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0" fontId="2" fillId="0" borderId="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70" fontId="2" fillId="0" borderId="0" applyFont="0" applyFill="0" applyBorder="0" applyAlignment="0" applyProtection="0"/>
    <xf numFmtId="43" fontId="2" fillId="0" borderId="0" applyFont="0" applyFill="0" applyBorder="0" applyAlignment="0" applyProtection="0"/>
    <xf numFmtId="0" fontId="2" fillId="0" borderId="0"/>
    <xf numFmtId="168" fontId="2" fillId="0" borderId="0" applyFont="0" applyFill="0" applyBorder="0" applyAlignment="0" applyProtection="0"/>
    <xf numFmtId="0" fontId="2" fillId="0" borderId="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168"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0" fontId="2" fillId="0" borderId="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168"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0" fontId="2" fillId="0" borderId="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0" fontId="2" fillId="0" borderId="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0" fontId="2" fillId="0" borderId="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70" fontId="2" fillId="0" borderId="0" applyFont="0" applyFill="0" applyBorder="0" applyAlignment="0" applyProtection="0"/>
    <xf numFmtId="43" fontId="2" fillId="0" borderId="0" applyFont="0" applyFill="0" applyBorder="0" applyAlignment="0" applyProtection="0"/>
    <xf numFmtId="0" fontId="2" fillId="0" borderId="0"/>
    <xf numFmtId="168"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0" fontId="2" fillId="0" borderId="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0" fontId="2" fillId="0" borderId="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0" fontId="2" fillId="0" borderId="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70" fontId="2" fillId="0" borderId="0" applyFont="0" applyFill="0" applyBorder="0" applyAlignment="0" applyProtection="0"/>
    <xf numFmtId="43" fontId="2" fillId="0" borderId="0" applyFont="0" applyFill="0" applyBorder="0" applyAlignment="0" applyProtection="0"/>
    <xf numFmtId="0" fontId="2" fillId="0" borderId="0"/>
    <xf numFmtId="168" fontId="2" fillId="0" borderId="0" applyFont="0" applyFill="0" applyBorder="0" applyAlignment="0" applyProtection="0"/>
    <xf numFmtId="0" fontId="2" fillId="0" borderId="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168"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0" fontId="2" fillId="0" borderId="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0" fontId="2" fillId="0" borderId="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0" fontId="2" fillId="0" borderId="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70" fontId="2" fillId="0" borderId="0" applyFont="0" applyFill="0" applyBorder="0" applyAlignment="0" applyProtection="0"/>
    <xf numFmtId="43" fontId="2" fillId="0" borderId="0" applyFont="0" applyFill="0" applyBorder="0" applyAlignment="0" applyProtection="0"/>
    <xf numFmtId="0" fontId="2" fillId="0" borderId="0"/>
    <xf numFmtId="168"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0" fontId="2" fillId="0" borderId="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0" fontId="2" fillId="0" borderId="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0" fontId="2" fillId="0" borderId="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70" fontId="2" fillId="0" borderId="0" applyFont="0" applyFill="0" applyBorder="0" applyAlignment="0" applyProtection="0"/>
    <xf numFmtId="43" fontId="2" fillId="0" borderId="0" applyFont="0" applyFill="0" applyBorder="0" applyAlignment="0" applyProtection="0"/>
    <xf numFmtId="0" fontId="2" fillId="0" borderId="0"/>
    <xf numFmtId="168" fontId="2" fillId="0" borderId="0" applyFont="0" applyFill="0" applyBorder="0" applyAlignment="0" applyProtection="0"/>
    <xf numFmtId="0" fontId="2" fillId="0" borderId="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168"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0" fontId="2" fillId="0" borderId="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168"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0" fontId="2" fillId="0" borderId="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0" fontId="2" fillId="0" borderId="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0" fontId="2" fillId="0" borderId="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70" fontId="2" fillId="0" borderId="0" applyFont="0" applyFill="0" applyBorder="0" applyAlignment="0" applyProtection="0"/>
    <xf numFmtId="43" fontId="2" fillId="0" borderId="0" applyFont="0" applyFill="0" applyBorder="0" applyAlignment="0" applyProtection="0"/>
    <xf numFmtId="0" fontId="2" fillId="0" borderId="0"/>
    <xf numFmtId="168"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0" fontId="2" fillId="0" borderId="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0" fontId="2" fillId="0" borderId="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0" fontId="2" fillId="0" borderId="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70" fontId="2" fillId="0" borderId="0" applyFont="0" applyFill="0" applyBorder="0" applyAlignment="0" applyProtection="0"/>
    <xf numFmtId="43" fontId="2" fillId="0" borderId="0" applyFont="0" applyFill="0" applyBorder="0" applyAlignment="0" applyProtection="0"/>
    <xf numFmtId="0" fontId="2" fillId="0" borderId="0"/>
    <xf numFmtId="168" fontId="2" fillId="0" borderId="0" applyFont="0" applyFill="0" applyBorder="0" applyAlignment="0" applyProtection="0"/>
    <xf numFmtId="0" fontId="2" fillId="0" borderId="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168"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0" fontId="2" fillId="0" borderId="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0" fontId="2" fillId="0" borderId="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0" fontId="2" fillId="0" borderId="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70" fontId="2" fillId="0" borderId="0" applyFont="0" applyFill="0" applyBorder="0" applyAlignment="0" applyProtection="0"/>
    <xf numFmtId="43" fontId="2" fillId="0" borderId="0" applyFont="0" applyFill="0" applyBorder="0" applyAlignment="0" applyProtection="0"/>
    <xf numFmtId="0" fontId="2" fillId="0" borderId="0"/>
    <xf numFmtId="168"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0" fontId="2" fillId="0" borderId="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0" fontId="2" fillId="0" borderId="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0" fontId="2" fillId="0" borderId="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9" fontId="2" fillId="0" borderId="0" applyFont="0" applyFill="0" applyBorder="0" applyAlignment="0" applyProtection="0"/>
    <xf numFmtId="170" fontId="2" fillId="0" borderId="0" applyFont="0" applyFill="0" applyBorder="0" applyAlignment="0" applyProtection="0"/>
    <xf numFmtId="43" fontId="2" fillId="0" borderId="0" applyFont="0" applyFill="0" applyBorder="0" applyAlignment="0" applyProtection="0"/>
    <xf numFmtId="0" fontId="2" fillId="0" borderId="0"/>
    <xf numFmtId="168" fontId="2" fillId="0" borderId="0" applyFont="0" applyFill="0" applyBorder="0" applyAlignment="0" applyProtection="0"/>
    <xf numFmtId="0" fontId="2" fillId="0" borderId="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168" fontId="2" fillId="0" borderId="0" applyFont="0" applyFill="0" applyBorder="0" applyAlignment="0" applyProtection="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0" fontId="2" fillId="0" borderId="0"/>
    <xf numFmtId="180" fontId="2" fillId="0" borderId="0"/>
    <xf numFmtId="0" fontId="2" fillId="0" borderId="0"/>
    <xf numFmtId="0" fontId="2" fillId="0" borderId="0"/>
    <xf numFmtId="0" fontId="2" fillId="0" borderId="0"/>
    <xf numFmtId="0" fontId="2" fillId="0" borderId="0"/>
    <xf numFmtId="0" fontId="2" fillId="0" borderId="0"/>
    <xf numFmtId="180" fontId="2" fillId="0" borderId="0"/>
    <xf numFmtId="18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168" fontId="2" fillId="0" borderId="0" applyFont="0" applyFill="0" applyBorder="0" applyAlignment="0" applyProtection="0"/>
    <xf numFmtId="192" fontId="2" fillId="0" borderId="0" applyFont="0" applyFill="0" applyBorder="0" applyAlignment="0" applyProtection="0"/>
    <xf numFmtId="190" fontId="2" fillId="0" borderId="0" applyFont="0" applyFill="0" applyBorder="0" applyAlignment="0" applyProtection="0"/>
    <xf numFmtId="190" fontId="2" fillId="0" borderId="0" applyFont="0" applyFill="0" applyBorder="0" applyAlignment="0" applyProtection="0"/>
    <xf numFmtId="0" fontId="2" fillId="0" borderId="0"/>
    <xf numFmtId="0" fontId="2" fillId="0" borderId="0"/>
    <xf numFmtId="190" fontId="2" fillId="0" borderId="0" applyFont="0" applyFill="0" applyBorder="0" applyAlignment="0" applyProtection="0"/>
    <xf numFmtId="188" fontId="2" fillId="0" borderId="0" applyFont="0" applyFill="0" applyBorder="0" applyAlignment="0" applyProtection="0"/>
    <xf numFmtId="0" fontId="2" fillId="0" borderId="0"/>
    <xf numFmtId="188" fontId="2" fillId="0" borderId="0" applyFont="0" applyFill="0" applyBorder="0" applyAlignment="0" applyProtection="0"/>
    <xf numFmtId="192" fontId="2" fillId="0" borderId="0" applyFont="0" applyFill="0" applyBorder="0" applyAlignment="0" applyProtection="0"/>
    <xf numFmtId="188" fontId="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0" fontId="1" fillId="0" borderId="0"/>
    <xf numFmtId="168" fontId="52" fillId="0" borderId="0" applyFont="0" applyFill="0" applyBorder="0" applyAlignment="0" applyProtection="0"/>
    <xf numFmtId="41" fontId="52" fillId="0" borderId="0" applyFont="0" applyFill="0" applyBorder="0" applyAlignment="0" applyProtection="0"/>
    <xf numFmtId="0" fontId="1" fillId="0" borderId="0"/>
    <xf numFmtId="188" fontId="1" fillId="0" borderId="0" applyFont="0" applyFill="0" applyBorder="0" applyAlignment="0" applyProtection="0"/>
    <xf numFmtId="190" fontId="1" fillId="0" borderId="0" applyFont="0" applyFill="0" applyBorder="0" applyAlignment="0" applyProtection="0"/>
    <xf numFmtId="192" fontId="1" fillId="0" borderId="0" applyFont="0" applyFill="0" applyBorder="0" applyAlignment="0" applyProtection="0"/>
    <xf numFmtId="190" fontId="1" fillId="0" borderId="0" applyFont="0" applyFill="0" applyBorder="0" applyAlignment="0" applyProtection="0"/>
    <xf numFmtId="0" fontId="1" fillId="0" borderId="0"/>
    <xf numFmtId="188" fontId="1" fillId="0" borderId="0" applyFont="0" applyFill="0" applyBorder="0" applyAlignment="0" applyProtection="0"/>
    <xf numFmtId="192" fontId="1" fillId="0" borderId="0" applyFont="0" applyFill="0" applyBorder="0" applyAlignment="0" applyProtection="0"/>
    <xf numFmtId="170" fontId="52"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2" fontId="1" fillId="0" borderId="0" applyFont="0" applyFill="0" applyBorder="0" applyAlignment="0" applyProtection="0"/>
    <xf numFmtId="173" fontId="1" fillId="0" borderId="0" applyFont="0" applyFill="0" applyBorder="0" applyAlignment="0" applyProtection="0"/>
    <xf numFmtId="180" fontId="1" fillId="0" borderId="0"/>
    <xf numFmtId="0" fontId="1" fillId="0" borderId="0"/>
    <xf numFmtId="0" fontId="1" fillId="0" borderId="0"/>
    <xf numFmtId="0" fontId="1" fillId="0" borderId="0"/>
    <xf numFmtId="180" fontId="1" fillId="0" borderId="0"/>
    <xf numFmtId="180" fontId="1" fillId="0" borderId="0"/>
    <xf numFmtId="180" fontId="1" fillId="0" borderId="0"/>
    <xf numFmtId="180" fontId="1" fillId="0" borderId="0"/>
    <xf numFmtId="0" fontId="1" fillId="0" borderId="0"/>
    <xf numFmtId="180" fontId="1" fillId="0" borderId="0"/>
    <xf numFmtId="180" fontId="1" fillId="0" borderId="0"/>
    <xf numFmtId="9" fontId="1" fillId="0" borderId="0" applyFont="0" applyFill="0" applyBorder="0" applyAlignment="0" applyProtection="0"/>
    <xf numFmtId="0" fontId="1" fillId="0" borderId="0"/>
    <xf numFmtId="190" fontId="1" fillId="0" borderId="0" applyFont="0" applyFill="0" applyBorder="0" applyAlignment="0" applyProtection="0"/>
    <xf numFmtId="188" fontId="1" fillId="0" borderId="0" applyFont="0" applyFill="0" applyBorder="0" applyAlignment="0" applyProtection="0"/>
    <xf numFmtId="180" fontId="1" fillId="0" borderId="0"/>
    <xf numFmtId="0" fontId="1" fillId="0" borderId="0"/>
    <xf numFmtId="170" fontId="1" fillId="0" borderId="0" applyFont="0" applyFill="0" applyBorder="0" applyAlignment="0" applyProtection="0"/>
    <xf numFmtId="0" fontId="32" fillId="0" borderId="0"/>
    <xf numFmtId="0" fontId="52" fillId="0" borderId="0"/>
    <xf numFmtId="0" fontId="39" fillId="0" borderId="0"/>
    <xf numFmtId="0" fontId="39" fillId="24" borderId="0" applyNumberFormat="0" applyBorder="0" applyAlignment="0" applyProtection="0"/>
    <xf numFmtId="0" fontId="39" fillId="25" borderId="0" applyNumberFormat="0" applyBorder="0" applyAlignment="0" applyProtection="0"/>
    <xf numFmtId="0" fontId="39" fillId="26" borderId="0" applyNumberFormat="0" applyBorder="0" applyAlignment="0" applyProtection="0"/>
    <xf numFmtId="0" fontId="39" fillId="27" borderId="0" applyNumberFormat="0" applyBorder="0" applyAlignment="0" applyProtection="0"/>
    <xf numFmtId="0" fontId="39" fillId="28" borderId="0" applyNumberFormat="0" applyBorder="0" applyAlignment="0" applyProtection="0"/>
    <xf numFmtId="0" fontId="39" fillId="29" borderId="0" applyNumberFormat="0" applyBorder="0" applyAlignment="0" applyProtection="0"/>
    <xf numFmtId="0" fontId="39" fillId="30" borderId="0" applyNumberFormat="0" applyBorder="0" applyAlignment="0" applyProtection="0"/>
    <xf numFmtId="0" fontId="39" fillId="31" borderId="0" applyNumberFormat="0" applyBorder="0" applyAlignment="0" applyProtection="0"/>
    <xf numFmtId="0" fontId="39" fillId="32" borderId="0" applyNumberFormat="0" applyBorder="0" applyAlignment="0" applyProtection="0"/>
    <xf numFmtId="0" fontId="39" fillId="33" borderId="0" applyNumberFormat="0" applyBorder="0" applyAlignment="0" applyProtection="0"/>
    <xf numFmtId="0" fontId="39" fillId="34" borderId="0" applyNumberFormat="0" applyBorder="0" applyAlignment="0" applyProtection="0"/>
    <xf numFmtId="0" fontId="39" fillId="35" borderId="0" applyNumberFormat="0" applyBorder="0" applyAlignment="0" applyProtection="0"/>
    <xf numFmtId="0" fontId="89" fillId="36" borderId="0" applyNumberFormat="0" applyBorder="0" applyAlignment="0" applyProtection="0"/>
    <xf numFmtId="0" fontId="89" fillId="37" borderId="0" applyNumberFormat="0" applyBorder="0" applyAlignment="0" applyProtection="0"/>
    <xf numFmtId="0" fontId="89" fillId="38" borderId="0" applyNumberFormat="0" applyBorder="0" applyAlignment="0" applyProtection="0"/>
    <xf numFmtId="0" fontId="89" fillId="39" borderId="0" applyNumberFormat="0" applyBorder="0" applyAlignment="0" applyProtection="0"/>
    <xf numFmtId="0" fontId="89" fillId="40" borderId="0" applyNumberFormat="0" applyBorder="0" applyAlignment="0" applyProtection="0"/>
    <xf numFmtId="0" fontId="89" fillId="41" borderId="0" applyNumberFormat="0" applyBorder="0" applyAlignment="0" applyProtection="0"/>
    <xf numFmtId="0" fontId="89" fillId="42" borderId="0" applyNumberFormat="0" applyBorder="0" applyAlignment="0" applyProtection="0"/>
    <xf numFmtId="0" fontId="89" fillId="43" borderId="0" applyNumberFormat="0" applyBorder="0" applyAlignment="0" applyProtection="0"/>
    <xf numFmtId="0" fontId="89" fillId="44" borderId="0" applyNumberFormat="0" applyBorder="0" applyAlignment="0" applyProtection="0"/>
    <xf numFmtId="0" fontId="89" fillId="45" borderId="0" applyNumberFormat="0" applyBorder="0" applyAlignment="0" applyProtection="0"/>
    <xf numFmtId="0" fontId="89" fillId="46" borderId="0" applyNumberFormat="0" applyBorder="0" applyAlignment="0" applyProtection="0"/>
    <xf numFmtId="0" fontId="89" fillId="47" borderId="0" applyNumberFormat="0" applyBorder="0" applyAlignment="0" applyProtection="0"/>
    <xf numFmtId="0" fontId="94" fillId="12" borderId="0" applyNumberFormat="0" applyBorder="0" applyAlignment="0" applyProtection="0"/>
    <xf numFmtId="0" fontId="95" fillId="14" borderId="22" applyNumberFormat="0" applyAlignment="0" applyProtection="0"/>
    <xf numFmtId="0" fontId="90" fillId="22" borderId="89" applyNumberFormat="0" applyAlignment="0" applyProtection="0"/>
    <xf numFmtId="168" fontId="33" fillId="0" borderId="0" applyNumberFormat="0" applyFill="0" applyBorder="0" applyAlignment="0" applyProtection="0"/>
    <xf numFmtId="168" fontId="1" fillId="0" borderId="0" applyFont="0" applyFill="0" applyBorder="0" applyAlignment="0" applyProtection="0"/>
    <xf numFmtId="193" fontId="32" fillId="0" borderId="0" applyFont="0" applyFill="0" applyBorder="0" applyAlignment="0" applyProtection="0"/>
    <xf numFmtId="170" fontId="32" fillId="0" borderId="0" applyFont="0" applyFill="0" applyBorder="0" applyAlignment="0" applyProtection="0"/>
    <xf numFmtId="170" fontId="39" fillId="0" borderId="0" applyFont="0" applyFill="0" applyBorder="0" applyAlignment="0" applyProtection="0"/>
    <xf numFmtId="193" fontId="32" fillId="0" borderId="0" applyFont="0" applyFill="0" applyBorder="0" applyAlignment="0" applyProtection="0"/>
    <xf numFmtId="0" fontId="91" fillId="0" borderId="0" applyNumberFormat="0" applyFill="0" applyBorder="0" applyAlignment="0" applyProtection="0"/>
    <xf numFmtId="0" fontId="96" fillId="5" borderId="0" applyNumberFormat="0" applyBorder="0" applyAlignment="0" applyProtection="0"/>
    <xf numFmtId="0" fontId="97" fillId="0" borderId="90" applyNumberFormat="0" applyFill="0" applyAlignment="0" applyProtection="0"/>
    <xf numFmtId="0" fontId="98" fillId="0" borderId="91" applyNumberFormat="0" applyFill="0" applyAlignment="0" applyProtection="0"/>
    <xf numFmtId="0" fontId="99" fillId="0" borderId="92" applyNumberFormat="0" applyFill="0" applyAlignment="0" applyProtection="0"/>
    <xf numFmtId="0" fontId="99" fillId="0" borderId="0" applyNumberFormat="0" applyFill="0" applyBorder="0" applyAlignment="0" applyProtection="0"/>
    <xf numFmtId="0" fontId="100" fillId="13" borderId="22" applyNumberFormat="0" applyAlignment="0" applyProtection="0"/>
    <xf numFmtId="0" fontId="101" fillId="0" borderId="88" applyNumberFormat="0" applyFill="0" applyAlignment="0" applyProtection="0"/>
    <xf numFmtId="0" fontId="102" fillId="17" borderId="0" applyNumberFormat="0" applyBorder="0" applyAlignment="0" applyProtection="0"/>
    <xf numFmtId="0" fontId="39" fillId="0" borderId="0"/>
    <xf numFmtId="0" fontId="1"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23" borderId="79" applyNumberFormat="0" applyFont="0" applyAlignment="0" applyProtection="0"/>
    <xf numFmtId="0" fontId="103" fillId="14" borderId="87" applyNumberFormat="0" applyAlignment="0" applyProtection="0"/>
    <xf numFmtId="9" fontId="39" fillId="0" borderId="0" applyFont="0" applyFill="0" applyBorder="0" applyAlignment="0" applyProtection="0"/>
    <xf numFmtId="0" fontId="104" fillId="0" borderId="0" applyNumberFormat="0" applyFill="0" applyBorder="0" applyAlignment="0" applyProtection="0"/>
    <xf numFmtId="0" fontId="92" fillId="0" borderId="93" applyNumberFormat="0" applyFill="0" applyAlignment="0" applyProtection="0"/>
    <xf numFmtId="0" fontId="93" fillId="0" borderId="0" applyNumberFormat="0" applyFill="0" applyBorder="0" applyAlignment="0" applyProtection="0"/>
    <xf numFmtId="0" fontId="52" fillId="0" borderId="0"/>
    <xf numFmtId="0" fontId="1" fillId="0" borderId="0"/>
    <xf numFmtId="0" fontId="1" fillId="0" borderId="0"/>
    <xf numFmtId="183" fontId="1" fillId="0" borderId="0" applyFont="0" applyFill="0" applyBorder="0" applyAlignment="0" applyProtection="0"/>
    <xf numFmtId="188" fontId="1" fillId="0" borderId="0" applyFont="0" applyFill="0" applyBorder="0" applyAlignment="0" applyProtection="0"/>
    <xf numFmtId="190" fontId="1" fillId="0" borderId="0" applyFont="0" applyFill="0" applyBorder="0" applyAlignment="0" applyProtection="0"/>
    <xf numFmtId="0" fontId="1" fillId="0" borderId="0"/>
    <xf numFmtId="188" fontId="1" fillId="0" borderId="0" applyFont="0" applyFill="0" applyBorder="0" applyAlignment="0" applyProtection="0"/>
    <xf numFmtId="190" fontId="1" fillId="0" borderId="0" applyFont="0" applyFill="0" applyBorder="0" applyAlignment="0" applyProtection="0"/>
    <xf numFmtId="0" fontId="1" fillId="0" borderId="0"/>
    <xf numFmtId="9" fontId="52" fillId="0" borderId="0" applyFont="0" applyFill="0" applyBorder="0" applyAlignment="0" applyProtection="0"/>
    <xf numFmtId="172" fontId="52" fillId="0" borderId="0" applyFont="0" applyFill="0" applyBorder="0" applyAlignment="0" applyProtection="0"/>
    <xf numFmtId="0" fontId="1" fillId="0" borderId="0"/>
    <xf numFmtId="0" fontId="52" fillId="0" borderId="0"/>
    <xf numFmtId="0" fontId="33" fillId="0" borderId="0" applyNumberFormat="0" applyFont="0" applyFill="0" applyBorder="0" applyAlignment="0" applyProtection="0"/>
    <xf numFmtId="184" fontId="33" fillId="0" borderId="0" applyNumberFormat="0" applyFont="0" applyFill="0" applyBorder="0" applyAlignment="0" applyProtection="0"/>
    <xf numFmtId="184" fontId="33" fillId="0" borderId="0" applyNumberFormat="0" applyFont="0" applyFill="0" applyBorder="0" applyAlignment="0" applyProtection="0"/>
    <xf numFmtId="183" fontId="33" fillId="0" borderId="0" applyNumberFormat="0" applyFont="0" applyFill="0" applyBorder="0" applyAlignment="0" applyProtection="0"/>
    <xf numFmtId="41" fontId="33" fillId="0" borderId="0" applyFont="0" applyFill="0" applyBorder="0" applyAlignment="0" applyProtection="0"/>
    <xf numFmtId="41" fontId="33" fillId="0" borderId="0" applyFont="0" applyFill="0" applyBorder="0" applyAlignment="0" applyProtection="0"/>
    <xf numFmtId="41" fontId="33" fillId="0" borderId="0" applyFont="0" applyFill="0" applyBorder="0" applyAlignment="0" applyProtection="0"/>
    <xf numFmtId="41" fontId="52" fillId="0" borderId="0" applyFont="0" applyFill="0" applyBorder="0" applyAlignment="0" applyProtection="0"/>
    <xf numFmtId="41" fontId="39" fillId="0" borderId="0" applyFont="0" applyFill="0" applyBorder="0" applyAlignment="0" applyProtection="0"/>
    <xf numFmtId="43" fontId="52"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52"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52"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52"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52" fillId="0" borderId="0" applyFont="0" applyFill="0" applyBorder="0" applyAlignment="0" applyProtection="0"/>
    <xf numFmtId="43" fontId="39" fillId="0" borderId="0" applyFont="0" applyFill="0" applyBorder="0" applyAlignment="0" applyProtection="0"/>
    <xf numFmtId="43" fontId="52"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33" fillId="0" borderId="0" applyNumberFormat="0" applyFont="0" applyFill="0" applyBorder="0" applyAlignment="0" applyProtection="0"/>
    <xf numFmtId="43" fontId="33" fillId="0" borderId="0" applyNumberFormat="0" applyFont="0" applyFill="0" applyBorder="0" applyAlignment="0" applyProtection="0"/>
    <xf numFmtId="43" fontId="33" fillId="0" borderId="0" applyNumberFormat="0" applyFont="0" applyFill="0" applyBorder="0" applyAlignment="0" applyProtection="0"/>
    <xf numFmtId="170" fontId="33" fillId="0" borderId="0" applyNumberFormat="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52" fillId="0" borderId="0" applyFont="0" applyFill="0" applyBorder="0" applyAlignment="0" applyProtection="0"/>
    <xf numFmtId="43" fontId="39" fillId="0" borderId="0" applyFont="0" applyFill="0" applyBorder="0" applyAlignment="0" applyProtection="0"/>
    <xf numFmtId="43" fontId="52" fillId="0" borderId="0" applyFont="0" applyFill="0" applyBorder="0" applyAlignment="0" applyProtection="0"/>
    <xf numFmtId="43" fontId="39" fillId="0" borderId="0" applyFont="0" applyFill="0" applyBorder="0" applyAlignment="0" applyProtection="0"/>
    <xf numFmtId="0" fontId="81" fillId="5" borderId="0" applyNumberFormat="0" applyBorder="0" applyAlignment="0" applyProtection="0"/>
    <xf numFmtId="9" fontId="33" fillId="0" borderId="0" applyFont="0" applyFill="0" applyBorder="0" applyAlignment="0" applyProtection="0"/>
    <xf numFmtId="0" fontId="105" fillId="0" borderId="0">
      <alignment horizontal="left" vertical="top"/>
    </xf>
    <xf numFmtId="183" fontId="52" fillId="0" borderId="0" applyFont="0" applyFill="0" applyBorder="0" applyAlignment="0" applyProtection="0"/>
    <xf numFmtId="183" fontId="1" fillId="0" borderId="0" applyFont="0" applyFill="0" applyBorder="0" applyAlignment="0" applyProtection="0"/>
    <xf numFmtId="172" fontId="52" fillId="0" borderId="0" applyFont="0" applyFill="0" applyBorder="0" applyAlignment="0" applyProtection="0"/>
    <xf numFmtId="43" fontId="52" fillId="0" borderId="0" applyFont="0" applyFill="0" applyBorder="0" applyAlignment="0" applyProtection="0"/>
    <xf numFmtId="0" fontId="39" fillId="54" borderId="0" applyNumberFormat="0" applyBorder="0" applyAlignment="0" applyProtection="0"/>
    <xf numFmtId="0" fontId="52" fillId="55" borderId="0" applyNumberFormat="0" applyBorder="0" applyAlignment="0" applyProtection="0"/>
    <xf numFmtId="0" fontId="39" fillId="56" borderId="0" applyNumberFormat="0" applyBorder="0" applyAlignment="0" applyProtection="0"/>
    <xf numFmtId="0" fontId="39" fillId="57" borderId="0" applyNumberFormat="0" applyBorder="0" applyAlignment="0" applyProtection="0"/>
    <xf numFmtId="0" fontId="39" fillId="58" borderId="0" applyNumberFormat="0" applyBorder="0" applyAlignment="0" applyProtection="0"/>
    <xf numFmtId="0" fontId="39" fillId="59" borderId="0" applyNumberFormat="0" applyBorder="0" applyAlignment="0" applyProtection="0"/>
    <xf numFmtId="0" fontId="39" fillId="60" borderId="0" applyNumberFormat="0" applyBorder="0" applyAlignment="0" applyProtection="0"/>
    <xf numFmtId="0" fontId="39" fillId="61" borderId="0" applyNumberFormat="0" applyBorder="0" applyAlignment="0" applyProtection="0"/>
    <xf numFmtId="0" fontId="39" fillId="62" borderId="0" applyNumberFormat="0" applyBorder="0" applyAlignment="0" applyProtection="0"/>
    <xf numFmtId="0" fontId="39" fillId="63" borderId="0" applyNumberFormat="0" applyBorder="0" applyAlignment="0" applyProtection="0"/>
    <xf numFmtId="0" fontId="39" fillId="64" borderId="0" applyNumberFormat="0" applyBorder="0" applyAlignment="0" applyProtection="0"/>
    <xf numFmtId="0" fontId="39" fillId="65" borderId="0" applyNumberFormat="0" applyBorder="0" applyAlignment="0" applyProtection="0"/>
    <xf numFmtId="0" fontId="39" fillId="66" borderId="0" applyNumberFormat="0" applyBorder="0" applyAlignment="0" applyProtection="0"/>
    <xf numFmtId="0" fontId="89" fillId="67" borderId="0" applyNumberFormat="0" applyBorder="0" applyAlignment="0" applyProtection="0"/>
    <xf numFmtId="0" fontId="89" fillId="68" borderId="0" applyNumberFormat="0" applyBorder="0" applyAlignment="0" applyProtection="0"/>
    <xf numFmtId="0" fontId="89" fillId="69" borderId="0" applyNumberFormat="0" applyBorder="0" applyAlignment="0" applyProtection="0"/>
    <xf numFmtId="0" fontId="89" fillId="70" borderId="0" applyNumberFormat="0" applyBorder="0" applyAlignment="0" applyProtection="0"/>
    <xf numFmtId="0" fontId="89" fillId="71" borderId="0" applyNumberFormat="0" applyBorder="0" applyAlignment="0" applyProtection="0"/>
    <xf numFmtId="0" fontId="89" fillId="72" borderId="0" applyNumberFormat="0" applyBorder="0" applyAlignment="0" applyProtection="0"/>
    <xf numFmtId="0" fontId="89" fillId="73" borderId="0" applyNumberFormat="0" applyBorder="0" applyAlignment="0" applyProtection="0"/>
    <xf numFmtId="180" fontId="68" fillId="74" borderId="0" applyNumberFormat="0" applyBorder="0" applyAlignment="0" applyProtection="0"/>
    <xf numFmtId="0" fontId="89" fillId="75" borderId="0" applyNumberFormat="0" applyBorder="0" applyAlignment="0" applyProtection="0"/>
    <xf numFmtId="0" fontId="89" fillId="76" borderId="0" applyNumberFormat="0" applyBorder="0" applyAlignment="0" applyProtection="0"/>
    <xf numFmtId="0" fontId="68" fillId="77" borderId="0" applyNumberFormat="0" applyBorder="0" applyAlignment="0" applyProtection="0"/>
    <xf numFmtId="0" fontId="89" fillId="78" borderId="0" applyNumberFormat="0" applyBorder="0" applyAlignment="0" applyProtection="0"/>
    <xf numFmtId="0" fontId="89" fillId="79" borderId="0" applyNumberFormat="0" applyBorder="0" applyAlignment="0" applyProtection="0"/>
    <xf numFmtId="0" fontId="89" fillId="80" borderId="0" applyNumberFormat="0" applyBorder="0" applyAlignment="0" applyProtection="0"/>
    <xf numFmtId="0" fontId="69" fillId="21" borderId="0" applyNumberFormat="0" applyBorder="0" applyAlignment="0" applyProtection="0"/>
    <xf numFmtId="0" fontId="94" fillId="21" borderId="0" applyNumberFormat="0" applyBorder="0" applyAlignment="0" applyProtection="0"/>
    <xf numFmtId="0" fontId="71" fillId="81" borderId="22" applyNumberFormat="0" applyAlignment="0" applyProtection="0"/>
    <xf numFmtId="0" fontId="95" fillId="81" borderId="22" applyNumberFormat="0" applyAlignment="0" applyProtection="0"/>
    <xf numFmtId="0" fontId="90" fillId="82" borderId="89" applyNumberFormat="0" applyAlignment="0" applyProtection="0"/>
    <xf numFmtId="41" fontId="33" fillId="0" borderId="0" applyFont="0" applyFill="0" applyBorder="0" applyAlignment="0" applyProtection="0"/>
    <xf numFmtId="41" fontId="52" fillId="0" borderId="0" applyFont="0" applyFill="0" applyBorder="0" applyAlignment="0" applyProtection="0"/>
    <xf numFmtId="41" fontId="33" fillId="0" borderId="0" applyFont="0" applyFill="0" applyBorder="0" applyAlignment="0" applyProtection="0"/>
    <xf numFmtId="41" fontId="33" fillId="0" borderId="0" applyFont="0" applyFill="0" applyBorder="0" applyAlignment="0" applyProtection="0"/>
    <xf numFmtId="41" fontId="121" fillId="0" borderId="0" applyFont="0" applyFill="0" applyBorder="0" applyAlignment="0" applyProtection="0"/>
    <xf numFmtId="41" fontId="52" fillId="0" borderId="0" applyFont="0" applyFill="0" applyBorder="0" applyAlignment="0" applyProtection="0"/>
    <xf numFmtId="41" fontId="39" fillId="0" borderId="0" applyFont="0" applyFill="0" applyBorder="0" applyAlignment="0" applyProtection="0"/>
    <xf numFmtId="41" fontId="39" fillId="0" borderId="0" applyFont="0" applyFill="0" applyBorder="0" applyAlignment="0" applyProtection="0"/>
    <xf numFmtId="41" fontId="52" fillId="0" borderId="0" applyFont="0" applyFill="0" applyBorder="0" applyAlignment="0" applyProtection="0"/>
    <xf numFmtId="188" fontId="52" fillId="0" borderId="0" applyFont="0" applyFill="0" applyBorder="0" applyAlignment="0" applyProtection="0"/>
    <xf numFmtId="41" fontId="121" fillId="0" borderId="0" applyFont="0" applyFill="0" applyBorder="0" applyAlignment="0" applyProtection="0"/>
    <xf numFmtId="43" fontId="121" fillId="0" borderId="0" applyFill="0" applyBorder="0" applyAlignment="0" applyProtection="0"/>
    <xf numFmtId="166" fontId="121" fillId="0" borderId="0" applyFill="0" applyBorder="0" applyAlignment="0" applyProtection="0"/>
    <xf numFmtId="182" fontId="121" fillId="0" borderId="0" applyFill="0" applyBorder="0" applyAlignment="0" applyProtection="0"/>
    <xf numFmtId="189" fontId="121" fillId="0" borderId="0" applyFont="0" applyFill="0" applyBorder="0" applyAlignment="0" applyProtection="0"/>
    <xf numFmtId="41" fontId="33" fillId="0" borderId="0" applyNumberFormat="0" applyFill="0" applyBorder="0" applyAlignment="0" applyProtection="0"/>
    <xf numFmtId="41" fontId="39" fillId="0" borderId="0" applyFont="0" applyFill="0" applyBorder="0" applyAlignment="0" applyProtection="0"/>
    <xf numFmtId="41" fontId="121" fillId="0" borderId="0" applyFont="0" applyFill="0" applyBorder="0" applyAlignment="0" applyProtection="0"/>
    <xf numFmtId="183" fontId="52" fillId="0" borderId="0" applyFont="0" applyFill="0" applyBorder="0" applyAlignment="0" applyProtection="0"/>
    <xf numFmtId="41" fontId="52" fillId="0" borderId="0" applyFont="0" applyFill="0" applyBorder="0" applyAlignment="0" applyProtection="0">
      <alignment vertical="center"/>
    </xf>
    <xf numFmtId="175" fontId="121" fillId="0" borderId="0" applyFill="0" applyBorder="0" applyAlignment="0" applyProtection="0"/>
    <xf numFmtId="41" fontId="48" fillId="0" borderId="0" applyFont="0" applyFill="0" applyBorder="0" applyAlignment="0" applyProtection="0"/>
    <xf numFmtId="41" fontId="53" fillId="0" borderId="0" applyFont="0" applyFill="0" applyBorder="0" applyAlignment="0" applyProtection="0"/>
    <xf numFmtId="43" fontId="39"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39" fillId="0" borderId="0" applyFont="0" applyFill="0" applyBorder="0" applyAlignment="0" applyProtection="0"/>
    <xf numFmtId="43" fontId="121" fillId="0" borderId="0" applyFont="0" applyFill="0" applyBorder="0" applyAlignment="0" applyProtection="0"/>
    <xf numFmtId="190" fontId="52" fillId="0" borderId="0" applyFont="0" applyFill="0" applyBorder="0" applyAlignment="0" applyProtection="0"/>
    <xf numFmtId="43" fontId="52" fillId="0" borderId="0" applyFont="0" applyFill="0" applyBorder="0" applyAlignment="0" applyProtection="0">
      <alignment vertical="center"/>
    </xf>
    <xf numFmtId="193" fontId="39"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4" fontId="33" fillId="0" borderId="0" applyFont="0" applyFill="0" applyBorder="0" applyAlignment="0" applyProtection="0"/>
    <xf numFmtId="43" fontId="33" fillId="0" borderId="0" applyNumberFormat="0" applyFont="0" applyFill="0" applyBorder="0" applyAlignment="0" applyProtection="0"/>
    <xf numFmtId="43" fontId="33" fillId="0" borderId="0" applyNumberFormat="0" applyFill="0" applyBorder="0" applyAlignment="0" applyProtection="0"/>
    <xf numFmtId="164" fontId="121" fillId="0" borderId="0" applyFill="0" applyBorder="0" applyAlignment="0" applyProtection="0"/>
    <xf numFmtId="43" fontId="33" fillId="0" borderId="0" applyFont="0" applyFill="0" applyBorder="0" applyAlignment="0" applyProtection="0"/>
    <xf numFmtId="191" fontId="121" fillId="0" borderId="0" applyFont="0" applyFill="0" applyBorder="0" applyAlignment="0" applyProtection="0"/>
    <xf numFmtId="43" fontId="33" fillId="0" borderId="0" applyFont="0" applyFill="0" applyBorder="0" applyAlignment="0" applyProtection="0"/>
    <xf numFmtId="43" fontId="33" fillId="0" borderId="0" applyNumberFormat="0" applyFont="0" applyFill="0" applyBorder="0" applyAlignment="0" applyProtection="0"/>
    <xf numFmtId="165" fontId="121" fillId="0" borderId="0" applyFill="0" applyBorder="0" applyAlignment="0" applyProtection="0"/>
    <xf numFmtId="169" fontId="121" fillId="0" borderId="0" applyFill="0" applyBorder="0" applyAlignment="0" applyProtection="0"/>
    <xf numFmtId="43" fontId="82" fillId="0" borderId="0" applyFont="0" applyFill="0" applyBorder="0" applyAlignment="0" applyProtection="0"/>
    <xf numFmtId="176" fontId="121" fillId="0" borderId="0" applyFill="0" applyBorder="0" applyAlignment="0" applyProtection="0"/>
    <xf numFmtId="5" fontId="121" fillId="0" borderId="0" applyFill="0" applyBorder="0" applyAlignment="0" applyProtection="0"/>
    <xf numFmtId="184" fontId="121" fillId="0" borderId="0" applyFont="0" applyFill="0" applyBorder="0" applyAlignment="0" applyProtection="0"/>
    <xf numFmtId="43" fontId="52" fillId="0" borderId="0" applyFont="0" applyFill="0" applyBorder="0" applyAlignment="0" applyProtection="0"/>
    <xf numFmtId="42" fontId="33" fillId="0" borderId="0" applyFont="0" applyFill="0" applyBorder="0" applyAlignment="0" applyProtection="0"/>
    <xf numFmtId="42" fontId="39" fillId="0" borderId="0" applyFont="0" applyFill="0" applyBorder="0" applyAlignment="0" applyProtection="0"/>
    <xf numFmtId="42" fontId="52" fillId="0" borderId="0" applyFont="0" applyFill="0" applyBorder="0" applyAlignment="0" applyProtection="0"/>
    <xf numFmtId="173" fontId="39" fillId="0" borderId="0" applyFont="0" applyFill="0" applyBorder="0" applyAlignment="0" applyProtection="0"/>
    <xf numFmtId="173" fontId="52" fillId="0" borderId="0" applyFont="0" applyFill="0" applyBorder="0" applyAlignment="0" applyProtection="0"/>
    <xf numFmtId="42" fontId="52" fillId="0" borderId="0" applyFont="0" applyFill="0" applyBorder="0" applyAlignment="0" applyProtection="0"/>
    <xf numFmtId="192" fontId="52" fillId="0" borderId="0" applyFont="0" applyFill="0" applyBorder="0" applyAlignment="0" applyProtection="0"/>
    <xf numFmtId="180" fontId="81" fillId="20" borderId="0" applyNumberFormat="0" applyBorder="0" applyAlignment="0" applyProtection="0"/>
    <xf numFmtId="0" fontId="81" fillId="20" borderId="0" applyNumberFormat="0" applyBorder="0" applyAlignment="0" applyProtection="0"/>
    <xf numFmtId="0" fontId="81" fillId="20" borderId="0" applyNumberFormat="0" applyBorder="0" applyAlignment="0" applyProtection="0"/>
    <xf numFmtId="0" fontId="96" fillId="20" borderId="0" applyNumberFormat="0" applyBorder="0" applyAlignment="0" applyProtection="0"/>
    <xf numFmtId="0" fontId="70" fillId="83" borderId="22" applyNumberFormat="0" applyAlignment="0" applyProtection="0"/>
    <xf numFmtId="0" fontId="100" fillId="83" borderId="22" applyNumberFormat="0" applyAlignment="0" applyProtection="0"/>
    <xf numFmtId="0" fontId="79" fillId="84" borderId="0" applyNumberFormat="0" applyBorder="0" applyAlignment="0" applyProtection="0"/>
    <xf numFmtId="0" fontId="102" fillId="84" borderId="0" applyNumberFormat="0" applyBorder="0" applyAlignment="0" applyProtection="0"/>
    <xf numFmtId="180" fontId="52" fillId="0" borderId="0"/>
    <xf numFmtId="0" fontId="52" fillId="0" borderId="0"/>
    <xf numFmtId="0" fontId="39" fillId="0" borderId="0"/>
    <xf numFmtId="0" fontId="121" fillId="0" borderId="0"/>
    <xf numFmtId="180" fontId="121" fillId="0" borderId="0"/>
    <xf numFmtId="0" fontId="39" fillId="10" borderId="79" applyNumberFormat="0" applyFont="0" applyAlignment="0" applyProtection="0"/>
    <xf numFmtId="0" fontId="103" fillId="81" borderId="87" applyNumberFormat="0" applyAlignment="0" applyProtection="0"/>
    <xf numFmtId="9" fontId="39" fillId="0" borderId="0" applyFont="0" applyFill="0" applyBorder="0" applyAlignment="0" applyProtection="0"/>
    <xf numFmtId="9" fontId="52" fillId="0" borderId="0" applyFont="0" applyFill="0" applyBorder="0" applyAlignment="0" applyProtection="0"/>
    <xf numFmtId="9" fontId="121" fillId="0" borderId="0" applyFont="0" applyFill="0" applyBorder="0" applyAlignment="0" applyProtection="0"/>
    <xf numFmtId="0" fontId="122" fillId="0" borderId="0" applyNumberFormat="0" applyFill="0" applyBorder="0" applyAlignment="0" applyProtection="0"/>
  </cellStyleXfs>
  <cellXfs count="521">
    <xf numFmtId="0" fontId="0" fillId="0" borderId="0" xfId="0"/>
    <xf numFmtId="0" fontId="48" fillId="0" borderId="0" xfId="2007" applyFont="1" applyAlignment="1">
      <alignment vertical="center" wrapText="1"/>
    </xf>
    <xf numFmtId="168" fontId="48" fillId="0" borderId="0" xfId="2007" applyNumberFormat="1" applyFont="1" applyAlignment="1">
      <alignment vertical="center" wrapText="1"/>
    </xf>
    <xf numFmtId="168" fontId="58" fillId="6" borderId="13" xfId="3" applyFont="1" applyFill="1" applyBorder="1"/>
    <xf numFmtId="0" fontId="55" fillId="6" borderId="7" xfId="0" applyFont="1" applyFill="1" applyBorder="1" applyAlignment="1">
      <alignment horizontal="center"/>
    </xf>
    <xf numFmtId="0" fontId="55" fillId="6" borderId="1" xfId="0" applyFont="1" applyFill="1" applyBorder="1" applyAlignment="1">
      <alignment horizontal="center"/>
    </xf>
    <xf numFmtId="177" fontId="40" fillId="6" borderId="55" xfId="3" quotePrefix="1" applyNumberFormat="1" applyFont="1" applyFill="1" applyBorder="1" applyAlignment="1">
      <alignment horizontal="center"/>
    </xf>
    <xf numFmtId="168" fontId="45" fillId="9" borderId="58" xfId="3" applyFont="1" applyFill="1" applyBorder="1"/>
    <xf numFmtId="177" fontId="45" fillId="6" borderId="56" xfId="3" applyNumberFormat="1" applyFont="1" applyFill="1" applyBorder="1"/>
    <xf numFmtId="177" fontId="45" fillId="6" borderId="57" xfId="3" applyNumberFormat="1" applyFont="1" applyFill="1" applyBorder="1"/>
    <xf numFmtId="177" fontId="45" fillId="6" borderId="58" xfId="3" applyNumberFormat="1" applyFont="1" applyFill="1" applyBorder="1"/>
    <xf numFmtId="9" fontId="45" fillId="6" borderId="58" xfId="2154" applyFont="1" applyFill="1" applyBorder="1" applyAlignment="1">
      <alignment horizontal="center" vertical="center"/>
    </xf>
    <xf numFmtId="177" fontId="54" fillId="6" borderId="56" xfId="3" applyNumberFormat="1" applyFont="1" applyFill="1" applyBorder="1"/>
    <xf numFmtId="168" fontId="56" fillId="6" borderId="58" xfId="3" applyFont="1" applyFill="1" applyBorder="1"/>
    <xf numFmtId="177" fontId="40" fillId="6" borderId="63" xfId="3" quotePrefix="1" applyNumberFormat="1" applyFont="1" applyFill="1" applyBorder="1" applyAlignment="1">
      <alignment horizontal="center"/>
    </xf>
    <xf numFmtId="168" fontId="45" fillId="9" borderId="62" xfId="3" applyFont="1" applyFill="1" applyBorder="1"/>
    <xf numFmtId="168" fontId="45" fillId="6" borderId="62" xfId="3" applyFont="1" applyFill="1" applyBorder="1"/>
    <xf numFmtId="177" fontId="45" fillId="6" borderId="60" xfId="3" applyNumberFormat="1" applyFont="1" applyFill="1" applyBorder="1"/>
    <xf numFmtId="9" fontId="55" fillId="6" borderId="62" xfId="2154" applyFont="1" applyFill="1" applyBorder="1" applyAlignment="1">
      <alignment horizontal="center" vertical="center"/>
    </xf>
    <xf numFmtId="177" fontId="54" fillId="6" borderId="60" xfId="3" applyNumberFormat="1" applyFont="1" applyFill="1" applyBorder="1"/>
    <xf numFmtId="177" fontId="45" fillId="6" borderId="61" xfId="3" applyNumberFormat="1" applyFont="1" applyFill="1" applyBorder="1"/>
    <xf numFmtId="177" fontId="45" fillId="6" borderId="62" xfId="3" applyNumberFormat="1" applyFont="1" applyFill="1" applyBorder="1"/>
    <xf numFmtId="168" fontId="54" fillId="6" borderId="62" xfId="3" applyFont="1" applyFill="1" applyBorder="1"/>
    <xf numFmtId="168" fontId="55" fillId="8" borderId="16" xfId="0" applyNumberFormat="1" applyFont="1" applyFill="1" applyBorder="1"/>
    <xf numFmtId="168" fontId="54" fillId="6" borderId="76" xfId="3" applyFont="1" applyFill="1" applyBorder="1"/>
    <xf numFmtId="168" fontId="55" fillId="6" borderId="85" xfId="3" applyFont="1" applyFill="1" applyBorder="1"/>
    <xf numFmtId="0" fontId="74" fillId="6" borderId="85" xfId="0" applyFont="1" applyFill="1" applyBorder="1" applyAlignment="1">
      <alignment horizontal="center"/>
    </xf>
    <xf numFmtId="168" fontId="40" fillId="6" borderId="85" xfId="3" applyFont="1" applyFill="1" applyBorder="1"/>
    <xf numFmtId="168" fontId="54" fillId="6" borderId="85" xfId="3" applyFont="1" applyFill="1" applyBorder="1"/>
    <xf numFmtId="168" fontId="55" fillId="9" borderId="85" xfId="3" applyFont="1" applyFill="1" applyBorder="1"/>
    <xf numFmtId="168" fontId="60" fillId="9" borderId="85" xfId="3" applyFont="1" applyFill="1" applyBorder="1"/>
    <xf numFmtId="168" fontId="54" fillId="9" borderId="85" xfId="3" applyFont="1" applyFill="1" applyBorder="1"/>
    <xf numFmtId="0" fontId="55" fillId="6" borderId="5" xfId="0" applyFont="1" applyFill="1" applyBorder="1"/>
    <xf numFmtId="177" fontId="40" fillId="6" borderId="86" xfId="3" quotePrefix="1" applyNumberFormat="1" applyFont="1" applyFill="1" applyBorder="1"/>
    <xf numFmtId="0" fontId="52" fillId="11" borderId="0" xfId="17805" applyFill="1" applyAlignment="1"/>
    <xf numFmtId="0" fontId="52" fillId="11" borderId="0" xfId="17805" applyFill="1" applyAlignment="1">
      <alignment horizontal="center"/>
    </xf>
    <xf numFmtId="179" fontId="52" fillId="11" borderId="0" xfId="17805" applyNumberFormat="1" applyFill="1" applyAlignment="1"/>
    <xf numFmtId="168" fontId="52" fillId="11" borderId="0" xfId="17805" applyNumberFormat="1" applyFill="1" applyAlignment="1"/>
    <xf numFmtId="49" fontId="107" fillId="50" borderId="76" xfId="17805" applyNumberFormat="1" applyFont="1" applyFill="1" applyBorder="1" applyAlignment="1">
      <alignment horizontal="center" vertical="center" wrapText="1"/>
    </xf>
    <xf numFmtId="49" fontId="107" fillId="50" borderId="73" xfId="17805" applyNumberFormat="1" applyFont="1" applyFill="1" applyBorder="1" applyAlignment="1">
      <alignment horizontal="center" vertical="center" wrapText="1"/>
    </xf>
    <xf numFmtId="49" fontId="107" fillId="50" borderId="77" xfId="17805" applyNumberFormat="1" applyFont="1" applyFill="1" applyBorder="1" applyAlignment="1">
      <alignment horizontal="center" vertical="center" wrapText="1"/>
    </xf>
    <xf numFmtId="0" fontId="45" fillId="11" borderId="0" xfId="17805" applyFont="1" applyFill="1">
      <alignment vertical="center"/>
    </xf>
    <xf numFmtId="168" fontId="45" fillId="18" borderId="64" xfId="3" applyFont="1" applyFill="1" applyBorder="1" applyAlignment="1">
      <alignment vertical="center" wrapText="1"/>
    </xf>
    <xf numFmtId="49" fontId="107" fillId="50" borderId="74" xfId="17805" applyNumberFormat="1" applyFont="1" applyFill="1" applyBorder="1" applyAlignment="1">
      <alignment horizontal="center" vertical="center" wrapText="1"/>
    </xf>
    <xf numFmtId="49" fontId="111" fillId="50" borderId="76" xfId="3" applyNumberFormat="1" applyFont="1" applyFill="1" applyBorder="1" applyAlignment="1">
      <alignment horizontal="center" vertical="center"/>
    </xf>
    <xf numFmtId="49" fontId="111" fillId="50" borderId="77" xfId="17805" applyNumberFormat="1" applyFont="1" applyFill="1" applyBorder="1" applyAlignment="1">
      <alignment horizontal="center" vertical="center"/>
    </xf>
    <xf numFmtId="49" fontId="111" fillId="50" borderId="73" xfId="17805" applyNumberFormat="1" applyFont="1" applyFill="1" applyBorder="1" applyAlignment="1">
      <alignment horizontal="center" vertical="center"/>
    </xf>
    <xf numFmtId="49" fontId="111" fillId="50" borderId="76" xfId="17805" applyNumberFormat="1" applyFont="1" applyFill="1" applyBorder="1" applyAlignment="1">
      <alignment horizontal="center" vertical="center"/>
    </xf>
    <xf numFmtId="49" fontId="111" fillId="50" borderId="74" xfId="17805" applyNumberFormat="1" applyFont="1" applyFill="1" applyBorder="1" applyAlignment="1">
      <alignment horizontal="center" vertical="center"/>
    </xf>
    <xf numFmtId="49" fontId="111" fillId="50" borderId="49" xfId="17805" applyNumberFormat="1" applyFont="1" applyFill="1" applyBorder="1" applyAlignment="1">
      <alignment horizontal="center" vertical="center"/>
    </xf>
    <xf numFmtId="49" fontId="111" fillId="50" borderId="77" xfId="3" applyNumberFormat="1" applyFont="1" applyFill="1" applyBorder="1" applyAlignment="1">
      <alignment horizontal="center" vertical="center"/>
    </xf>
    <xf numFmtId="49" fontId="111" fillId="50" borderId="72" xfId="17805" applyNumberFormat="1" applyFont="1" applyFill="1" applyBorder="1" applyAlignment="1">
      <alignment horizontal="center" vertical="center"/>
    </xf>
    <xf numFmtId="168" fontId="45" fillId="18" borderId="67" xfId="3" applyFont="1" applyFill="1" applyBorder="1" applyAlignment="1">
      <alignment vertical="center" wrapText="1"/>
    </xf>
    <xf numFmtId="168" fontId="55" fillId="6" borderId="10" xfId="3" applyFont="1" applyFill="1" applyBorder="1"/>
    <xf numFmtId="9" fontId="55" fillId="6" borderId="9" xfId="2154" applyFont="1" applyFill="1" applyBorder="1" applyAlignment="1">
      <alignment horizontal="center" vertical="center"/>
    </xf>
    <xf numFmtId="168" fontId="45" fillId="18" borderId="44" xfId="3" applyFont="1" applyFill="1" applyBorder="1" applyAlignment="1">
      <alignment horizontal="right" vertical="center" wrapText="1"/>
    </xf>
    <xf numFmtId="168" fontId="45" fillId="18" borderId="43" xfId="3" applyFont="1" applyFill="1" applyBorder="1" applyAlignment="1">
      <alignment vertical="center" wrapText="1"/>
    </xf>
    <xf numFmtId="168" fontId="54" fillId="18" borderId="68" xfId="3" applyFont="1" applyFill="1" applyBorder="1" applyAlignment="1">
      <alignment vertical="center" wrapText="1"/>
    </xf>
    <xf numFmtId="168" fontId="54" fillId="18" borderId="44" xfId="3" applyFont="1" applyFill="1" applyBorder="1" applyAlignment="1">
      <alignment vertical="center" wrapText="1"/>
    </xf>
    <xf numFmtId="49" fontId="111" fillId="50" borderId="65" xfId="17805" applyNumberFormat="1" applyFont="1" applyFill="1" applyBorder="1" applyAlignment="1">
      <alignment horizontal="center" vertical="center"/>
    </xf>
    <xf numFmtId="49" fontId="111" fillId="50" borderId="35" xfId="17805" applyNumberFormat="1" applyFont="1" applyFill="1" applyBorder="1" applyAlignment="1">
      <alignment horizontal="center" vertical="center"/>
    </xf>
    <xf numFmtId="168" fontId="45" fillId="52" borderId="77" xfId="3" applyFont="1" applyFill="1" applyBorder="1" applyAlignment="1">
      <alignment horizontal="center" vertical="center" wrapText="1"/>
    </xf>
    <xf numFmtId="168" fontId="45" fillId="52" borderId="72" xfId="3" applyFont="1" applyFill="1" applyBorder="1" applyAlignment="1">
      <alignment horizontal="center" vertical="center" wrapText="1"/>
    </xf>
    <xf numFmtId="168" fontId="45" fillId="19" borderId="77" xfId="3" applyFont="1" applyFill="1" applyBorder="1" applyAlignment="1">
      <alignment horizontal="left" vertical="center" wrapText="1"/>
    </xf>
    <xf numFmtId="168" fontId="45" fillId="19" borderId="72" xfId="3" applyFont="1" applyFill="1" applyBorder="1" applyAlignment="1">
      <alignment horizontal="left" vertical="center" wrapText="1"/>
    </xf>
    <xf numFmtId="168" fontId="45" fillId="48" borderId="82" xfId="3" applyFont="1" applyFill="1" applyBorder="1" applyAlignment="1">
      <alignment vertical="center" wrapText="1"/>
    </xf>
    <xf numFmtId="168" fontId="45" fillId="48" borderId="19" xfId="3" applyFont="1" applyFill="1" applyBorder="1" applyAlignment="1">
      <alignment horizontal="center" vertical="center" wrapText="1"/>
    </xf>
    <xf numFmtId="168" fontId="45" fillId="48" borderId="42" xfId="3" applyFont="1" applyFill="1" applyBorder="1" applyAlignment="1">
      <alignment horizontal="left" vertical="center" wrapText="1"/>
    </xf>
    <xf numFmtId="168" fontId="54" fillId="48" borderId="69" xfId="3" applyFont="1" applyFill="1" applyBorder="1" applyAlignment="1">
      <alignment horizontal="left" vertical="center" wrapText="1"/>
    </xf>
    <xf numFmtId="168" fontId="45" fillId="48" borderId="50" xfId="3" applyFont="1" applyFill="1" applyBorder="1" applyAlignment="1">
      <alignment horizontal="center" vertical="center" wrapText="1"/>
    </xf>
    <xf numFmtId="168" fontId="54" fillId="48" borderId="82" xfId="3" applyFont="1" applyFill="1" applyBorder="1" applyAlignment="1">
      <alignment horizontal="left" vertical="center" wrapText="1"/>
    </xf>
    <xf numFmtId="168" fontId="45" fillId="6" borderId="76" xfId="3" applyFont="1" applyFill="1" applyBorder="1" applyAlignment="1">
      <alignment vertical="center" wrapText="1"/>
    </xf>
    <xf numFmtId="168" fontId="44" fillId="19" borderId="76" xfId="3" applyFont="1" applyFill="1" applyBorder="1" applyAlignment="1">
      <alignment horizontal="left" wrapText="1"/>
    </xf>
    <xf numFmtId="168" fontId="45" fillId="48" borderId="82" xfId="3" applyFont="1" applyFill="1" applyBorder="1" applyAlignment="1">
      <alignment horizontal="left" vertical="center" wrapText="1"/>
    </xf>
    <xf numFmtId="168" fontId="45" fillId="18" borderId="44" xfId="3" applyFont="1" applyFill="1" applyBorder="1" applyAlignment="1">
      <alignment vertical="center" wrapText="1"/>
    </xf>
    <xf numFmtId="168" fontId="45" fillId="6" borderId="76" xfId="3" applyFont="1" applyFill="1" applyBorder="1" applyAlignment="1">
      <alignment wrapText="1"/>
    </xf>
    <xf numFmtId="168" fontId="45" fillId="6" borderId="77" xfId="3" applyFont="1" applyFill="1" applyBorder="1" applyAlignment="1">
      <alignment horizontal="center" wrapText="1"/>
    </xf>
    <xf numFmtId="0" fontId="55" fillId="6" borderId="45" xfId="0" applyFont="1" applyFill="1" applyBorder="1" applyAlignment="1">
      <alignment horizontal="center"/>
    </xf>
    <xf numFmtId="186" fontId="72" fillId="0" borderId="0" xfId="2007" applyNumberFormat="1" applyFont="1" applyAlignment="1">
      <alignment vertical="center" wrapText="1"/>
    </xf>
    <xf numFmtId="0" fontId="40" fillId="3" borderId="76" xfId="0" applyFont="1" applyFill="1" applyBorder="1" applyAlignment="1">
      <alignment horizontal="center" vertical="center" wrapText="1"/>
    </xf>
    <xf numFmtId="0" fontId="40" fillId="3" borderId="76" xfId="0" applyFont="1" applyFill="1" applyBorder="1" applyAlignment="1">
      <alignment horizontal="center" vertical="center"/>
    </xf>
    <xf numFmtId="0" fontId="40" fillId="9" borderId="76" xfId="0" applyFont="1" applyFill="1" applyBorder="1" applyAlignment="1">
      <alignment horizontal="center" vertical="center"/>
    </xf>
    <xf numFmtId="0" fontId="40" fillId="8" borderId="76" xfId="0" applyFont="1" applyFill="1" applyBorder="1" applyAlignment="1">
      <alignment horizontal="center" vertical="center" wrapText="1"/>
    </xf>
    <xf numFmtId="0" fontId="43" fillId="2" borderId="45" xfId="2007" applyFont="1" applyFill="1" applyBorder="1" applyAlignment="1">
      <alignment horizontal="center" vertical="center"/>
    </xf>
    <xf numFmtId="0" fontId="43" fillId="0" borderId="76" xfId="0" applyFont="1" applyBorder="1" applyAlignment="1">
      <alignment horizontal="center" vertical="center"/>
    </xf>
    <xf numFmtId="0" fontId="43" fillId="2" borderId="72" xfId="2007" applyFont="1" applyFill="1" applyBorder="1" applyAlignment="1">
      <alignment horizontal="center" vertical="center"/>
    </xf>
    <xf numFmtId="0" fontId="43" fillId="2" borderId="76" xfId="2007" applyFont="1" applyFill="1" applyBorder="1" applyAlignment="1">
      <alignment horizontal="center" vertical="center"/>
    </xf>
    <xf numFmtId="0" fontId="43" fillId="2" borderId="76" xfId="2007" applyFont="1" applyFill="1" applyBorder="1" applyAlignment="1">
      <alignment horizontal="center" vertical="center" wrapText="1"/>
    </xf>
    <xf numFmtId="0" fontId="43" fillId="2" borderId="76" xfId="1871" applyFont="1" applyFill="1" applyBorder="1" applyAlignment="1">
      <alignment horizontal="center" vertical="center" wrapText="1"/>
    </xf>
    <xf numFmtId="168" fontId="41" fillId="8" borderId="85" xfId="3" applyFont="1" applyFill="1" applyBorder="1" applyAlignment="1">
      <alignment horizontal="center" vertical="center"/>
    </xf>
    <xf numFmtId="168" fontId="41" fillId="8" borderId="76" xfId="3" applyFont="1" applyFill="1" applyBorder="1" applyAlignment="1">
      <alignment horizontal="center" vertical="center"/>
    </xf>
    <xf numFmtId="9" fontId="55" fillId="6" borderId="76" xfId="2154" applyFont="1" applyFill="1" applyBorder="1" applyAlignment="1">
      <alignment horizontal="center" vertical="center"/>
    </xf>
    <xf numFmtId="168" fontId="55" fillId="9" borderId="76" xfId="3" applyFont="1" applyFill="1" applyBorder="1"/>
    <xf numFmtId="168" fontId="54" fillId="9" borderId="76" xfId="3" applyFont="1" applyFill="1" applyBorder="1"/>
    <xf numFmtId="0" fontId="57" fillId="6" borderId="45" xfId="0" applyFont="1" applyFill="1" applyBorder="1" applyAlignment="1">
      <alignment horizontal="center"/>
    </xf>
    <xf numFmtId="9" fontId="55" fillId="6" borderId="72" xfId="0" applyNumberFormat="1" applyFont="1" applyFill="1" applyBorder="1" applyAlignment="1">
      <alignment horizontal="center"/>
    </xf>
    <xf numFmtId="0" fontId="74" fillId="6" borderId="76" xfId="0" applyFont="1" applyFill="1" applyBorder="1" applyAlignment="1">
      <alignment horizontal="center"/>
    </xf>
    <xf numFmtId="168" fontId="55" fillId="6" borderId="76" xfId="3" applyFont="1" applyFill="1" applyBorder="1"/>
    <xf numFmtId="168" fontId="40" fillId="6" borderId="76" xfId="3" applyFont="1" applyFill="1" applyBorder="1"/>
    <xf numFmtId="168" fontId="60" fillId="9" borderId="76" xfId="3" applyFont="1" applyFill="1" applyBorder="1"/>
    <xf numFmtId="0" fontId="55" fillId="6" borderId="77" xfId="0" applyFont="1" applyFill="1" applyBorder="1"/>
    <xf numFmtId="0" fontId="55" fillId="6" borderId="72" xfId="0" applyFont="1" applyFill="1" applyBorder="1" applyAlignment="1">
      <alignment horizontal="center"/>
    </xf>
    <xf numFmtId="0" fontId="40" fillId="3" borderId="76" xfId="2007" applyFont="1" applyFill="1" applyBorder="1" applyAlignment="1">
      <alignment horizontal="center" vertical="center" wrapText="1"/>
    </xf>
    <xf numFmtId="0" fontId="40" fillId="3" borderId="76" xfId="2007" applyFont="1" applyFill="1" applyBorder="1" applyAlignment="1">
      <alignment horizontal="center" vertical="center"/>
    </xf>
    <xf numFmtId="168" fontId="63" fillId="0" borderId="80" xfId="3" applyFont="1" applyBorder="1" applyAlignment="1">
      <alignment vertical="center"/>
    </xf>
    <xf numFmtId="0" fontId="63" fillId="0" borderId="17" xfId="0" applyFont="1" applyBorder="1" applyAlignment="1">
      <alignment vertical="center"/>
    </xf>
    <xf numFmtId="187" fontId="63" fillId="0" borderId="18" xfId="0" applyNumberFormat="1" applyFont="1" applyBorder="1" applyAlignment="1">
      <alignment horizontal="left" vertical="center"/>
    </xf>
    <xf numFmtId="0" fontId="54" fillId="11" borderId="0" xfId="17805" applyFont="1" applyFill="1" applyAlignment="1">
      <alignment horizontal="center" vertical="center"/>
    </xf>
    <xf numFmtId="173" fontId="52" fillId="11" borderId="0" xfId="2" applyNumberFormat="1" applyFont="1" applyFill="1" applyAlignment="1"/>
    <xf numFmtId="173" fontId="52" fillId="11" borderId="0" xfId="17805" applyNumberFormat="1" applyFill="1" applyAlignment="1"/>
    <xf numFmtId="168" fontId="55" fillId="6" borderId="21" xfId="3" applyFont="1" applyFill="1" applyBorder="1" applyAlignment="1">
      <alignment vertical="center"/>
    </xf>
    <xf numFmtId="168" fontId="55" fillId="6" borderId="11" xfId="3" applyFont="1" applyFill="1" applyBorder="1" applyAlignment="1">
      <alignment vertical="center"/>
    </xf>
    <xf numFmtId="168" fontId="55" fillId="6" borderId="9" xfId="3" applyFont="1" applyFill="1" applyBorder="1" applyAlignment="1">
      <alignment vertical="center"/>
    </xf>
    <xf numFmtId="168" fontId="54" fillId="6" borderId="9" xfId="3" applyFont="1" applyFill="1" applyBorder="1" applyAlignment="1">
      <alignment vertical="center"/>
    </xf>
    <xf numFmtId="168" fontId="55" fillId="9" borderId="9" xfId="3" applyFont="1" applyFill="1" applyBorder="1" applyAlignment="1">
      <alignment vertical="center"/>
    </xf>
    <xf numFmtId="168" fontId="54" fillId="9" borderId="9" xfId="3" applyFont="1" applyFill="1" applyBorder="1" applyAlignment="1">
      <alignment vertical="center"/>
    </xf>
    <xf numFmtId="168" fontId="55" fillId="8" borderId="9" xfId="3" applyFont="1" applyFill="1" applyBorder="1" applyAlignment="1">
      <alignment vertical="center"/>
    </xf>
    <xf numFmtId="168" fontId="45" fillId="19" borderId="76" xfId="3" applyFont="1" applyFill="1" applyBorder="1" applyAlignment="1">
      <alignment horizontal="left" vertical="center" wrapText="1"/>
    </xf>
    <xf numFmtId="0" fontId="55" fillId="6" borderId="77" xfId="0" applyFont="1" applyFill="1" applyBorder="1" applyAlignment="1">
      <alignment horizontal="center"/>
    </xf>
    <xf numFmtId="0" fontId="55" fillId="6" borderId="78" xfId="0" applyFont="1" applyFill="1" applyBorder="1"/>
    <xf numFmtId="168" fontId="44" fillId="9" borderId="76" xfId="3" applyFont="1" applyFill="1" applyBorder="1" applyAlignment="1">
      <alignment horizontal="left" wrapText="1"/>
    </xf>
    <xf numFmtId="49" fontId="106" fillId="50" borderId="76" xfId="17805" applyNumberFormat="1" applyFont="1" applyFill="1" applyBorder="1" applyAlignment="1">
      <alignment horizontal="center" vertical="center" wrapText="1"/>
    </xf>
    <xf numFmtId="49" fontId="106" fillId="50" borderId="72" xfId="17805" applyNumberFormat="1" applyFont="1" applyFill="1" applyBorder="1" applyAlignment="1">
      <alignment horizontal="center" vertical="center" wrapText="1"/>
    </xf>
    <xf numFmtId="49" fontId="106" fillId="50" borderId="77" xfId="17805" applyNumberFormat="1" applyFont="1" applyFill="1" applyBorder="1" applyAlignment="1">
      <alignment horizontal="center" vertical="center" wrapText="1"/>
    </xf>
    <xf numFmtId="168" fontId="54" fillId="19" borderId="76" xfId="3" applyFont="1" applyFill="1" applyBorder="1" applyAlignment="1">
      <alignment horizontal="left" wrapText="1"/>
    </xf>
    <xf numFmtId="168" fontId="45" fillId="6" borderId="76" xfId="3" applyFont="1" applyFill="1" applyBorder="1" applyAlignment="1">
      <alignment horizontal="left" wrapText="1"/>
    </xf>
    <xf numFmtId="0" fontId="54" fillId="11" borderId="0" xfId="17805" applyFont="1" applyFill="1">
      <alignment vertical="center"/>
    </xf>
    <xf numFmtId="168" fontId="44" fillId="7" borderId="76" xfId="3" applyFont="1" applyFill="1" applyBorder="1" applyAlignment="1">
      <alignment horizontal="center" wrapText="1"/>
    </xf>
    <xf numFmtId="49" fontId="111" fillId="50" borderId="45" xfId="17805" applyNumberFormat="1" applyFont="1" applyFill="1" applyBorder="1" applyAlignment="1">
      <alignment horizontal="center" vertical="center"/>
    </xf>
    <xf numFmtId="49" fontId="111" fillId="50" borderId="75" xfId="17805" applyNumberFormat="1" applyFont="1" applyFill="1" applyBorder="1" applyAlignment="1">
      <alignment horizontal="center" vertical="center"/>
    </xf>
    <xf numFmtId="168" fontId="45" fillId="6" borderId="45" xfId="3" applyFont="1" applyFill="1" applyBorder="1" applyAlignment="1">
      <alignment wrapText="1"/>
    </xf>
    <xf numFmtId="168" fontId="45" fillId="52" borderId="76" xfId="3" applyFont="1" applyFill="1" applyBorder="1" applyAlignment="1">
      <alignment horizontal="center" vertical="center" wrapText="1"/>
    </xf>
    <xf numFmtId="49" fontId="45" fillId="19" borderId="76" xfId="3" applyNumberFormat="1" applyFont="1" applyFill="1" applyBorder="1" applyAlignment="1">
      <alignment horizontal="center" vertical="center" wrapText="1"/>
    </xf>
    <xf numFmtId="49" fontId="45" fillId="48" borderId="81" xfId="3" applyNumberFormat="1" applyFont="1" applyFill="1" applyBorder="1" applyAlignment="1">
      <alignment horizontal="center" vertical="center" wrapText="1"/>
    </xf>
    <xf numFmtId="168" fontId="114" fillId="0" borderId="0" xfId="2007" applyNumberFormat="1" applyFont="1" applyAlignment="1">
      <alignment vertical="center" wrapText="1"/>
    </xf>
    <xf numFmtId="0" fontId="114" fillId="0" borderId="0" xfId="2007" applyFont="1" applyAlignment="1">
      <alignment vertical="center" wrapText="1"/>
    </xf>
    <xf numFmtId="168" fontId="57" fillId="8" borderId="58" xfId="0" applyNumberFormat="1" applyFont="1" applyFill="1" applyBorder="1"/>
    <xf numFmtId="168" fontId="57" fillId="0" borderId="0" xfId="3" applyFont="1" applyBorder="1" applyAlignment="1">
      <alignment vertical="center" wrapText="1"/>
    </xf>
    <xf numFmtId="168" fontId="53" fillId="0" borderId="0" xfId="2007" applyNumberFormat="1" applyAlignment="1">
      <alignment vertical="center" wrapText="1"/>
    </xf>
    <xf numFmtId="168" fontId="115" fillId="0" borderId="0" xfId="2007" applyNumberFormat="1" applyFont="1" applyAlignment="1">
      <alignment vertical="center" wrapText="1"/>
    </xf>
    <xf numFmtId="0" fontId="52" fillId="11" borderId="51" xfId="17805" applyFill="1" applyBorder="1" applyAlignment="1">
      <alignment horizontal="center"/>
    </xf>
    <xf numFmtId="0" fontId="116" fillId="11" borderId="64" xfId="17805" applyFont="1" applyFill="1" applyBorder="1" applyAlignment="1">
      <alignment horizontal="center" vertical="center"/>
    </xf>
    <xf numFmtId="179" fontId="64" fillId="11" borderId="0" xfId="17805" applyNumberFormat="1" applyFont="1" applyFill="1" applyAlignment="1"/>
    <xf numFmtId="0" fontId="64" fillId="11" borderId="0" xfId="17805" applyFont="1" applyFill="1" applyAlignment="1"/>
    <xf numFmtId="0" fontId="116" fillId="11" borderId="0" xfId="17805" applyFont="1" applyFill="1" applyAlignment="1">
      <alignment horizontal="center" vertical="center"/>
    </xf>
    <xf numFmtId="0" fontId="54" fillId="11" borderId="0" xfId="17805" applyFont="1" applyFill="1" applyAlignment="1">
      <alignment horizontal="left" vertical="center" wrapText="1"/>
    </xf>
    <xf numFmtId="168" fontId="77" fillId="9" borderId="58" xfId="3" applyFont="1" applyFill="1" applyBorder="1"/>
    <xf numFmtId="49" fontId="106" fillId="50" borderId="45" xfId="17805" applyNumberFormat="1" applyFont="1" applyFill="1" applyBorder="1" applyAlignment="1">
      <alignment horizontal="center" vertical="center" wrapText="1"/>
    </xf>
    <xf numFmtId="49" fontId="106" fillId="50" borderId="75" xfId="17805" applyNumberFormat="1" applyFont="1" applyFill="1" applyBorder="1" applyAlignment="1">
      <alignment horizontal="center" vertical="center" wrapText="1"/>
    </xf>
    <xf numFmtId="168" fontId="45" fillId="19" borderId="75" xfId="3" applyFont="1" applyFill="1" applyBorder="1" applyAlignment="1">
      <alignment horizontal="left" wrapText="1"/>
    </xf>
    <xf numFmtId="168" fontId="77" fillId="19" borderId="45" xfId="3" applyFont="1" applyFill="1" applyBorder="1" applyAlignment="1">
      <alignment horizontal="left" wrapText="1"/>
    </xf>
    <xf numFmtId="168" fontId="77" fillId="9" borderId="76" xfId="3" applyFont="1" applyFill="1" applyBorder="1" applyAlignment="1">
      <alignment horizontal="center" wrapText="1"/>
    </xf>
    <xf numFmtId="168" fontId="45" fillId="19" borderId="77" xfId="3" applyFont="1" applyFill="1" applyBorder="1" applyAlignment="1">
      <alignment horizontal="left" wrapText="1"/>
    </xf>
    <xf numFmtId="168" fontId="78" fillId="53" borderId="70" xfId="3" applyFont="1" applyFill="1" applyBorder="1" applyAlignment="1">
      <alignment vertical="center" wrapText="1"/>
    </xf>
    <xf numFmtId="168" fontId="59" fillId="53" borderId="95" xfId="3" applyFont="1" applyFill="1" applyBorder="1" applyAlignment="1">
      <alignment vertical="center" wrapText="1"/>
    </xf>
    <xf numFmtId="168" fontId="78" fillId="53" borderId="43" xfId="3" applyFont="1" applyFill="1" applyBorder="1" applyAlignment="1">
      <alignment vertical="center" wrapText="1"/>
    </xf>
    <xf numFmtId="168" fontId="59" fillId="53" borderId="52" xfId="3" applyFont="1" applyFill="1" applyBorder="1" applyAlignment="1">
      <alignment vertical="center" wrapText="1"/>
    </xf>
    <xf numFmtId="179" fontId="119" fillId="11" borderId="0" xfId="17805" applyNumberFormat="1" applyFont="1" applyFill="1">
      <alignment vertical="center"/>
    </xf>
    <xf numFmtId="0" fontId="119" fillId="11" borderId="0" xfId="17805" applyFont="1" applyFill="1">
      <alignment vertical="center"/>
    </xf>
    <xf numFmtId="173" fontId="120" fillId="11" borderId="0" xfId="17805" applyNumberFormat="1" applyFont="1" applyFill="1" applyAlignment="1"/>
    <xf numFmtId="179" fontId="58" fillId="11" borderId="0" xfId="17805" applyNumberFormat="1" applyFont="1" applyFill="1">
      <alignment vertical="center"/>
    </xf>
    <xf numFmtId="168" fontId="65" fillId="11" borderId="38" xfId="3" applyFont="1" applyFill="1" applyBorder="1" applyAlignment="1">
      <alignment vertical="center" wrapText="1"/>
    </xf>
    <xf numFmtId="168" fontId="65" fillId="11" borderId="51" xfId="3" applyFont="1" applyFill="1" applyBorder="1" applyAlignment="1">
      <alignment vertical="center" wrapText="1"/>
    </xf>
    <xf numFmtId="168" fontId="118" fillId="11" borderId="51" xfId="3" applyFont="1" applyFill="1" applyBorder="1" applyAlignment="1">
      <alignment vertical="center" wrapText="1"/>
    </xf>
    <xf numFmtId="168" fontId="54" fillId="11" borderId="0" xfId="17805" applyNumberFormat="1" applyFont="1" applyFill="1" applyAlignment="1">
      <alignment horizontal="left" vertical="center" wrapText="1"/>
    </xf>
    <xf numFmtId="168" fontId="45" fillId="49" borderId="76" xfId="3" applyFont="1" applyFill="1" applyBorder="1" applyAlignment="1">
      <alignment vertical="center" wrapText="1"/>
    </xf>
    <xf numFmtId="168" fontId="45" fillId="49" borderId="77" xfId="3" applyFont="1" applyFill="1" applyBorder="1" applyAlignment="1">
      <alignment horizontal="left" vertical="center" wrapText="1"/>
    </xf>
    <xf numFmtId="168" fontId="45" fillId="49" borderId="72" xfId="3" applyFont="1" applyFill="1" applyBorder="1" applyAlignment="1">
      <alignment horizontal="left" vertical="center" wrapText="1"/>
    </xf>
    <xf numFmtId="168" fontId="45" fillId="49" borderId="81" xfId="3" applyFont="1" applyFill="1" applyBorder="1" applyAlignment="1">
      <alignment vertical="center" wrapText="1"/>
    </xf>
    <xf numFmtId="168" fontId="117" fillId="49" borderId="82" xfId="3" applyFont="1" applyFill="1" applyBorder="1" applyAlignment="1">
      <alignment vertical="center" wrapText="1"/>
    </xf>
    <xf numFmtId="168" fontId="117" fillId="49" borderId="19" xfId="3" applyFont="1" applyFill="1" applyBorder="1" applyAlignment="1">
      <alignment vertical="center" wrapText="1"/>
    </xf>
    <xf numFmtId="168" fontId="45" fillId="6" borderId="81" xfId="3" applyFont="1" applyFill="1" applyBorder="1" applyAlignment="1">
      <alignment horizontal="center" vertical="center" wrapText="1"/>
    </xf>
    <xf numFmtId="0" fontId="57" fillId="6" borderId="77" xfId="0" applyFont="1" applyFill="1" applyBorder="1"/>
    <xf numFmtId="168" fontId="45" fillId="7" borderId="81" xfId="3" applyFont="1" applyFill="1" applyBorder="1" applyAlignment="1">
      <alignment horizontal="left" vertical="center" wrapText="1"/>
    </xf>
    <xf numFmtId="168" fontId="45" fillId="7" borderId="43" xfId="3" applyFont="1" applyFill="1" applyBorder="1" applyAlignment="1">
      <alignment vertical="center" wrapText="1"/>
    </xf>
    <xf numFmtId="168" fontId="54" fillId="6" borderId="76" xfId="3" applyFont="1" applyFill="1" applyBorder="1" applyAlignment="1">
      <alignment vertical="center" wrapText="1"/>
    </xf>
    <xf numFmtId="168" fontId="54" fillId="48" borderId="42" xfId="3" applyFont="1" applyFill="1" applyBorder="1" applyAlignment="1">
      <alignment horizontal="left" vertical="center" wrapText="1"/>
    </xf>
    <xf numFmtId="168" fontId="54" fillId="18" borderId="67" xfId="3" applyFont="1" applyFill="1" applyBorder="1" applyAlignment="1">
      <alignment vertical="center" wrapText="1"/>
    </xf>
    <xf numFmtId="0" fontId="55" fillId="6" borderId="41" xfId="0" applyFont="1" applyFill="1" applyBorder="1" applyAlignment="1">
      <alignment horizontal="center"/>
    </xf>
    <xf numFmtId="168" fontId="55" fillId="9" borderId="81" xfId="3" applyFont="1" applyFill="1" applyBorder="1"/>
    <xf numFmtId="168" fontId="60" fillId="9" borderId="81" xfId="3" applyFont="1" applyFill="1" applyBorder="1"/>
    <xf numFmtId="168" fontId="54" fillId="9" borderId="81" xfId="3" applyFont="1" applyFill="1" applyBorder="1"/>
    <xf numFmtId="168" fontId="41" fillId="8" borderId="81" xfId="3" applyFont="1" applyFill="1" applyBorder="1" applyAlignment="1">
      <alignment horizontal="center" vertical="center"/>
    </xf>
    <xf numFmtId="168" fontId="123" fillId="0" borderId="0" xfId="2007" applyNumberFormat="1" applyFont="1" applyAlignment="1">
      <alignment vertical="center" wrapText="1"/>
    </xf>
    <xf numFmtId="9" fontId="55" fillId="6" borderId="72" xfId="0" quotePrefix="1" applyNumberFormat="1" applyFont="1" applyFill="1" applyBorder="1" applyAlignment="1">
      <alignment horizontal="center"/>
    </xf>
    <xf numFmtId="168" fontId="55" fillId="49" borderId="105" xfId="3" applyFont="1" applyFill="1" applyBorder="1" applyAlignment="1">
      <alignment wrapText="1"/>
    </xf>
    <xf numFmtId="168" fontId="57" fillId="49" borderId="105" xfId="3" applyFont="1" applyFill="1" applyBorder="1" applyAlignment="1">
      <alignment horizontal="left" wrapText="1"/>
    </xf>
    <xf numFmtId="168" fontId="57" fillId="49" borderId="105" xfId="3" applyFont="1" applyFill="1" applyBorder="1" applyAlignment="1">
      <alignment horizontal="center" wrapText="1"/>
    </xf>
    <xf numFmtId="168" fontId="55" fillId="49" borderId="106" xfId="3" applyFont="1" applyFill="1" applyBorder="1" applyAlignment="1">
      <alignment horizontal="left" wrapText="1"/>
    </xf>
    <xf numFmtId="168" fontId="55" fillId="49" borderId="15" xfId="3" applyFont="1" applyFill="1" applyBorder="1" applyAlignment="1">
      <alignment wrapText="1"/>
    </xf>
    <xf numFmtId="168" fontId="44" fillId="9" borderId="45" xfId="3" applyFont="1" applyFill="1" applyBorder="1" applyAlignment="1">
      <alignment horizontal="left" wrapText="1"/>
    </xf>
    <xf numFmtId="168" fontId="45" fillId="9" borderId="75" xfId="3" applyFont="1" applyFill="1" applyBorder="1" applyAlignment="1">
      <alignment horizontal="left" wrapText="1"/>
    </xf>
    <xf numFmtId="168" fontId="57" fillId="49" borderId="104" xfId="3" applyFont="1" applyFill="1" applyBorder="1" applyAlignment="1">
      <alignment horizontal="left" wrapText="1"/>
    </xf>
    <xf numFmtId="168" fontId="44" fillId="7" borderId="45" xfId="3" applyFont="1" applyFill="1" applyBorder="1" applyAlignment="1">
      <alignment wrapText="1"/>
    </xf>
    <xf numFmtId="168" fontId="45" fillId="7" borderId="75" xfId="3" applyFont="1" applyFill="1" applyBorder="1" applyAlignment="1">
      <alignment horizontal="left" wrapText="1"/>
    </xf>
    <xf numFmtId="168" fontId="57" fillId="49" borderId="104" xfId="3" applyFont="1" applyFill="1" applyBorder="1" applyAlignment="1">
      <alignment wrapText="1"/>
    </xf>
    <xf numFmtId="49" fontId="111" fillId="50" borderId="108" xfId="17805" applyNumberFormat="1" applyFont="1" applyFill="1" applyBorder="1" applyAlignment="1">
      <alignment horizontal="center" vertical="center"/>
    </xf>
    <xf numFmtId="168" fontId="55" fillId="9" borderId="108" xfId="3" applyFont="1" applyFill="1" applyBorder="1" applyAlignment="1">
      <alignment horizontal="left" wrapText="1"/>
    </xf>
    <xf numFmtId="168" fontId="54" fillId="9" borderId="108" xfId="3" applyFont="1" applyFill="1" applyBorder="1" applyAlignment="1">
      <alignment horizontal="left" wrapText="1"/>
    </xf>
    <xf numFmtId="168" fontId="55" fillId="49" borderId="109" xfId="3" applyFont="1" applyFill="1" applyBorder="1" applyAlignment="1">
      <alignment horizontal="left" wrapText="1"/>
    </xf>
    <xf numFmtId="168" fontId="44" fillId="19" borderId="45" xfId="3" applyFont="1" applyFill="1" applyBorder="1" applyAlignment="1">
      <alignment horizontal="left" wrapText="1"/>
    </xf>
    <xf numFmtId="168" fontId="45" fillId="19" borderId="52" xfId="3" applyFont="1" applyFill="1" applyBorder="1" applyAlignment="1">
      <alignment vertical="center" wrapText="1"/>
    </xf>
    <xf numFmtId="168" fontId="55" fillId="49" borderId="104" xfId="3" applyFont="1" applyFill="1" applyBorder="1" applyAlignment="1">
      <alignment horizontal="center" wrapText="1"/>
    </xf>
    <xf numFmtId="168" fontId="37" fillId="53" borderId="110" xfId="3" applyFont="1" applyFill="1" applyBorder="1" applyAlignment="1">
      <alignment vertical="center" wrapText="1"/>
    </xf>
    <xf numFmtId="168" fontId="37" fillId="53" borderId="43" xfId="3" applyFont="1" applyFill="1" applyBorder="1" applyAlignment="1">
      <alignment vertical="center" wrapText="1"/>
    </xf>
    <xf numFmtId="168" fontId="37" fillId="53" borderId="52" xfId="3" applyFont="1" applyFill="1" applyBorder="1" applyAlignment="1">
      <alignment vertical="center" wrapText="1"/>
    </xf>
    <xf numFmtId="168" fontId="77" fillId="19" borderId="30" xfId="3" applyFont="1" applyFill="1" applyBorder="1" applyAlignment="1">
      <alignment vertical="center" wrapText="1"/>
    </xf>
    <xf numFmtId="168" fontId="54" fillId="19" borderId="43" xfId="3" applyFont="1" applyFill="1" applyBorder="1" applyAlignment="1">
      <alignment vertical="center" wrapText="1"/>
    </xf>
    <xf numFmtId="168" fontId="45" fillId="19" borderId="44" xfId="3" applyFont="1" applyFill="1" applyBorder="1" applyAlignment="1">
      <alignment vertical="center" wrapText="1"/>
    </xf>
    <xf numFmtId="168" fontId="45" fillId="6" borderId="77" xfId="3" applyFont="1" applyFill="1" applyBorder="1" applyAlignment="1">
      <alignment wrapText="1"/>
    </xf>
    <xf numFmtId="168" fontId="55" fillId="9" borderId="72" xfId="3" applyFont="1" applyFill="1" applyBorder="1" applyAlignment="1">
      <alignment wrapText="1"/>
    </xf>
    <xf numFmtId="168" fontId="58" fillId="53" borderId="103" xfId="3" applyFont="1" applyFill="1" applyBorder="1" applyAlignment="1">
      <alignment vertical="center" wrapText="1"/>
    </xf>
    <xf numFmtId="168" fontId="58" fillId="53" borderId="111" xfId="3" applyFont="1" applyFill="1" applyBorder="1" applyAlignment="1">
      <alignment vertical="center" wrapText="1"/>
    </xf>
    <xf numFmtId="49" fontId="111" fillId="50" borderId="47" xfId="3" applyNumberFormat="1" applyFont="1" applyFill="1" applyBorder="1" applyAlignment="1">
      <alignment horizontal="center" vertical="center"/>
    </xf>
    <xf numFmtId="168" fontId="45" fillId="6" borderId="47" xfId="3" applyFont="1" applyFill="1" applyBorder="1" applyAlignment="1">
      <alignment horizontal="center" wrapText="1"/>
    </xf>
    <xf numFmtId="168" fontId="45" fillId="6" borderId="75" xfId="3" applyFont="1" applyFill="1" applyBorder="1" applyAlignment="1">
      <alignment horizontal="left" wrapText="1"/>
    </xf>
    <xf numFmtId="49" fontId="37" fillId="53" borderId="51" xfId="3" applyNumberFormat="1" applyFont="1" applyFill="1" applyBorder="1" applyAlignment="1">
      <alignment horizontal="center" vertical="center" wrapText="1"/>
    </xf>
    <xf numFmtId="49" fontId="37" fillId="53" borderId="94" xfId="3" applyNumberFormat="1" applyFont="1" applyFill="1" applyBorder="1" applyAlignment="1">
      <alignment horizontal="center" vertical="center" wrapText="1"/>
    </xf>
    <xf numFmtId="168" fontId="54" fillId="9" borderId="77" xfId="3" applyFont="1" applyFill="1" applyBorder="1" applyAlignment="1">
      <alignment horizontal="left" wrapText="1"/>
    </xf>
    <xf numFmtId="168" fontId="59" fillId="53" borderId="44" xfId="3" applyFont="1" applyFill="1" applyBorder="1" applyAlignment="1">
      <alignment vertical="center" wrapText="1"/>
    </xf>
    <xf numFmtId="168" fontId="77" fillId="19" borderId="72" xfId="3" applyFont="1" applyFill="1" applyBorder="1" applyAlignment="1">
      <alignment horizontal="left" wrapText="1"/>
    </xf>
    <xf numFmtId="168" fontId="77" fillId="19" borderId="103" xfId="3" applyFont="1" applyFill="1" applyBorder="1" applyAlignment="1">
      <alignment vertical="center" wrapText="1"/>
    </xf>
    <xf numFmtId="49" fontId="111" fillId="50" borderId="114" xfId="17805" applyNumberFormat="1" applyFont="1" applyFill="1" applyBorder="1" applyAlignment="1">
      <alignment horizontal="center" vertical="center"/>
    </xf>
    <xf numFmtId="168" fontId="55" fillId="18" borderId="114" xfId="3" applyFont="1" applyFill="1" applyBorder="1" applyAlignment="1">
      <alignment horizontal="left" wrapText="1"/>
    </xf>
    <xf numFmtId="168" fontId="55" fillId="18" borderId="115" xfId="3" applyFont="1" applyFill="1" applyBorder="1" applyAlignment="1">
      <alignment vertical="center" wrapText="1"/>
    </xf>
    <xf numFmtId="168" fontId="55" fillId="49" borderId="41" xfId="3" applyFont="1" applyFill="1" applyBorder="1" applyAlignment="1">
      <alignment horizontal="center" wrapText="1"/>
    </xf>
    <xf numFmtId="168" fontId="55" fillId="49" borderId="82" xfId="3" applyFont="1" applyFill="1" applyBorder="1" applyAlignment="1">
      <alignment wrapText="1"/>
    </xf>
    <xf numFmtId="168" fontId="45" fillId="49" borderId="41" xfId="3" applyFont="1" applyFill="1" applyBorder="1" applyAlignment="1">
      <alignment horizontal="left" wrapText="1"/>
    </xf>
    <xf numFmtId="168" fontId="45" fillId="49" borderId="81" xfId="3" applyFont="1" applyFill="1" applyBorder="1" applyAlignment="1">
      <alignment horizontal="left" wrapText="1"/>
    </xf>
    <xf numFmtId="168" fontId="45" fillId="49" borderId="116" xfId="3" applyFont="1" applyFill="1" applyBorder="1" applyAlignment="1">
      <alignment horizontal="left" wrapText="1"/>
    </xf>
    <xf numFmtId="168" fontId="77" fillId="49" borderId="81" xfId="3" applyFont="1" applyFill="1" applyBorder="1" applyAlignment="1">
      <alignment horizontal="center" wrapText="1"/>
    </xf>
    <xf numFmtId="168" fontId="77" fillId="49" borderId="41" xfId="3" applyFont="1" applyFill="1" applyBorder="1" applyAlignment="1">
      <alignment horizontal="left" wrapText="1"/>
    </xf>
    <xf numFmtId="168" fontId="54" fillId="49" borderId="81" xfId="3" applyFont="1" applyFill="1" applyBorder="1" applyAlignment="1">
      <alignment horizontal="left" wrapText="1"/>
    </xf>
    <xf numFmtId="168" fontId="45" fillId="49" borderId="82" xfId="3" applyFont="1" applyFill="1" applyBorder="1" applyAlignment="1">
      <alignment horizontal="left" wrapText="1"/>
    </xf>
    <xf numFmtId="168" fontId="55" fillId="49" borderId="117" xfId="3" applyFont="1" applyFill="1" applyBorder="1" applyAlignment="1">
      <alignment horizontal="left" wrapText="1"/>
    </xf>
    <xf numFmtId="168" fontId="45" fillId="49" borderId="7" xfId="3" applyFont="1" applyFill="1" applyBorder="1" applyAlignment="1">
      <alignment horizontal="center" wrapText="1"/>
    </xf>
    <xf numFmtId="168" fontId="45" fillId="49" borderId="86" xfId="3" applyFont="1" applyFill="1" applyBorder="1" applyAlignment="1">
      <alignment wrapText="1"/>
    </xf>
    <xf numFmtId="168" fontId="45" fillId="49" borderId="7" xfId="3" applyFont="1" applyFill="1" applyBorder="1" applyAlignment="1">
      <alignment horizontal="left" wrapText="1"/>
    </xf>
    <xf numFmtId="168" fontId="45" fillId="49" borderId="85" xfId="3" applyFont="1" applyFill="1" applyBorder="1" applyAlignment="1">
      <alignment horizontal="left" wrapText="1"/>
    </xf>
    <xf numFmtId="168" fontId="45" fillId="49" borderId="59" xfId="3" applyFont="1" applyFill="1" applyBorder="1" applyAlignment="1">
      <alignment horizontal="left" wrapText="1"/>
    </xf>
    <xf numFmtId="168" fontId="45" fillId="49" borderId="86" xfId="3" applyFont="1" applyFill="1" applyBorder="1" applyAlignment="1">
      <alignment horizontal="left" wrapText="1"/>
    </xf>
    <xf numFmtId="168" fontId="45" fillId="6" borderId="41" xfId="3" applyFont="1" applyFill="1" applyBorder="1" applyAlignment="1">
      <alignment wrapText="1"/>
    </xf>
    <xf numFmtId="168" fontId="45" fillId="6" borderId="82" xfId="3" applyFont="1" applyFill="1" applyBorder="1" applyAlignment="1">
      <alignment wrapText="1"/>
    </xf>
    <xf numFmtId="168" fontId="45" fillId="6" borderId="27" xfId="3" applyFont="1" applyFill="1" applyBorder="1" applyAlignment="1">
      <alignment horizontal="center" wrapText="1"/>
    </xf>
    <xf numFmtId="168" fontId="45" fillId="6" borderId="81" xfId="3" applyFont="1" applyFill="1" applyBorder="1" applyAlignment="1">
      <alignment horizontal="left" wrapText="1"/>
    </xf>
    <xf numFmtId="168" fontId="45" fillId="6" borderId="116" xfId="3" applyFont="1" applyFill="1" applyBorder="1" applyAlignment="1">
      <alignment horizontal="left" wrapText="1"/>
    </xf>
    <xf numFmtId="168" fontId="55" fillId="9" borderId="32" xfId="3" applyFont="1" applyFill="1" applyBorder="1" applyAlignment="1">
      <alignment wrapText="1"/>
    </xf>
    <xf numFmtId="168" fontId="77" fillId="9" borderId="81" xfId="3" applyFont="1" applyFill="1" applyBorder="1" applyAlignment="1">
      <alignment horizontal="center" wrapText="1"/>
    </xf>
    <xf numFmtId="168" fontId="54" fillId="9" borderId="82" xfId="3" applyFont="1" applyFill="1" applyBorder="1" applyAlignment="1">
      <alignment horizontal="left" wrapText="1"/>
    </xf>
    <xf numFmtId="168" fontId="77" fillId="19" borderId="41" xfId="3" applyFont="1" applyFill="1" applyBorder="1" applyAlignment="1">
      <alignment horizontal="left" wrapText="1"/>
    </xf>
    <xf numFmtId="168" fontId="54" fillId="19" borderId="81" xfId="3" applyFont="1" applyFill="1" applyBorder="1" applyAlignment="1">
      <alignment horizontal="left" wrapText="1"/>
    </xf>
    <xf numFmtId="168" fontId="45" fillId="19" borderId="116" xfId="3" applyFont="1" applyFill="1" applyBorder="1" applyAlignment="1">
      <alignment horizontal="left" wrapText="1"/>
    </xf>
    <xf numFmtId="168" fontId="77" fillId="19" borderId="32" xfId="3" applyFont="1" applyFill="1" applyBorder="1" applyAlignment="1">
      <alignment horizontal="left" wrapText="1"/>
    </xf>
    <xf numFmtId="168" fontId="45" fillId="19" borderId="82" xfId="3" applyFont="1" applyFill="1" applyBorder="1" applyAlignment="1">
      <alignment horizontal="left" wrapText="1"/>
    </xf>
    <xf numFmtId="168" fontId="55" fillId="18" borderId="117" xfId="3" applyFont="1" applyFill="1" applyBorder="1" applyAlignment="1">
      <alignment horizontal="left" wrapText="1"/>
    </xf>
    <xf numFmtId="168" fontId="54" fillId="9" borderId="118" xfId="3" applyFont="1" applyFill="1" applyBorder="1" applyAlignment="1">
      <alignment horizontal="left" wrapText="1"/>
    </xf>
    <xf numFmtId="168" fontId="45" fillId="49" borderId="8" xfId="3" applyFont="1" applyFill="1" applyBorder="1" applyAlignment="1">
      <alignment horizontal="left" wrapText="1"/>
    </xf>
    <xf numFmtId="168" fontId="45" fillId="49" borderId="2" xfId="3" applyFont="1" applyFill="1" applyBorder="1" applyAlignment="1">
      <alignment horizontal="left" wrapText="1"/>
    </xf>
    <xf numFmtId="168" fontId="45" fillId="49" borderId="119" xfId="3" applyFont="1" applyFill="1" applyBorder="1" applyAlignment="1">
      <alignment horizontal="left" wrapText="1"/>
    </xf>
    <xf numFmtId="168" fontId="55" fillId="49" borderId="41" xfId="3" applyFont="1" applyFill="1" applyBorder="1" applyAlignment="1">
      <alignment wrapText="1"/>
    </xf>
    <xf numFmtId="168" fontId="54" fillId="49" borderId="116" xfId="3" applyFont="1" applyFill="1" applyBorder="1" applyAlignment="1">
      <alignment horizontal="left" wrapText="1"/>
    </xf>
    <xf numFmtId="168" fontId="54" fillId="49" borderId="2" xfId="3" applyFont="1" applyFill="1" applyBorder="1" applyAlignment="1">
      <alignment horizontal="left" wrapText="1"/>
    </xf>
    <xf numFmtId="168" fontId="45" fillId="49" borderId="120" xfId="3" applyFont="1" applyFill="1" applyBorder="1" applyAlignment="1">
      <alignment horizontal="left" wrapText="1"/>
    </xf>
    <xf numFmtId="168" fontId="54" fillId="49" borderId="120" xfId="3" applyFont="1" applyFill="1" applyBorder="1" applyAlignment="1">
      <alignment horizontal="left" wrapText="1"/>
    </xf>
    <xf numFmtId="168" fontId="54" fillId="49" borderId="119" xfId="3" applyFont="1" applyFill="1" applyBorder="1" applyAlignment="1">
      <alignment horizontal="left" wrapText="1"/>
    </xf>
    <xf numFmtId="0" fontId="55" fillId="49" borderId="76" xfId="0" applyFont="1" applyFill="1" applyBorder="1" applyAlignment="1">
      <alignment horizontal="center"/>
    </xf>
    <xf numFmtId="168" fontId="55" fillId="49" borderId="77" xfId="3" applyFont="1" applyFill="1" applyBorder="1"/>
    <xf numFmtId="0" fontId="57" fillId="49" borderId="78" xfId="0" applyFont="1" applyFill="1" applyBorder="1"/>
    <xf numFmtId="0" fontId="55" fillId="49" borderId="72" xfId="0" applyFont="1" applyFill="1" applyBorder="1" applyAlignment="1">
      <alignment horizontal="center"/>
    </xf>
    <xf numFmtId="0" fontId="74" fillId="49" borderId="76" xfId="0" applyFont="1" applyFill="1" applyBorder="1" applyAlignment="1">
      <alignment horizontal="center"/>
    </xf>
    <xf numFmtId="168" fontId="55" fillId="49" borderId="76" xfId="3" applyFont="1" applyFill="1" applyBorder="1"/>
    <xf numFmtId="168" fontId="40" fillId="49" borderId="76" xfId="3" applyFont="1" applyFill="1" applyBorder="1"/>
    <xf numFmtId="168" fontId="54" fillId="49" borderId="76" xfId="3" applyFont="1" applyFill="1" applyBorder="1"/>
    <xf numFmtId="9" fontId="55" fillId="49" borderId="76" xfId="2154" applyFont="1" applyFill="1" applyBorder="1" applyAlignment="1">
      <alignment horizontal="center" vertical="center"/>
    </xf>
    <xf numFmtId="168" fontId="60" fillId="49" borderId="76" xfId="3" applyFont="1" applyFill="1" applyBorder="1"/>
    <xf numFmtId="168" fontId="41" fillId="49" borderId="76" xfId="3" applyFont="1" applyFill="1" applyBorder="1" applyAlignment="1">
      <alignment horizontal="center" vertical="center"/>
    </xf>
    <xf numFmtId="0" fontId="125" fillId="49" borderId="76" xfId="0" applyFont="1" applyFill="1" applyBorder="1" applyAlignment="1">
      <alignment horizontal="center"/>
    </xf>
    <xf numFmtId="168" fontId="40" fillId="49" borderId="76" xfId="3" applyFont="1" applyFill="1" applyBorder="1" applyAlignment="1">
      <alignment horizontal="center" vertical="center"/>
    </xf>
    <xf numFmtId="0" fontId="43" fillId="11" borderId="77" xfId="0" applyFont="1" applyFill="1" applyBorder="1" applyAlignment="1">
      <alignment horizontal="center" vertical="center"/>
    </xf>
    <xf numFmtId="168" fontId="45" fillId="6" borderId="10" xfId="3" applyFont="1" applyFill="1" applyBorder="1" applyAlignment="1">
      <alignment vertical="center"/>
    </xf>
    <xf numFmtId="168" fontId="45" fillId="6" borderId="121" xfId="3" applyFont="1" applyFill="1" applyBorder="1"/>
    <xf numFmtId="168" fontId="45" fillId="6" borderId="122" xfId="3" applyFont="1" applyFill="1" applyBorder="1"/>
    <xf numFmtId="168" fontId="45" fillId="6" borderId="86" xfId="3" applyFont="1" applyFill="1" applyBorder="1"/>
    <xf numFmtId="168" fontId="45" fillId="6" borderId="77" xfId="3" applyFont="1" applyFill="1" applyBorder="1"/>
    <xf numFmtId="168" fontId="45" fillId="49" borderId="77" xfId="3" applyFont="1" applyFill="1" applyBorder="1"/>
    <xf numFmtId="168" fontId="45" fillId="49" borderId="86" xfId="3" applyFont="1" applyFill="1" applyBorder="1"/>
    <xf numFmtId="168" fontId="45" fillId="6" borderId="82" xfId="3" applyFont="1" applyFill="1" applyBorder="1"/>
    <xf numFmtId="0" fontId="43" fillId="2" borderId="72" xfId="1871" applyFont="1" applyFill="1" applyBorder="1" applyAlignment="1">
      <alignment horizontal="center" vertical="center"/>
    </xf>
    <xf numFmtId="168" fontId="55" fillId="8" borderId="11" xfId="3" applyFont="1" applyFill="1" applyBorder="1" applyAlignment="1">
      <alignment vertical="center"/>
    </xf>
    <xf numFmtId="168" fontId="57" fillId="8" borderId="57" xfId="0" applyNumberFormat="1" applyFont="1" applyFill="1" applyBorder="1"/>
    <xf numFmtId="168" fontId="55" fillId="8" borderId="123" xfId="0" applyNumberFormat="1" applyFont="1" applyFill="1" applyBorder="1"/>
    <xf numFmtId="168" fontId="45" fillId="8" borderId="1" xfId="3" applyFont="1" applyFill="1" applyBorder="1" applyAlignment="1">
      <alignment horizontal="center" vertical="center"/>
    </xf>
    <xf numFmtId="168" fontId="45" fillId="8" borderId="72" xfId="3" applyFont="1" applyFill="1" applyBorder="1" applyAlignment="1">
      <alignment horizontal="center" vertical="center"/>
    </xf>
    <xf numFmtId="168" fontId="45" fillId="49" borderId="72" xfId="3" applyFont="1" applyFill="1" applyBorder="1" applyAlignment="1">
      <alignment horizontal="center" vertical="center"/>
    </xf>
    <xf numFmtId="168" fontId="40" fillId="49" borderId="72" xfId="3" applyFont="1" applyFill="1" applyBorder="1" applyAlignment="1">
      <alignment horizontal="center" vertical="center"/>
    </xf>
    <xf numFmtId="168" fontId="45" fillId="8" borderId="32" xfId="3" applyFont="1" applyFill="1" applyBorder="1" applyAlignment="1">
      <alignment horizontal="center" vertical="center"/>
    </xf>
    <xf numFmtId="0" fontId="40" fillId="8" borderId="45" xfId="0" applyFont="1" applyFill="1" applyBorder="1" applyAlignment="1">
      <alignment horizontal="center" vertical="center" wrapText="1"/>
    </xf>
    <xf numFmtId="0" fontId="40" fillId="8" borderId="75" xfId="0" applyFont="1" applyFill="1" applyBorder="1" applyAlignment="1">
      <alignment horizontal="center" vertical="center" wrapText="1"/>
    </xf>
    <xf numFmtId="0" fontId="43" fillId="2" borderId="45" xfId="1871" applyFont="1" applyFill="1" applyBorder="1" applyAlignment="1">
      <alignment horizontal="center" vertical="center" wrapText="1"/>
    </xf>
    <xf numFmtId="0" fontId="43" fillId="2" borderId="75" xfId="1871" applyFont="1" applyFill="1" applyBorder="1" applyAlignment="1">
      <alignment horizontal="center" vertical="center" wrapText="1"/>
    </xf>
    <xf numFmtId="168" fontId="55" fillId="8" borderId="13" xfId="3" applyFont="1" applyFill="1" applyBorder="1" applyAlignment="1">
      <alignment vertical="center"/>
    </xf>
    <xf numFmtId="168" fontId="55" fillId="8" borderId="124" xfId="3" applyFont="1" applyFill="1" applyBorder="1" applyAlignment="1">
      <alignment vertical="center"/>
    </xf>
    <xf numFmtId="168" fontId="57" fillId="8" borderId="55" xfId="0" applyNumberFormat="1" applyFont="1" applyFill="1" applyBorder="1"/>
    <xf numFmtId="168" fontId="57" fillId="8" borderId="125" xfId="0" applyNumberFormat="1" applyFont="1" applyFill="1" applyBorder="1"/>
    <xf numFmtId="168" fontId="55" fillId="8" borderId="126" xfId="0" applyNumberFormat="1" applyFont="1" applyFill="1" applyBorder="1"/>
    <xf numFmtId="168" fontId="55" fillId="8" borderId="127" xfId="0" applyNumberFormat="1" applyFont="1" applyFill="1" applyBorder="1"/>
    <xf numFmtId="168" fontId="41" fillId="8" borderId="7" xfId="3" applyFont="1" applyFill="1" applyBorder="1" applyAlignment="1">
      <alignment horizontal="center" vertical="center"/>
    </xf>
    <xf numFmtId="168" fontId="41" fillId="8" borderId="59" xfId="3" applyFont="1" applyFill="1" applyBorder="1" applyAlignment="1">
      <alignment horizontal="center" vertical="center"/>
    </xf>
    <xf numFmtId="168" fontId="41" fillId="8" borderId="45" xfId="3" applyFont="1" applyFill="1" applyBorder="1" applyAlignment="1">
      <alignment horizontal="center" vertical="center"/>
    </xf>
    <xf numFmtId="168" fontId="55" fillId="49" borderId="45" xfId="3" applyFont="1" applyFill="1" applyBorder="1"/>
    <xf numFmtId="168" fontId="55" fillId="49" borderId="75" xfId="3" applyFont="1" applyFill="1" applyBorder="1"/>
    <xf numFmtId="168" fontId="41" fillId="49" borderId="45" xfId="3" applyFont="1" applyFill="1" applyBorder="1" applyAlignment="1">
      <alignment horizontal="center" vertical="center"/>
    </xf>
    <xf numFmtId="168" fontId="41" fillId="49" borderId="75" xfId="3" applyFont="1" applyFill="1" applyBorder="1" applyAlignment="1">
      <alignment horizontal="center" vertical="center"/>
    </xf>
    <xf numFmtId="168" fontId="40" fillId="49" borderId="45" xfId="3" applyFont="1" applyFill="1" applyBorder="1" applyAlignment="1">
      <alignment horizontal="center" vertical="center"/>
    </xf>
    <xf numFmtId="168" fontId="40" fillId="49" borderId="75" xfId="3" applyFont="1" applyFill="1" applyBorder="1" applyAlignment="1">
      <alignment horizontal="center" vertical="center"/>
    </xf>
    <xf numFmtId="168" fontId="41" fillId="8" borderId="41" xfId="3" applyFont="1" applyFill="1" applyBorder="1" applyAlignment="1">
      <alignment horizontal="center" vertical="center"/>
    </xf>
    <xf numFmtId="168" fontId="41" fillId="8" borderId="116" xfId="3" applyFont="1" applyFill="1" applyBorder="1" applyAlignment="1">
      <alignment horizontal="center" vertical="center"/>
    </xf>
    <xf numFmtId="168" fontId="45" fillId="49" borderId="30" xfId="3" applyFont="1" applyFill="1" applyBorder="1" applyAlignment="1">
      <alignment vertical="center" wrapText="1"/>
    </xf>
    <xf numFmtId="168" fontId="45" fillId="49" borderId="43" xfId="3" applyFont="1" applyFill="1" applyBorder="1" applyAlignment="1">
      <alignment horizontal="right" vertical="center" wrapText="1"/>
    </xf>
    <xf numFmtId="168" fontId="45" fillId="49" borderId="44" xfId="3" applyFont="1" applyFill="1" applyBorder="1" applyAlignment="1">
      <alignment horizontal="center" vertical="center" wrapText="1"/>
    </xf>
    <xf numFmtId="168" fontId="45" fillId="49" borderId="43" xfId="3" applyFont="1" applyFill="1" applyBorder="1" applyAlignment="1">
      <alignment vertical="center" wrapText="1"/>
    </xf>
    <xf numFmtId="168" fontId="45" fillId="49" borderId="52" xfId="3" applyFont="1" applyFill="1" applyBorder="1" applyAlignment="1">
      <alignment vertical="center" wrapText="1"/>
    </xf>
    <xf numFmtId="168" fontId="54" fillId="49" borderId="84" xfId="3" applyFont="1" applyFill="1" applyBorder="1" applyAlignment="1">
      <alignment vertical="center" wrapText="1"/>
    </xf>
    <xf numFmtId="168" fontId="45" fillId="49" borderId="85" xfId="3" applyFont="1" applyFill="1" applyBorder="1" applyAlignment="1">
      <alignment wrapText="1"/>
    </xf>
    <xf numFmtId="168" fontId="45" fillId="49" borderId="86" xfId="3" applyFont="1" applyFill="1" applyBorder="1" applyAlignment="1">
      <alignment horizontal="center" wrapText="1"/>
    </xf>
    <xf numFmtId="168" fontId="54" fillId="49" borderId="107" xfId="3" applyFont="1" applyFill="1" applyBorder="1" applyAlignment="1">
      <alignment horizontal="left" wrapText="1"/>
    </xf>
    <xf numFmtId="168" fontId="45" fillId="6" borderId="104" xfId="3" applyFont="1" applyFill="1" applyBorder="1" applyAlignment="1">
      <alignment wrapText="1"/>
    </xf>
    <xf numFmtId="168" fontId="45" fillId="6" borderId="105" xfId="3" applyFont="1" applyFill="1" applyBorder="1" applyAlignment="1">
      <alignment wrapText="1"/>
    </xf>
    <xf numFmtId="168" fontId="45" fillId="6" borderId="15" xfId="3" applyFont="1" applyFill="1" applyBorder="1" applyAlignment="1">
      <alignment horizontal="center" wrapText="1"/>
    </xf>
    <xf numFmtId="168" fontId="44" fillId="9" borderId="104" xfId="3" applyFont="1" applyFill="1" applyBorder="1" applyAlignment="1">
      <alignment horizontal="left" wrapText="1"/>
    </xf>
    <xf numFmtId="168" fontId="44" fillId="9" borderId="105" xfId="3" applyFont="1" applyFill="1" applyBorder="1" applyAlignment="1">
      <alignment horizontal="left" wrapText="1"/>
    </xf>
    <xf numFmtId="168" fontId="45" fillId="9" borderId="106" xfId="3" applyFont="1" applyFill="1" applyBorder="1" applyAlignment="1">
      <alignment horizontal="left" wrapText="1"/>
    </xf>
    <xf numFmtId="168" fontId="44" fillId="7" borderId="104" xfId="3" applyFont="1" applyFill="1" applyBorder="1" applyAlignment="1">
      <alignment wrapText="1"/>
    </xf>
    <xf numFmtId="168" fontId="44" fillId="7" borderId="105" xfId="3" applyFont="1" applyFill="1" applyBorder="1" applyAlignment="1">
      <alignment horizontal="center" wrapText="1"/>
    </xf>
    <xf numFmtId="168" fontId="45" fillId="7" borderId="106" xfId="3" applyFont="1" applyFill="1" applyBorder="1" applyAlignment="1">
      <alignment horizontal="left" wrapText="1"/>
    </xf>
    <xf numFmtId="168" fontId="44" fillId="19" borderId="104" xfId="3" applyFont="1" applyFill="1" applyBorder="1" applyAlignment="1">
      <alignment horizontal="left" wrapText="1"/>
    </xf>
    <xf numFmtId="168" fontId="44" fillId="19" borderId="105" xfId="3" applyFont="1" applyFill="1" applyBorder="1" applyAlignment="1">
      <alignment horizontal="left" wrapText="1"/>
    </xf>
    <xf numFmtId="168" fontId="45" fillId="19" borderId="106" xfId="3" applyFont="1" applyFill="1" applyBorder="1" applyAlignment="1">
      <alignment horizontal="left" wrapText="1"/>
    </xf>
    <xf numFmtId="168" fontId="54" fillId="9" borderId="109" xfId="3" applyFont="1" applyFill="1" applyBorder="1" applyAlignment="1">
      <alignment horizontal="left" wrapText="1"/>
    </xf>
    <xf numFmtId="168" fontId="55" fillId="9" borderId="84" xfId="3" applyFont="1" applyFill="1" applyBorder="1" applyAlignment="1">
      <alignment vertical="center" wrapText="1"/>
    </xf>
    <xf numFmtId="168" fontId="45" fillId="49" borderId="65" xfId="3" applyFont="1" applyFill="1" applyBorder="1" applyAlignment="1">
      <alignment vertical="center" wrapText="1"/>
    </xf>
    <xf numFmtId="168" fontId="117" fillId="49" borderId="66" xfId="3" applyFont="1" applyFill="1" applyBorder="1" applyAlignment="1">
      <alignment vertical="center" wrapText="1"/>
    </xf>
    <xf numFmtId="168" fontId="45" fillId="6" borderId="65" xfId="3" applyFont="1" applyFill="1" applyBorder="1" applyAlignment="1">
      <alignment horizontal="center" vertical="center" wrapText="1"/>
    </xf>
    <xf numFmtId="0" fontId="57" fillId="11" borderId="24" xfId="17805" applyFont="1" applyFill="1" applyBorder="1" applyAlignment="1">
      <alignment vertical="top"/>
    </xf>
    <xf numFmtId="168" fontId="54" fillId="49" borderId="0" xfId="3" applyFont="1" applyFill="1" applyBorder="1" applyAlignment="1">
      <alignment vertical="center" wrapText="1"/>
    </xf>
    <xf numFmtId="168" fontId="128" fillId="11" borderId="24" xfId="17805" applyNumberFormat="1" applyFont="1" applyFill="1" applyBorder="1">
      <alignment vertical="center"/>
    </xf>
    <xf numFmtId="170" fontId="127" fillId="11" borderId="25" xfId="2" applyFont="1" applyFill="1" applyBorder="1" applyAlignment="1">
      <alignment horizontal="left" vertical="top"/>
    </xf>
    <xf numFmtId="170" fontId="127" fillId="11" borderId="26" xfId="2" applyFont="1" applyFill="1" applyBorder="1" applyAlignment="1">
      <alignment horizontal="left" vertical="top"/>
    </xf>
    <xf numFmtId="168" fontId="113" fillId="50" borderId="80" xfId="3" applyFont="1" applyFill="1" applyBorder="1" applyAlignment="1">
      <alignment horizontal="center" vertical="center"/>
    </xf>
    <xf numFmtId="168" fontId="113" fillId="50" borderId="17" xfId="3" applyFont="1" applyFill="1" applyBorder="1" applyAlignment="1">
      <alignment horizontal="center" vertical="center"/>
    </xf>
    <xf numFmtId="168" fontId="113" fillId="50" borderId="37" xfId="3" applyFont="1" applyFill="1" applyBorder="1" applyAlignment="1">
      <alignment horizontal="center" vertical="center"/>
    </xf>
    <xf numFmtId="168" fontId="113" fillId="50" borderId="14" xfId="3" applyFont="1" applyFill="1" applyBorder="1" applyAlignment="1">
      <alignment horizontal="center" vertical="center"/>
    </xf>
    <xf numFmtId="168" fontId="113" fillId="50" borderId="0" xfId="3" applyFont="1" applyFill="1" applyBorder="1" applyAlignment="1">
      <alignment horizontal="center" vertical="center"/>
    </xf>
    <xf numFmtId="168" fontId="113" fillId="50" borderId="83" xfId="3" applyFont="1" applyFill="1" applyBorder="1" applyAlignment="1">
      <alignment horizontal="center" vertical="center"/>
    </xf>
    <xf numFmtId="0" fontId="108" fillId="50" borderId="51" xfId="17805" applyFont="1" applyFill="1" applyBorder="1" applyAlignment="1">
      <alignment horizontal="center" vertical="center"/>
    </xf>
    <xf numFmtId="0" fontId="108" fillId="50" borderId="64" xfId="17805" applyFont="1" applyFill="1" applyBorder="1" applyAlignment="1">
      <alignment horizontal="center" vertical="center"/>
    </xf>
    <xf numFmtId="0" fontId="108" fillId="50" borderId="84" xfId="17805" applyFont="1" applyFill="1" applyBorder="1" applyAlignment="1">
      <alignment horizontal="center" vertical="center"/>
    </xf>
    <xf numFmtId="168" fontId="37" fillId="11" borderId="0" xfId="17805" applyNumberFormat="1" applyFont="1" applyFill="1" applyAlignment="1">
      <alignment horizontal="center" vertical="center"/>
    </xf>
    <xf numFmtId="168" fontId="37" fillId="11" borderId="0" xfId="17805" applyNumberFormat="1" applyFont="1" applyFill="1" applyAlignment="1">
      <alignment horizontal="right" vertical="center"/>
    </xf>
    <xf numFmtId="0" fontId="37" fillId="11" borderId="0" xfId="17805" applyFont="1" applyFill="1" applyAlignment="1">
      <alignment horizontal="right" vertical="center"/>
    </xf>
    <xf numFmtId="168" fontId="45" fillId="19" borderId="53" xfId="3" applyFont="1" applyFill="1" applyBorder="1" applyAlignment="1">
      <alignment horizontal="center" vertical="center" wrapText="1"/>
    </xf>
    <xf numFmtId="168" fontId="45" fillId="19" borderId="65" xfId="3" applyFont="1" applyFill="1" applyBorder="1" applyAlignment="1">
      <alignment horizontal="center" vertical="center" wrapText="1"/>
    </xf>
    <xf numFmtId="168" fontId="45" fillId="6" borderId="99" xfId="3" applyFont="1" applyFill="1" applyBorder="1" applyAlignment="1">
      <alignment horizontal="left" vertical="top" wrapText="1"/>
    </xf>
    <xf numFmtId="168" fontId="45" fillId="6" borderId="78" xfId="3" applyFont="1" applyFill="1" applyBorder="1" applyAlignment="1">
      <alignment horizontal="left" vertical="top" wrapText="1"/>
    </xf>
    <xf numFmtId="168" fontId="45" fillId="6" borderId="72" xfId="3" applyFont="1" applyFill="1" applyBorder="1" applyAlignment="1">
      <alignment horizontal="left" vertical="top" wrapText="1"/>
    </xf>
    <xf numFmtId="168" fontId="54" fillId="6" borderId="99" xfId="3" applyFont="1" applyFill="1" applyBorder="1" applyAlignment="1">
      <alignment horizontal="left" vertical="top" wrapText="1"/>
    </xf>
    <xf numFmtId="168" fontId="54" fillId="6" borderId="78" xfId="3" applyFont="1" applyFill="1" applyBorder="1" applyAlignment="1">
      <alignment horizontal="left" vertical="top" wrapText="1"/>
    </xf>
    <xf numFmtId="168" fontId="54" fillId="6" borderId="72" xfId="3" applyFont="1" applyFill="1" applyBorder="1" applyAlignment="1">
      <alignment horizontal="left" vertical="top" wrapText="1"/>
    </xf>
    <xf numFmtId="168" fontId="55" fillId="6" borderId="102" xfId="3" applyFont="1" applyFill="1" applyBorder="1" applyAlignment="1">
      <alignment horizontal="left" vertical="top" wrapText="1"/>
    </xf>
    <xf numFmtId="168" fontId="55" fillId="6" borderId="19" xfId="3" applyFont="1" applyFill="1" applyBorder="1" applyAlignment="1">
      <alignment horizontal="left" vertical="top" wrapText="1"/>
    </xf>
    <xf numFmtId="168" fontId="55" fillId="6" borderId="32" xfId="3" applyFont="1" applyFill="1" applyBorder="1" applyAlignment="1">
      <alignment horizontal="left" vertical="top" wrapText="1"/>
    </xf>
    <xf numFmtId="168" fontId="55" fillId="6" borderId="101" xfId="3" applyFont="1" applyFill="1" applyBorder="1" applyAlignment="1">
      <alignment horizontal="left" vertical="center" wrapText="1"/>
    </xf>
    <xf numFmtId="168" fontId="55" fillId="6" borderId="0" xfId="3" applyFont="1" applyFill="1" applyBorder="1" applyAlignment="1">
      <alignment horizontal="left" vertical="center" wrapText="1"/>
    </xf>
    <xf numFmtId="168" fontId="55" fillId="6" borderId="6" xfId="3" applyFont="1" applyFill="1" applyBorder="1" applyAlignment="1">
      <alignment horizontal="left" vertical="center" wrapText="1"/>
    </xf>
    <xf numFmtId="168" fontId="45" fillId="19" borderId="100" xfId="3" applyFont="1" applyFill="1" applyBorder="1" applyAlignment="1">
      <alignment horizontal="left" vertical="top" wrapText="1"/>
    </xf>
    <xf numFmtId="168" fontId="45" fillId="19" borderId="20" xfId="3" applyFont="1" applyFill="1" applyBorder="1" applyAlignment="1">
      <alignment horizontal="left" vertical="top" wrapText="1"/>
    </xf>
    <xf numFmtId="168" fontId="45" fillId="19" borderId="31" xfId="3" applyFont="1" applyFill="1" applyBorder="1" applyAlignment="1">
      <alignment horizontal="left" vertical="top" wrapText="1"/>
    </xf>
    <xf numFmtId="168" fontId="45" fillId="19" borderId="101" xfId="3" applyFont="1" applyFill="1" applyBorder="1" applyAlignment="1">
      <alignment horizontal="left" vertical="top" wrapText="1"/>
    </xf>
    <xf numFmtId="168" fontId="45" fillId="19" borderId="0" xfId="3" applyFont="1" applyFill="1" applyBorder="1" applyAlignment="1">
      <alignment horizontal="left" vertical="top" wrapText="1"/>
    </xf>
    <xf numFmtId="168" fontId="45" fillId="19" borderId="6" xfId="3" applyFont="1" applyFill="1" applyBorder="1" applyAlignment="1">
      <alignment horizontal="left" vertical="top" wrapText="1"/>
    </xf>
    <xf numFmtId="168" fontId="45" fillId="51" borderId="76" xfId="3" applyFont="1" applyFill="1" applyBorder="1" applyAlignment="1">
      <alignment horizontal="left" vertical="center" wrapText="1"/>
    </xf>
    <xf numFmtId="168" fontId="45" fillId="19" borderId="76" xfId="3" applyFont="1" applyFill="1" applyBorder="1" applyAlignment="1">
      <alignment horizontal="center" vertical="center" wrapText="1"/>
    </xf>
    <xf numFmtId="168" fontId="45" fillId="19" borderId="77" xfId="3" applyFont="1" applyFill="1" applyBorder="1" applyAlignment="1">
      <alignment horizontal="center" vertical="center" wrapText="1"/>
    </xf>
    <xf numFmtId="168" fontId="45" fillId="19" borderId="72" xfId="3" applyFont="1" applyFill="1" applyBorder="1" applyAlignment="1">
      <alignment horizontal="center" vertical="center" wrapText="1"/>
    </xf>
    <xf numFmtId="168" fontId="110" fillId="50" borderId="80" xfId="3" applyFont="1" applyFill="1" applyBorder="1" applyAlignment="1">
      <alignment horizontal="center" vertical="center"/>
    </xf>
    <xf numFmtId="168" fontId="110" fillId="50" borderId="17" xfId="3" applyFont="1" applyFill="1" applyBorder="1" applyAlignment="1">
      <alignment horizontal="center" vertical="center"/>
    </xf>
    <xf numFmtId="168" fontId="110" fillId="50" borderId="37" xfId="3" applyFont="1" applyFill="1" applyBorder="1" applyAlignment="1">
      <alignment horizontal="center" vertical="center"/>
    </xf>
    <xf numFmtId="168" fontId="110" fillId="50" borderId="14" xfId="3" applyFont="1" applyFill="1" applyBorder="1" applyAlignment="1">
      <alignment horizontal="center" vertical="center"/>
    </xf>
    <xf numFmtId="168" fontId="110" fillId="50" borderId="0" xfId="3" applyFont="1" applyFill="1" applyBorder="1" applyAlignment="1">
      <alignment horizontal="center" vertical="center"/>
    </xf>
    <xf numFmtId="168" fontId="110" fillId="50" borderId="83" xfId="3" applyFont="1" applyFill="1" applyBorder="1" applyAlignment="1">
      <alignment horizontal="center" vertical="center"/>
    </xf>
    <xf numFmtId="49" fontId="111" fillId="50" borderId="77" xfId="3" applyNumberFormat="1" applyFont="1" applyFill="1" applyBorder="1" applyAlignment="1">
      <alignment horizontal="center" vertical="center"/>
    </xf>
    <xf numFmtId="49" fontId="111" fillId="50" borderId="78" xfId="3" applyNumberFormat="1" applyFont="1" applyFill="1" applyBorder="1" applyAlignment="1">
      <alignment horizontal="center" vertical="center"/>
    </xf>
    <xf numFmtId="49" fontId="108" fillId="50" borderId="49" xfId="17805" applyNumberFormat="1" applyFont="1" applyFill="1" applyBorder="1" applyAlignment="1">
      <alignment horizontal="center" vertical="center" wrapText="1"/>
    </xf>
    <xf numFmtId="49" fontId="108" fillId="50" borderId="78" xfId="17805" applyNumberFormat="1" applyFont="1" applyFill="1" applyBorder="1" applyAlignment="1">
      <alignment horizontal="center" vertical="center" wrapText="1"/>
    </xf>
    <xf numFmtId="179" fontId="107" fillId="50" borderId="34" xfId="17805" applyNumberFormat="1" applyFont="1" applyFill="1" applyBorder="1" applyAlignment="1">
      <alignment horizontal="center" vertical="center"/>
    </xf>
    <xf numFmtId="179" fontId="107" fillId="50" borderId="33" xfId="17805" applyNumberFormat="1" applyFont="1" applyFill="1" applyBorder="1" applyAlignment="1">
      <alignment horizontal="center" vertical="center"/>
    </xf>
    <xf numFmtId="168" fontId="45" fillId="11" borderId="0" xfId="17805" applyNumberFormat="1" applyFont="1" applyFill="1" applyAlignment="1">
      <alignment horizontal="center" vertical="center"/>
    </xf>
    <xf numFmtId="0" fontId="45" fillId="11" borderId="0" xfId="17805" applyFont="1" applyFill="1" applyAlignment="1">
      <alignment horizontal="center" vertical="center"/>
    </xf>
    <xf numFmtId="168" fontId="107" fillId="50" borderId="54" xfId="3" applyFont="1" applyFill="1" applyBorder="1" applyAlignment="1">
      <alignment horizontal="center" vertical="center"/>
    </xf>
    <xf numFmtId="168" fontId="107" fillId="50" borderId="20" xfId="3" applyFont="1" applyFill="1" applyBorder="1" applyAlignment="1">
      <alignment horizontal="center" vertical="center"/>
    </xf>
    <xf numFmtId="168" fontId="107" fillId="50" borderId="86" xfId="3" applyFont="1" applyFill="1" applyBorder="1" applyAlignment="1">
      <alignment horizontal="center" vertical="center"/>
    </xf>
    <xf numFmtId="168" fontId="107" fillId="50" borderId="5" xfId="3" applyFont="1" applyFill="1" applyBorder="1" applyAlignment="1">
      <alignment horizontal="center" vertical="center"/>
    </xf>
    <xf numFmtId="0" fontId="108" fillId="50" borderId="86" xfId="17805" applyFont="1" applyFill="1" applyBorder="1" applyAlignment="1">
      <alignment horizontal="center" vertical="center"/>
    </xf>
    <xf numFmtId="0" fontId="108" fillId="50" borderId="5" xfId="17805" applyFont="1" applyFill="1" applyBorder="1" applyAlignment="1">
      <alignment horizontal="center" vertical="center"/>
    </xf>
    <xf numFmtId="0" fontId="108" fillId="50" borderId="1" xfId="17805" applyFont="1" applyFill="1" applyBorder="1" applyAlignment="1">
      <alignment horizontal="center" vertical="center"/>
    </xf>
    <xf numFmtId="168" fontId="38" fillId="52" borderId="3" xfId="3" applyFont="1" applyFill="1" applyBorder="1" applyAlignment="1">
      <alignment horizontal="center" vertical="center" wrapText="1"/>
    </xf>
    <xf numFmtId="168" fontId="38" fillId="52" borderId="23" xfId="3" applyFont="1" applyFill="1" applyBorder="1" applyAlignment="1">
      <alignment horizontal="center" vertical="center" wrapText="1"/>
    </xf>
    <xf numFmtId="168" fontId="38" fillId="52" borderId="4" xfId="3" applyFont="1" applyFill="1" applyBorder="1" applyAlignment="1">
      <alignment horizontal="center" vertical="center" wrapText="1"/>
    </xf>
    <xf numFmtId="168" fontId="45" fillId="52" borderId="99" xfId="3" applyFont="1" applyFill="1" applyBorder="1" applyAlignment="1">
      <alignment horizontal="center" vertical="center" wrapText="1"/>
    </xf>
    <xf numFmtId="168" fontId="45" fillId="52" borderId="78" xfId="3" applyFont="1" applyFill="1" applyBorder="1" applyAlignment="1">
      <alignment horizontal="center" vertical="center" wrapText="1"/>
    </xf>
    <xf numFmtId="168" fontId="45" fillId="52" borderId="72" xfId="3" applyFont="1" applyFill="1" applyBorder="1" applyAlignment="1">
      <alignment horizontal="center" vertical="center" wrapText="1"/>
    </xf>
    <xf numFmtId="0" fontId="107" fillId="50" borderId="53" xfId="17805" applyFont="1" applyFill="1" applyBorder="1" applyAlignment="1">
      <alignment horizontal="center" vertical="center"/>
    </xf>
    <xf numFmtId="0" fontId="107" fillId="50" borderId="85" xfId="17805" applyFont="1" applyFill="1" applyBorder="1" applyAlignment="1">
      <alignment horizontal="center" vertical="center"/>
    </xf>
    <xf numFmtId="179" fontId="108" fillId="50" borderId="49" xfId="17805" applyNumberFormat="1" applyFont="1" applyFill="1" applyBorder="1" applyAlignment="1">
      <alignment horizontal="center" vertical="center" wrapText="1"/>
    </xf>
    <xf numFmtId="179" fontId="108" fillId="50" borderId="78" xfId="17805" applyNumberFormat="1" applyFont="1" applyFill="1" applyBorder="1" applyAlignment="1">
      <alignment horizontal="center" vertical="center" wrapText="1"/>
    </xf>
    <xf numFmtId="179" fontId="108" fillId="50" borderId="48" xfId="17805" applyNumberFormat="1" applyFont="1" applyFill="1" applyBorder="1" applyAlignment="1">
      <alignment horizontal="center" vertical="center" wrapText="1"/>
    </xf>
    <xf numFmtId="168" fontId="45" fillId="19" borderId="99" xfId="3" applyFont="1" applyFill="1" applyBorder="1" applyAlignment="1">
      <alignment horizontal="left" vertical="center" wrapText="1"/>
    </xf>
    <xf numFmtId="168" fontId="45" fillId="19" borderId="78" xfId="3" applyFont="1" applyFill="1" applyBorder="1" applyAlignment="1">
      <alignment horizontal="left" vertical="center" wrapText="1"/>
    </xf>
    <xf numFmtId="168" fontId="45" fillId="52" borderId="76" xfId="3" applyFont="1" applyFill="1" applyBorder="1" applyAlignment="1">
      <alignment horizontal="center" vertical="center" wrapText="1"/>
    </xf>
    <xf numFmtId="168" fontId="45" fillId="52" borderId="77" xfId="3" applyFont="1" applyFill="1" applyBorder="1" applyAlignment="1">
      <alignment horizontal="center" vertical="center" wrapText="1"/>
    </xf>
    <xf numFmtId="0" fontId="107" fillId="50" borderId="8" xfId="17805" applyFont="1" applyFill="1" applyBorder="1" applyAlignment="1">
      <alignment horizontal="center" vertical="center"/>
    </xf>
    <xf numFmtId="0" fontId="107" fillId="50" borderId="45" xfId="17805" applyFont="1" applyFill="1" applyBorder="1" applyAlignment="1">
      <alignment horizontal="center" vertical="center"/>
    </xf>
    <xf numFmtId="168" fontId="107" fillId="50" borderId="2" xfId="3" applyFont="1" applyFill="1" applyBorder="1" applyAlignment="1">
      <alignment horizontal="center" vertical="center"/>
    </xf>
    <xf numFmtId="168" fontId="107" fillId="50" borderId="76" xfId="3" applyFont="1" applyFill="1" applyBorder="1" applyAlignment="1">
      <alignment horizontal="center" vertical="center"/>
    </xf>
    <xf numFmtId="168" fontId="117" fillId="51" borderId="81" xfId="3" applyFont="1" applyFill="1" applyBorder="1" applyAlignment="1">
      <alignment horizontal="center" vertical="center" wrapText="1"/>
    </xf>
    <xf numFmtId="168" fontId="117" fillId="51" borderId="82" xfId="3" applyFont="1" applyFill="1" applyBorder="1" applyAlignment="1">
      <alignment horizontal="center" vertical="center" wrapText="1"/>
    </xf>
    <xf numFmtId="168" fontId="45" fillId="51" borderId="76" xfId="3" applyFont="1" applyFill="1" applyBorder="1" applyAlignment="1">
      <alignment horizontal="center" vertical="center" wrapText="1"/>
    </xf>
    <xf numFmtId="168" fontId="45" fillId="51" borderId="77" xfId="3" applyFont="1" applyFill="1" applyBorder="1" applyAlignment="1">
      <alignment horizontal="center" vertical="center" wrapText="1"/>
    </xf>
    <xf numFmtId="168" fontId="54" fillId="51" borderId="65" xfId="3" applyFont="1" applyFill="1" applyBorder="1" applyAlignment="1">
      <alignment horizontal="center" vertical="center" wrapText="1"/>
    </xf>
    <xf numFmtId="168" fontId="54" fillId="51" borderId="66" xfId="3" applyFont="1" applyFill="1" applyBorder="1" applyAlignment="1">
      <alignment horizontal="center" vertical="center" wrapText="1"/>
    </xf>
    <xf numFmtId="168" fontId="45" fillId="51" borderId="81" xfId="3" applyFont="1" applyFill="1" applyBorder="1" applyAlignment="1">
      <alignment horizontal="left" vertical="center" wrapText="1"/>
    </xf>
    <xf numFmtId="168" fontId="54" fillId="51" borderId="66" xfId="3" applyFont="1" applyFill="1" applyBorder="1" applyAlignment="1">
      <alignment horizontal="left" vertical="center" wrapText="1"/>
    </xf>
    <xf numFmtId="168" fontId="54" fillId="51" borderId="6" xfId="3" applyFont="1" applyFill="1" applyBorder="1" applyAlignment="1">
      <alignment horizontal="left" vertical="center" wrapText="1"/>
    </xf>
    <xf numFmtId="168" fontId="45" fillId="19" borderId="77" xfId="3" applyFont="1" applyFill="1" applyBorder="1" applyAlignment="1">
      <alignment horizontal="left" vertical="center" wrapText="1"/>
    </xf>
    <xf numFmtId="168" fontId="45" fillId="19" borderId="72" xfId="3" applyFont="1" applyFill="1" applyBorder="1" applyAlignment="1">
      <alignment horizontal="left" vertical="center" wrapText="1"/>
    </xf>
    <xf numFmtId="168" fontId="43" fillId="19" borderId="76" xfId="3" applyFont="1" applyFill="1" applyBorder="1" applyAlignment="1">
      <alignment horizontal="left" vertical="center" wrapText="1"/>
    </xf>
    <xf numFmtId="49" fontId="106" fillId="50" borderId="37" xfId="17805" applyNumberFormat="1" applyFont="1" applyFill="1" applyBorder="1" applyAlignment="1">
      <alignment horizontal="center" vertical="center" wrapText="1"/>
    </xf>
    <xf numFmtId="49" fontId="106" fillId="50" borderId="107" xfId="17805" applyNumberFormat="1" applyFont="1" applyFill="1" applyBorder="1" applyAlignment="1">
      <alignment horizontal="center" vertical="center" wrapText="1"/>
    </xf>
    <xf numFmtId="168" fontId="37" fillId="53" borderId="97" xfId="3" applyFont="1" applyFill="1" applyBorder="1" applyAlignment="1">
      <alignment horizontal="left" vertical="center" wrapText="1"/>
    </xf>
    <xf numFmtId="168" fontId="37" fillId="53" borderId="71" xfId="3" applyFont="1" applyFill="1" applyBorder="1" applyAlignment="1">
      <alignment horizontal="left" vertical="center" wrapText="1"/>
    </xf>
    <xf numFmtId="168" fontId="37" fillId="53" borderId="98" xfId="3" applyFont="1" applyFill="1" applyBorder="1" applyAlignment="1">
      <alignment horizontal="left" vertical="center" wrapText="1"/>
    </xf>
    <xf numFmtId="168" fontId="37" fillId="53" borderId="96" xfId="3" applyFont="1" applyFill="1" applyBorder="1" applyAlignment="1">
      <alignment horizontal="left" vertical="center" wrapText="1"/>
    </xf>
    <xf numFmtId="168" fontId="37" fillId="53" borderId="64" xfId="3" applyFont="1" applyFill="1" applyBorder="1" applyAlignment="1">
      <alignment horizontal="left" vertical="center" wrapText="1"/>
    </xf>
    <xf numFmtId="168" fontId="37" fillId="53" borderId="84" xfId="3" applyFont="1" applyFill="1" applyBorder="1" applyAlignment="1">
      <alignment horizontal="left" vertical="center" wrapText="1"/>
    </xf>
    <xf numFmtId="168" fontId="128" fillId="11" borderId="51" xfId="3" applyFont="1" applyFill="1" applyBorder="1" applyAlignment="1">
      <alignment horizontal="center" vertical="center" wrapText="1"/>
    </xf>
    <xf numFmtId="168" fontId="128" fillId="11" borderId="64" xfId="3" applyFont="1" applyFill="1" applyBorder="1" applyAlignment="1">
      <alignment horizontal="center" vertical="center" wrapText="1"/>
    </xf>
    <xf numFmtId="49" fontId="112" fillId="50" borderId="80" xfId="17805" applyNumberFormat="1" applyFont="1" applyFill="1" applyBorder="1" applyAlignment="1">
      <alignment horizontal="center" vertical="center" wrapText="1"/>
    </xf>
    <xf numFmtId="49" fontId="112" fillId="50" borderId="17" xfId="17805" applyNumberFormat="1" applyFont="1" applyFill="1" applyBorder="1" applyAlignment="1">
      <alignment horizontal="center" vertical="center" wrapText="1"/>
    </xf>
    <xf numFmtId="49" fontId="112" fillId="50" borderId="37" xfId="17805" applyNumberFormat="1" applyFont="1" applyFill="1" applyBorder="1" applyAlignment="1">
      <alignment horizontal="center" vertical="center" wrapText="1"/>
    </xf>
    <xf numFmtId="0" fontId="54" fillId="11" borderId="44" xfId="17805" applyFont="1" applyFill="1" applyBorder="1" applyAlignment="1">
      <alignment horizontal="left" vertical="center" wrapText="1"/>
    </xf>
    <xf numFmtId="0" fontId="54" fillId="11" borderId="84" xfId="17805" applyFont="1" applyFill="1" applyBorder="1" applyAlignment="1">
      <alignment horizontal="left" vertical="center" wrapText="1"/>
    </xf>
    <xf numFmtId="170" fontId="126" fillId="11" borderId="28" xfId="2" applyFont="1" applyFill="1" applyBorder="1" applyAlignment="1">
      <alignment horizontal="left" vertical="center" wrapText="1"/>
    </xf>
    <xf numFmtId="170" fontId="126" fillId="11" borderId="25" xfId="2" applyFont="1" applyFill="1" applyBorder="1" applyAlignment="1">
      <alignment horizontal="left" vertical="center" wrapText="1"/>
    </xf>
    <xf numFmtId="170" fontId="126" fillId="11" borderId="29" xfId="2" applyFont="1" applyFill="1" applyBorder="1" applyAlignment="1">
      <alignment horizontal="left" vertical="center" wrapText="1"/>
    </xf>
    <xf numFmtId="168" fontId="107" fillId="50" borderId="3" xfId="3" applyFont="1" applyFill="1" applyBorder="1" applyAlignment="1">
      <alignment horizontal="center" vertical="center"/>
    </xf>
    <xf numFmtId="168" fontId="107" fillId="50" borderId="77" xfId="3" applyFont="1" applyFill="1" applyBorder="1" applyAlignment="1">
      <alignment horizontal="center" vertical="center"/>
    </xf>
    <xf numFmtId="179" fontId="112" fillId="50" borderId="38" xfId="17805" applyNumberFormat="1" applyFont="1" applyFill="1" applyBorder="1" applyAlignment="1">
      <alignment horizontal="center" vertical="center" wrapText="1"/>
    </xf>
    <xf numFmtId="179" fontId="112" fillId="50" borderId="23" xfId="17805" applyNumberFormat="1" applyFont="1" applyFill="1" applyBorder="1" applyAlignment="1">
      <alignment horizontal="center" vertical="center" wrapText="1"/>
    </xf>
    <xf numFmtId="179" fontId="112" fillId="50" borderId="39" xfId="17805" applyNumberFormat="1" applyFont="1" applyFill="1" applyBorder="1" applyAlignment="1">
      <alignment horizontal="center" vertical="center" wrapText="1"/>
    </xf>
    <xf numFmtId="49" fontId="112" fillId="50" borderId="38" xfId="17805" applyNumberFormat="1" applyFont="1" applyFill="1" applyBorder="1" applyAlignment="1">
      <alignment horizontal="center" vertical="center" wrapText="1"/>
    </xf>
    <xf numFmtId="49" fontId="112" fillId="50" borderId="23" xfId="17805" applyNumberFormat="1" applyFont="1" applyFill="1" applyBorder="1" applyAlignment="1">
      <alignment horizontal="center" vertical="center" wrapText="1"/>
    </xf>
    <xf numFmtId="49" fontId="112" fillId="50" borderId="39" xfId="17805" applyNumberFormat="1" applyFont="1" applyFill="1" applyBorder="1" applyAlignment="1">
      <alignment horizontal="center" vertical="center" wrapText="1"/>
    </xf>
    <xf numFmtId="168" fontId="65" fillId="11" borderId="38" xfId="3" applyFont="1" applyFill="1" applyBorder="1" applyAlignment="1">
      <alignment horizontal="left" vertical="center" wrapText="1"/>
    </xf>
    <xf numFmtId="168" fontId="65" fillId="11" borderId="23" xfId="3" applyFont="1" applyFill="1" applyBorder="1" applyAlignment="1">
      <alignment horizontal="left" vertical="center" wrapText="1"/>
    </xf>
    <xf numFmtId="168" fontId="65" fillId="11" borderId="27" xfId="3" applyFont="1" applyFill="1" applyBorder="1" applyAlignment="1">
      <alignment horizontal="left" vertical="center" wrapText="1"/>
    </xf>
    <xf numFmtId="168" fontId="65" fillId="11" borderId="19" xfId="3" applyFont="1" applyFill="1" applyBorder="1" applyAlignment="1">
      <alignment horizontal="left" vertical="center" wrapText="1"/>
    </xf>
    <xf numFmtId="0" fontId="73" fillId="11" borderId="112" xfId="17805" applyFont="1" applyFill="1" applyBorder="1" applyAlignment="1">
      <alignment horizontal="left" vertical="top" wrapText="1"/>
    </xf>
    <xf numFmtId="0" fontId="73" fillId="11" borderId="128" xfId="17805" applyFont="1" applyFill="1" applyBorder="1" applyAlignment="1">
      <alignment horizontal="left" vertical="top" wrapText="1"/>
    </xf>
    <xf numFmtId="0" fontId="73" fillId="11" borderId="115" xfId="17805" applyFont="1" applyFill="1" applyBorder="1" applyAlignment="1">
      <alignment horizontal="left" vertical="top" wrapText="1"/>
    </xf>
    <xf numFmtId="168" fontId="128" fillId="11" borderId="25" xfId="3" applyFont="1" applyFill="1" applyBorder="1" applyAlignment="1">
      <alignment horizontal="center" vertical="center" wrapText="1"/>
    </xf>
    <xf numFmtId="168" fontId="118" fillId="11" borderId="24" xfId="3" applyFont="1" applyFill="1" applyBorder="1" applyAlignment="1">
      <alignment horizontal="left" vertical="center" wrapText="1"/>
    </xf>
    <xf numFmtId="168" fontId="118" fillId="11" borderId="25" xfId="3" applyFont="1" applyFill="1" applyBorder="1" applyAlignment="1">
      <alignment horizontal="left" vertical="center" wrapText="1"/>
    </xf>
    <xf numFmtId="168" fontId="118" fillId="11" borderId="26" xfId="3" applyFont="1" applyFill="1" applyBorder="1" applyAlignment="1">
      <alignment horizontal="left" vertical="center" wrapText="1"/>
    </xf>
    <xf numFmtId="168" fontId="124" fillId="11" borderId="24" xfId="3" applyFont="1" applyFill="1" applyBorder="1" applyAlignment="1">
      <alignment horizontal="left" vertical="center" wrapText="1"/>
    </xf>
    <xf numFmtId="168" fontId="124" fillId="11" borderId="25" xfId="3" applyFont="1" applyFill="1" applyBorder="1" applyAlignment="1">
      <alignment horizontal="left" vertical="center" wrapText="1"/>
    </xf>
    <xf numFmtId="168" fontId="124" fillId="11" borderId="26" xfId="3" applyFont="1" applyFill="1" applyBorder="1" applyAlignment="1">
      <alignment horizontal="left" vertical="center" wrapText="1"/>
    </xf>
    <xf numFmtId="0" fontId="112" fillId="50" borderId="51" xfId="17805" applyFont="1" applyFill="1" applyBorder="1" applyAlignment="1">
      <alignment horizontal="center" vertical="center"/>
    </xf>
    <xf numFmtId="0" fontId="112" fillId="50" borderId="64" xfId="17805" applyFont="1" applyFill="1" applyBorder="1" applyAlignment="1">
      <alignment horizontal="center" vertical="center"/>
    </xf>
    <xf numFmtId="0" fontId="112" fillId="50" borderId="84" xfId="17805" applyFont="1" applyFill="1" applyBorder="1" applyAlignment="1">
      <alignment horizontal="center" vertical="center"/>
    </xf>
    <xf numFmtId="168" fontId="45" fillId="6" borderId="66" xfId="3" applyFont="1" applyFill="1" applyBorder="1" applyAlignment="1">
      <alignment horizontal="left" vertical="center" wrapText="1"/>
    </xf>
    <xf numFmtId="168" fontId="45" fillId="6" borderId="44" xfId="3" applyFont="1" applyFill="1" applyBorder="1" applyAlignment="1">
      <alignment horizontal="left" vertical="center" wrapText="1"/>
    </xf>
    <xf numFmtId="168" fontId="45" fillId="6" borderId="12" xfId="3" applyFont="1" applyFill="1" applyBorder="1" applyAlignment="1">
      <alignment horizontal="center" vertical="center" wrapText="1"/>
    </xf>
    <xf numFmtId="168" fontId="45" fillId="6" borderId="30" xfId="3" applyFont="1" applyFill="1" applyBorder="1" applyAlignment="1">
      <alignment horizontal="center" vertical="center" wrapText="1"/>
    </xf>
    <xf numFmtId="168" fontId="107" fillId="50" borderId="38" xfId="3" applyFont="1" applyFill="1" applyBorder="1" applyAlignment="1">
      <alignment horizontal="center" vertical="center"/>
    </xf>
    <xf numFmtId="168" fontId="107" fillId="50" borderId="47" xfId="3" applyFont="1" applyFill="1" applyBorder="1" applyAlignment="1">
      <alignment horizontal="center" vertical="center"/>
    </xf>
    <xf numFmtId="49" fontId="106" fillId="50" borderId="112" xfId="17805" applyNumberFormat="1" applyFont="1" applyFill="1" applyBorder="1" applyAlignment="1">
      <alignment horizontal="center" vertical="center" wrapText="1"/>
    </xf>
    <xf numFmtId="49" fontId="106" fillId="50" borderId="113" xfId="17805" applyNumberFormat="1" applyFont="1" applyFill="1" applyBorder="1" applyAlignment="1">
      <alignment horizontal="center" vertical="center" wrapText="1"/>
    </xf>
    <xf numFmtId="179" fontId="112" fillId="50" borderId="3" xfId="17805" applyNumberFormat="1" applyFont="1" applyFill="1" applyBorder="1" applyAlignment="1">
      <alignment horizontal="center" vertical="center" wrapText="1"/>
    </xf>
    <xf numFmtId="168" fontId="73" fillId="6" borderId="82" xfId="3" applyFont="1" applyFill="1" applyBorder="1" applyAlignment="1">
      <alignment horizontal="left" vertical="center" wrapText="1"/>
    </xf>
    <xf numFmtId="168" fontId="73" fillId="6" borderId="19" xfId="3" applyFont="1" applyFill="1" applyBorder="1" applyAlignment="1">
      <alignment horizontal="left" vertical="center" wrapText="1"/>
    </xf>
    <xf numFmtId="168" fontId="73" fillId="6" borderId="32" xfId="3" applyFont="1" applyFill="1" applyBorder="1" applyAlignment="1">
      <alignment horizontal="left" vertical="center" wrapText="1"/>
    </xf>
    <xf numFmtId="0" fontId="61" fillId="0" borderId="0" xfId="0" applyFont="1" applyAlignment="1">
      <alignment horizontal="center"/>
    </xf>
    <xf numFmtId="0" fontId="62" fillId="0" borderId="0" xfId="0" applyFont="1" applyAlignment="1">
      <alignment horizontal="center"/>
    </xf>
    <xf numFmtId="0" fontId="43" fillId="0" borderId="76" xfId="0" applyFont="1" applyBorder="1" applyAlignment="1">
      <alignment horizontal="center" vertical="center"/>
    </xf>
    <xf numFmtId="0" fontId="43" fillId="0" borderId="77" xfId="0" applyFont="1" applyBorder="1" applyAlignment="1">
      <alignment horizontal="center" vertical="center"/>
    </xf>
    <xf numFmtId="0" fontId="40" fillId="3" borderId="3" xfId="0" applyFont="1" applyFill="1" applyBorder="1" applyAlignment="1">
      <alignment horizontal="center" vertical="center"/>
    </xf>
    <xf numFmtId="0" fontId="40" fillId="3" borderId="23" xfId="0" applyFont="1" applyFill="1" applyBorder="1" applyAlignment="1">
      <alignment horizontal="center" vertical="center"/>
    </xf>
    <xf numFmtId="0" fontId="40" fillId="3" borderId="4" xfId="0" applyFont="1" applyFill="1" applyBorder="1" applyAlignment="1">
      <alignment horizontal="center" vertical="center"/>
    </xf>
    <xf numFmtId="0" fontId="40" fillId="3" borderId="40" xfId="0" applyFont="1" applyFill="1" applyBorder="1" applyAlignment="1">
      <alignment horizontal="center" vertical="center"/>
    </xf>
    <xf numFmtId="0" fontId="40" fillId="3" borderId="17" xfId="0" applyFont="1" applyFill="1" applyBorder="1" applyAlignment="1">
      <alignment horizontal="center" vertical="center"/>
    </xf>
    <xf numFmtId="0" fontId="40" fillId="3" borderId="18" xfId="0" applyFont="1" applyFill="1" applyBorder="1" applyAlignment="1">
      <alignment horizontal="center" vertical="center"/>
    </xf>
    <xf numFmtId="0" fontId="40" fillId="3" borderId="86" xfId="0" applyFont="1" applyFill="1" applyBorder="1" applyAlignment="1">
      <alignment horizontal="center" vertical="center"/>
    </xf>
    <xf numFmtId="0" fontId="40" fillId="3" borderId="5" xfId="0" applyFont="1" applyFill="1" applyBorder="1" applyAlignment="1">
      <alignment horizontal="center" vertical="center"/>
    </xf>
    <xf numFmtId="0" fontId="40" fillId="3" borderId="1" xfId="0" applyFont="1" applyFill="1" applyBorder="1" applyAlignment="1">
      <alignment horizontal="center" vertical="center"/>
    </xf>
    <xf numFmtId="0" fontId="109" fillId="3" borderId="46" xfId="0" applyFont="1" applyFill="1" applyBorder="1" applyAlignment="1">
      <alignment horizontal="center" vertical="center" wrapText="1"/>
    </xf>
    <xf numFmtId="0" fontId="109" fillId="3" borderId="85" xfId="0" applyFont="1" applyFill="1" applyBorder="1" applyAlignment="1">
      <alignment horizontal="center" vertical="center" wrapText="1"/>
    </xf>
    <xf numFmtId="0" fontId="40" fillId="3" borderId="36" xfId="0" applyFont="1" applyFill="1" applyBorder="1" applyAlignment="1">
      <alignment horizontal="center" vertical="center"/>
    </xf>
    <xf numFmtId="0" fontId="40" fillId="3" borderId="7" xfId="0" applyFont="1" applyFill="1" applyBorder="1" applyAlignment="1">
      <alignment horizontal="center" vertical="center"/>
    </xf>
    <xf numFmtId="0" fontId="83" fillId="0" borderId="28" xfId="2007" applyFont="1" applyBorder="1" applyAlignment="1">
      <alignment horizontal="center" vertical="center"/>
    </xf>
    <xf numFmtId="0" fontId="83" fillId="0" borderId="25" xfId="2007" applyFont="1" applyBorder="1" applyAlignment="1">
      <alignment horizontal="center" vertical="center"/>
    </xf>
    <xf numFmtId="0" fontId="83" fillId="0" borderId="26" xfId="2007" applyFont="1" applyBorder="1" applyAlignment="1">
      <alignment horizontal="center" vertical="center"/>
    </xf>
    <xf numFmtId="0" fontId="40" fillId="9" borderId="3" xfId="0" applyFont="1" applyFill="1" applyBorder="1" applyAlignment="1">
      <alignment horizontal="center" vertical="center"/>
    </xf>
    <xf numFmtId="0" fontId="40" fillId="9" borderId="23" xfId="0" applyFont="1" applyFill="1" applyBorder="1" applyAlignment="1">
      <alignment horizontal="center" vertical="center"/>
    </xf>
    <xf numFmtId="0" fontId="40" fillId="9" borderId="4" xfId="0" applyFont="1" applyFill="1" applyBorder="1" applyAlignment="1">
      <alignment horizontal="center" vertical="center"/>
    </xf>
    <xf numFmtId="0" fontId="45" fillId="8" borderId="18" xfId="0" applyFont="1" applyFill="1" applyBorder="1" applyAlignment="1">
      <alignment horizontal="center" vertical="center"/>
    </xf>
    <xf numFmtId="0" fontId="45" fillId="8" borderId="1" xfId="0" applyFont="1" applyFill="1" applyBorder="1" applyAlignment="1">
      <alignment horizontal="center" vertical="center"/>
    </xf>
    <xf numFmtId="0" fontId="40" fillId="8" borderId="38" xfId="0" applyFont="1" applyFill="1" applyBorder="1" applyAlignment="1">
      <alignment horizontal="center" vertical="center" wrapText="1"/>
    </xf>
    <xf numFmtId="0" fontId="40" fillId="8" borderId="23" xfId="0" applyFont="1" applyFill="1" applyBorder="1" applyAlignment="1">
      <alignment horizontal="center" vertical="center" wrapText="1"/>
    </xf>
    <xf numFmtId="0" fontId="40" fillId="8" borderId="39" xfId="0" applyFont="1" applyFill="1" applyBorder="1" applyAlignment="1">
      <alignment horizontal="center" vertical="center" wrapText="1"/>
    </xf>
    <xf numFmtId="0" fontId="40" fillId="6" borderId="40" xfId="0" applyFont="1" applyFill="1" applyBorder="1" applyAlignment="1">
      <alignment horizontal="center" vertical="center"/>
    </xf>
    <xf numFmtId="0" fontId="40" fillId="6" borderId="86" xfId="0" applyFont="1" applyFill="1" applyBorder="1" applyAlignment="1">
      <alignment horizontal="center" vertical="center"/>
    </xf>
  </cellXfs>
  <cellStyles count="49099">
    <cellStyle name="20% - Accent1 2" xfId="48873" xr:uid="{00000000-0005-0000-0000-000000000000}"/>
    <cellStyle name="20% - Accent1 2 2" xfId="48993" xr:uid="{D967BE82-2A84-410D-9EB3-E7B2B6441CC0}"/>
    <cellStyle name="20% - Accent2 2" xfId="2221" xr:uid="{00000000-0005-0000-0000-000001000000}"/>
    <cellStyle name="20% - Accent2 2 2" xfId="48874" xr:uid="{00000000-0005-0000-0000-000002000000}"/>
    <cellStyle name="20% - Accent2 2 2 2" xfId="48995" xr:uid="{CD7EF077-28FC-44D3-AEB4-F536F5414164}"/>
    <cellStyle name="20% - Accent2 2 3" xfId="48994" xr:uid="{DEA0B429-1348-486F-9C97-2919FFA87AAF}"/>
    <cellStyle name="20% - Accent3 2" xfId="48875" xr:uid="{00000000-0005-0000-0000-000003000000}"/>
    <cellStyle name="20% - Accent3 2 2" xfId="48996" xr:uid="{ADA87D3D-AB4E-4CFF-9CE7-049029951C11}"/>
    <cellStyle name="20% - Accent4 2" xfId="48876" xr:uid="{00000000-0005-0000-0000-000004000000}"/>
    <cellStyle name="20% - Accent4 2 2" xfId="48997" xr:uid="{FB51F19A-D8A4-40DF-8D67-6D5E533913A7}"/>
    <cellStyle name="20% - Accent5 2" xfId="48877" xr:uid="{00000000-0005-0000-0000-000005000000}"/>
    <cellStyle name="20% - Accent5 2 2" xfId="48998" xr:uid="{4FD6D775-5CC8-4072-8925-DF0AC96301C2}"/>
    <cellStyle name="20% - Accent6 2" xfId="48878" xr:uid="{00000000-0005-0000-0000-000006000000}"/>
    <cellStyle name="20% - Accent6 2 2" xfId="48999" xr:uid="{3465AABD-2AE0-4488-88C2-63BF78B01B8D}"/>
    <cellStyle name="40% - Accent1 2" xfId="48879" xr:uid="{00000000-0005-0000-0000-000007000000}"/>
    <cellStyle name="40% - Accent1 2 2" xfId="49000" xr:uid="{8B66AB92-67B4-4C4F-8969-E6802A9CE7B4}"/>
    <cellStyle name="40% - Accent2 2" xfId="48880" xr:uid="{00000000-0005-0000-0000-000008000000}"/>
    <cellStyle name="40% - Accent2 2 2" xfId="49001" xr:uid="{928663EA-19D0-49B0-85AF-ACB3FD00D8D0}"/>
    <cellStyle name="40% - Accent3 2" xfId="48881" xr:uid="{00000000-0005-0000-0000-000009000000}"/>
    <cellStyle name="40% - Accent3 2 2" xfId="49002" xr:uid="{ACA47C72-625D-4C06-B6CD-10B27B97C642}"/>
    <cellStyle name="40% - Accent4 2" xfId="48882" xr:uid="{00000000-0005-0000-0000-00000A000000}"/>
    <cellStyle name="40% - Accent4 2 2" xfId="49003" xr:uid="{DD346408-CA0D-4E8C-AA05-D1A856877381}"/>
    <cellStyle name="40% - Accent5 2" xfId="48883" xr:uid="{00000000-0005-0000-0000-00000B000000}"/>
    <cellStyle name="40% - Accent5 2 2" xfId="49004" xr:uid="{1C5DB0FA-FAD1-4581-8F33-2C2BF49451C2}"/>
    <cellStyle name="40% - Accent6 2" xfId="48884" xr:uid="{00000000-0005-0000-0000-00000C000000}"/>
    <cellStyle name="40% - Accent6 2 2" xfId="49005" xr:uid="{A832DD6F-7A0E-4128-B0B4-A09E33D5C976}"/>
    <cellStyle name="60% - Accent1 2" xfId="48885" xr:uid="{00000000-0005-0000-0000-00000D000000}"/>
    <cellStyle name="60% - Accent1 2 2" xfId="49006" xr:uid="{7920FBA0-C365-43C7-B7E7-E3242DE1B710}"/>
    <cellStyle name="60% - Accent2 2" xfId="48886" xr:uid="{00000000-0005-0000-0000-00000E000000}"/>
    <cellStyle name="60% - Accent2 2 2" xfId="49007" xr:uid="{7B9C7044-7BBB-4F6B-9602-B7D89C58BF2C}"/>
    <cellStyle name="60% - Accent3 2" xfId="48887" xr:uid="{00000000-0005-0000-0000-00000F000000}"/>
    <cellStyle name="60% - Accent3 2 2" xfId="49008" xr:uid="{5DC13A94-F2CF-40A7-94C9-7A02235C3A11}"/>
    <cellStyle name="60% - Accent4 2" xfId="48888" xr:uid="{00000000-0005-0000-0000-000010000000}"/>
    <cellStyle name="60% - Accent4 2 2" xfId="49009" xr:uid="{8A2ABD9B-C309-448B-ACE9-FD816CF50DBF}"/>
    <cellStyle name="60% - Accent5 2" xfId="48889" xr:uid="{00000000-0005-0000-0000-000011000000}"/>
    <cellStyle name="60% - Accent5 2 2" xfId="49010" xr:uid="{F3394D3D-DC46-4C94-A4E6-265F3AA7A094}"/>
    <cellStyle name="60% - Accent6 2" xfId="48890" xr:uid="{00000000-0005-0000-0000-000012000000}"/>
    <cellStyle name="60% - Accent6 2 2" xfId="49011" xr:uid="{F4030D88-23B7-41D1-AB8F-8ABF46243690}"/>
    <cellStyle name="Accent1 2" xfId="48891" xr:uid="{00000000-0005-0000-0000-000013000000}"/>
    <cellStyle name="Accent1 2 2" xfId="49012" xr:uid="{26AECE16-1D12-47DF-A0A4-6441442059A5}"/>
    <cellStyle name="Accent2 2" xfId="1" xr:uid="{00000000-0005-0000-0000-000014000000}"/>
    <cellStyle name="Accent2 2 2" xfId="49013" xr:uid="{882472C2-D116-4464-82C7-3554A3C95D13}"/>
    <cellStyle name="Accent2 3" xfId="48892" xr:uid="{00000000-0005-0000-0000-000015000000}"/>
    <cellStyle name="Accent2 3 2" xfId="49014" xr:uid="{7C7FDBD4-5B94-42FF-BB96-4B7F3FD2E36C}"/>
    <cellStyle name="Accent3 2" xfId="48893" xr:uid="{00000000-0005-0000-0000-000016000000}"/>
    <cellStyle name="Accent3 2 2" xfId="49015" xr:uid="{0BB1FD99-9C3C-4BB6-93F8-7BDDD82A652D}"/>
    <cellStyle name="Accent4 2" xfId="2222" xr:uid="{00000000-0005-0000-0000-000017000000}"/>
    <cellStyle name="Accent4 2 2" xfId="48894" xr:uid="{00000000-0005-0000-0000-000018000000}"/>
    <cellStyle name="Accent4 2 2 2" xfId="49017" xr:uid="{3BCC76A5-AB78-4C89-AD34-CAD86002AD64}"/>
    <cellStyle name="Accent4 2 3" xfId="49016" xr:uid="{2DD6611A-B5E4-443D-AD16-CA753B1C25C5}"/>
    <cellStyle name="Accent5 2" xfId="48895" xr:uid="{00000000-0005-0000-0000-000019000000}"/>
    <cellStyle name="Accent5 2 2" xfId="49018" xr:uid="{EEF567B2-907F-4B38-BF8A-AD58E1CCB67B}"/>
    <cellStyle name="Accent6 2" xfId="48896" xr:uid="{00000000-0005-0000-0000-00001A000000}"/>
    <cellStyle name="Accent6 2 2" xfId="49019" xr:uid="{26AD9B82-4B4D-4752-8232-38DEEC14A370}"/>
    <cellStyle name="Bad 2" xfId="2218" xr:uid="{00000000-0005-0000-0000-00001B000000}"/>
    <cellStyle name="Bad 2 2" xfId="49020" xr:uid="{B9959B6F-F71F-46D8-AC82-ACA606F2D492}"/>
    <cellStyle name="Bad 3" xfId="17817" xr:uid="{00000000-0005-0000-0000-00001C000000}"/>
    <cellStyle name="Bad 3 2" xfId="48897" xr:uid="{00000000-0005-0000-0000-00001D000000}"/>
    <cellStyle name="Bad 3 2 2" xfId="49021" xr:uid="{7F9AA197-0FE9-40CD-85A6-2F8780B16DFD}"/>
    <cellStyle name="Calculation 2" xfId="2220" xr:uid="{00000000-0005-0000-0000-00001E000000}"/>
    <cellStyle name="Calculation 2 2" xfId="49022" xr:uid="{BF0631C6-1A8A-42FF-A48B-CB503E35AEAA}"/>
    <cellStyle name="Calculation 3" xfId="48898" xr:uid="{00000000-0005-0000-0000-00001F000000}"/>
    <cellStyle name="Calculation 3 2" xfId="49023" xr:uid="{854D369B-0DB2-48DE-9174-C5781075EAAF}"/>
    <cellStyle name="Check Cell 2" xfId="48899" xr:uid="{00000000-0005-0000-0000-000020000000}"/>
    <cellStyle name="Check Cell 2 2" xfId="49024" xr:uid="{6581B20B-C45D-4152-8CFA-4307609C08C5}"/>
    <cellStyle name="Comma" xfId="2" builtinId="3"/>
    <cellStyle name="Comma [0]" xfId="3" builtinId="6"/>
    <cellStyle name="Comma [0] 10" xfId="4" xr:uid="{00000000-0005-0000-0000-000023000000}"/>
    <cellStyle name="Comma [0] 10 15" xfId="48947" xr:uid="{00000000-0005-0000-0000-000024000000}"/>
    <cellStyle name="Comma [0] 10 15 2" xfId="48948" xr:uid="{00000000-0005-0000-0000-000025000000}"/>
    <cellStyle name="Comma [0] 10 15 3" xfId="49025" xr:uid="{CF90B9DA-B5FB-44F3-A7EC-4F063C59D021}"/>
    <cellStyle name="Comma [0] 10 2" xfId="3161" xr:uid="{00000000-0005-0000-0000-000026000000}"/>
    <cellStyle name="Comma [0] 10 2 2" xfId="49026" xr:uid="{561D285C-38BD-479F-BFF4-2003DCCD0153}"/>
    <cellStyle name="Comma [0] 11" xfId="5" xr:uid="{00000000-0005-0000-0000-000027000000}"/>
    <cellStyle name="Comma [0] 12" xfId="6" xr:uid="{00000000-0005-0000-0000-000028000000}"/>
    <cellStyle name="Comma [0] 12 10" xfId="7" xr:uid="{00000000-0005-0000-0000-000029000000}"/>
    <cellStyle name="Comma [0] 12 10 2" xfId="49028" xr:uid="{DCBA747D-3852-4CC9-BC64-E4498312D41B}"/>
    <cellStyle name="Comma [0] 12 11" xfId="8" xr:uid="{00000000-0005-0000-0000-00002A000000}"/>
    <cellStyle name="Comma [0] 12 12" xfId="9" xr:uid="{00000000-0005-0000-0000-00002B000000}"/>
    <cellStyle name="Comma [0] 12 13" xfId="10" xr:uid="{00000000-0005-0000-0000-00002C000000}"/>
    <cellStyle name="Comma [0] 12 14" xfId="11" xr:uid="{00000000-0005-0000-0000-00002D000000}"/>
    <cellStyle name="Comma [0] 12 15" xfId="12" xr:uid="{00000000-0005-0000-0000-00002E000000}"/>
    <cellStyle name="Comma [0] 12 16" xfId="13" xr:uid="{00000000-0005-0000-0000-00002F000000}"/>
    <cellStyle name="Comma [0] 12 17" xfId="14" xr:uid="{00000000-0005-0000-0000-000030000000}"/>
    <cellStyle name="Comma [0] 12 18" xfId="15" xr:uid="{00000000-0005-0000-0000-000031000000}"/>
    <cellStyle name="Comma [0] 12 19" xfId="16" xr:uid="{00000000-0005-0000-0000-000032000000}"/>
    <cellStyle name="Comma [0] 12 2" xfId="17" xr:uid="{00000000-0005-0000-0000-000033000000}"/>
    <cellStyle name="Comma [0] 12 20" xfId="18" xr:uid="{00000000-0005-0000-0000-000034000000}"/>
    <cellStyle name="Comma [0] 12 21" xfId="19" xr:uid="{00000000-0005-0000-0000-000035000000}"/>
    <cellStyle name="Comma [0] 12 22" xfId="20" xr:uid="{00000000-0005-0000-0000-000036000000}"/>
    <cellStyle name="Comma [0] 12 23" xfId="21" xr:uid="{00000000-0005-0000-0000-000037000000}"/>
    <cellStyle name="Comma [0] 12 24" xfId="22" xr:uid="{00000000-0005-0000-0000-000038000000}"/>
    <cellStyle name="Comma [0] 12 25" xfId="23" xr:uid="{00000000-0005-0000-0000-000039000000}"/>
    <cellStyle name="Comma [0] 12 26" xfId="24" xr:uid="{00000000-0005-0000-0000-00003A000000}"/>
    <cellStyle name="Comma [0] 12 27" xfId="25" xr:uid="{00000000-0005-0000-0000-00003B000000}"/>
    <cellStyle name="Comma [0] 12 28" xfId="26" xr:uid="{00000000-0005-0000-0000-00003C000000}"/>
    <cellStyle name="Comma [0] 12 29" xfId="27" xr:uid="{00000000-0005-0000-0000-00003D000000}"/>
    <cellStyle name="Comma [0] 12 3" xfId="28" xr:uid="{00000000-0005-0000-0000-00003E000000}"/>
    <cellStyle name="Comma [0] 12 30" xfId="49027" xr:uid="{12C7C1D4-3EB4-4F88-90C2-DA14320ED06A}"/>
    <cellStyle name="Comma [0] 12 4" xfId="29" xr:uid="{00000000-0005-0000-0000-00003F000000}"/>
    <cellStyle name="Comma [0] 12 5" xfId="30" xr:uid="{00000000-0005-0000-0000-000040000000}"/>
    <cellStyle name="Comma [0] 12 6" xfId="31" xr:uid="{00000000-0005-0000-0000-000041000000}"/>
    <cellStyle name="Comma [0] 12 7" xfId="32" xr:uid="{00000000-0005-0000-0000-000042000000}"/>
    <cellStyle name="Comma [0] 12 8" xfId="33" xr:uid="{00000000-0005-0000-0000-000043000000}"/>
    <cellStyle name="Comma [0] 12 9" xfId="34" xr:uid="{00000000-0005-0000-0000-000044000000}"/>
    <cellStyle name="Comma [0] 13" xfId="35" xr:uid="{00000000-0005-0000-0000-000045000000}"/>
    <cellStyle name="Comma [0] 13 2" xfId="36" xr:uid="{00000000-0005-0000-0000-000046000000}"/>
    <cellStyle name="Comma [0] 14" xfId="37" xr:uid="{00000000-0005-0000-0000-000047000000}"/>
    <cellStyle name="Comma [0] 14 2" xfId="38" xr:uid="{00000000-0005-0000-0000-000048000000}"/>
    <cellStyle name="Comma [0] 15" xfId="39" xr:uid="{00000000-0005-0000-0000-000049000000}"/>
    <cellStyle name="Comma [0] 15 2" xfId="40" xr:uid="{00000000-0005-0000-0000-00004A000000}"/>
    <cellStyle name="Comma [0] 16" xfId="41" xr:uid="{00000000-0005-0000-0000-00004B000000}"/>
    <cellStyle name="Comma [0] 16 2" xfId="42" xr:uid="{00000000-0005-0000-0000-00004C000000}"/>
    <cellStyle name="Comma [0] 16 2 2" xfId="49029" xr:uid="{23BE3E60-CBBA-49CC-A479-F2EEEEF619A6}"/>
    <cellStyle name="Comma [0] 17" xfId="2156" xr:uid="{00000000-0005-0000-0000-00004D000000}"/>
    <cellStyle name="Comma [0] 17 2" xfId="43" xr:uid="{00000000-0005-0000-0000-00004E000000}"/>
    <cellStyle name="Comma [0] 17 2 2" xfId="44" xr:uid="{00000000-0005-0000-0000-00004F000000}"/>
    <cellStyle name="Comma [0] 17 2 2 2" xfId="49032" xr:uid="{4A1A46FF-EA53-4529-AADA-295493D0A612}"/>
    <cellStyle name="Comma [0] 17 2 3" xfId="49031" xr:uid="{B14F9041-D701-46ED-975A-5E7EACE8B35F}"/>
    <cellStyle name="Comma [0] 17 3" xfId="4149" xr:uid="{00000000-0005-0000-0000-000050000000}"/>
    <cellStyle name="Comma [0] 17 3 2" xfId="6087" xr:uid="{00000000-0005-0000-0000-000051000000}"/>
    <cellStyle name="Comma [0] 17 3 2 2" xfId="9958" xr:uid="{00000000-0005-0000-0000-000052000000}"/>
    <cellStyle name="Comma [0] 17 3 2 2 2" xfId="17703" xr:uid="{00000000-0005-0000-0000-000053000000}"/>
    <cellStyle name="Comma [0] 17 3 2 2 2 2" xfId="33295" xr:uid="{00000000-0005-0000-0000-000054000000}"/>
    <cellStyle name="Comma [0] 17 3 2 2 2 3" xfId="48787" xr:uid="{00000000-0005-0000-0000-000055000000}"/>
    <cellStyle name="Comma [0] 17 3 2 2 3" xfId="25555" xr:uid="{00000000-0005-0000-0000-000056000000}"/>
    <cellStyle name="Comma [0] 17 3 2 2 4" xfId="41047" xr:uid="{00000000-0005-0000-0000-000057000000}"/>
    <cellStyle name="Comma [0] 17 3 2 3" xfId="13833" xr:uid="{00000000-0005-0000-0000-000058000000}"/>
    <cellStyle name="Comma [0] 17 3 2 3 2" xfId="29425" xr:uid="{00000000-0005-0000-0000-000059000000}"/>
    <cellStyle name="Comma [0] 17 3 2 3 3" xfId="44917" xr:uid="{00000000-0005-0000-0000-00005A000000}"/>
    <cellStyle name="Comma [0] 17 3 2 4" xfId="21685" xr:uid="{00000000-0005-0000-0000-00005B000000}"/>
    <cellStyle name="Comma [0] 17 3 2 5" xfId="37177" xr:uid="{00000000-0005-0000-0000-00005C000000}"/>
    <cellStyle name="Comma [0] 17 3 3" xfId="8031" xr:uid="{00000000-0005-0000-0000-00005D000000}"/>
    <cellStyle name="Comma [0] 17 3 3 2" xfId="15776" xr:uid="{00000000-0005-0000-0000-00005E000000}"/>
    <cellStyle name="Comma [0] 17 3 3 2 2" xfId="31368" xr:uid="{00000000-0005-0000-0000-00005F000000}"/>
    <cellStyle name="Comma [0] 17 3 3 2 3" xfId="46860" xr:uid="{00000000-0005-0000-0000-000060000000}"/>
    <cellStyle name="Comma [0] 17 3 3 3" xfId="23628" xr:uid="{00000000-0005-0000-0000-000061000000}"/>
    <cellStyle name="Comma [0] 17 3 3 4" xfId="39120" xr:uid="{00000000-0005-0000-0000-000062000000}"/>
    <cellStyle name="Comma [0] 17 3 4" xfId="11906" xr:uid="{00000000-0005-0000-0000-000063000000}"/>
    <cellStyle name="Comma [0] 17 3 4 2" xfId="27498" xr:uid="{00000000-0005-0000-0000-000064000000}"/>
    <cellStyle name="Comma [0] 17 3 4 3" xfId="42990" xr:uid="{00000000-0005-0000-0000-000065000000}"/>
    <cellStyle name="Comma [0] 17 3 5" xfId="19758" xr:uid="{00000000-0005-0000-0000-000066000000}"/>
    <cellStyle name="Comma [0] 17 3 6" xfId="35250" xr:uid="{00000000-0005-0000-0000-000067000000}"/>
    <cellStyle name="Comma [0] 17 3 7" xfId="49033" xr:uid="{6DFD1224-2971-46AD-962C-72D344749AB8}"/>
    <cellStyle name="Comma [0] 17 4" xfId="6119" xr:uid="{00000000-0005-0000-0000-000068000000}"/>
    <cellStyle name="Comma [0] 17 4 2" xfId="9989" xr:uid="{00000000-0005-0000-0000-000069000000}"/>
    <cellStyle name="Comma [0] 17 4 2 2" xfId="17734" xr:uid="{00000000-0005-0000-0000-00006A000000}"/>
    <cellStyle name="Comma [0] 17 4 2 2 2" xfId="33326" xr:uid="{00000000-0005-0000-0000-00006B000000}"/>
    <cellStyle name="Comma [0] 17 4 2 2 3" xfId="48818" xr:uid="{00000000-0005-0000-0000-00006C000000}"/>
    <cellStyle name="Comma [0] 17 4 2 3" xfId="25586" xr:uid="{00000000-0005-0000-0000-00006D000000}"/>
    <cellStyle name="Comma [0] 17 4 2 4" xfId="41078" xr:uid="{00000000-0005-0000-0000-00006E000000}"/>
    <cellStyle name="Comma [0] 17 4 3" xfId="13864" xr:uid="{00000000-0005-0000-0000-00006F000000}"/>
    <cellStyle name="Comma [0] 17 4 3 2" xfId="29456" xr:uid="{00000000-0005-0000-0000-000070000000}"/>
    <cellStyle name="Comma [0] 17 4 3 3" xfId="44948" xr:uid="{00000000-0005-0000-0000-000071000000}"/>
    <cellStyle name="Comma [0] 17 4 4" xfId="21716" xr:uid="{00000000-0005-0000-0000-000072000000}"/>
    <cellStyle name="Comma [0] 17 4 5" xfId="37208" xr:uid="{00000000-0005-0000-0000-000073000000}"/>
    <cellStyle name="Comma [0] 17 5" xfId="17795" xr:uid="{00000000-0005-0000-0000-000074000000}"/>
    <cellStyle name="Comma [0] 17 5 2" xfId="33337" xr:uid="{00000000-0005-0000-0000-000075000000}"/>
    <cellStyle name="Comma [0] 17 5 3" xfId="48829" xr:uid="{00000000-0005-0000-0000-000076000000}"/>
    <cellStyle name="Comma [0] 17 5 4" xfId="49034" xr:uid="{4DF533EC-10AF-40D7-9A42-C9C12BA95739}"/>
    <cellStyle name="Comma [0] 17 6" xfId="48866" xr:uid="{00000000-0005-0000-0000-000077000000}"/>
    <cellStyle name="Comma [0] 17 7" xfId="49030" xr:uid="{8812AFFF-0E2A-467D-A640-89C6C326C2BB}"/>
    <cellStyle name="Comma [0] 18" xfId="45" xr:uid="{00000000-0005-0000-0000-000078000000}"/>
    <cellStyle name="Comma [0] 19" xfId="46" xr:uid="{00000000-0005-0000-0000-000079000000}"/>
    <cellStyle name="Comma [0] 19 2" xfId="47" xr:uid="{00000000-0005-0000-0000-00007A000000}"/>
    <cellStyle name="Comma [0] 19 2 2" xfId="49035" xr:uid="{2A419AE5-7094-4D23-8055-25F2137BBBAD}"/>
    <cellStyle name="Comma [0] 2" xfId="48" xr:uid="{00000000-0005-0000-0000-00007B000000}"/>
    <cellStyle name="Comma [0] 2 10" xfId="49" xr:uid="{00000000-0005-0000-0000-00007C000000}"/>
    <cellStyle name="Comma [0] 2 11" xfId="50" xr:uid="{00000000-0005-0000-0000-00007D000000}"/>
    <cellStyle name="Comma [0] 2 12" xfId="51" xr:uid="{00000000-0005-0000-0000-00007E000000}"/>
    <cellStyle name="Comma [0] 2 13" xfId="52" xr:uid="{00000000-0005-0000-0000-00007F000000}"/>
    <cellStyle name="Comma [0] 2 13 10" xfId="53" xr:uid="{00000000-0005-0000-0000-000080000000}"/>
    <cellStyle name="Comma [0] 2 13 11" xfId="54" xr:uid="{00000000-0005-0000-0000-000081000000}"/>
    <cellStyle name="Comma [0] 2 13 12" xfId="55" xr:uid="{00000000-0005-0000-0000-000082000000}"/>
    <cellStyle name="Comma [0] 2 13 13" xfId="56" xr:uid="{00000000-0005-0000-0000-000083000000}"/>
    <cellStyle name="Comma [0] 2 13 14" xfId="57" xr:uid="{00000000-0005-0000-0000-000084000000}"/>
    <cellStyle name="Comma [0] 2 13 15" xfId="58" xr:uid="{00000000-0005-0000-0000-000085000000}"/>
    <cellStyle name="Comma [0] 2 13 16" xfId="59" xr:uid="{00000000-0005-0000-0000-000086000000}"/>
    <cellStyle name="Comma [0] 2 13 17" xfId="60" xr:uid="{00000000-0005-0000-0000-000087000000}"/>
    <cellStyle name="Comma [0] 2 13 18" xfId="61" xr:uid="{00000000-0005-0000-0000-000088000000}"/>
    <cellStyle name="Comma [0] 2 13 19" xfId="62" xr:uid="{00000000-0005-0000-0000-000089000000}"/>
    <cellStyle name="Comma [0] 2 13 2" xfId="63" xr:uid="{00000000-0005-0000-0000-00008A000000}"/>
    <cellStyle name="Comma [0] 2 13 20" xfId="64" xr:uid="{00000000-0005-0000-0000-00008B000000}"/>
    <cellStyle name="Comma [0] 2 13 21" xfId="65" xr:uid="{00000000-0005-0000-0000-00008C000000}"/>
    <cellStyle name="Comma [0] 2 13 22" xfId="66" xr:uid="{00000000-0005-0000-0000-00008D000000}"/>
    <cellStyle name="Comma [0] 2 13 23" xfId="67" xr:uid="{00000000-0005-0000-0000-00008E000000}"/>
    <cellStyle name="Comma [0] 2 13 24" xfId="68" xr:uid="{00000000-0005-0000-0000-00008F000000}"/>
    <cellStyle name="Comma [0] 2 13 25" xfId="2158" xr:uid="{00000000-0005-0000-0000-000090000000}"/>
    <cellStyle name="Comma [0] 2 13 25 2" xfId="2506" xr:uid="{00000000-0005-0000-0000-000091000000}"/>
    <cellStyle name="Comma [0] 2 13 25 2 2" xfId="3514" xr:uid="{00000000-0005-0000-0000-000092000000}"/>
    <cellStyle name="Comma [0] 2 13 25 2 2 2" xfId="5453" xr:uid="{00000000-0005-0000-0000-000093000000}"/>
    <cellStyle name="Comma [0] 2 13 25 2 2 2 2" xfId="9324" xr:uid="{00000000-0005-0000-0000-000094000000}"/>
    <cellStyle name="Comma [0] 2 13 25 2 2 2 2 2" xfId="17069" xr:uid="{00000000-0005-0000-0000-000095000000}"/>
    <cellStyle name="Comma [0] 2 13 25 2 2 2 2 2 2" xfId="32661" xr:uid="{00000000-0005-0000-0000-000096000000}"/>
    <cellStyle name="Comma [0] 2 13 25 2 2 2 2 2 3" xfId="48153" xr:uid="{00000000-0005-0000-0000-000097000000}"/>
    <cellStyle name="Comma [0] 2 13 25 2 2 2 2 3" xfId="24921" xr:uid="{00000000-0005-0000-0000-000098000000}"/>
    <cellStyle name="Comma [0] 2 13 25 2 2 2 2 4" xfId="40413" xr:uid="{00000000-0005-0000-0000-000099000000}"/>
    <cellStyle name="Comma [0] 2 13 25 2 2 2 3" xfId="13199" xr:uid="{00000000-0005-0000-0000-00009A000000}"/>
    <cellStyle name="Comma [0] 2 13 25 2 2 2 3 2" xfId="28791" xr:uid="{00000000-0005-0000-0000-00009B000000}"/>
    <cellStyle name="Comma [0] 2 13 25 2 2 2 3 3" xfId="44283" xr:uid="{00000000-0005-0000-0000-00009C000000}"/>
    <cellStyle name="Comma [0] 2 13 25 2 2 2 4" xfId="21051" xr:uid="{00000000-0005-0000-0000-00009D000000}"/>
    <cellStyle name="Comma [0] 2 13 25 2 2 2 5" xfId="36543" xr:uid="{00000000-0005-0000-0000-00009E000000}"/>
    <cellStyle name="Comma [0] 2 13 25 2 2 3" xfId="7397" xr:uid="{00000000-0005-0000-0000-00009F000000}"/>
    <cellStyle name="Comma [0] 2 13 25 2 2 3 2" xfId="15142" xr:uid="{00000000-0005-0000-0000-0000A0000000}"/>
    <cellStyle name="Comma [0] 2 13 25 2 2 3 2 2" xfId="30734" xr:uid="{00000000-0005-0000-0000-0000A1000000}"/>
    <cellStyle name="Comma [0] 2 13 25 2 2 3 2 3" xfId="46226" xr:uid="{00000000-0005-0000-0000-0000A2000000}"/>
    <cellStyle name="Comma [0] 2 13 25 2 2 3 3" xfId="22994" xr:uid="{00000000-0005-0000-0000-0000A3000000}"/>
    <cellStyle name="Comma [0] 2 13 25 2 2 3 4" xfId="38486" xr:uid="{00000000-0005-0000-0000-0000A4000000}"/>
    <cellStyle name="Comma [0] 2 13 25 2 2 4" xfId="11272" xr:uid="{00000000-0005-0000-0000-0000A5000000}"/>
    <cellStyle name="Comma [0] 2 13 25 2 2 4 2" xfId="26864" xr:uid="{00000000-0005-0000-0000-0000A6000000}"/>
    <cellStyle name="Comma [0] 2 13 25 2 2 4 3" xfId="42356" xr:uid="{00000000-0005-0000-0000-0000A7000000}"/>
    <cellStyle name="Comma [0] 2 13 25 2 2 5" xfId="19124" xr:uid="{00000000-0005-0000-0000-0000A8000000}"/>
    <cellStyle name="Comma [0] 2 13 25 2 2 6" xfId="34616" xr:uid="{00000000-0005-0000-0000-0000A9000000}"/>
    <cellStyle name="Comma [0] 2 13 25 2 3" xfId="4505" xr:uid="{00000000-0005-0000-0000-0000AA000000}"/>
    <cellStyle name="Comma [0] 2 13 25 2 3 2" xfId="8376" xr:uid="{00000000-0005-0000-0000-0000AB000000}"/>
    <cellStyle name="Comma [0] 2 13 25 2 3 2 2" xfId="16121" xr:uid="{00000000-0005-0000-0000-0000AC000000}"/>
    <cellStyle name="Comma [0] 2 13 25 2 3 2 2 2" xfId="31713" xr:uid="{00000000-0005-0000-0000-0000AD000000}"/>
    <cellStyle name="Comma [0] 2 13 25 2 3 2 2 3" xfId="47205" xr:uid="{00000000-0005-0000-0000-0000AE000000}"/>
    <cellStyle name="Comma [0] 2 13 25 2 3 2 3" xfId="23973" xr:uid="{00000000-0005-0000-0000-0000AF000000}"/>
    <cellStyle name="Comma [0] 2 13 25 2 3 2 4" xfId="39465" xr:uid="{00000000-0005-0000-0000-0000B0000000}"/>
    <cellStyle name="Comma [0] 2 13 25 2 3 3" xfId="12251" xr:uid="{00000000-0005-0000-0000-0000B1000000}"/>
    <cellStyle name="Comma [0] 2 13 25 2 3 3 2" xfId="27843" xr:uid="{00000000-0005-0000-0000-0000B2000000}"/>
    <cellStyle name="Comma [0] 2 13 25 2 3 3 3" xfId="43335" xr:uid="{00000000-0005-0000-0000-0000B3000000}"/>
    <cellStyle name="Comma [0] 2 13 25 2 3 4" xfId="20103" xr:uid="{00000000-0005-0000-0000-0000B4000000}"/>
    <cellStyle name="Comma [0] 2 13 25 2 3 5" xfId="35595" xr:uid="{00000000-0005-0000-0000-0000B5000000}"/>
    <cellStyle name="Comma [0] 2 13 25 2 4" xfId="6449" xr:uid="{00000000-0005-0000-0000-0000B6000000}"/>
    <cellStyle name="Comma [0] 2 13 25 2 4 2" xfId="14194" xr:uid="{00000000-0005-0000-0000-0000B7000000}"/>
    <cellStyle name="Comma [0] 2 13 25 2 4 2 2" xfId="29786" xr:uid="{00000000-0005-0000-0000-0000B8000000}"/>
    <cellStyle name="Comma [0] 2 13 25 2 4 2 3" xfId="45278" xr:uid="{00000000-0005-0000-0000-0000B9000000}"/>
    <cellStyle name="Comma [0] 2 13 25 2 4 3" xfId="22046" xr:uid="{00000000-0005-0000-0000-0000BA000000}"/>
    <cellStyle name="Comma [0] 2 13 25 2 4 4" xfId="37538" xr:uid="{00000000-0005-0000-0000-0000BB000000}"/>
    <cellStyle name="Comma [0] 2 13 25 2 5" xfId="10324" xr:uid="{00000000-0005-0000-0000-0000BC000000}"/>
    <cellStyle name="Comma [0] 2 13 25 2 5 2" xfId="25916" xr:uid="{00000000-0005-0000-0000-0000BD000000}"/>
    <cellStyle name="Comma [0] 2 13 25 2 5 3" xfId="41408" xr:uid="{00000000-0005-0000-0000-0000BE000000}"/>
    <cellStyle name="Comma [0] 2 13 25 2 6" xfId="18176" xr:uid="{00000000-0005-0000-0000-0000BF000000}"/>
    <cellStyle name="Comma [0] 2 13 25 2 7" xfId="33668" xr:uid="{00000000-0005-0000-0000-0000C0000000}"/>
    <cellStyle name="Comma [0] 2 13 25 3" xfId="3205" xr:uid="{00000000-0005-0000-0000-0000C1000000}"/>
    <cellStyle name="Comma [0] 2 13 25 3 2" xfId="5144" xr:uid="{00000000-0005-0000-0000-0000C2000000}"/>
    <cellStyle name="Comma [0] 2 13 25 3 2 2" xfId="9015" xr:uid="{00000000-0005-0000-0000-0000C3000000}"/>
    <cellStyle name="Comma [0] 2 13 25 3 2 2 2" xfId="16760" xr:uid="{00000000-0005-0000-0000-0000C4000000}"/>
    <cellStyle name="Comma [0] 2 13 25 3 2 2 2 2" xfId="32352" xr:uid="{00000000-0005-0000-0000-0000C5000000}"/>
    <cellStyle name="Comma [0] 2 13 25 3 2 2 2 3" xfId="47844" xr:uid="{00000000-0005-0000-0000-0000C6000000}"/>
    <cellStyle name="Comma [0] 2 13 25 3 2 2 3" xfId="24612" xr:uid="{00000000-0005-0000-0000-0000C7000000}"/>
    <cellStyle name="Comma [0] 2 13 25 3 2 2 4" xfId="40104" xr:uid="{00000000-0005-0000-0000-0000C8000000}"/>
    <cellStyle name="Comma [0] 2 13 25 3 2 3" xfId="12890" xr:uid="{00000000-0005-0000-0000-0000C9000000}"/>
    <cellStyle name="Comma [0] 2 13 25 3 2 3 2" xfId="28482" xr:uid="{00000000-0005-0000-0000-0000CA000000}"/>
    <cellStyle name="Comma [0] 2 13 25 3 2 3 3" xfId="43974" xr:uid="{00000000-0005-0000-0000-0000CB000000}"/>
    <cellStyle name="Comma [0] 2 13 25 3 2 4" xfId="20742" xr:uid="{00000000-0005-0000-0000-0000CC000000}"/>
    <cellStyle name="Comma [0] 2 13 25 3 2 5" xfId="36234" xr:uid="{00000000-0005-0000-0000-0000CD000000}"/>
    <cellStyle name="Comma [0] 2 13 25 3 3" xfId="7088" xr:uid="{00000000-0005-0000-0000-0000CE000000}"/>
    <cellStyle name="Comma [0] 2 13 25 3 3 2" xfId="14833" xr:uid="{00000000-0005-0000-0000-0000CF000000}"/>
    <cellStyle name="Comma [0] 2 13 25 3 3 2 2" xfId="30425" xr:uid="{00000000-0005-0000-0000-0000D0000000}"/>
    <cellStyle name="Comma [0] 2 13 25 3 3 2 3" xfId="45917" xr:uid="{00000000-0005-0000-0000-0000D1000000}"/>
    <cellStyle name="Comma [0] 2 13 25 3 3 3" xfId="22685" xr:uid="{00000000-0005-0000-0000-0000D2000000}"/>
    <cellStyle name="Comma [0] 2 13 25 3 3 4" xfId="38177" xr:uid="{00000000-0005-0000-0000-0000D3000000}"/>
    <cellStyle name="Comma [0] 2 13 25 3 4" xfId="10963" xr:uid="{00000000-0005-0000-0000-0000D4000000}"/>
    <cellStyle name="Comma [0] 2 13 25 3 4 2" xfId="26555" xr:uid="{00000000-0005-0000-0000-0000D5000000}"/>
    <cellStyle name="Comma [0] 2 13 25 3 4 3" xfId="42047" xr:uid="{00000000-0005-0000-0000-0000D6000000}"/>
    <cellStyle name="Comma [0] 2 13 25 3 5" xfId="18815" xr:uid="{00000000-0005-0000-0000-0000D7000000}"/>
    <cellStyle name="Comma [0] 2 13 25 3 6" xfId="34307" xr:uid="{00000000-0005-0000-0000-0000D8000000}"/>
    <cellStyle name="Comma [0] 2 13 25 4" xfId="4196" xr:uid="{00000000-0005-0000-0000-0000D9000000}"/>
    <cellStyle name="Comma [0] 2 13 25 4 2" xfId="8067" xr:uid="{00000000-0005-0000-0000-0000DA000000}"/>
    <cellStyle name="Comma [0] 2 13 25 4 2 2" xfId="15812" xr:uid="{00000000-0005-0000-0000-0000DB000000}"/>
    <cellStyle name="Comma [0] 2 13 25 4 2 2 2" xfId="31404" xr:uid="{00000000-0005-0000-0000-0000DC000000}"/>
    <cellStyle name="Comma [0] 2 13 25 4 2 2 3" xfId="46896" xr:uid="{00000000-0005-0000-0000-0000DD000000}"/>
    <cellStyle name="Comma [0] 2 13 25 4 2 3" xfId="23664" xr:uid="{00000000-0005-0000-0000-0000DE000000}"/>
    <cellStyle name="Comma [0] 2 13 25 4 2 4" xfId="39156" xr:uid="{00000000-0005-0000-0000-0000DF000000}"/>
    <cellStyle name="Comma [0] 2 13 25 4 3" xfId="11942" xr:uid="{00000000-0005-0000-0000-0000E0000000}"/>
    <cellStyle name="Comma [0] 2 13 25 4 3 2" xfId="27534" xr:uid="{00000000-0005-0000-0000-0000E1000000}"/>
    <cellStyle name="Comma [0] 2 13 25 4 3 3" xfId="43026" xr:uid="{00000000-0005-0000-0000-0000E2000000}"/>
    <cellStyle name="Comma [0] 2 13 25 4 4" xfId="19794" xr:uid="{00000000-0005-0000-0000-0000E3000000}"/>
    <cellStyle name="Comma [0] 2 13 25 4 5" xfId="35286" xr:uid="{00000000-0005-0000-0000-0000E4000000}"/>
    <cellStyle name="Comma [0] 2 13 25 5" xfId="6140" xr:uid="{00000000-0005-0000-0000-0000E5000000}"/>
    <cellStyle name="Comma [0] 2 13 25 5 2" xfId="13885" xr:uid="{00000000-0005-0000-0000-0000E6000000}"/>
    <cellStyle name="Comma [0] 2 13 25 5 2 2" xfId="29477" xr:uid="{00000000-0005-0000-0000-0000E7000000}"/>
    <cellStyle name="Comma [0] 2 13 25 5 2 3" xfId="44969" xr:uid="{00000000-0005-0000-0000-0000E8000000}"/>
    <cellStyle name="Comma [0] 2 13 25 5 3" xfId="21737" xr:uid="{00000000-0005-0000-0000-0000E9000000}"/>
    <cellStyle name="Comma [0] 2 13 25 5 4" xfId="37229" xr:uid="{00000000-0005-0000-0000-0000EA000000}"/>
    <cellStyle name="Comma [0] 2 13 25 6" xfId="10015" xr:uid="{00000000-0005-0000-0000-0000EB000000}"/>
    <cellStyle name="Comma [0] 2 13 25 6 2" xfId="25607" xr:uid="{00000000-0005-0000-0000-0000EC000000}"/>
    <cellStyle name="Comma [0] 2 13 25 6 3" xfId="41099" xr:uid="{00000000-0005-0000-0000-0000ED000000}"/>
    <cellStyle name="Comma [0] 2 13 25 7" xfId="17867" xr:uid="{00000000-0005-0000-0000-0000EE000000}"/>
    <cellStyle name="Comma [0] 2 13 25 8" xfId="33359" xr:uid="{00000000-0005-0000-0000-0000EF000000}"/>
    <cellStyle name="Comma [0] 2 13 26" xfId="2227" xr:uid="{00000000-0005-0000-0000-0000F0000000}"/>
    <cellStyle name="Comma [0] 2 13 26 2" xfId="2544" xr:uid="{00000000-0005-0000-0000-0000F1000000}"/>
    <cellStyle name="Comma [0] 2 13 26 2 2" xfId="3552" xr:uid="{00000000-0005-0000-0000-0000F2000000}"/>
    <cellStyle name="Comma [0] 2 13 26 2 2 2" xfId="5491" xr:uid="{00000000-0005-0000-0000-0000F3000000}"/>
    <cellStyle name="Comma [0] 2 13 26 2 2 2 2" xfId="9362" xr:uid="{00000000-0005-0000-0000-0000F4000000}"/>
    <cellStyle name="Comma [0] 2 13 26 2 2 2 2 2" xfId="17107" xr:uid="{00000000-0005-0000-0000-0000F5000000}"/>
    <cellStyle name="Comma [0] 2 13 26 2 2 2 2 2 2" xfId="32699" xr:uid="{00000000-0005-0000-0000-0000F6000000}"/>
    <cellStyle name="Comma [0] 2 13 26 2 2 2 2 2 3" xfId="48191" xr:uid="{00000000-0005-0000-0000-0000F7000000}"/>
    <cellStyle name="Comma [0] 2 13 26 2 2 2 2 3" xfId="24959" xr:uid="{00000000-0005-0000-0000-0000F8000000}"/>
    <cellStyle name="Comma [0] 2 13 26 2 2 2 2 4" xfId="40451" xr:uid="{00000000-0005-0000-0000-0000F9000000}"/>
    <cellStyle name="Comma [0] 2 13 26 2 2 2 3" xfId="13237" xr:uid="{00000000-0005-0000-0000-0000FA000000}"/>
    <cellStyle name="Comma [0] 2 13 26 2 2 2 3 2" xfId="28829" xr:uid="{00000000-0005-0000-0000-0000FB000000}"/>
    <cellStyle name="Comma [0] 2 13 26 2 2 2 3 3" xfId="44321" xr:uid="{00000000-0005-0000-0000-0000FC000000}"/>
    <cellStyle name="Comma [0] 2 13 26 2 2 2 4" xfId="21089" xr:uid="{00000000-0005-0000-0000-0000FD000000}"/>
    <cellStyle name="Comma [0] 2 13 26 2 2 2 5" xfId="36581" xr:uid="{00000000-0005-0000-0000-0000FE000000}"/>
    <cellStyle name="Comma [0] 2 13 26 2 2 3" xfId="7435" xr:uid="{00000000-0005-0000-0000-0000FF000000}"/>
    <cellStyle name="Comma [0] 2 13 26 2 2 3 2" xfId="15180" xr:uid="{00000000-0005-0000-0000-000000010000}"/>
    <cellStyle name="Comma [0] 2 13 26 2 2 3 2 2" xfId="30772" xr:uid="{00000000-0005-0000-0000-000001010000}"/>
    <cellStyle name="Comma [0] 2 13 26 2 2 3 2 3" xfId="46264" xr:uid="{00000000-0005-0000-0000-000002010000}"/>
    <cellStyle name="Comma [0] 2 13 26 2 2 3 3" xfId="23032" xr:uid="{00000000-0005-0000-0000-000003010000}"/>
    <cellStyle name="Comma [0] 2 13 26 2 2 3 4" xfId="38524" xr:uid="{00000000-0005-0000-0000-000004010000}"/>
    <cellStyle name="Comma [0] 2 13 26 2 2 4" xfId="11310" xr:uid="{00000000-0005-0000-0000-000005010000}"/>
    <cellStyle name="Comma [0] 2 13 26 2 2 4 2" xfId="26902" xr:uid="{00000000-0005-0000-0000-000006010000}"/>
    <cellStyle name="Comma [0] 2 13 26 2 2 4 3" xfId="42394" xr:uid="{00000000-0005-0000-0000-000007010000}"/>
    <cellStyle name="Comma [0] 2 13 26 2 2 5" xfId="19162" xr:uid="{00000000-0005-0000-0000-000008010000}"/>
    <cellStyle name="Comma [0] 2 13 26 2 2 6" xfId="34654" xr:uid="{00000000-0005-0000-0000-000009010000}"/>
    <cellStyle name="Comma [0] 2 13 26 2 3" xfId="4543" xr:uid="{00000000-0005-0000-0000-00000A010000}"/>
    <cellStyle name="Comma [0] 2 13 26 2 3 2" xfId="8414" xr:uid="{00000000-0005-0000-0000-00000B010000}"/>
    <cellStyle name="Comma [0] 2 13 26 2 3 2 2" xfId="16159" xr:uid="{00000000-0005-0000-0000-00000C010000}"/>
    <cellStyle name="Comma [0] 2 13 26 2 3 2 2 2" xfId="31751" xr:uid="{00000000-0005-0000-0000-00000D010000}"/>
    <cellStyle name="Comma [0] 2 13 26 2 3 2 2 3" xfId="47243" xr:uid="{00000000-0005-0000-0000-00000E010000}"/>
    <cellStyle name="Comma [0] 2 13 26 2 3 2 3" xfId="24011" xr:uid="{00000000-0005-0000-0000-00000F010000}"/>
    <cellStyle name="Comma [0] 2 13 26 2 3 2 4" xfId="39503" xr:uid="{00000000-0005-0000-0000-000010010000}"/>
    <cellStyle name="Comma [0] 2 13 26 2 3 3" xfId="12289" xr:uid="{00000000-0005-0000-0000-000011010000}"/>
    <cellStyle name="Comma [0] 2 13 26 2 3 3 2" xfId="27881" xr:uid="{00000000-0005-0000-0000-000012010000}"/>
    <cellStyle name="Comma [0] 2 13 26 2 3 3 3" xfId="43373" xr:uid="{00000000-0005-0000-0000-000013010000}"/>
    <cellStyle name="Comma [0] 2 13 26 2 3 4" xfId="20141" xr:uid="{00000000-0005-0000-0000-000014010000}"/>
    <cellStyle name="Comma [0] 2 13 26 2 3 5" xfId="35633" xr:uid="{00000000-0005-0000-0000-000015010000}"/>
    <cellStyle name="Comma [0] 2 13 26 2 4" xfId="6487" xr:uid="{00000000-0005-0000-0000-000016010000}"/>
    <cellStyle name="Comma [0] 2 13 26 2 4 2" xfId="14232" xr:uid="{00000000-0005-0000-0000-000017010000}"/>
    <cellStyle name="Comma [0] 2 13 26 2 4 2 2" xfId="29824" xr:uid="{00000000-0005-0000-0000-000018010000}"/>
    <cellStyle name="Comma [0] 2 13 26 2 4 2 3" xfId="45316" xr:uid="{00000000-0005-0000-0000-000019010000}"/>
    <cellStyle name="Comma [0] 2 13 26 2 4 3" xfId="22084" xr:uid="{00000000-0005-0000-0000-00001A010000}"/>
    <cellStyle name="Comma [0] 2 13 26 2 4 4" xfId="37576" xr:uid="{00000000-0005-0000-0000-00001B010000}"/>
    <cellStyle name="Comma [0] 2 13 26 2 5" xfId="10362" xr:uid="{00000000-0005-0000-0000-00001C010000}"/>
    <cellStyle name="Comma [0] 2 13 26 2 5 2" xfId="25954" xr:uid="{00000000-0005-0000-0000-00001D010000}"/>
    <cellStyle name="Comma [0] 2 13 26 2 5 3" xfId="41446" xr:uid="{00000000-0005-0000-0000-00001E010000}"/>
    <cellStyle name="Comma [0] 2 13 26 2 6" xfId="18214" xr:uid="{00000000-0005-0000-0000-00001F010000}"/>
    <cellStyle name="Comma [0] 2 13 26 2 7" xfId="33706" xr:uid="{00000000-0005-0000-0000-000020010000}"/>
    <cellStyle name="Comma [0] 2 13 26 3" xfId="3243" xr:uid="{00000000-0005-0000-0000-000021010000}"/>
    <cellStyle name="Comma [0] 2 13 26 3 2" xfId="5182" xr:uid="{00000000-0005-0000-0000-000022010000}"/>
    <cellStyle name="Comma [0] 2 13 26 3 2 2" xfId="9053" xr:uid="{00000000-0005-0000-0000-000023010000}"/>
    <cellStyle name="Comma [0] 2 13 26 3 2 2 2" xfId="16798" xr:uid="{00000000-0005-0000-0000-000024010000}"/>
    <cellStyle name="Comma [0] 2 13 26 3 2 2 2 2" xfId="32390" xr:uid="{00000000-0005-0000-0000-000025010000}"/>
    <cellStyle name="Comma [0] 2 13 26 3 2 2 2 3" xfId="47882" xr:uid="{00000000-0005-0000-0000-000026010000}"/>
    <cellStyle name="Comma [0] 2 13 26 3 2 2 3" xfId="24650" xr:uid="{00000000-0005-0000-0000-000027010000}"/>
    <cellStyle name="Comma [0] 2 13 26 3 2 2 4" xfId="40142" xr:uid="{00000000-0005-0000-0000-000028010000}"/>
    <cellStyle name="Comma [0] 2 13 26 3 2 3" xfId="12928" xr:uid="{00000000-0005-0000-0000-000029010000}"/>
    <cellStyle name="Comma [0] 2 13 26 3 2 3 2" xfId="28520" xr:uid="{00000000-0005-0000-0000-00002A010000}"/>
    <cellStyle name="Comma [0] 2 13 26 3 2 3 3" xfId="44012" xr:uid="{00000000-0005-0000-0000-00002B010000}"/>
    <cellStyle name="Comma [0] 2 13 26 3 2 4" xfId="20780" xr:uid="{00000000-0005-0000-0000-00002C010000}"/>
    <cellStyle name="Comma [0] 2 13 26 3 2 5" xfId="36272" xr:uid="{00000000-0005-0000-0000-00002D010000}"/>
    <cellStyle name="Comma [0] 2 13 26 3 3" xfId="7126" xr:uid="{00000000-0005-0000-0000-00002E010000}"/>
    <cellStyle name="Comma [0] 2 13 26 3 3 2" xfId="14871" xr:uid="{00000000-0005-0000-0000-00002F010000}"/>
    <cellStyle name="Comma [0] 2 13 26 3 3 2 2" xfId="30463" xr:uid="{00000000-0005-0000-0000-000030010000}"/>
    <cellStyle name="Comma [0] 2 13 26 3 3 2 3" xfId="45955" xr:uid="{00000000-0005-0000-0000-000031010000}"/>
    <cellStyle name="Comma [0] 2 13 26 3 3 3" xfId="22723" xr:uid="{00000000-0005-0000-0000-000032010000}"/>
    <cellStyle name="Comma [0] 2 13 26 3 3 4" xfId="38215" xr:uid="{00000000-0005-0000-0000-000033010000}"/>
    <cellStyle name="Comma [0] 2 13 26 3 4" xfId="11001" xr:uid="{00000000-0005-0000-0000-000034010000}"/>
    <cellStyle name="Comma [0] 2 13 26 3 4 2" xfId="26593" xr:uid="{00000000-0005-0000-0000-000035010000}"/>
    <cellStyle name="Comma [0] 2 13 26 3 4 3" xfId="42085" xr:uid="{00000000-0005-0000-0000-000036010000}"/>
    <cellStyle name="Comma [0] 2 13 26 3 5" xfId="18853" xr:uid="{00000000-0005-0000-0000-000037010000}"/>
    <cellStyle name="Comma [0] 2 13 26 3 6" xfId="34345" xr:uid="{00000000-0005-0000-0000-000038010000}"/>
    <cellStyle name="Comma [0] 2 13 26 4" xfId="4234" xr:uid="{00000000-0005-0000-0000-000039010000}"/>
    <cellStyle name="Comma [0] 2 13 26 4 2" xfId="8105" xr:uid="{00000000-0005-0000-0000-00003A010000}"/>
    <cellStyle name="Comma [0] 2 13 26 4 2 2" xfId="15850" xr:uid="{00000000-0005-0000-0000-00003B010000}"/>
    <cellStyle name="Comma [0] 2 13 26 4 2 2 2" xfId="31442" xr:uid="{00000000-0005-0000-0000-00003C010000}"/>
    <cellStyle name="Comma [0] 2 13 26 4 2 2 3" xfId="46934" xr:uid="{00000000-0005-0000-0000-00003D010000}"/>
    <cellStyle name="Comma [0] 2 13 26 4 2 3" xfId="23702" xr:uid="{00000000-0005-0000-0000-00003E010000}"/>
    <cellStyle name="Comma [0] 2 13 26 4 2 4" xfId="39194" xr:uid="{00000000-0005-0000-0000-00003F010000}"/>
    <cellStyle name="Comma [0] 2 13 26 4 3" xfId="11980" xr:uid="{00000000-0005-0000-0000-000040010000}"/>
    <cellStyle name="Comma [0] 2 13 26 4 3 2" xfId="27572" xr:uid="{00000000-0005-0000-0000-000041010000}"/>
    <cellStyle name="Comma [0] 2 13 26 4 3 3" xfId="43064" xr:uid="{00000000-0005-0000-0000-000042010000}"/>
    <cellStyle name="Comma [0] 2 13 26 4 4" xfId="19832" xr:uid="{00000000-0005-0000-0000-000043010000}"/>
    <cellStyle name="Comma [0] 2 13 26 4 5" xfId="35324" xr:uid="{00000000-0005-0000-0000-000044010000}"/>
    <cellStyle name="Comma [0] 2 13 26 5" xfId="6178" xr:uid="{00000000-0005-0000-0000-000045010000}"/>
    <cellStyle name="Comma [0] 2 13 26 5 2" xfId="13923" xr:uid="{00000000-0005-0000-0000-000046010000}"/>
    <cellStyle name="Comma [0] 2 13 26 5 2 2" xfId="29515" xr:uid="{00000000-0005-0000-0000-000047010000}"/>
    <cellStyle name="Comma [0] 2 13 26 5 2 3" xfId="45007" xr:uid="{00000000-0005-0000-0000-000048010000}"/>
    <cellStyle name="Comma [0] 2 13 26 5 3" xfId="21775" xr:uid="{00000000-0005-0000-0000-000049010000}"/>
    <cellStyle name="Comma [0] 2 13 26 5 4" xfId="37267" xr:uid="{00000000-0005-0000-0000-00004A010000}"/>
    <cellStyle name="Comma [0] 2 13 26 6" xfId="10053" xr:uid="{00000000-0005-0000-0000-00004B010000}"/>
    <cellStyle name="Comma [0] 2 13 26 6 2" xfId="25645" xr:uid="{00000000-0005-0000-0000-00004C010000}"/>
    <cellStyle name="Comma [0] 2 13 26 6 3" xfId="41137" xr:uid="{00000000-0005-0000-0000-00004D010000}"/>
    <cellStyle name="Comma [0] 2 13 26 7" xfId="17905" xr:uid="{00000000-0005-0000-0000-00004E010000}"/>
    <cellStyle name="Comma [0] 2 13 26 8" xfId="33397" xr:uid="{00000000-0005-0000-0000-00004F010000}"/>
    <cellStyle name="Comma [0] 2 13 27" xfId="2264" xr:uid="{00000000-0005-0000-0000-000050010000}"/>
    <cellStyle name="Comma [0] 2 13 27 2" xfId="2580" xr:uid="{00000000-0005-0000-0000-000051010000}"/>
    <cellStyle name="Comma [0] 2 13 27 2 2" xfId="3588" xr:uid="{00000000-0005-0000-0000-000052010000}"/>
    <cellStyle name="Comma [0] 2 13 27 2 2 2" xfId="5527" xr:uid="{00000000-0005-0000-0000-000053010000}"/>
    <cellStyle name="Comma [0] 2 13 27 2 2 2 2" xfId="9398" xr:uid="{00000000-0005-0000-0000-000054010000}"/>
    <cellStyle name="Comma [0] 2 13 27 2 2 2 2 2" xfId="17143" xr:uid="{00000000-0005-0000-0000-000055010000}"/>
    <cellStyle name="Comma [0] 2 13 27 2 2 2 2 2 2" xfId="32735" xr:uid="{00000000-0005-0000-0000-000056010000}"/>
    <cellStyle name="Comma [0] 2 13 27 2 2 2 2 2 3" xfId="48227" xr:uid="{00000000-0005-0000-0000-000057010000}"/>
    <cellStyle name="Comma [0] 2 13 27 2 2 2 2 3" xfId="24995" xr:uid="{00000000-0005-0000-0000-000058010000}"/>
    <cellStyle name="Comma [0] 2 13 27 2 2 2 2 4" xfId="40487" xr:uid="{00000000-0005-0000-0000-000059010000}"/>
    <cellStyle name="Comma [0] 2 13 27 2 2 2 3" xfId="13273" xr:uid="{00000000-0005-0000-0000-00005A010000}"/>
    <cellStyle name="Comma [0] 2 13 27 2 2 2 3 2" xfId="28865" xr:uid="{00000000-0005-0000-0000-00005B010000}"/>
    <cellStyle name="Comma [0] 2 13 27 2 2 2 3 3" xfId="44357" xr:uid="{00000000-0005-0000-0000-00005C010000}"/>
    <cellStyle name="Comma [0] 2 13 27 2 2 2 4" xfId="21125" xr:uid="{00000000-0005-0000-0000-00005D010000}"/>
    <cellStyle name="Comma [0] 2 13 27 2 2 2 5" xfId="36617" xr:uid="{00000000-0005-0000-0000-00005E010000}"/>
    <cellStyle name="Comma [0] 2 13 27 2 2 3" xfId="7471" xr:uid="{00000000-0005-0000-0000-00005F010000}"/>
    <cellStyle name="Comma [0] 2 13 27 2 2 3 2" xfId="15216" xr:uid="{00000000-0005-0000-0000-000060010000}"/>
    <cellStyle name="Comma [0] 2 13 27 2 2 3 2 2" xfId="30808" xr:uid="{00000000-0005-0000-0000-000061010000}"/>
    <cellStyle name="Comma [0] 2 13 27 2 2 3 2 3" xfId="46300" xr:uid="{00000000-0005-0000-0000-000062010000}"/>
    <cellStyle name="Comma [0] 2 13 27 2 2 3 3" xfId="23068" xr:uid="{00000000-0005-0000-0000-000063010000}"/>
    <cellStyle name="Comma [0] 2 13 27 2 2 3 4" xfId="38560" xr:uid="{00000000-0005-0000-0000-000064010000}"/>
    <cellStyle name="Comma [0] 2 13 27 2 2 4" xfId="11346" xr:uid="{00000000-0005-0000-0000-000065010000}"/>
    <cellStyle name="Comma [0] 2 13 27 2 2 4 2" xfId="26938" xr:uid="{00000000-0005-0000-0000-000066010000}"/>
    <cellStyle name="Comma [0] 2 13 27 2 2 4 3" xfId="42430" xr:uid="{00000000-0005-0000-0000-000067010000}"/>
    <cellStyle name="Comma [0] 2 13 27 2 2 5" xfId="19198" xr:uid="{00000000-0005-0000-0000-000068010000}"/>
    <cellStyle name="Comma [0] 2 13 27 2 2 6" xfId="34690" xr:uid="{00000000-0005-0000-0000-000069010000}"/>
    <cellStyle name="Comma [0] 2 13 27 2 3" xfId="4579" xr:uid="{00000000-0005-0000-0000-00006A010000}"/>
    <cellStyle name="Comma [0] 2 13 27 2 3 2" xfId="8450" xr:uid="{00000000-0005-0000-0000-00006B010000}"/>
    <cellStyle name="Comma [0] 2 13 27 2 3 2 2" xfId="16195" xr:uid="{00000000-0005-0000-0000-00006C010000}"/>
    <cellStyle name="Comma [0] 2 13 27 2 3 2 2 2" xfId="31787" xr:uid="{00000000-0005-0000-0000-00006D010000}"/>
    <cellStyle name="Comma [0] 2 13 27 2 3 2 2 3" xfId="47279" xr:uid="{00000000-0005-0000-0000-00006E010000}"/>
    <cellStyle name="Comma [0] 2 13 27 2 3 2 3" xfId="24047" xr:uid="{00000000-0005-0000-0000-00006F010000}"/>
    <cellStyle name="Comma [0] 2 13 27 2 3 2 4" xfId="39539" xr:uid="{00000000-0005-0000-0000-000070010000}"/>
    <cellStyle name="Comma [0] 2 13 27 2 3 3" xfId="12325" xr:uid="{00000000-0005-0000-0000-000071010000}"/>
    <cellStyle name="Comma [0] 2 13 27 2 3 3 2" xfId="27917" xr:uid="{00000000-0005-0000-0000-000072010000}"/>
    <cellStyle name="Comma [0] 2 13 27 2 3 3 3" xfId="43409" xr:uid="{00000000-0005-0000-0000-000073010000}"/>
    <cellStyle name="Comma [0] 2 13 27 2 3 4" xfId="20177" xr:uid="{00000000-0005-0000-0000-000074010000}"/>
    <cellStyle name="Comma [0] 2 13 27 2 3 5" xfId="35669" xr:uid="{00000000-0005-0000-0000-000075010000}"/>
    <cellStyle name="Comma [0] 2 13 27 2 4" xfId="6523" xr:uid="{00000000-0005-0000-0000-000076010000}"/>
    <cellStyle name="Comma [0] 2 13 27 2 4 2" xfId="14268" xr:uid="{00000000-0005-0000-0000-000077010000}"/>
    <cellStyle name="Comma [0] 2 13 27 2 4 2 2" xfId="29860" xr:uid="{00000000-0005-0000-0000-000078010000}"/>
    <cellStyle name="Comma [0] 2 13 27 2 4 2 3" xfId="45352" xr:uid="{00000000-0005-0000-0000-000079010000}"/>
    <cellStyle name="Comma [0] 2 13 27 2 4 3" xfId="22120" xr:uid="{00000000-0005-0000-0000-00007A010000}"/>
    <cellStyle name="Comma [0] 2 13 27 2 4 4" xfId="37612" xr:uid="{00000000-0005-0000-0000-00007B010000}"/>
    <cellStyle name="Comma [0] 2 13 27 2 5" xfId="10398" xr:uid="{00000000-0005-0000-0000-00007C010000}"/>
    <cellStyle name="Comma [0] 2 13 27 2 5 2" xfId="25990" xr:uid="{00000000-0005-0000-0000-00007D010000}"/>
    <cellStyle name="Comma [0] 2 13 27 2 5 3" xfId="41482" xr:uid="{00000000-0005-0000-0000-00007E010000}"/>
    <cellStyle name="Comma [0] 2 13 27 2 6" xfId="18250" xr:uid="{00000000-0005-0000-0000-00007F010000}"/>
    <cellStyle name="Comma [0] 2 13 27 2 7" xfId="33742" xr:uid="{00000000-0005-0000-0000-000080010000}"/>
    <cellStyle name="Comma [0] 2 13 27 3" xfId="3279" xr:uid="{00000000-0005-0000-0000-000081010000}"/>
    <cellStyle name="Comma [0] 2 13 27 3 2" xfId="5218" xr:uid="{00000000-0005-0000-0000-000082010000}"/>
    <cellStyle name="Comma [0] 2 13 27 3 2 2" xfId="9089" xr:uid="{00000000-0005-0000-0000-000083010000}"/>
    <cellStyle name="Comma [0] 2 13 27 3 2 2 2" xfId="16834" xr:uid="{00000000-0005-0000-0000-000084010000}"/>
    <cellStyle name="Comma [0] 2 13 27 3 2 2 2 2" xfId="32426" xr:uid="{00000000-0005-0000-0000-000085010000}"/>
    <cellStyle name="Comma [0] 2 13 27 3 2 2 2 3" xfId="47918" xr:uid="{00000000-0005-0000-0000-000086010000}"/>
    <cellStyle name="Comma [0] 2 13 27 3 2 2 3" xfId="24686" xr:uid="{00000000-0005-0000-0000-000087010000}"/>
    <cellStyle name="Comma [0] 2 13 27 3 2 2 4" xfId="40178" xr:uid="{00000000-0005-0000-0000-000088010000}"/>
    <cellStyle name="Comma [0] 2 13 27 3 2 3" xfId="12964" xr:uid="{00000000-0005-0000-0000-000089010000}"/>
    <cellStyle name="Comma [0] 2 13 27 3 2 3 2" xfId="28556" xr:uid="{00000000-0005-0000-0000-00008A010000}"/>
    <cellStyle name="Comma [0] 2 13 27 3 2 3 3" xfId="44048" xr:uid="{00000000-0005-0000-0000-00008B010000}"/>
    <cellStyle name="Comma [0] 2 13 27 3 2 4" xfId="20816" xr:uid="{00000000-0005-0000-0000-00008C010000}"/>
    <cellStyle name="Comma [0] 2 13 27 3 2 5" xfId="36308" xr:uid="{00000000-0005-0000-0000-00008D010000}"/>
    <cellStyle name="Comma [0] 2 13 27 3 3" xfId="7162" xr:uid="{00000000-0005-0000-0000-00008E010000}"/>
    <cellStyle name="Comma [0] 2 13 27 3 3 2" xfId="14907" xr:uid="{00000000-0005-0000-0000-00008F010000}"/>
    <cellStyle name="Comma [0] 2 13 27 3 3 2 2" xfId="30499" xr:uid="{00000000-0005-0000-0000-000090010000}"/>
    <cellStyle name="Comma [0] 2 13 27 3 3 2 3" xfId="45991" xr:uid="{00000000-0005-0000-0000-000091010000}"/>
    <cellStyle name="Comma [0] 2 13 27 3 3 3" xfId="22759" xr:uid="{00000000-0005-0000-0000-000092010000}"/>
    <cellStyle name="Comma [0] 2 13 27 3 3 4" xfId="38251" xr:uid="{00000000-0005-0000-0000-000093010000}"/>
    <cellStyle name="Comma [0] 2 13 27 3 4" xfId="11037" xr:uid="{00000000-0005-0000-0000-000094010000}"/>
    <cellStyle name="Comma [0] 2 13 27 3 4 2" xfId="26629" xr:uid="{00000000-0005-0000-0000-000095010000}"/>
    <cellStyle name="Comma [0] 2 13 27 3 4 3" xfId="42121" xr:uid="{00000000-0005-0000-0000-000096010000}"/>
    <cellStyle name="Comma [0] 2 13 27 3 5" xfId="18889" xr:uid="{00000000-0005-0000-0000-000097010000}"/>
    <cellStyle name="Comma [0] 2 13 27 3 6" xfId="34381" xr:uid="{00000000-0005-0000-0000-000098010000}"/>
    <cellStyle name="Comma [0] 2 13 27 4" xfId="4270" xr:uid="{00000000-0005-0000-0000-000099010000}"/>
    <cellStyle name="Comma [0] 2 13 27 4 2" xfId="8141" xr:uid="{00000000-0005-0000-0000-00009A010000}"/>
    <cellStyle name="Comma [0] 2 13 27 4 2 2" xfId="15886" xr:uid="{00000000-0005-0000-0000-00009B010000}"/>
    <cellStyle name="Comma [0] 2 13 27 4 2 2 2" xfId="31478" xr:uid="{00000000-0005-0000-0000-00009C010000}"/>
    <cellStyle name="Comma [0] 2 13 27 4 2 2 3" xfId="46970" xr:uid="{00000000-0005-0000-0000-00009D010000}"/>
    <cellStyle name="Comma [0] 2 13 27 4 2 3" xfId="23738" xr:uid="{00000000-0005-0000-0000-00009E010000}"/>
    <cellStyle name="Comma [0] 2 13 27 4 2 4" xfId="39230" xr:uid="{00000000-0005-0000-0000-00009F010000}"/>
    <cellStyle name="Comma [0] 2 13 27 4 3" xfId="12016" xr:uid="{00000000-0005-0000-0000-0000A0010000}"/>
    <cellStyle name="Comma [0] 2 13 27 4 3 2" xfId="27608" xr:uid="{00000000-0005-0000-0000-0000A1010000}"/>
    <cellStyle name="Comma [0] 2 13 27 4 3 3" xfId="43100" xr:uid="{00000000-0005-0000-0000-0000A2010000}"/>
    <cellStyle name="Comma [0] 2 13 27 4 4" xfId="19868" xr:uid="{00000000-0005-0000-0000-0000A3010000}"/>
    <cellStyle name="Comma [0] 2 13 27 4 5" xfId="35360" xr:uid="{00000000-0005-0000-0000-0000A4010000}"/>
    <cellStyle name="Comma [0] 2 13 27 5" xfId="6214" xr:uid="{00000000-0005-0000-0000-0000A5010000}"/>
    <cellStyle name="Comma [0] 2 13 27 5 2" xfId="13959" xr:uid="{00000000-0005-0000-0000-0000A6010000}"/>
    <cellStyle name="Comma [0] 2 13 27 5 2 2" xfId="29551" xr:uid="{00000000-0005-0000-0000-0000A7010000}"/>
    <cellStyle name="Comma [0] 2 13 27 5 2 3" xfId="45043" xr:uid="{00000000-0005-0000-0000-0000A8010000}"/>
    <cellStyle name="Comma [0] 2 13 27 5 3" xfId="21811" xr:uid="{00000000-0005-0000-0000-0000A9010000}"/>
    <cellStyle name="Comma [0] 2 13 27 5 4" xfId="37303" xr:uid="{00000000-0005-0000-0000-0000AA010000}"/>
    <cellStyle name="Comma [0] 2 13 27 6" xfId="10089" xr:uid="{00000000-0005-0000-0000-0000AB010000}"/>
    <cellStyle name="Comma [0] 2 13 27 6 2" xfId="25681" xr:uid="{00000000-0005-0000-0000-0000AC010000}"/>
    <cellStyle name="Comma [0] 2 13 27 6 3" xfId="41173" xr:uid="{00000000-0005-0000-0000-0000AD010000}"/>
    <cellStyle name="Comma [0] 2 13 27 7" xfId="17941" xr:uid="{00000000-0005-0000-0000-0000AE010000}"/>
    <cellStyle name="Comma [0] 2 13 27 8" xfId="33433" xr:uid="{00000000-0005-0000-0000-0000AF010000}"/>
    <cellStyle name="Comma [0] 2 13 28" xfId="2301" xr:uid="{00000000-0005-0000-0000-0000B0010000}"/>
    <cellStyle name="Comma [0] 2 13 28 2" xfId="2616" xr:uid="{00000000-0005-0000-0000-0000B1010000}"/>
    <cellStyle name="Comma [0] 2 13 28 2 2" xfId="3624" xr:uid="{00000000-0005-0000-0000-0000B2010000}"/>
    <cellStyle name="Comma [0] 2 13 28 2 2 2" xfId="5563" xr:uid="{00000000-0005-0000-0000-0000B3010000}"/>
    <cellStyle name="Comma [0] 2 13 28 2 2 2 2" xfId="9434" xr:uid="{00000000-0005-0000-0000-0000B4010000}"/>
    <cellStyle name="Comma [0] 2 13 28 2 2 2 2 2" xfId="17179" xr:uid="{00000000-0005-0000-0000-0000B5010000}"/>
    <cellStyle name="Comma [0] 2 13 28 2 2 2 2 2 2" xfId="32771" xr:uid="{00000000-0005-0000-0000-0000B6010000}"/>
    <cellStyle name="Comma [0] 2 13 28 2 2 2 2 2 3" xfId="48263" xr:uid="{00000000-0005-0000-0000-0000B7010000}"/>
    <cellStyle name="Comma [0] 2 13 28 2 2 2 2 3" xfId="25031" xr:uid="{00000000-0005-0000-0000-0000B8010000}"/>
    <cellStyle name="Comma [0] 2 13 28 2 2 2 2 4" xfId="40523" xr:uid="{00000000-0005-0000-0000-0000B9010000}"/>
    <cellStyle name="Comma [0] 2 13 28 2 2 2 3" xfId="13309" xr:uid="{00000000-0005-0000-0000-0000BA010000}"/>
    <cellStyle name="Comma [0] 2 13 28 2 2 2 3 2" xfId="28901" xr:uid="{00000000-0005-0000-0000-0000BB010000}"/>
    <cellStyle name="Comma [0] 2 13 28 2 2 2 3 3" xfId="44393" xr:uid="{00000000-0005-0000-0000-0000BC010000}"/>
    <cellStyle name="Comma [0] 2 13 28 2 2 2 4" xfId="21161" xr:uid="{00000000-0005-0000-0000-0000BD010000}"/>
    <cellStyle name="Comma [0] 2 13 28 2 2 2 5" xfId="36653" xr:uid="{00000000-0005-0000-0000-0000BE010000}"/>
    <cellStyle name="Comma [0] 2 13 28 2 2 3" xfId="7507" xr:uid="{00000000-0005-0000-0000-0000BF010000}"/>
    <cellStyle name="Comma [0] 2 13 28 2 2 3 2" xfId="15252" xr:uid="{00000000-0005-0000-0000-0000C0010000}"/>
    <cellStyle name="Comma [0] 2 13 28 2 2 3 2 2" xfId="30844" xr:uid="{00000000-0005-0000-0000-0000C1010000}"/>
    <cellStyle name="Comma [0] 2 13 28 2 2 3 2 3" xfId="46336" xr:uid="{00000000-0005-0000-0000-0000C2010000}"/>
    <cellStyle name="Comma [0] 2 13 28 2 2 3 3" xfId="23104" xr:uid="{00000000-0005-0000-0000-0000C3010000}"/>
    <cellStyle name="Comma [0] 2 13 28 2 2 3 4" xfId="38596" xr:uid="{00000000-0005-0000-0000-0000C4010000}"/>
    <cellStyle name="Comma [0] 2 13 28 2 2 4" xfId="11382" xr:uid="{00000000-0005-0000-0000-0000C5010000}"/>
    <cellStyle name="Comma [0] 2 13 28 2 2 4 2" xfId="26974" xr:uid="{00000000-0005-0000-0000-0000C6010000}"/>
    <cellStyle name="Comma [0] 2 13 28 2 2 4 3" xfId="42466" xr:uid="{00000000-0005-0000-0000-0000C7010000}"/>
    <cellStyle name="Comma [0] 2 13 28 2 2 5" xfId="19234" xr:uid="{00000000-0005-0000-0000-0000C8010000}"/>
    <cellStyle name="Comma [0] 2 13 28 2 2 6" xfId="34726" xr:uid="{00000000-0005-0000-0000-0000C9010000}"/>
    <cellStyle name="Comma [0] 2 13 28 2 3" xfId="4615" xr:uid="{00000000-0005-0000-0000-0000CA010000}"/>
    <cellStyle name="Comma [0] 2 13 28 2 3 2" xfId="8486" xr:uid="{00000000-0005-0000-0000-0000CB010000}"/>
    <cellStyle name="Comma [0] 2 13 28 2 3 2 2" xfId="16231" xr:uid="{00000000-0005-0000-0000-0000CC010000}"/>
    <cellStyle name="Comma [0] 2 13 28 2 3 2 2 2" xfId="31823" xr:uid="{00000000-0005-0000-0000-0000CD010000}"/>
    <cellStyle name="Comma [0] 2 13 28 2 3 2 2 3" xfId="47315" xr:uid="{00000000-0005-0000-0000-0000CE010000}"/>
    <cellStyle name="Comma [0] 2 13 28 2 3 2 3" xfId="24083" xr:uid="{00000000-0005-0000-0000-0000CF010000}"/>
    <cellStyle name="Comma [0] 2 13 28 2 3 2 4" xfId="39575" xr:uid="{00000000-0005-0000-0000-0000D0010000}"/>
    <cellStyle name="Comma [0] 2 13 28 2 3 3" xfId="12361" xr:uid="{00000000-0005-0000-0000-0000D1010000}"/>
    <cellStyle name="Comma [0] 2 13 28 2 3 3 2" xfId="27953" xr:uid="{00000000-0005-0000-0000-0000D2010000}"/>
    <cellStyle name="Comma [0] 2 13 28 2 3 3 3" xfId="43445" xr:uid="{00000000-0005-0000-0000-0000D3010000}"/>
    <cellStyle name="Comma [0] 2 13 28 2 3 4" xfId="20213" xr:uid="{00000000-0005-0000-0000-0000D4010000}"/>
    <cellStyle name="Comma [0] 2 13 28 2 3 5" xfId="35705" xr:uid="{00000000-0005-0000-0000-0000D5010000}"/>
    <cellStyle name="Comma [0] 2 13 28 2 4" xfId="6559" xr:uid="{00000000-0005-0000-0000-0000D6010000}"/>
    <cellStyle name="Comma [0] 2 13 28 2 4 2" xfId="14304" xr:uid="{00000000-0005-0000-0000-0000D7010000}"/>
    <cellStyle name="Comma [0] 2 13 28 2 4 2 2" xfId="29896" xr:uid="{00000000-0005-0000-0000-0000D8010000}"/>
    <cellStyle name="Comma [0] 2 13 28 2 4 2 3" xfId="45388" xr:uid="{00000000-0005-0000-0000-0000D9010000}"/>
    <cellStyle name="Comma [0] 2 13 28 2 4 3" xfId="22156" xr:uid="{00000000-0005-0000-0000-0000DA010000}"/>
    <cellStyle name="Comma [0] 2 13 28 2 4 4" xfId="37648" xr:uid="{00000000-0005-0000-0000-0000DB010000}"/>
    <cellStyle name="Comma [0] 2 13 28 2 5" xfId="10434" xr:uid="{00000000-0005-0000-0000-0000DC010000}"/>
    <cellStyle name="Comma [0] 2 13 28 2 5 2" xfId="26026" xr:uid="{00000000-0005-0000-0000-0000DD010000}"/>
    <cellStyle name="Comma [0] 2 13 28 2 5 3" xfId="41518" xr:uid="{00000000-0005-0000-0000-0000DE010000}"/>
    <cellStyle name="Comma [0] 2 13 28 2 6" xfId="18286" xr:uid="{00000000-0005-0000-0000-0000DF010000}"/>
    <cellStyle name="Comma [0] 2 13 28 2 7" xfId="33778" xr:uid="{00000000-0005-0000-0000-0000E0010000}"/>
    <cellStyle name="Comma [0] 2 13 28 3" xfId="3315" xr:uid="{00000000-0005-0000-0000-0000E1010000}"/>
    <cellStyle name="Comma [0] 2 13 28 3 2" xfId="5254" xr:uid="{00000000-0005-0000-0000-0000E2010000}"/>
    <cellStyle name="Comma [0] 2 13 28 3 2 2" xfId="9125" xr:uid="{00000000-0005-0000-0000-0000E3010000}"/>
    <cellStyle name="Comma [0] 2 13 28 3 2 2 2" xfId="16870" xr:uid="{00000000-0005-0000-0000-0000E4010000}"/>
    <cellStyle name="Comma [0] 2 13 28 3 2 2 2 2" xfId="32462" xr:uid="{00000000-0005-0000-0000-0000E5010000}"/>
    <cellStyle name="Comma [0] 2 13 28 3 2 2 2 3" xfId="47954" xr:uid="{00000000-0005-0000-0000-0000E6010000}"/>
    <cellStyle name="Comma [0] 2 13 28 3 2 2 3" xfId="24722" xr:uid="{00000000-0005-0000-0000-0000E7010000}"/>
    <cellStyle name="Comma [0] 2 13 28 3 2 2 4" xfId="40214" xr:uid="{00000000-0005-0000-0000-0000E8010000}"/>
    <cellStyle name="Comma [0] 2 13 28 3 2 3" xfId="13000" xr:uid="{00000000-0005-0000-0000-0000E9010000}"/>
    <cellStyle name="Comma [0] 2 13 28 3 2 3 2" xfId="28592" xr:uid="{00000000-0005-0000-0000-0000EA010000}"/>
    <cellStyle name="Comma [0] 2 13 28 3 2 3 3" xfId="44084" xr:uid="{00000000-0005-0000-0000-0000EB010000}"/>
    <cellStyle name="Comma [0] 2 13 28 3 2 4" xfId="20852" xr:uid="{00000000-0005-0000-0000-0000EC010000}"/>
    <cellStyle name="Comma [0] 2 13 28 3 2 5" xfId="36344" xr:uid="{00000000-0005-0000-0000-0000ED010000}"/>
    <cellStyle name="Comma [0] 2 13 28 3 3" xfId="7198" xr:uid="{00000000-0005-0000-0000-0000EE010000}"/>
    <cellStyle name="Comma [0] 2 13 28 3 3 2" xfId="14943" xr:uid="{00000000-0005-0000-0000-0000EF010000}"/>
    <cellStyle name="Comma [0] 2 13 28 3 3 2 2" xfId="30535" xr:uid="{00000000-0005-0000-0000-0000F0010000}"/>
    <cellStyle name="Comma [0] 2 13 28 3 3 2 3" xfId="46027" xr:uid="{00000000-0005-0000-0000-0000F1010000}"/>
    <cellStyle name="Comma [0] 2 13 28 3 3 3" xfId="22795" xr:uid="{00000000-0005-0000-0000-0000F2010000}"/>
    <cellStyle name="Comma [0] 2 13 28 3 3 4" xfId="38287" xr:uid="{00000000-0005-0000-0000-0000F3010000}"/>
    <cellStyle name="Comma [0] 2 13 28 3 4" xfId="11073" xr:uid="{00000000-0005-0000-0000-0000F4010000}"/>
    <cellStyle name="Comma [0] 2 13 28 3 4 2" xfId="26665" xr:uid="{00000000-0005-0000-0000-0000F5010000}"/>
    <cellStyle name="Comma [0] 2 13 28 3 4 3" xfId="42157" xr:uid="{00000000-0005-0000-0000-0000F6010000}"/>
    <cellStyle name="Comma [0] 2 13 28 3 5" xfId="18925" xr:uid="{00000000-0005-0000-0000-0000F7010000}"/>
    <cellStyle name="Comma [0] 2 13 28 3 6" xfId="34417" xr:uid="{00000000-0005-0000-0000-0000F8010000}"/>
    <cellStyle name="Comma [0] 2 13 28 4" xfId="4306" xr:uid="{00000000-0005-0000-0000-0000F9010000}"/>
    <cellStyle name="Comma [0] 2 13 28 4 2" xfId="8177" xr:uid="{00000000-0005-0000-0000-0000FA010000}"/>
    <cellStyle name="Comma [0] 2 13 28 4 2 2" xfId="15922" xr:uid="{00000000-0005-0000-0000-0000FB010000}"/>
    <cellStyle name="Comma [0] 2 13 28 4 2 2 2" xfId="31514" xr:uid="{00000000-0005-0000-0000-0000FC010000}"/>
    <cellStyle name="Comma [0] 2 13 28 4 2 2 3" xfId="47006" xr:uid="{00000000-0005-0000-0000-0000FD010000}"/>
    <cellStyle name="Comma [0] 2 13 28 4 2 3" xfId="23774" xr:uid="{00000000-0005-0000-0000-0000FE010000}"/>
    <cellStyle name="Comma [0] 2 13 28 4 2 4" xfId="39266" xr:uid="{00000000-0005-0000-0000-0000FF010000}"/>
    <cellStyle name="Comma [0] 2 13 28 4 3" xfId="12052" xr:uid="{00000000-0005-0000-0000-000000020000}"/>
    <cellStyle name="Comma [0] 2 13 28 4 3 2" xfId="27644" xr:uid="{00000000-0005-0000-0000-000001020000}"/>
    <cellStyle name="Comma [0] 2 13 28 4 3 3" xfId="43136" xr:uid="{00000000-0005-0000-0000-000002020000}"/>
    <cellStyle name="Comma [0] 2 13 28 4 4" xfId="19904" xr:uid="{00000000-0005-0000-0000-000003020000}"/>
    <cellStyle name="Comma [0] 2 13 28 4 5" xfId="35396" xr:uid="{00000000-0005-0000-0000-000004020000}"/>
    <cellStyle name="Comma [0] 2 13 28 5" xfId="6250" xr:uid="{00000000-0005-0000-0000-000005020000}"/>
    <cellStyle name="Comma [0] 2 13 28 5 2" xfId="13995" xr:uid="{00000000-0005-0000-0000-000006020000}"/>
    <cellStyle name="Comma [0] 2 13 28 5 2 2" xfId="29587" xr:uid="{00000000-0005-0000-0000-000007020000}"/>
    <cellStyle name="Comma [0] 2 13 28 5 2 3" xfId="45079" xr:uid="{00000000-0005-0000-0000-000008020000}"/>
    <cellStyle name="Comma [0] 2 13 28 5 3" xfId="21847" xr:uid="{00000000-0005-0000-0000-000009020000}"/>
    <cellStyle name="Comma [0] 2 13 28 5 4" xfId="37339" xr:uid="{00000000-0005-0000-0000-00000A020000}"/>
    <cellStyle name="Comma [0] 2 13 28 6" xfId="10125" xr:uid="{00000000-0005-0000-0000-00000B020000}"/>
    <cellStyle name="Comma [0] 2 13 28 6 2" xfId="25717" xr:uid="{00000000-0005-0000-0000-00000C020000}"/>
    <cellStyle name="Comma [0] 2 13 28 6 3" xfId="41209" xr:uid="{00000000-0005-0000-0000-00000D020000}"/>
    <cellStyle name="Comma [0] 2 13 28 7" xfId="17977" xr:uid="{00000000-0005-0000-0000-00000E020000}"/>
    <cellStyle name="Comma [0] 2 13 28 8" xfId="33469" xr:uid="{00000000-0005-0000-0000-00000F020000}"/>
    <cellStyle name="Comma [0] 2 13 29" xfId="2339" xr:uid="{00000000-0005-0000-0000-000010020000}"/>
    <cellStyle name="Comma [0] 2 13 29 2" xfId="2652" xr:uid="{00000000-0005-0000-0000-000011020000}"/>
    <cellStyle name="Comma [0] 2 13 29 2 2" xfId="3660" xr:uid="{00000000-0005-0000-0000-000012020000}"/>
    <cellStyle name="Comma [0] 2 13 29 2 2 2" xfId="5599" xr:uid="{00000000-0005-0000-0000-000013020000}"/>
    <cellStyle name="Comma [0] 2 13 29 2 2 2 2" xfId="9470" xr:uid="{00000000-0005-0000-0000-000014020000}"/>
    <cellStyle name="Comma [0] 2 13 29 2 2 2 2 2" xfId="17215" xr:uid="{00000000-0005-0000-0000-000015020000}"/>
    <cellStyle name="Comma [0] 2 13 29 2 2 2 2 2 2" xfId="32807" xr:uid="{00000000-0005-0000-0000-000016020000}"/>
    <cellStyle name="Comma [0] 2 13 29 2 2 2 2 2 3" xfId="48299" xr:uid="{00000000-0005-0000-0000-000017020000}"/>
    <cellStyle name="Comma [0] 2 13 29 2 2 2 2 3" xfId="25067" xr:uid="{00000000-0005-0000-0000-000018020000}"/>
    <cellStyle name="Comma [0] 2 13 29 2 2 2 2 4" xfId="40559" xr:uid="{00000000-0005-0000-0000-000019020000}"/>
    <cellStyle name="Comma [0] 2 13 29 2 2 2 3" xfId="13345" xr:uid="{00000000-0005-0000-0000-00001A020000}"/>
    <cellStyle name="Comma [0] 2 13 29 2 2 2 3 2" xfId="28937" xr:uid="{00000000-0005-0000-0000-00001B020000}"/>
    <cellStyle name="Comma [0] 2 13 29 2 2 2 3 3" xfId="44429" xr:uid="{00000000-0005-0000-0000-00001C020000}"/>
    <cellStyle name="Comma [0] 2 13 29 2 2 2 4" xfId="21197" xr:uid="{00000000-0005-0000-0000-00001D020000}"/>
    <cellStyle name="Comma [0] 2 13 29 2 2 2 5" xfId="36689" xr:uid="{00000000-0005-0000-0000-00001E020000}"/>
    <cellStyle name="Comma [0] 2 13 29 2 2 3" xfId="7543" xr:uid="{00000000-0005-0000-0000-00001F020000}"/>
    <cellStyle name="Comma [0] 2 13 29 2 2 3 2" xfId="15288" xr:uid="{00000000-0005-0000-0000-000020020000}"/>
    <cellStyle name="Comma [0] 2 13 29 2 2 3 2 2" xfId="30880" xr:uid="{00000000-0005-0000-0000-000021020000}"/>
    <cellStyle name="Comma [0] 2 13 29 2 2 3 2 3" xfId="46372" xr:uid="{00000000-0005-0000-0000-000022020000}"/>
    <cellStyle name="Comma [0] 2 13 29 2 2 3 3" xfId="23140" xr:uid="{00000000-0005-0000-0000-000023020000}"/>
    <cellStyle name="Comma [0] 2 13 29 2 2 3 4" xfId="38632" xr:uid="{00000000-0005-0000-0000-000024020000}"/>
    <cellStyle name="Comma [0] 2 13 29 2 2 4" xfId="11418" xr:uid="{00000000-0005-0000-0000-000025020000}"/>
    <cellStyle name="Comma [0] 2 13 29 2 2 4 2" xfId="27010" xr:uid="{00000000-0005-0000-0000-000026020000}"/>
    <cellStyle name="Comma [0] 2 13 29 2 2 4 3" xfId="42502" xr:uid="{00000000-0005-0000-0000-000027020000}"/>
    <cellStyle name="Comma [0] 2 13 29 2 2 5" xfId="19270" xr:uid="{00000000-0005-0000-0000-000028020000}"/>
    <cellStyle name="Comma [0] 2 13 29 2 2 6" xfId="34762" xr:uid="{00000000-0005-0000-0000-000029020000}"/>
    <cellStyle name="Comma [0] 2 13 29 2 3" xfId="4651" xr:uid="{00000000-0005-0000-0000-00002A020000}"/>
    <cellStyle name="Comma [0] 2 13 29 2 3 2" xfId="8522" xr:uid="{00000000-0005-0000-0000-00002B020000}"/>
    <cellStyle name="Comma [0] 2 13 29 2 3 2 2" xfId="16267" xr:uid="{00000000-0005-0000-0000-00002C020000}"/>
    <cellStyle name="Comma [0] 2 13 29 2 3 2 2 2" xfId="31859" xr:uid="{00000000-0005-0000-0000-00002D020000}"/>
    <cellStyle name="Comma [0] 2 13 29 2 3 2 2 3" xfId="47351" xr:uid="{00000000-0005-0000-0000-00002E020000}"/>
    <cellStyle name="Comma [0] 2 13 29 2 3 2 3" xfId="24119" xr:uid="{00000000-0005-0000-0000-00002F020000}"/>
    <cellStyle name="Comma [0] 2 13 29 2 3 2 4" xfId="39611" xr:uid="{00000000-0005-0000-0000-000030020000}"/>
    <cellStyle name="Comma [0] 2 13 29 2 3 3" xfId="12397" xr:uid="{00000000-0005-0000-0000-000031020000}"/>
    <cellStyle name="Comma [0] 2 13 29 2 3 3 2" xfId="27989" xr:uid="{00000000-0005-0000-0000-000032020000}"/>
    <cellStyle name="Comma [0] 2 13 29 2 3 3 3" xfId="43481" xr:uid="{00000000-0005-0000-0000-000033020000}"/>
    <cellStyle name="Comma [0] 2 13 29 2 3 4" xfId="20249" xr:uid="{00000000-0005-0000-0000-000034020000}"/>
    <cellStyle name="Comma [0] 2 13 29 2 3 5" xfId="35741" xr:uid="{00000000-0005-0000-0000-000035020000}"/>
    <cellStyle name="Comma [0] 2 13 29 2 4" xfId="6595" xr:uid="{00000000-0005-0000-0000-000036020000}"/>
    <cellStyle name="Comma [0] 2 13 29 2 4 2" xfId="14340" xr:uid="{00000000-0005-0000-0000-000037020000}"/>
    <cellStyle name="Comma [0] 2 13 29 2 4 2 2" xfId="29932" xr:uid="{00000000-0005-0000-0000-000038020000}"/>
    <cellStyle name="Comma [0] 2 13 29 2 4 2 3" xfId="45424" xr:uid="{00000000-0005-0000-0000-000039020000}"/>
    <cellStyle name="Comma [0] 2 13 29 2 4 3" xfId="22192" xr:uid="{00000000-0005-0000-0000-00003A020000}"/>
    <cellStyle name="Comma [0] 2 13 29 2 4 4" xfId="37684" xr:uid="{00000000-0005-0000-0000-00003B020000}"/>
    <cellStyle name="Comma [0] 2 13 29 2 5" xfId="10470" xr:uid="{00000000-0005-0000-0000-00003C020000}"/>
    <cellStyle name="Comma [0] 2 13 29 2 5 2" xfId="26062" xr:uid="{00000000-0005-0000-0000-00003D020000}"/>
    <cellStyle name="Comma [0] 2 13 29 2 5 3" xfId="41554" xr:uid="{00000000-0005-0000-0000-00003E020000}"/>
    <cellStyle name="Comma [0] 2 13 29 2 6" xfId="18322" xr:uid="{00000000-0005-0000-0000-00003F020000}"/>
    <cellStyle name="Comma [0] 2 13 29 2 7" xfId="33814" xr:uid="{00000000-0005-0000-0000-000040020000}"/>
    <cellStyle name="Comma [0] 2 13 29 3" xfId="3351" xr:uid="{00000000-0005-0000-0000-000041020000}"/>
    <cellStyle name="Comma [0] 2 13 29 3 2" xfId="5290" xr:uid="{00000000-0005-0000-0000-000042020000}"/>
    <cellStyle name="Comma [0] 2 13 29 3 2 2" xfId="9161" xr:uid="{00000000-0005-0000-0000-000043020000}"/>
    <cellStyle name="Comma [0] 2 13 29 3 2 2 2" xfId="16906" xr:uid="{00000000-0005-0000-0000-000044020000}"/>
    <cellStyle name="Comma [0] 2 13 29 3 2 2 2 2" xfId="32498" xr:uid="{00000000-0005-0000-0000-000045020000}"/>
    <cellStyle name="Comma [0] 2 13 29 3 2 2 2 3" xfId="47990" xr:uid="{00000000-0005-0000-0000-000046020000}"/>
    <cellStyle name="Comma [0] 2 13 29 3 2 2 3" xfId="24758" xr:uid="{00000000-0005-0000-0000-000047020000}"/>
    <cellStyle name="Comma [0] 2 13 29 3 2 2 4" xfId="40250" xr:uid="{00000000-0005-0000-0000-000048020000}"/>
    <cellStyle name="Comma [0] 2 13 29 3 2 3" xfId="13036" xr:uid="{00000000-0005-0000-0000-000049020000}"/>
    <cellStyle name="Comma [0] 2 13 29 3 2 3 2" xfId="28628" xr:uid="{00000000-0005-0000-0000-00004A020000}"/>
    <cellStyle name="Comma [0] 2 13 29 3 2 3 3" xfId="44120" xr:uid="{00000000-0005-0000-0000-00004B020000}"/>
    <cellStyle name="Comma [0] 2 13 29 3 2 4" xfId="20888" xr:uid="{00000000-0005-0000-0000-00004C020000}"/>
    <cellStyle name="Comma [0] 2 13 29 3 2 5" xfId="36380" xr:uid="{00000000-0005-0000-0000-00004D020000}"/>
    <cellStyle name="Comma [0] 2 13 29 3 3" xfId="7234" xr:uid="{00000000-0005-0000-0000-00004E020000}"/>
    <cellStyle name="Comma [0] 2 13 29 3 3 2" xfId="14979" xr:uid="{00000000-0005-0000-0000-00004F020000}"/>
    <cellStyle name="Comma [0] 2 13 29 3 3 2 2" xfId="30571" xr:uid="{00000000-0005-0000-0000-000050020000}"/>
    <cellStyle name="Comma [0] 2 13 29 3 3 2 3" xfId="46063" xr:uid="{00000000-0005-0000-0000-000051020000}"/>
    <cellStyle name="Comma [0] 2 13 29 3 3 3" xfId="22831" xr:uid="{00000000-0005-0000-0000-000052020000}"/>
    <cellStyle name="Comma [0] 2 13 29 3 3 4" xfId="38323" xr:uid="{00000000-0005-0000-0000-000053020000}"/>
    <cellStyle name="Comma [0] 2 13 29 3 4" xfId="11109" xr:uid="{00000000-0005-0000-0000-000054020000}"/>
    <cellStyle name="Comma [0] 2 13 29 3 4 2" xfId="26701" xr:uid="{00000000-0005-0000-0000-000055020000}"/>
    <cellStyle name="Comma [0] 2 13 29 3 4 3" xfId="42193" xr:uid="{00000000-0005-0000-0000-000056020000}"/>
    <cellStyle name="Comma [0] 2 13 29 3 5" xfId="18961" xr:uid="{00000000-0005-0000-0000-000057020000}"/>
    <cellStyle name="Comma [0] 2 13 29 3 6" xfId="34453" xr:uid="{00000000-0005-0000-0000-000058020000}"/>
    <cellStyle name="Comma [0] 2 13 29 4" xfId="4342" xr:uid="{00000000-0005-0000-0000-000059020000}"/>
    <cellStyle name="Comma [0] 2 13 29 4 2" xfId="8213" xr:uid="{00000000-0005-0000-0000-00005A020000}"/>
    <cellStyle name="Comma [0] 2 13 29 4 2 2" xfId="15958" xr:uid="{00000000-0005-0000-0000-00005B020000}"/>
    <cellStyle name="Comma [0] 2 13 29 4 2 2 2" xfId="31550" xr:uid="{00000000-0005-0000-0000-00005C020000}"/>
    <cellStyle name="Comma [0] 2 13 29 4 2 2 3" xfId="47042" xr:uid="{00000000-0005-0000-0000-00005D020000}"/>
    <cellStyle name="Comma [0] 2 13 29 4 2 3" xfId="23810" xr:uid="{00000000-0005-0000-0000-00005E020000}"/>
    <cellStyle name="Comma [0] 2 13 29 4 2 4" xfId="39302" xr:uid="{00000000-0005-0000-0000-00005F020000}"/>
    <cellStyle name="Comma [0] 2 13 29 4 3" xfId="12088" xr:uid="{00000000-0005-0000-0000-000060020000}"/>
    <cellStyle name="Comma [0] 2 13 29 4 3 2" xfId="27680" xr:uid="{00000000-0005-0000-0000-000061020000}"/>
    <cellStyle name="Comma [0] 2 13 29 4 3 3" xfId="43172" xr:uid="{00000000-0005-0000-0000-000062020000}"/>
    <cellStyle name="Comma [0] 2 13 29 4 4" xfId="19940" xr:uid="{00000000-0005-0000-0000-000063020000}"/>
    <cellStyle name="Comma [0] 2 13 29 4 5" xfId="35432" xr:uid="{00000000-0005-0000-0000-000064020000}"/>
    <cellStyle name="Comma [0] 2 13 29 5" xfId="6286" xr:uid="{00000000-0005-0000-0000-000065020000}"/>
    <cellStyle name="Comma [0] 2 13 29 5 2" xfId="14031" xr:uid="{00000000-0005-0000-0000-000066020000}"/>
    <cellStyle name="Comma [0] 2 13 29 5 2 2" xfId="29623" xr:uid="{00000000-0005-0000-0000-000067020000}"/>
    <cellStyle name="Comma [0] 2 13 29 5 2 3" xfId="45115" xr:uid="{00000000-0005-0000-0000-000068020000}"/>
    <cellStyle name="Comma [0] 2 13 29 5 3" xfId="21883" xr:uid="{00000000-0005-0000-0000-000069020000}"/>
    <cellStyle name="Comma [0] 2 13 29 5 4" xfId="37375" xr:uid="{00000000-0005-0000-0000-00006A020000}"/>
    <cellStyle name="Comma [0] 2 13 29 6" xfId="10161" xr:uid="{00000000-0005-0000-0000-00006B020000}"/>
    <cellStyle name="Comma [0] 2 13 29 6 2" xfId="25753" xr:uid="{00000000-0005-0000-0000-00006C020000}"/>
    <cellStyle name="Comma [0] 2 13 29 6 3" xfId="41245" xr:uid="{00000000-0005-0000-0000-00006D020000}"/>
    <cellStyle name="Comma [0] 2 13 29 7" xfId="18013" xr:uid="{00000000-0005-0000-0000-00006E020000}"/>
    <cellStyle name="Comma [0] 2 13 29 8" xfId="33505" xr:uid="{00000000-0005-0000-0000-00006F020000}"/>
    <cellStyle name="Comma [0] 2 13 3" xfId="69" xr:uid="{00000000-0005-0000-0000-000070020000}"/>
    <cellStyle name="Comma [0] 2 13 30" xfId="2376" xr:uid="{00000000-0005-0000-0000-000071020000}"/>
    <cellStyle name="Comma [0] 2 13 30 2" xfId="2688" xr:uid="{00000000-0005-0000-0000-000072020000}"/>
    <cellStyle name="Comma [0] 2 13 30 2 2" xfId="3696" xr:uid="{00000000-0005-0000-0000-000073020000}"/>
    <cellStyle name="Comma [0] 2 13 30 2 2 2" xfId="5635" xr:uid="{00000000-0005-0000-0000-000074020000}"/>
    <cellStyle name="Comma [0] 2 13 30 2 2 2 2" xfId="9506" xr:uid="{00000000-0005-0000-0000-000075020000}"/>
    <cellStyle name="Comma [0] 2 13 30 2 2 2 2 2" xfId="17251" xr:uid="{00000000-0005-0000-0000-000076020000}"/>
    <cellStyle name="Comma [0] 2 13 30 2 2 2 2 2 2" xfId="32843" xr:uid="{00000000-0005-0000-0000-000077020000}"/>
    <cellStyle name="Comma [0] 2 13 30 2 2 2 2 2 3" xfId="48335" xr:uid="{00000000-0005-0000-0000-000078020000}"/>
    <cellStyle name="Comma [0] 2 13 30 2 2 2 2 3" xfId="25103" xr:uid="{00000000-0005-0000-0000-000079020000}"/>
    <cellStyle name="Comma [0] 2 13 30 2 2 2 2 4" xfId="40595" xr:uid="{00000000-0005-0000-0000-00007A020000}"/>
    <cellStyle name="Comma [0] 2 13 30 2 2 2 3" xfId="13381" xr:uid="{00000000-0005-0000-0000-00007B020000}"/>
    <cellStyle name="Comma [0] 2 13 30 2 2 2 3 2" xfId="28973" xr:uid="{00000000-0005-0000-0000-00007C020000}"/>
    <cellStyle name="Comma [0] 2 13 30 2 2 2 3 3" xfId="44465" xr:uid="{00000000-0005-0000-0000-00007D020000}"/>
    <cellStyle name="Comma [0] 2 13 30 2 2 2 4" xfId="21233" xr:uid="{00000000-0005-0000-0000-00007E020000}"/>
    <cellStyle name="Comma [0] 2 13 30 2 2 2 5" xfId="36725" xr:uid="{00000000-0005-0000-0000-00007F020000}"/>
    <cellStyle name="Comma [0] 2 13 30 2 2 3" xfId="7579" xr:uid="{00000000-0005-0000-0000-000080020000}"/>
    <cellStyle name="Comma [0] 2 13 30 2 2 3 2" xfId="15324" xr:uid="{00000000-0005-0000-0000-000081020000}"/>
    <cellStyle name="Comma [0] 2 13 30 2 2 3 2 2" xfId="30916" xr:uid="{00000000-0005-0000-0000-000082020000}"/>
    <cellStyle name="Comma [0] 2 13 30 2 2 3 2 3" xfId="46408" xr:uid="{00000000-0005-0000-0000-000083020000}"/>
    <cellStyle name="Comma [0] 2 13 30 2 2 3 3" xfId="23176" xr:uid="{00000000-0005-0000-0000-000084020000}"/>
    <cellStyle name="Comma [0] 2 13 30 2 2 3 4" xfId="38668" xr:uid="{00000000-0005-0000-0000-000085020000}"/>
    <cellStyle name="Comma [0] 2 13 30 2 2 4" xfId="11454" xr:uid="{00000000-0005-0000-0000-000086020000}"/>
    <cellStyle name="Comma [0] 2 13 30 2 2 4 2" xfId="27046" xr:uid="{00000000-0005-0000-0000-000087020000}"/>
    <cellStyle name="Comma [0] 2 13 30 2 2 4 3" xfId="42538" xr:uid="{00000000-0005-0000-0000-000088020000}"/>
    <cellStyle name="Comma [0] 2 13 30 2 2 5" xfId="19306" xr:uid="{00000000-0005-0000-0000-000089020000}"/>
    <cellStyle name="Comma [0] 2 13 30 2 2 6" xfId="34798" xr:uid="{00000000-0005-0000-0000-00008A020000}"/>
    <cellStyle name="Comma [0] 2 13 30 2 3" xfId="4687" xr:uid="{00000000-0005-0000-0000-00008B020000}"/>
    <cellStyle name="Comma [0] 2 13 30 2 3 2" xfId="8558" xr:uid="{00000000-0005-0000-0000-00008C020000}"/>
    <cellStyle name="Comma [0] 2 13 30 2 3 2 2" xfId="16303" xr:uid="{00000000-0005-0000-0000-00008D020000}"/>
    <cellStyle name="Comma [0] 2 13 30 2 3 2 2 2" xfId="31895" xr:uid="{00000000-0005-0000-0000-00008E020000}"/>
    <cellStyle name="Comma [0] 2 13 30 2 3 2 2 3" xfId="47387" xr:uid="{00000000-0005-0000-0000-00008F020000}"/>
    <cellStyle name="Comma [0] 2 13 30 2 3 2 3" xfId="24155" xr:uid="{00000000-0005-0000-0000-000090020000}"/>
    <cellStyle name="Comma [0] 2 13 30 2 3 2 4" xfId="39647" xr:uid="{00000000-0005-0000-0000-000091020000}"/>
    <cellStyle name="Comma [0] 2 13 30 2 3 3" xfId="12433" xr:uid="{00000000-0005-0000-0000-000092020000}"/>
    <cellStyle name="Comma [0] 2 13 30 2 3 3 2" xfId="28025" xr:uid="{00000000-0005-0000-0000-000093020000}"/>
    <cellStyle name="Comma [0] 2 13 30 2 3 3 3" xfId="43517" xr:uid="{00000000-0005-0000-0000-000094020000}"/>
    <cellStyle name="Comma [0] 2 13 30 2 3 4" xfId="20285" xr:uid="{00000000-0005-0000-0000-000095020000}"/>
    <cellStyle name="Comma [0] 2 13 30 2 3 5" xfId="35777" xr:uid="{00000000-0005-0000-0000-000096020000}"/>
    <cellStyle name="Comma [0] 2 13 30 2 4" xfId="6631" xr:uid="{00000000-0005-0000-0000-000097020000}"/>
    <cellStyle name="Comma [0] 2 13 30 2 4 2" xfId="14376" xr:uid="{00000000-0005-0000-0000-000098020000}"/>
    <cellStyle name="Comma [0] 2 13 30 2 4 2 2" xfId="29968" xr:uid="{00000000-0005-0000-0000-000099020000}"/>
    <cellStyle name="Comma [0] 2 13 30 2 4 2 3" xfId="45460" xr:uid="{00000000-0005-0000-0000-00009A020000}"/>
    <cellStyle name="Comma [0] 2 13 30 2 4 3" xfId="22228" xr:uid="{00000000-0005-0000-0000-00009B020000}"/>
    <cellStyle name="Comma [0] 2 13 30 2 4 4" xfId="37720" xr:uid="{00000000-0005-0000-0000-00009C020000}"/>
    <cellStyle name="Comma [0] 2 13 30 2 5" xfId="10506" xr:uid="{00000000-0005-0000-0000-00009D020000}"/>
    <cellStyle name="Comma [0] 2 13 30 2 5 2" xfId="26098" xr:uid="{00000000-0005-0000-0000-00009E020000}"/>
    <cellStyle name="Comma [0] 2 13 30 2 5 3" xfId="41590" xr:uid="{00000000-0005-0000-0000-00009F020000}"/>
    <cellStyle name="Comma [0] 2 13 30 2 6" xfId="18358" xr:uid="{00000000-0005-0000-0000-0000A0020000}"/>
    <cellStyle name="Comma [0] 2 13 30 2 7" xfId="33850" xr:uid="{00000000-0005-0000-0000-0000A1020000}"/>
    <cellStyle name="Comma [0] 2 13 30 3" xfId="3387" xr:uid="{00000000-0005-0000-0000-0000A2020000}"/>
    <cellStyle name="Comma [0] 2 13 30 3 2" xfId="5326" xr:uid="{00000000-0005-0000-0000-0000A3020000}"/>
    <cellStyle name="Comma [0] 2 13 30 3 2 2" xfId="9197" xr:uid="{00000000-0005-0000-0000-0000A4020000}"/>
    <cellStyle name="Comma [0] 2 13 30 3 2 2 2" xfId="16942" xr:uid="{00000000-0005-0000-0000-0000A5020000}"/>
    <cellStyle name="Comma [0] 2 13 30 3 2 2 2 2" xfId="32534" xr:uid="{00000000-0005-0000-0000-0000A6020000}"/>
    <cellStyle name="Comma [0] 2 13 30 3 2 2 2 3" xfId="48026" xr:uid="{00000000-0005-0000-0000-0000A7020000}"/>
    <cellStyle name="Comma [0] 2 13 30 3 2 2 3" xfId="24794" xr:uid="{00000000-0005-0000-0000-0000A8020000}"/>
    <cellStyle name="Comma [0] 2 13 30 3 2 2 4" xfId="40286" xr:uid="{00000000-0005-0000-0000-0000A9020000}"/>
    <cellStyle name="Comma [0] 2 13 30 3 2 3" xfId="13072" xr:uid="{00000000-0005-0000-0000-0000AA020000}"/>
    <cellStyle name="Comma [0] 2 13 30 3 2 3 2" xfId="28664" xr:uid="{00000000-0005-0000-0000-0000AB020000}"/>
    <cellStyle name="Comma [0] 2 13 30 3 2 3 3" xfId="44156" xr:uid="{00000000-0005-0000-0000-0000AC020000}"/>
    <cellStyle name="Comma [0] 2 13 30 3 2 4" xfId="20924" xr:uid="{00000000-0005-0000-0000-0000AD020000}"/>
    <cellStyle name="Comma [0] 2 13 30 3 2 5" xfId="36416" xr:uid="{00000000-0005-0000-0000-0000AE020000}"/>
    <cellStyle name="Comma [0] 2 13 30 3 3" xfId="7270" xr:uid="{00000000-0005-0000-0000-0000AF020000}"/>
    <cellStyle name="Comma [0] 2 13 30 3 3 2" xfId="15015" xr:uid="{00000000-0005-0000-0000-0000B0020000}"/>
    <cellStyle name="Comma [0] 2 13 30 3 3 2 2" xfId="30607" xr:uid="{00000000-0005-0000-0000-0000B1020000}"/>
    <cellStyle name="Comma [0] 2 13 30 3 3 2 3" xfId="46099" xr:uid="{00000000-0005-0000-0000-0000B2020000}"/>
    <cellStyle name="Comma [0] 2 13 30 3 3 3" xfId="22867" xr:uid="{00000000-0005-0000-0000-0000B3020000}"/>
    <cellStyle name="Comma [0] 2 13 30 3 3 4" xfId="38359" xr:uid="{00000000-0005-0000-0000-0000B4020000}"/>
    <cellStyle name="Comma [0] 2 13 30 3 4" xfId="11145" xr:uid="{00000000-0005-0000-0000-0000B5020000}"/>
    <cellStyle name="Comma [0] 2 13 30 3 4 2" xfId="26737" xr:uid="{00000000-0005-0000-0000-0000B6020000}"/>
    <cellStyle name="Comma [0] 2 13 30 3 4 3" xfId="42229" xr:uid="{00000000-0005-0000-0000-0000B7020000}"/>
    <cellStyle name="Comma [0] 2 13 30 3 5" xfId="18997" xr:uid="{00000000-0005-0000-0000-0000B8020000}"/>
    <cellStyle name="Comma [0] 2 13 30 3 6" xfId="34489" xr:uid="{00000000-0005-0000-0000-0000B9020000}"/>
    <cellStyle name="Comma [0] 2 13 30 4" xfId="4378" xr:uid="{00000000-0005-0000-0000-0000BA020000}"/>
    <cellStyle name="Comma [0] 2 13 30 4 2" xfId="8249" xr:uid="{00000000-0005-0000-0000-0000BB020000}"/>
    <cellStyle name="Comma [0] 2 13 30 4 2 2" xfId="15994" xr:uid="{00000000-0005-0000-0000-0000BC020000}"/>
    <cellStyle name="Comma [0] 2 13 30 4 2 2 2" xfId="31586" xr:uid="{00000000-0005-0000-0000-0000BD020000}"/>
    <cellStyle name="Comma [0] 2 13 30 4 2 2 3" xfId="47078" xr:uid="{00000000-0005-0000-0000-0000BE020000}"/>
    <cellStyle name="Comma [0] 2 13 30 4 2 3" xfId="23846" xr:uid="{00000000-0005-0000-0000-0000BF020000}"/>
    <cellStyle name="Comma [0] 2 13 30 4 2 4" xfId="39338" xr:uid="{00000000-0005-0000-0000-0000C0020000}"/>
    <cellStyle name="Comma [0] 2 13 30 4 3" xfId="12124" xr:uid="{00000000-0005-0000-0000-0000C1020000}"/>
    <cellStyle name="Comma [0] 2 13 30 4 3 2" xfId="27716" xr:uid="{00000000-0005-0000-0000-0000C2020000}"/>
    <cellStyle name="Comma [0] 2 13 30 4 3 3" xfId="43208" xr:uid="{00000000-0005-0000-0000-0000C3020000}"/>
    <cellStyle name="Comma [0] 2 13 30 4 4" xfId="19976" xr:uid="{00000000-0005-0000-0000-0000C4020000}"/>
    <cellStyle name="Comma [0] 2 13 30 4 5" xfId="35468" xr:uid="{00000000-0005-0000-0000-0000C5020000}"/>
    <cellStyle name="Comma [0] 2 13 30 5" xfId="6322" xr:uid="{00000000-0005-0000-0000-0000C6020000}"/>
    <cellStyle name="Comma [0] 2 13 30 5 2" xfId="14067" xr:uid="{00000000-0005-0000-0000-0000C7020000}"/>
    <cellStyle name="Comma [0] 2 13 30 5 2 2" xfId="29659" xr:uid="{00000000-0005-0000-0000-0000C8020000}"/>
    <cellStyle name="Comma [0] 2 13 30 5 2 3" xfId="45151" xr:uid="{00000000-0005-0000-0000-0000C9020000}"/>
    <cellStyle name="Comma [0] 2 13 30 5 3" xfId="21919" xr:uid="{00000000-0005-0000-0000-0000CA020000}"/>
    <cellStyle name="Comma [0] 2 13 30 5 4" xfId="37411" xr:uid="{00000000-0005-0000-0000-0000CB020000}"/>
    <cellStyle name="Comma [0] 2 13 30 6" xfId="10197" xr:uid="{00000000-0005-0000-0000-0000CC020000}"/>
    <cellStyle name="Comma [0] 2 13 30 6 2" xfId="25789" xr:uid="{00000000-0005-0000-0000-0000CD020000}"/>
    <cellStyle name="Comma [0] 2 13 30 6 3" xfId="41281" xr:uid="{00000000-0005-0000-0000-0000CE020000}"/>
    <cellStyle name="Comma [0] 2 13 30 7" xfId="18049" xr:uid="{00000000-0005-0000-0000-0000CF020000}"/>
    <cellStyle name="Comma [0] 2 13 30 8" xfId="33541" xr:uid="{00000000-0005-0000-0000-0000D0020000}"/>
    <cellStyle name="Comma [0] 2 13 31" xfId="2414" xr:uid="{00000000-0005-0000-0000-0000D1020000}"/>
    <cellStyle name="Comma [0] 2 13 31 2" xfId="2724" xr:uid="{00000000-0005-0000-0000-0000D2020000}"/>
    <cellStyle name="Comma [0] 2 13 31 2 2" xfId="3732" xr:uid="{00000000-0005-0000-0000-0000D3020000}"/>
    <cellStyle name="Comma [0] 2 13 31 2 2 2" xfId="5671" xr:uid="{00000000-0005-0000-0000-0000D4020000}"/>
    <cellStyle name="Comma [0] 2 13 31 2 2 2 2" xfId="9542" xr:uid="{00000000-0005-0000-0000-0000D5020000}"/>
    <cellStyle name="Comma [0] 2 13 31 2 2 2 2 2" xfId="17287" xr:uid="{00000000-0005-0000-0000-0000D6020000}"/>
    <cellStyle name="Comma [0] 2 13 31 2 2 2 2 2 2" xfId="32879" xr:uid="{00000000-0005-0000-0000-0000D7020000}"/>
    <cellStyle name="Comma [0] 2 13 31 2 2 2 2 2 3" xfId="48371" xr:uid="{00000000-0005-0000-0000-0000D8020000}"/>
    <cellStyle name="Comma [0] 2 13 31 2 2 2 2 3" xfId="25139" xr:uid="{00000000-0005-0000-0000-0000D9020000}"/>
    <cellStyle name="Comma [0] 2 13 31 2 2 2 2 4" xfId="40631" xr:uid="{00000000-0005-0000-0000-0000DA020000}"/>
    <cellStyle name="Comma [0] 2 13 31 2 2 2 3" xfId="13417" xr:uid="{00000000-0005-0000-0000-0000DB020000}"/>
    <cellStyle name="Comma [0] 2 13 31 2 2 2 3 2" xfId="29009" xr:uid="{00000000-0005-0000-0000-0000DC020000}"/>
    <cellStyle name="Comma [0] 2 13 31 2 2 2 3 3" xfId="44501" xr:uid="{00000000-0005-0000-0000-0000DD020000}"/>
    <cellStyle name="Comma [0] 2 13 31 2 2 2 4" xfId="21269" xr:uid="{00000000-0005-0000-0000-0000DE020000}"/>
    <cellStyle name="Comma [0] 2 13 31 2 2 2 5" xfId="36761" xr:uid="{00000000-0005-0000-0000-0000DF020000}"/>
    <cellStyle name="Comma [0] 2 13 31 2 2 3" xfId="7615" xr:uid="{00000000-0005-0000-0000-0000E0020000}"/>
    <cellStyle name="Comma [0] 2 13 31 2 2 3 2" xfId="15360" xr:uid="{00000000-0005-0000-0000-0000E1020000}"/>
    <cellStyle name="Comma [0] 2 13 31 2 2 3 2 2" xfId="30952" xr:uid="{00000000-0005-0000-0000-0000E2020000}"/>
    <cellStyle name="Comma [0] 2 13 31 2 2 3 2 3" xfId="46444" xr:uid="{00000000-0005-0000-0000-0000E3020000}"/>
    <cellStyle name="Comma [0] 2 13 31 2 2 3 3" xfId="23212" xr:uid="{00000000-0005-0000-0000-0000E4020000}"/>
    <cellStyle name="Comma [0] 2 13 31 2 2 3 4" xfId="38704" xr:uid="{00000000-0005-0000-0000-0000E5020000}"/>
    <cellStyle name="Comma [0] 2 13 31 2 2 4" xfId="11490" xr:uid="{00000000-0005-0000-0000-0000E6020000}"/>
    <cellStyle name="Comma [0] 2 13 31 2 2 4 2" xfId="27082" xr:uid="{00000000-0005-0000-0000-0000E7020000}"/>
    <cellStyle name="Comma [0] 2 13 31 2 2 4 3" xfId="42574" xr:uid="{00000000-0005-0000-0000-0000E8020000}"/>
    <cellStyle name="Comma [0] 2 13 31 2 2 5" xfId="19342" xr:uid="{00000000-0005-0000-0000-0000E9020000}"/>
    <cellStyle name="Comma [0] 2 13 31 2 2 6" xfId="34834" xr:uid="{00000000-0005-0000-0000-0000EA020000}"/>
    <cellStyle name="Comma [0] 2 13 31 2 3" xfId="4723" xr:uid="{00000000-0005-0000-0000-0000EB020000}"/>
    <cellStyle name="Comma [0] 2 13 31 2 3 2" xfId="8594" xr:uid="{00000000-0005-0000-0000-0000EC020000}"/>
    <cellStyle name="Comma [0] 2 13 31 2 3 2 2" xfId="16339" xr:uid="{00000000-0005-0000-0000-0000ED020000}"/>
    <cellStyle name="Comma [0] 2 13 31 2 3 2 2 2" xfId="31931" xr:uid="{00000000-0005-0000-0000-0000EE020000}"/>
    <cellStyle name="Comma [0] 2 13 31 2 3 2 2 3" xfId="47423" xr:uid="{00000000-0005-0000-0000-0000EF020000}"/>
    <cellStyle name="Comma [0] 2 13 31 2 3 2 3" xfId="24191" xr:uid="{00000000-0005-0000-0000-0000F0020000}"/>
    <cellStyle name="Comma [0] 2 13 31 2 3 2 4" xfId="39683" xr:uid="{00000000-0005-0000-0000-0000F1020000}"/>
    <cellStyle name="Comma [0] 2 13 31 2 3 3" xfId="12469" xr:uid="{00000000-0005-0000-0000-0000F2020000}"/>
    <cellStyle name="Comma [0] 2 13 31 2 3 3 2" xfId="28061" xr:uid="{00000000-0005-0000-0000-0000F3020000}"/>
    <cellStyle name="Comma [0] 2 13 31 2 3 3 3" xfId="43553" xr:uid="{00000000-0005-0000-0000-0000F4020000}"/>
    <cellStyle name="Comma [0] 2 13 31 2 3 4" xfId="20321" xr:uid="{00000000-0005-0000-0000-0000F5020000}"/>
    <cellStyle name="Comma [0] 2 13 31 2 3 5" xfId="35813" xr:uid="{00000000-0005-0000-0000-0000F6020000}"/>
    <cellStyle name="Comma [0] 2 13 31 2 4" xfId="6667" xr:uid="{00000000-0005-0000-0000-0000F7020000}"/>
    <cellStyle name="Comma [0] 2 13 31 2 4 2" xfId="14412" xr:uid="{00000000-0005-0000-0000-0000F8020000}"/>
    <cellStyle name="Comma [0] 2 13 31 2 4 2 2" xfId="30004" xr:uid="{00000000-0005-0000-0000-0000F9020000}"/>
    <cellStyle name="Comma [0] 2 13 31 2 4 2 3" xfId="45496" xr:uid="{00000000-0005-0000-0000-0000FA020000}"/>
    <cellStyle name="Comma [0] 2 13 31 2 4 3" xfId="22264" xr:uid="{00000000-0005-0000-0000-0000FB020000}"/>
    <cellStyle name="Comma [0] 2 13 31 2 4 4" xfId="37756" xr:uid="{00000000-0005-0000-0000-0000FC020000}"/>
    <cellStyle name="Comma [0] 2 13 31 2 5" xfId="10542" xr:uid="{00000000-0005-0000-0000-0000FD020000}"/>
    <cellStyle name="Comma [0] 2 13 31 2 5 2" xfId="26134" xr:uid="{00000000-0005-0000-0000-0000FE020000}"/>
    <cellStyle name="Comma [0] 2 13 31 2 5 3" xfId="41626" xr:uid="{00000000-0005-0000-0000-0000FF020000}"/>
    <cellStyle name="Comma [0] 2 13 31 2 6" xfId="18394" xr:uid="{00000000-0005-0000-0000-000000030000}"/>
    <cellStyle name="Comma [0] 2 13 31 2 7" xfId="33886" xr:uid="{00000000-0005-0000-0000-000001030000}"/>
    <cellStyle name="Comma [0] 2 13 31 3" xfId="3423" xr:uid="{00000000-0005-0000-0000-000002030000}"/>
    <cellStyle name="Comma [0] 2 13 31 3 2" xfId="5362" xr:uid="{00000000-0005-0000-0000-000003030000}"/>
    <cellStyle name="Comma [0] 2 13 31 3 2 2" xfId="9233" xr:uid="{00000000-0005-0000-0000-000004030000}"/>
    <cellStyle name="Comma [0] 2 13 31 3 2 2 2" xfId="16978" xr:uid="{00000000-0005-0000-0000-000005030000}"/>
    <cellStyle name="Comma [0] 2 13 31 3 2 2 2 2" xfId="32570" xr:uid="{00000000-0005-0000-0000-000006030000}"/>
    <cellStyle name="Comma [0] 2 13 31 3 2 2 2 3" xfId="48062" xr:uid="{00000000-0005-0000-0000-000007030000}"/>
    <cellStyle name="Comma [0] 2 13 31 3 2 2 3" xfId="24830" xr:uid="{00000000-0005-0000-0000-000008030000}"/>
    <cellStyle name="Comma [0] 2 13 31 3 2 2 4" xfId="40322" xr:uid="{00000000-0005-0000-0000-000009030000}"/>
    <cellStyle name="Comma [0] 2 13 31 3 2 3" xfId="13108" xr:uid="{00000000-0005-0000-0000-00000A030000}"/>
    <cellStyle name="Comma [0] 2 13 31 3 2 3 2" xfId="28700" xr:uid="{00000000-0005-0000-0000-00000B030000}"/>
    <cellStyle name="Comma [0] 2 13 31 3 2 3 3" xfId="44192" xr:uid="{00000000-0005-0000-0000-00000C030000}"/>
    <cellStyle name="Comma [0] 2 13 31 3 2 4" xfId="20960" xr:uid="{00000000-0005-0000-0000-00000D030000}"/>
    <cellStyle name="Comma [0] 2 13 31 3 2 5" xfId="36452" xr:uid="{00000000-0005-0000-0000-00000E030000}"/>
    <cellStyle name="Comma [0] 2 13 31 3 3" xfId="7306" xr:uid="{00000000-0005-0000-0000-00000F030000}"/>
    <cellStyle name="Comma [0] 2 13 31 3 3 2" xfId="15051" xr:uid="{00000000-0005-0000-0000-000010030000}"/>
    <cellStyle name="Comma [0] 2 13 31 3 3 2 2" xfId="30643" xr:uid="{00000000-0005-0000-0000-000011030000}"/>
    <cellStyle name="Comma [0] 2 13 31 3 3 2 3" xfId="46135" xr:uid="{00000000-0005-0000-0000-000012030000}"/>
    <cellStyle name="Comma [0] 2 13 31 3 3 3" xfId="22903" xr:uid="{00000000-0005-0000-0000-000013030000}"/>
    <cellStyle name="Comma [0] 2 13 31 3 3 4" xfId="38395" xr:uid="{00000000-0005-0000-0000-000014030000}"/>
    <cellStyle name="Comma [0] 2 13 31 3 4" xfId="11181" xr:uid="{00000000-0005-0000-0000-000015030000}"/>
    <cellStyle name="Comma [0] 2 13 31 3 4 2" xfId="26773" xr:uid="{00000000-0005-0000-0000-000016030000}"/>
    <cellStyle name="Comma [0] 2 13 31 3 4 3" xfId="42265" xr:uid="{00000000-0005-0000-0000-000017030000}"/>
    <cellStyle name="Comma [0] 2 13 31 3 5" xfId="19033" xr:uid="{00000000-0005-0000-0000-000018030000}"/>
    <cellStyle name="Comma [0] 2 13 31 3 6" xfId="34525" xr:uid="{00000000-0005-0000-0000-000019030000}"/>
    <cellStyle name="Comma [0] 2 13 31 4" xfId="4414" xr:uid="{00000000-0005-0000-0000-00001A030000}"/>
    <cellStyle name="Comma [0] 2 13 31 4 2" xfId="8285" xr:uid="{00000000-0005-0000-0000-00001B030000}"/>
    <cellStyle name="Comma [0] 2 13 31 4 2 2" xfId="16030" xr:uid="{00000000-0005-0000-0000-00001C030000}"/>
    <cellStyle name="Comma [0] 2 13 31 4 2 2 2" xfId="31622" xr:uid="{00000000-0005-0000-0000-00001D030000}"/>
    <cellStyle name="Comma [0] 2 13 31 4 2 2 3" xfId="47114" xr:uid="{00000000-0005-0000-0000-00001E030000}"/>
    <cellStyle name="Comma [0] 2 13 31 4 2 3" xfId="23882" xr:uid="{00000000-0005-0000-0000-00001F030000}"/>
    <cellStyle name="Comma [0] 2 13 31 4 2 4" xfId="39374" xr:uid="{00000000-0005-0000-0000-000020030000}"/>
    <cellStyle name="Comma [0] 2 13 31 4 3" xfId="12160" xr:uid="{00000000-0005-0000-0000-000021030000}"/>
    <cellStyle name="Comma [0] 2 13 31 4 3 2" xfId="27752" xr:uid="{00000000-0005-0000-0000-000022030000}"/>
    <cellStyle name="Comma [0] 2 13 31 4 3 3" xfId="43244" xr:uid="{00000000-0005-0000-0000-000023030000}"/>
    <cellStyle name="Comma [0] 2 13 31 4 4" xfId="20012" xr:uid="{00000000-0005-0000-0000-000024030000}"/>
    <cellStyle name="Comma [0] 2 13 31 4 5" xfId="35504" xr:uid="{00000000-0005-0000-0000-000025030000}"/>
    <cellStyle name="Comma [0] 2 13 31 5" xfId="6358" xr:uid="{00000000-0005-0000-0000-000026030000}"/>
    <cellStyle name="Comma [0] 2 13 31 5 2" xfId="14103" xr:uid="{00000000-0005-0000-0000-000027030000}"/>
    <cellStyle name="Comma [0] 2 13 31 5 2 2" xfId="29695" xr:uid="{00000000-0005-0000-0000-000028030000}"/>
    <cellStyle name="Comma [0] 2 13 31 5 2 3" xfId="45187" xr:uid="{00000000-0005-0000-0000-000029030000}"/>
    <cellStyle name="Comma [0] 2 13 31 5 3" xfId="21955" xr:uid="{00000000-0005-0000-0000-00002A030000}"/>
    <cellStyle name="Comma [0] 2 13 31 5 4" xfId="37447" xr:uid="{00000000-0005-0000-0000-00002B030000}"/>
    <cellStyle name="Comma [0] 2 13 31 6" xfId="10233" xr:uid="{00000000-0005-0000-0000-00002C030000}"/>
    <cellStyle name="Comma [0] 2 13 31 6 2" xfId="25825" xr:uid="{00000000-0005-0000-0000-00002D030000}"/>
    <cellStyle name="Comma [0] 2 13 31 6 3" xfId="41317" xr:uid="{00000000-0005-0000-0000-00002E030000}"/>
    <cellStyle name="Comma [0] 2 13 31 7" xfId="18085" xr:uid="{00000000-0005-0000-0000-00002F030000}"/>
    <cellStyle name="Comma [0] 2 13 31 8" xfId="33577" xr:uid="{00000000-0005-0000-0000-000030030000}"/>
    <cellStyle name="Comma [0] 2 13 32" xfId="2451" xr:uid="{00000000-0005-0000-0000-000031030000}"/>
    <cellStyle name="Comma [0] 2 13 32 2" xfId="2760" xr:uid="{00000000-0005-0000-0000-000032030000}"/>
    <cellStyle name="Comma [0] 2 13 32 2 2" xfId="3768" xr:uid="{00000000-0005-0000-0000-000033030000}"/>
    <cellStyle name="Comma [0] 2 13 32 2 2 2" xfId="5707" xr:uid="{00000000-0005-0000-0000-000034030000}"/>
    <cellStyle name="Comma [0] 2 13 32 2 2 2 2" xfId="9578" xr:uid="{00000000-0005-0000-0000-000035030000}"/>
    <cellStyle name="Comma [0] 2 13 32 2 2 2 2 2" xfId="17323" xr:uid="{00000000-0005-0000-0000-000036030000}"/>
    <cellStyle name="Comma [0] 2 13 32 2 2 2 2 2 2" xfId="32915" xr:uid="{00000000-0005-0000-0000-000037030000}"/>
    <cellStyle name="Comma [0] 2 13 32 2 2 2 2 2 3" xfId="48407" xr:uid="{00000000-0005-0000-0000-000038030000}"/>
    <cellStyle name="Comma [0] 2 13 32 2 2 2 2 3" xfId="25175" xr:uid="{00000000-0005-0000-0000-000039030000}"/>
    <cellStyle name="Comma [0] 2 13 32 2 2 2 2 4" xfId="40667" xr:uid="{00000000-0005-0000-0000-00003A030000}"/>
    <cellStyle name="Comma [0] 2 13 32 2 2 2 3" xfId="13453" xr:uid="{00000000-0005-0000-0000-00003B030000}"/>
    <cellStyle name="Comma [0] 2 13 32 2 2 2 3 2" xfId="29045" xr:uid="{00000000-0005-0000-0000-00003C030000}"/>
    <cellStyle name="Comma [0] 2 13 32 2 2 2 3 3" xfId="44537" xr:uid="{00000000-0005-0000-0000-00003D030000}"/>
    <cellStyle name="Comma [0] 2 13 32 2 2 2 4" xfId="21305" xr:uid="{00000000-0005-0000-0000-00003E030000}"/>
    <cellStyle name="Comma [0] 2 13 32 2 2 2 5" xfId="36797" xr:uid="{00000000-0005-0000-0000-00003F030000}"/>
    <cellStyle name="Comma [0] 2 13 32 2 2 3" xfId="7651" xr:uid="{00000000-0005-0000-0000-000040030000}"/>
    <cellStyle name="Comma [0] 2 13 32 2 2 3 2" xfId="15396" xr:uid="{00000000-0005-0000-0000-000041030000}"/>
    <cellStyle name="Comma [0] 2 13 32 2 2 3 2 2" xfId="30988" xr:uid="{00000000-0005-0000-0000-000042030000}"/>
    <cellStyle name="Comma [0] 2 13 32 2 2 3 2 3" xfId="46480" xr:uid="{00000000-0005-0000-0000-000043030000}"/>
    <cellStyle name="Comma [0] 2 13 32 2 2 3 3" xfId="23248" xr:uid="{00000000-0005-0000-0000-000044030000}"/>
    <cellStyle name="Comma [0] 2 13 32 2 2 3 4" xfId="38740" xr:uid="{00000000-0005-0000-0000-000045030000}"/>
    <cellStyle name="Comma [0] 2 13 32 2 2 4" xfId="11526" xr:uid="{00000000-0005-0000-0000-000046030000}"/>
    <cellStyle name="Comma [0] 2 13 32 2 2 4 2" xfId="27118" xr:uid="{00000000-0005-0000-0000-000047030000}"/>
    <cellStyle name="Comma [0] 2 13 32 2 2 4 3" xfId="42610" xr:uid="{00000000-0005-0000-0000-000048030000}"/>
    <cellStyle name="Comma [0] 2 13 32 2 2 5" xfId="19378" xr:uid="{00000000-0005-0000-0000-000049030000}"/>
    <cellStyle name="Comma [0] 2 13 32 2 2 6" xfId="34870" xr:uid="{00000000-0005-0000-0000-00004A030000}"/>
    <cellStyle name="Comma [0] 2 13 32 2 3" xfId="4759" xr:uid="{00000000-0005-0000-0000-00004B030000}"/>
    <cellStyle name="Comma [0] 2 13 32 2 3 2" xfId="8630" xr:uid="{00000000-0005-0000-0000-00004C030000}"/>
    <cellStyle name="Comma [0] 2 13 32 2 3 2 2" xfId="16375" xr:uid="{00000000-0005-0000-0000-00004D030000}"/>
    <cellStyle name="Comma [0] 2 13 32 2 3 2 2 2" xfId="31967" xr:uid="{00000000-0005-0000-0000-00004E030000}"/>
    <cellStyle name="Comma [0] 2 13 32 2 3 2 2 3" xfId="47459" xr:uid="{00000000-0005-0000-0000-00004F030000}"/>
    <cellStyle name="Comma [0] 2 13 32 2 3 2 3" xfId="24227" xr:uid="{00000000-0005-0000-0000-000050030000}"/>
    <cellStyle name="Comma [0] 2 13 32 2 3 2 4" xfId="39719" xr:uid="{00000000-0005-0000-0000-000051030000}"/>
    <cellStyle name="Comma [0] 2 13 32 2 3 3" xfId="12505" xr:uid="{00000000-0005-0000-0000-000052030000}"/>
    <cellStyle name="Comma [0] 2 13 32 2 3 3 2" xfId="28097" xr:uid="{00000000-0005-0000-0000-000053030000}"/>
    <cellStyle name="Comma [0] 2 13 32 2 3 3 3" xfId="43589" xr:uid="{00000000-0005-0000-0000-000054030000}"/>
    <cellStyle name="Comma [0] 2 13 32 2 3 4" xfId="20357" xr:uid="{00000000-0005-0000-0000-000055030000}"/>
    <cellStyle name="Comma [0] 2 13 32 2 3 5" xfId="35849" xr:uid="{00000000-0005-0000-0000-000056030000}"/>
    <cellStyle name="Comma [0] 2 13 32 2 4" xfId="6703" xr:uid="{00000000-0005-0000-0000-000057030000}"/>
    <cellStyle name="Comma [0] 2 13 32 2 4 2" xfId="14448" xr:uid="{00000000-0005-0000-0000-000058030000}"/>
    <cellStyle name="Comma [0] 2 13 32 2 4 2 2" xfId="30040" xr:uid="{00000000-0005-0000-0000-000059030000}"/>
    <cellStyle name="Comma [0] 2 13 32 2 4 2 3" xfId="45532" xr:uid="{00000000-0005-0000-0000-00005A030000}"/>
    <cellStyle name="Comma [0] 2 13 32 2 4 3" xfId="22300" xr:uid="{00000000-0005-0000-0000-00005B030000}"/>
    <cellStyle name="Comma [0] 2 13 32 2 4 4" xfId="37792" xr:uid="{00000000-0005-0000-0000-00005C030000}"/>
    <cellStyle name="Comma [0] 2 13 32 2 5" xfId="10578" xr:uid="{00000000-0005-0000-0000-00005D030000}"/>
    <cellStyle name="Comma [0] 2 13 32 2 5 2" xfId="26170" xr:uid="{00000000-0005-0000-0000-00005E030000}"/>
    <cellStyle name="Comma [0] 2 13 32 2 5 3" xfId="41662" xr:uid="{00000000-0005-0000-0000-00005F030000}"/>
    <cellStyle name="Comma [0] 2 13 32 2 6" xfId="18430" xr:uid="{00000000-0005-0000-0000-000060030000}"/>
    <cellStyle name="Comma [0] 2 13 32 2 7" xfId="33922" xr:uid="{00000000-0005-0000-0000-000061030000}"/>
    <cellStyle name="Comma [0] 2 13 32 3" xfId="3459" xr:uid="{00000000-0005-0000-0000-000062030000}"/>
    <cellStyle name="Comma [0] 2 13 32 3 2" xfId="5398" xr:uid="{00000000-0005-0000-0000-000063030000}"/>
    <cellStyle name="Comma [0] 2 13 32 3 2 2" xfId="9269" xr:uid="{00000000-0005-0000-0000-000064030000}"/>
    <cellStyle name="Comma [0] 2 13 32 3 2 2 2" xfId="17014" xr:uid="{00000000-0005-0000-0000-000065030000}"/>
    <cellStyle name="Comma [0] 2 13 32 3 2 2 2 2" xfId="32606" xr:uid="{00000000-0005-0000-0000-000066030000}"/>
    <cellStyle name="Comma [0] 2 13 32 3 2 2 2 3" xfId="48098" xr:uid="{00000000-0005-0000-0000-000067030000}"/>
    <cellStyle name="Comma [0] 2 13 32 3 2 2 3" xfId="24866" xr:uid="{00000000-0005-0000-0000-000068030000}"/>
    <cellStyle name="Comma [0] 2 13 32 3 2 2 4" xfId="40358" xr:uid="{00000000-0005-0000-0000-000069030000}"/>
    <cellStyle name="Comma [0] 2 13 32 3 2 3" xfId="13144" xr:uid="{00000000-0005-0000-0000-00006A030000}"/>
    <cellStyle name="Comma [0] 2 13 32 3 2 3 2" xfId="28736" xr:uid="{00000000-0005-0000-0000-00006B030000}"/>
    <cellStyle name="Comma [0] 2 13 32 3 2 3 3" xfId="44228" xr:uid="{00000000-0005-0000-0000-00006C030000}"/>
    <cellStyle name="Comma [0] 2 13 32 3 2 4" xfId="20996" xr:uid="{00000000-0005-0000-0000-00006D030000}"/>
    <cellStyle name="Comma [0] 2 13 32 3 2 5" xfId="36488" xr:uid="{00000000-0005-0000-0000-00006E030000}"/>
    <cellStyle name="Comma [0] 2 13 32 3 3" xfId="7342" xr:uid="{00000000-0005-0000-0000-00006F030000}"/>
    <cellStyle name="Comma [0] 2 13 32 3 3 2" xfId="15087" xr:uid="{00000000-0005-0000-0000-000070030000}"/>
    <cellStyle name="Comma [0] 2 13 32 3 3 2 2" xfId="30679" xr:uid="{00000000-0005-0000-0000-000071030000}"/>
    <cellStyle name="Comma [0] 2 13 32 3 3 2 3" xfId="46171" xr:uid="{00000000-0005-0000-0000-000072030000}"/>
    <cellStyle name="Comma [0] 2 13 32 3 3 3" xfId="22939" xr:uid="{00000000-0005-0000-0000-000073030000}"/>
    <cellStyle name="Comma [0] 2 13 32 3 3 4" xfId="38431" xr:uid="{00000000-0005-0000-0000-000074030000}"/>
    <cellStyle name="Comma [0] 2 13 32 3 4" xfId="11217" xr:uid="{00000000-0005-0000-0000-000075030000}"/>
    <cellStyle name="Comma [0] 2 13 32 3 4 2" xfId="26809" xr:uid="{00000000-0005-0000-0000-000076030000}"/>
    <cellStyle name="Comma [0] 2 13 32 3 4 3" xfId="42301" xr:uid="{00000000-0005-0000-0000-000077030000}"/>
    <cellStyle name="Comma [0] 2 13 32 3 5" xfId="19069" xr:uid="{00000000-0005-0000-0000-000078030000}"/>
    <cellStyle name="Comma [0] 2 13 32 3 6" xfId="34561" xr:uid="{00000000-0005-0000-0000-000079030000}"/>
    <cellStyle name="Comma [0] 2 13 32 4" xfId="4450" xr:uid="{00000000-0005-0000-0000-00007A030000}"/>
    <cellStyle name="Comma [0] 2 13 32 4 2" xfId="8321" xr:uid="{00000000-0005-0000-0000-00007B030000}"/>
    <cellStyle name="Comma [0] 2 13 32 4 2 2" xfId="16066" xr:uid="{00000000-0005-0000-0000-00007C030000}"/>
    <cellStyle name="Comma [0] 2 13 32 4 2 2 2" xfId="31658" xr:uid="{00000000-0005-0000-0000-00007D030000}"/>
    <cellStyle name="Comma [0] 2 13 32 4 2 2 3" xfId="47150" xr:uid="{00000000-0005-0000-0000-00007E030000}"/>
    <cellStyle name="Comma [0] 2 13 32 4 2 3" xfId="23918" xr:uid="{00000000-0005-0000-0000-00007F030000}"/>
    <cellStyle name="Comma [0] 2 13 32 4 2 4" xfId="39410" xr:uid="{00000000-0005-0000-0000-000080030000}"/>
    <cellStyle name="Comma [0] 2 13 32 4 3" xfId="12196" xr:uid="{00000000-0005-0000-0000-000081030000}"/>
    <cellStyle name="Comma [0] 2 13 32 4 3 2" xfId="27788" xr:uid="{00000000-0005-0000-0000-000082030000}"/>
    <cellStyle name="Comma [0] 2 13 32 4 3 3" xfId="43280" xr:uid="{00000000-0005-0000-0000-000083030000}"/>
    <cellStyle name="Comma [0] 2 13 32 4 4" xfId="20048" xr:uid="{00000000-0005-0000-0000-000084030000}"/>
    <cellStyle name="Comma [0] 2 13 32 4 5" xfId="35540" xr:uid="{00000000-0005-0000-0000-000085030000}"/>
    <cellStyle name="Comma [0] 2 13 32 5" xfId="6394" xr:uid="{00000000-0005-0000-0000-000086030000}"/>
    <cellStyle name="Comma [0] 2 13 32 5 2" xfId="14139" xr:uid="{00000000-0005-0000-0000-000087030000}"/>
    <cellStyle name="Comma [0] 2 13 32 5 2 2" xfId="29731" xr:uid="{00000000-0005-0000-0000-000088030000}"/>
    <cellStyle name="Comma [0] 2 13 32 5 2 3" xfId="45223" xr:uid="{00000000-0005-0000-0000-000089030000}"/>
    <cellStyle name="Comma [0] 2 13 32 5 3" xfId="21991" xr:uid="{00000000-0005-0000-0000-00008A030000}"/>
    <cellStyle name="Comma [0] 2 13 32 5 4" xfId="37483" xr:uid="{00000000-0005-0000-0000-00008B030000}"/>
    <cellStyle name="Comma [0] 2 13 32 6" xfId="10269" xr:uid="{00000000-0005-0000-0000-00008C030000}"/>
    <cellStyle name="Comma [0] 2 13 32 6 2" xfId="25861" xr:uid="{00000000-0005-0000-0000-00008D030000}"/>
    <cellStyle name="Comma [0] 2 13 32 6 3" xfId="41353" xr:uid="{00000000-0005-0000-0000-00008E030000}"/>
    <cellStyle name="Comma [0] 2 13 32 7" xfId="18121" xr:uid="{00000000-0005-0000-0000-00008F030000}"/>
    <cellStyle name="Comma [0] 2 13 32 8" xfId="33613" xr:uid="{00000000-0005-0000-0000-000090030000}"/>
    <cellStyle name="Comma [0] 2 13 33" xfId="2797" xr:uid="{00000000-0005-0000-0000-000091030000}"/>
    <cellStyle name="Comma [0] 2 13 33 2" xfId="3804" xr:uid="{00000000-0005-0000-0000-000092030000}"/>
    <cellStyle name="Comma [0] 2 13 33 2 2" xfId="5743" xr:uid="{00000000-0005-0000-0000-000093030000}"/>
    <cellStyle name="Comma [0] 2 13 33 2 2 2" xfId="9614" xr:uid="{00000000-0005-0000-0000-000094030000}"/>
    <cellStyle name="Comma [0] 2 13 33 2 2 2 2" xfId="17359" xr:uid="{00000000-0005-0000-0000-000095030000}"/>
    <cellStyle name="Comma [0] 2 13 33 2 2 2 2 2" xfId="32951" xr:uid="{00000000-0005-0000-0000-000096030000}"/>
    <cellStyle name="Comma [0] 2 13 33 2 2 2 2 3" xfId="48443" xr:uid="{00000000-0005-0000-0000-000097030000}"/>
    <cellStyle name="Comma [0] 2 13 33 2 2 2 3" xfId="25211" xr:uid="{00000000-0005-0000-0000-000098030000}"/>
    <cellStyle name="Comma [0] 2 13 33 2 2 2 4" xfId="40703" xr:uid="{00000000-0005-0000-0000-000099030000}"/>
    <cellStyle name="Comma [0] 2 13 33 2 2 3" xfId="13489" xr:uid="{00000000-0005-0000-0000-00009A030000}"/>
    <cellStyle name="Comma [0] 2 13 33 2 2 3 2" xfId="29081" xr:uid="{00000000-0005-0000-0000-00009B030000}"/>
    <cellStyle name="Comma [0] 2 13 33 2 2 3 3" xfId="44573" xr:uid="{00000000-0005-0000-0000-00009C030000}"/>
    <cellStyle name="Comma [0] 2 13 33 2 2 4" xfId="21341" xr:uid="{00000000-0005-0000-0000-00009D030000}"/>
    <cellStyle name="Comma [0] 2 13 33 2 2 5" xfId="36833" xr:uid="{00000000-0005-0000-0000-00009E030000}"/>
    <cellStyle name="Comma [0] 2 13 33 2 3" xfId="7687" xr:uid="{00000000-0005-0000-0000-00009F030000}"/>
    <cellStyle name="Comma [0] 2 13 33 2 3 2" xfId="15432" xr:uid="{00000000-0005-0000-0000-0000A0030000}"/>
    <cellStyle name="Comma [0] 2 13 33 2 3 2 2" xfId="31024" xr:uid="{00000000-0005-0000-0000-0000A1030000}"/>
    <cellStyle name="Comma [0] 2 13 33 2 3 2 3" xfId="46516" xr:uid="{00000000-0005-0000-0000-0000A2030000}"/>
    <cellStyle name="Comma [0] 2 13 33 2 3 3" xfId="23284" xr:uid="{00000000-0005-0000-0000-0000A3030000}"/>
    <cellStyle name="Comma [0] 2 13 33 2 3 4" xfId="38776" xr:uid="{00000000-0005-0000-0000-0000A4030000}"/>
    <cellStyle name="Comma [0] 2 13 33 2 4" xfId="11562" xr:uid="{00000000-0005-0000-0000-0000A5030000}"/>
    <cellStyle name="Comma [0] 2 13 33 2 4 2" xfId="27154" xr:uid="{00000000-0005-0000-0000-0000A6030000}"/>
    <cellStyle name="Comma [0] 2 13 33 2 4 3" xfId="42646" xr:uid="{00000000-0005-0000-0000-0000A7030000}"/>
    <cellStyle name="Comma [0] 2 13 33 2 5" xfId="19414" xr:uid="{00000000-0005-0000-0000-0000A8030000}"/>
    <cellStyle name="Comma [0] 2 13 33 2 6" xfId="34906" xr:uid="{00000000-0005-0000-0000-0000A9030000}"/>
    <cellStyle name="Comma [0] 2 13 33 3" xfId="4795" xr:uid="{00000000-0005-0000-0000-0000AA030000}"/>
    <cellStyle name="Comma [0] 2 13 33 3 2" xfId="8666" xr:uid="{00000000-0005-0000-0000-0000AB030000}"/>
    <cellStyle name="Comma [0] 2 13 33 3 2 2" xfId="16411" xr:uid="{00000000-0005-0000-0000-0000AC030000}"/>
    <cellStyle name="Comma [0] 2 13 33 3 2 2 2" xfId="32003" xr:uid="{00000000-0005-0000-0000-0000AD030000}"/>
    <cellStyle name="Comma [0] 2 13 33 3 2 2 3" xfId="47495" xr:uid="{00000000-0005-0000-0000-0000AE030000}"/>
    <cellStyle name="Comma [0] 2 13 33 3 2 3" xfId="24263" xr:uid="{00000000-0005-0000-0000-0000AF030000}"/>
    <cellStyle name="Comma [0] 2 13 33 3 2 4" xfId="39755" xr:uid="{00000000-0005-0000-0000-0000B0030000}"/>
    <cellStyle name="Comma [0] 2 13 33 3 3" xfId="12541" xr:uid="{00000000-0005-0000-0000-0000B1030000}"/>
    <cellStyle name="Comma [0] 2 13 33 3 3 2" xfId="28133" xr:uid="{00000000-0005-0000-0000-0000B2030000}"/>
    <cellStyle name="Comma [0] 2 13 33 3 3 3" xfId="43625" xr:uid="{00000000-0005-0000-0000-0000B3030000}"/>
    <cellStyle name="Comma [0] 2 13 33 3 4" xfId="20393" xr:uid="{00000000-0005-0000-0000-0000B4030000}"/>
    <cellStyle name="Comma [0] 2 13 33 3 5" xfId="35885" xr:uid="{00000000-0005-0000-0000-0000B5030000}"/>
    <cellStyle name="Comma [0] 2 13 33 4" xfId="6739" xr:uid="{00000000-0005-0000-0000-0000B6030000}"/>
    <cellStyle name="Comma [0] 2 13 33 4 2" xfId="14484" xr:uid="{00000000-0005-0000-0000-0000B7030000}"/>
    <cellStyle name="Comma [0] 2 13 33 4 2 2" xfId="30076" xr:uid="{00000000-0005-0000-0000-0000B8030000}"/>
    <cellStyle name="Comma [0] 2 13 33 4 2 3" xfId="45568" xr:uid="{00000000-0005-0000-0000-0000B9030000}"/>
    <cellStyle name="Comma [0] 2 13 33 4 3" xfId="22336" xr:uid="{00000000-0005-0000-0000-0000BA030000}"/>
    <cellStyle name="Comma [0] 2 13 33 4 4" xfId="37828" xr:uid="{00000000-0005-0000-0000-0000BB030000}"/>
    <cellStyle name="Comma [0] 2 13 33 5" xfId="10614" xr:uid="{00000000-0005-0000-0000-0000BC030000}"/>
    <cellStyle name="Comma [0] 2 13 33 5 2" xfId="26206" xr:uid="{00000000-0005-0000-0000-0000BD030000}"/>
    <cellStyle name="Comma [0] 2 13 33 5 3" xfId="41698" xr:uid="{00000000-0005-0000-0000-0000BE030000}"/>
    <cellStyle name="Comma [0] 2 13 33 6" xfId="18466" xr:uid="{00000000-0005-0000-0000-0000BF030000}"/>
    <cellStyle name="Comma [0] 2 13 33 7" xfId="33958" xr:uid="{00000000-0005-0000-0000-0000C0030000}"/>
    <cellStyle name="Comma [0] 2 13 34" xfId="2836" xr:uid="{00000000-0005-0000-0000-0000C1030000}"/>
    <cellStyle name="Comma [0] 2 13 34 2" xfId="3842" xr:uid="{00000000-0005-0000-0000-0000C2030000}"/>
    <cellStyle name="Comma [0] 2 13 34 2 2" xfId="5781" xr:uid="{00000000-0005-0000-0000-0000C3030000}"/>
    <cellStyle name="Comma [0] 2 13 34 2 2 2" xfId="9652" xr:uid="{00000000-0005-0000-0000-0000C4030000}"/>
    <cellStyle name="Comma [0] 2 13 34 2 2 2 2" xfId="17397" xr:uid="{00000000-0005-0000-0000-0000C5030000}"/>
    <cellStyle name="Comma [0] 2 13 34 2 2 2 2 2" xfId="32989" xr:uid="{00000000-0005-0000-0000-0000C6030000}"/>
    <cellStyle name="Comma [0] 2 13 34 2 2 2 2 3" xfId="48481" xr:uid="{00000000-0005-0000-0000-0000C7030000}"/>
    <cellStyle name="Comma [0] 2 13 34 2 2 2 3" xfId="25249" xr:uid="{00000000-0005-0000-0000-0000C8030000}"/>
    <cellStyle name="Comma [0] 2 13 34 2 2 2 4" xfId="40741" xr:uid="{00000000-0005-0000-0000-0000C9030000}"/>
    <cellStyle name="Comma [0] 2 13 34 2 2 3" xfId="13527" xr:uid="{00000000-0005-0000-0000-0000CA030000}"/>
    <cellStyle name="Comma [0] 2 13 34 2 2 3 2" xfId="29119" xr:uid="{00000000-0005-0000-0000-0000CB030000}"/>
    <cellStyle name="Comma [0] 2 13 34 2 2 3 3" xfId="44611" xr:uid="{00000000-0005-0000-0000-0000CC030000}"/>
    <cellStyle name="Comma [0] 2 13 34 2 2 4" xfId="21379" xr:uid="{00000000-0005-0000-0000-0000CD030000}"/>
    <cellStyle name="Comma [0] 2 13 34 2 2 5" xfId="36871" xr:uid="{00000000-0005-0000-0000-0000CE030000}"/>
    <cellStyle name="Comma [0] 2 13 34 2 3" xfId="7725" xr:uid="{00000000-0005-0000-0000-0000CF030000}"/>
    <cellStyle name="Comma [0] 2 13 34 2 3 2" xfId="15470" xr:uid="{00000000-0005-0000-0000-0000D0030000}"/>
    <cellStyle name="Comma [0] 2 13 34 2 3 2 2" xfId="31062" xr:uid="{00000000-0005-0000-0000-0000D1030000}"/>
    <cellStyle name="Comma [0] 2 13 34 2 3 2 3" xfId="46554" xr:uid="{00000000-0005-0000-0000-0000D2030000}"/>
    <cellStyle name="Comma [0] 2 13 34 2 3 3" xfId="23322" xr:uid="{00000000-0005-0000-0000-0000D3030000}"/>
    <cellStyle name="Comma [0] 2 13 34 2 3 4" xfId="38814" xr:uid="{00000000-0005-0000-0000-0000D4030000}"/>
    <cellStyle name="Comma [0] 2 13 34 2 4" xfId="11600" xr:uid="{00000000-0005-0000-0000-0000D5030000}"/>
    <cellStyle name="Comma [0] 2 13 34 2 4 2" xfId="27192" xr:uid="{00000000-0005-0000-0000-0000D6030000}"/>
    <cellStyle name="Comma [0] 2 13 34 2 4 3" xfId="42684" xr:uid="{00000000-0005-0000-0000-0000D7030000}"/>
    <cellStyle name="Comma [0] 2 13 34 2 5" xfId="19452" xr:uid="{00000000-0005-0000-0000-0000D8030000}"/>
    <cellStyle name="Comma [0] 2 13 34 2 6" xfId="34944" xr:uid="{00000000-0005-0000-0000-0000D9030000}"/>
    <cellStyle name="Comma [0] 2 13 34 3" xfId="4833" xr:uid="{00000000-0005-0000-0000-0000DA030000}"/>
    <cellStyle name="Comma [0] 2 13 34 3 2" xfId="8704" xr:uid="{00000000-0005-0000-0000-0000DB030000}"/>
    <cellStyle name="Comma [0] 2 13 34 3 2 2" xfId="16449" xr:uid="{00000000-0005-0000-0000-0000DC030000}"/>
    <cellStyle name="Comma [0] 2 13 34 3 2 2 2" xfId="32041" xr:uid="{00000000-0005-0000-0000-0000DD030000}"/>
    <cellStyle name="Comma [0] 2 13 34 3 2 2 3" xfId="47533" xr:uid="{00000000-0005-0000-0000-0000DE030000}"/>
    <cellStyle name="Comma [0] 2 13 34 3 2 3" xfId="24301" xr:uid="{00000000-0005-0000-0000-0000DF030000}"/>
    <cellStyle name="Comma [0] 2 13 34 3 2 4" xfId="39793" xr:uid="{00000000-0005-0000-0000-0000E0030000}"/>
    <cellStyle name="Comma [0] 2 13 34 3 3" xfId="12579" xr:uid="{00000000-0005-0000-0000-0000E1030000}"/>
    <cellStyle name="Comma [0] 2 13 34 3 3 2" xfId="28171" xr:uid="{00000000-0005-0000-0000-0000E2030000}"/>
    <cellStyle name="Comma [0] 2 13 34 3 3 3" xfId="43663" xr:uid="{00000000-0005-0000-0000-0000E3030000}"/>
    <cellStyle name="Comma [0] 2 13 34 3 4" xfId="20431" xr:uid="{00000000-0005-0000-0000-0000E4030000}"/>
    <cellStyle name="Comma [0] 2 13 34 3 5" xfId="35923" xr:uid="{00000000-0005-0000-0000-0000E5030000}"/>
    <cellStyle name="Comma [0] 2 13 34 4" xfId="6777" xr:uid="{00000000-0005-0000-0000-0000E6030000}"/>
    <cellStyle name="Comma [0] 2 13 34 4 2" xfId="14522" xr:uid="{00000000-0005-0000-0000-0000E7030000}"/>
    <cellStyle name="Comma [0] 2 13 34 4 2 2" xfId="30114" xr:uid="{00000000-0005-0000-0000-0000E8030000}"/>
    <cellStyle name="Comma [0] 2 13 34 4 2 3" xfId="45606" xr:uid="{00000000-0005-0000-0000-0000E9030000}"/>
    <cellStyle name="Comma [0] 2 13 34 4 3" xfId="22374" xr:uid="{00000000-0005-0000-0000-0000EA030000}"/>
    <cellStyle name="Comma [0] 2 13 34 4 4" xfId="37866" xr:uid="{00000000-0005-0000-0000-0000EB030000}"/>
    <cellStyle name="Comma [0] 2 13 34 5" xfId="10652" xr:uid="{00000000-0005-0000-0000-0000EC030000}"/>
    <cellStyle name="Comma [0] 2 13 34 5 2" xfId="26244" xr:uid="{00000000-0005-0000-0000-0000ED030000}"/>
    <cellStyle name="Comma [0] 2 13 34 5 3" xfId="41736" xr:uid="{00000000-0005-0000-0000-0000EE030000}"/>
    <cellStyle name="Comma [0] 2 13 34 6" xfId="18504" xr:uid="{00000000-0005-0000-0000-0000EF030000}"/>
    <cellStyle name="Comma [0] 2 13 34 7" xfId="33996" xr:uid="{00000000-0005-0000-0000-0000F0030000}"/>
    <cellStyle name="Comma [0] 2 13 35" xfId="2873" xr:uid="{00000000-0005-0000-0000-0000F1030000}"/>
    <cellStyle name="Comma [0] 2 13 35 2" xfId="3878" xr:uid="{00000000-0005-0000-0000-0000F2030000}"/>
    <cellStyle name="Comma [0] 2 13 35 2 2" xfId="5817" xr:uid="{00000000-0005-0000-0000-0000F3030000}"/>
    <cellStyle name="Comma [0] 2 13 35 2 2 2" xfId="9688" xr:uid="{00000000-0005-0000-0000-0000F4030000}"/>
    <cellStyle name="Comma [0] 2 13 35 2 2 2 2" xfId="17433" xr:uid="{00000000-0005-0000-0000-0000F5030000}"/>
    <cellStyle name="Comma [0] 2 13 35 2 2 2 2 2" xfId="33025" xr:uid="{00000000-0005-0000-0000-0000F6030000}"/>
    <cellStyle name="Comma [0] 2 13 35 2 2 2 2 3" xfId="48517" xr:uid="{00000000-0005-0000-0000-0000F7030000}"/>
    <cellStyle name="Comma [0] 2 13 35 2 2 2 3" xfId="25285" xr:uid="{00000000-0005-0000-0000-0000F8030000}"/>
    <cellStyle name="Comma [0] 2 13 35 2 2 2 4" xfId="40777" xr:uid="{00000000-0005-0000-0000-0000F9030000}"/>
    <cellStyle name="Comma [0] 2 13 35 2 2 3" xfId="13563" xr:uid="{00000000-0005-0000-0000-0000FA030000}"/>
    <cellStyle name="Comma [0] 2 13 35 2 2 3 2" xfId="29155" xr:uid="{00000000-0005-0000-0000-0000FB030000}"/>
    <cellStyle name="Comma [0] 2 13 35 2 2 3 3" xfId="44647" xr:uid="{00000000-0005-0000-0000-0000FC030000}"/>
    <cellStyle name="Comma [0] 2 13 35 2 2 4" xfId="21415" xr:uid="{00000000-0005-0000-0000-0000FD030000}"/>
    <cellStyle name="Comma [0] 2 13 35 2 2 5" xfId="36907" xr:uid="{00000000-0005-0000-0000-0000FE030000}"/>
    <cellStyle name="Comma [0] 2 13 35 2 3" xfId="7761" xr:uid="{00000000-0005-0000-0000-0000FF030000}"/>
    <cellStyle name="Comma [0] 2 13 35 2 3 2" xfId="15506" xr:uid="{00000000-0005-0000-0000-000000040000}"/>
    <cellStyle name="Comma [0] 2 13 35 2 3 2 2" xfId="31098" xr:uid="{00000000-0005-0000-0000-000001040000}"/>
    <cellStyle name="Comma [0] 2 13 35 2 3 2 3" xfId="46590" xr:uid="{00000000-0005-0000-0000-000002040000}"/>
    <cellStyle name="Comma [0] 2 13 35 2 3 3" xfId="23358" xr:uid="{00000000-0005-0000-0000-000003040000}"/>
    <cellStyle name="Comma [0] 2 13 35 2 3 4" xfId="38850" xr:uid="{00000000-0005-0000-0000-000004040000}"/>
    <cellStyle name="Comma [0] 2 13 35 2 4" xfId="11636" xr:uid="{00000000-0005-0000-0000-000005040000}"/>
    <cellStyle name="Comma [0] 2 13 35 2 4 2" xfId="27228" xr:uid="{00000000-0005-0000-0000-000006040000}"/>
    <cellStyle name="Comma [0] 2 13 35 2 4 3" xfId="42720" xr:uid="{00000000-0005-0000-0000-000007040000}"/>
    <cellStyle name="Comma [0] 2 13 35 2 5" xfId="19488" xr:uid="{00000000-0005-0000-0000-000008040000}"/>
    <cellStyle name="Comma [0] 2 13 35 2 6" xfId="34980" xr:uid="{00000000-0005-0000-0000-000009040000}"/>
    <cellStyle name="Comma [0] 2 13 35 3" xfId="4869" xr:uid="{00000000-0005-0000-0000-00000A040000}"/>
    <cellStyle name="Comma [0] 2 13 35 3 2" xfId="8740" xr:uid="{00000000-0005-0000-0000-00000B040000}"/>
    <cellStyle name="Comma [0] 2 13 35 3 2 2" xfId="16485" xr:uid="{00000000-0005-0000-0000-00000C040000}"/>
    <cellStyle name="Comma [0] 2 13 35 3 2 2 2" xfId="32077" xr:uid="{00000000-0005-0000-0000-00000D040000}"/>
    <cellStyle name="Comma [0] 2 13 35 3 2 2 3" xfId="47569" xr:uid="{00000000-0005-0000-0000-00000E040000}"/>
    <cellStyle name="Comma [0] 2 13 35 3 2 3" xfId="24337" xr:uid="{00000000-0005-0000-0000-00000F040000}"/>
    <cellStyle name="Comma [0] 2 13 35 3 2 4" xfId="39829" xr:uid="{00000000-0005-0000-0000-000010040000}"/>
    <cellStyle name="Comma [0] 2 13 35 3 3" xfId="12615" xr:uid="{00000000-0005-0000-0000-000011040000}"/>
    <cellStyle name="Comma [0] 2 13 35 3 3 2" xfId="28207" xr:uid="{00000000-0005-0000-0000-000012040000}"/>
    <cellStyle name="Comma [0] 2 13 35 3 3 3" xfId="43699" xr:uid="{00000000-0005-0000-0000-000013040000}"/>
    <cellStyle name="Comma [0] 2 13 35 3 4" xfId="20467" xr:uid="{00000000-0005-0000-0000-000014040000}"/>
    <cellStyle name="Comma [0] 2 13 35 3 5" xfId="35959" xr:uid="{00000000-0005-0000-0000-000015040000}"/>
    <cellStyle name="Comma [0] 2 13 35 4" xfId="6813" xr:uid="{00000000-0005-0000-0000-000016040000}"/>
    <cellStyle name="Comma [0] 2 13 35 4 2" xfId="14558" xr:uid="{00000000-0005-0000-0000-000017040000}"/>
    <cellStyle name="Comma [0] 2 13 35 4 2 2" xfId="30150" xr:uid="{00000000-0005-0000-0000-000018040000}"/>
    <cellStyle name="Comma [0] 2 13 35 4 2 3" xfId="45642" xr:uid="{00000000-0005-0000-0000-000019040000}"/>
    <cellStyle name="Comma [0] 2 13 35 4 3" xfId="22410" xr:uid="{00000000-0005-0000-0000-00001A040000}"/>
    <cellStyle name="Comma [0] 2 13 35 4 4" xfId="37902" xr:uid="{00000000-0005-0000-0000-00001B040000}"/>
    <cellStyle name="Comma [0] 2 13 35 5" xfId="10688" xr:uid="{00000000-0005-0000-0000-00001C040000}"/>
    <cellStyle name="Comma [0] 2 13 35 5 2" xfId="26280" xr:uid="{00000000-0005-0000-0000-00001D040000}"/>
    <cellStyle name="Comma [0] 2 13 35 5 3" xfId="41772" xr:uid="{00000000-0005-0000-0000-00001E040000}"/>
    <cellStyle name="Comma [0] 2 13 35 6" xfId="18540" xr:uid="{00000000-0005-0000-0000-00001F040000}"/>
    <cellStyle name="Comma [0] 2 13 35 7" xfId="34032" xr:uid="{00000000-0005-0000-0000-000020040000}"/>
    <cellStyle name="Comma [0] 2 13 36" xfId="2910" xr:uid="{00000000-0005-0000-0000-000021040000}"/>
    <cellStyle name="Comma [0] 2 13 36 2" xfId="3914" xr:uid="{00000000-0005-0000-0000-000022040000}"/>
    <cellStyle name="Comma [0] 2 13 36 2 2" xfId="5853" xr:uid="{00000000-0005-0000-0000-000023040000}"/>
    <cellStyle name="Comma [0] 2 13 36 2 2 2" xfId="9724" xr:uid="{00000000-0005-0000-0000-000024040000}"/>
    <cellStyle name="Comma [0] 2 13 36 2 2 2 2" xfId="17469" xr:uid="{00000000-0005-0000-0000-000025040000}"/>
    <cellStyle name="Comma [0] 2 13 36 2 2 2 2 2" xfId="33061" xr:uid="{00000000-0005-0000-0000-000026040000}"/>
    <cellStyle name="Comma [0] 2 13 36 2 2 2 2 3" xfId="48553" xr:uid="{00000000-0005-0000-0000-000027040000}"/>
    <cellStyle name="Comma [0] 2 13 36 2 2 2 3" xfId="25321" xr:uid="{00000000-0005-0000-0000-000028040000}"/>
    <cellStyle name="Comma [0] 2 13 36 2 2 2 4" xfId="40813" xr:uid="{00000000-0005-0000-0000-000029040000}"/>
    <cellStyle name="Comma [0] 2 13 36 2 2 3" xfId="13599" xr:uid="{00000000-0005-0000-0000-00002A040000}"/>
    <cellStyle name="Comma [0] 2 13 36 2 2 3 2" xfId="29191" xr:uid="{00000000-0005-0000-0000-00002B040000}"/>
    <cellStyle name="Comma [0] 2 13 36 2 2 3 3" xfId="44683" xr:uid="{00000000-0005-0000-0000-00002C040000}"/>
    <cellStyle name="Comma [0] 2 13 36 2 2 4" xfId="21451" xr:uid="{00000000-0005-0000-0000-00002D040000}"/>
    <cellStyle name="Comma [0] 2 13 36 2 2 5" xfId="36943" xr:uid="{00000000-0005-0000-0000-00002E040000}"/>
    <cellStyle name="Comma [0] 2 13 36 2 3" xfId="7797" xr:uid="{00000000-0005-0000-0000-00002F040000}"/>
    <cellStyle name="Comma [0] 2 13 36 2 3 2" xfId="15542" xr:uid="{00000000-0005-0000-0000-000030040000}"/>
    <cellStyle name="Comma [0] 2 13 36 2 3 2 2" xfId="31134" xr:uid="{00000000-0005-0000-0000-000031040000}"/>
    <cellStyle name="Comma [0] 2 13 36 2 3 2 3" xfId="46626" xr:uid="{00000000-0005-0000-0000-000032040000}"/>
    <cellStyle name="Comma [0] 2 13 36 2 3 3" xfId="23394" xr:uid="{00000000-0005-0000-0000-000033040000}"/>
    <cellStyle name="Comma [0] 2 13 36 2 3 4" xfId="38886" xr:uid="{00000000-0005-0000-0000-000034040000}"/>
    <cellStyle name="Comma [0] 2 13 36 2 4" xfId="11672" xr:uid="{00000000-0005-0000-0000-000035040000}"/>
    <cellStyle name="Comma [0] 2 13 36 2 4 2" xfId="27264" xr:uid="{00000000-0005-0000-0000-000036040000}"/>
    <cellStyle name="Comma [0] 2 13 36 2 4 3" xfId="42756" xr:uid="{00000000-0005-0000-0000-000037040000}"/>
    <cellStyle name="Comma [0] 2 13 36 2 5" xfId="19524" xr:uid="{00000000-0005-0000-0000-000038040000}"/>
    <cellStyle name="Comma [0] 2 13 36 2 6" xfId="35016" xr:uid="{00000000-0005-0000-0000-000039040000}"/>
    <cellStyle name="Comma [0] 2 13 36 3" xfId="4905" xr:uid="{00000000-0005-0000-0000-00003A040000}"/>
    <cellStyle name="Comma [0] 2 13 36 3 2" xfId="8776" xr:uid="{00000000-0005-0000-0000-00003B040000}"/>
    <cellStyle name="Comma [0] 2 13 36 3 2 2" xfId="16521" xr:uid="{00000000-0005-0000-0000-00003C040000}"/>
    <cellStyle name="Comma [0] 2 13 36 3 2 2 2" xfId="32113" xr:uid="{00000000-0005-0000-0000-00003D040000}"/>
    <cellStyle name="Comma [0] 2 13 36 3 2 2 3" xfId="47605" xr:uid="{00000000-0005-0000-0000-00003E040000}"/>
    <cellStyle name="Comma [0] 2 13 36 3 2 3" xfId="24373" xr:uid="{00000000-0005-0000-0000-00003F040000}"/>
    <cellStyle name="Comma [0] 2 13 36 3 2 4" xfId="39865" xr:uid="{00000000-0005-0000-0000-000040040000}"/>
    <cellStyle name="Comma [0] 2 13 36 3 3" xfId="12651" xr:uid="{00000000-0005-0000-0000-000041040000}"/>
    <cellStyle name="Comma [0] 2 13 36 3 3 2" xfId="28243" xr:uid="{00000000-0005-0000-0000-000042040000}"/>
    <cellStyle name="Comma [0] 2 13 36 3 3 3" xfId="43735" xr:uid="{00000000-0005-0000-0000-000043040000}"/>
    <cellStyle name="Comma [0] 2 13 36 3 4" xfId="20503" xr:uid="{00000000-0005-0000-0000-000044040000}"/>
    <cellStyle name="Comma [0] 2 13 36 3 5" xfId="35995" xr:uid="{00000000-0005-0000-0000-000045040000}"/>
    <cellStyle name="Comma [0] 2 13 36 4" xfId="6849" xr:uid="{00000000-0005-0000-0000-000046040000}"/>
    <cellStyle name="Comma [0] 2 13 36 4 2" xfId="14594" xr:uid="{00000000-0005-0000-0000-000047040000}"/>
    <cellStyle name="Comma [0] 2 13 36 4 2 2" xfId="30186" xr:uid="{00000000-0005-0000-0000-000048040000}"/>
    <cellStyle name="Comma [0] 2 13 36 4 2 3" xfId="45678" xr:uid="{00000000-0005-0000-0000-000049040000}"/>
    <cellStyle name="Comma [0] 2 13 36 4 3" xfId="22446" xr:uid="{00000000-0005-0000-0000-00004A040000}"/>
    <cellStyle name="Comma [0] 2 13 36 4 4" xfId="37938" xr:uid="{00000000-0005-0000-0000-00004B040000}"/>
    <cellStyle name="Comma [0] 2 13 36 5" xfId="10724" xr:uid="{00000000-0005-0000-0000-00004C040000}"/>
    <cellStyle name="Comma [0] 2 13 36 5 2" xfId="26316" xr:uid="{00000000-0005-0000-0000-00004D040000}"/>
    <cellStyle name="Comma [0] 2 13 36 5 3" xfId="41808" xr:uid="{00000000-0005-0000-0000-00004E040000}"/>
    <cellStyle name="Comma [0] 2 13 36 6" xfId="18576" xr:uid="{00000000-0005-0000-0000-00004F040000}"/>
    <cellStyle name="Comma [0] 2 13 36 7" xfId="34068" xr:uid="{00000000-0005-0000-0000-000050040000}"/>
    <cellStyle name="Comma [0] 2 13 37" xfId="2949" xr:uid="{00000000-0005-0000-0000-000051040000}"/>
    <cellStyle name="Comma [0] 2 13 37 2" xfId="3950" xr:uid="{00000000-0005-0000-0000-000052040000}"/>
    <cellStyle name="Comma [0] 2 13 37 2 2" xfId="5889" xr:uid="{00000000-0005-0000-0000-000053040000}"/>
    <cellStyle name="Comma [0] 2 13 37 2 2 2" xfId="9760" xr:uid="{00000000-0005-0000-0000-000054040000}"/>
    <cellStyle name="Comma [0] 2 13 37 2 2 2 2" xfId="17505" xr:uid="{00000000-0005-0000-0000-000055040000}"/>
    <cellStyle name="Comma [0] 2 13 37 2 2 2 2 2" xfId="33097" xr:uid="{00000000-0005-0000-0000-000056040000}"/>
    <cellStyle name="Comma [0] 2 13 37 2 2 2 2 3" xfId="48589" xr:uid="{00000000-0005-0000-0000-000057040000}"/>
    <cellStyle name="Comma [0] 2 13 37 2 2 2 3" xfId="25357" xr:uid="{00000000-0005-0000-0000-000058040000}"/>
    <cellStyle name="Comma [0] 2 13 37 2 2 2 4" xfId="40849" xr:uid="{00000000-0005-0000-0000-000059040000}"/>
    <cellStyle name="Comma [0] 2 13 37 2 2 3" xfId="13635" xr:uid="{00000000-0005-0000-0000-00005A040000}"/>
    <cellStyle name="Comma [0] 2 13 37 2 2 3 2" xfId="29227" xr:uid="{00000000-0005-0000-0000-00005B040000}"/>
    <cellStyle name="Comma [0] 2 13 37 2 2 3 3" xfId="44719" xr:uid="{00000000-0005-0000-0000-00005C040000}"/>
    <cellStyle name="Comma [0] 2 13 37 2 2 4" xfId="21487" xr:uid="{00000000-0005-0000-0000-00005D040000}"/>
    <cellStyle name="Comma [0] 2 13 37 2 2 5" xfId="36979" xr:uid="{00000000-0005-0000-0000-00005E040000}"/>
    <cellStyle name="Comma [0] 2 13 37 2 3" xfId="7833" xr:uid="{00000000-0005-0000-0000-00005F040000}"/>
    <cellStyle name="Comma [0] 2 13 37 2 3 2" xfId="15578" xr:uid="{00000000-0005-0000-0000-000060040000}"/>
    <cellStyle name="Comma [0] 2 13 37 2 3 2 2" xfId="31170" xr:uid="{00000000-0005-0000-0000-000061040000}"/>
    <cellStyle name="Comma [0] 2 13 37 2 3 2 3" xfId="46662" xr:uid="{00000000-0005-0000-0000-000062040000}"/>
    <cellStyle name="Comma [0] 2 13 37 2 3 3" xfId="23430" xr:uid="{00000000-0005-0000-0000-000063040000}"/>
    <cellStyle name="Comma [0] 2 13 37 2 3 4" xfId="38922" xr:uid="{00000000-0005-0000-0000-000064040000}"/>
    <cellStyle name="Comma [0] 2 13 37 2 4" xfId="11708" xr:uid="{00000000-0005-0000-0000-000065040000}"/>
    <cellStyle name="Comma [0] 2 13 37 2 4 2" xfId="27300" xr:uid="{00000000-0005-0000-0000-000066040000}"/>
    <cellStyle name="Comma [0] 2 13 37 2 4 3" xfId="42792" xr:uid="{00000000-0005-0000-0000-000067040000}"/>
    <cellStyle name="Comma [0] 2 13 37 2 5" xfId="19560" xr:uid="{00000000-0005-0000-0000-000068040000}"/>
    <cellStyle name="Comma [0] 2 13 37 2 6" xfId="35052" xr:uid="{00000000-0005-0000-0000-000069040000}"/>
    <cellStyle name="Comma [0] 2 13 37 3" xfId="4941" xr:uid="{00000000-0005-0000-0000-00006A040000}"/>
    <cellStyle name="Comma [0] 2 13 37 3 2" xfId="8812" xr:uid="{00000000-0005-0000-0000-00006B040000}"/>
    <cellStyle name="Comma [0] 2 13 37 3 2 2" xfId="16557" xr:uid="{00000000-0005-0000-0000-00006C040000}"/>
    <cellStyle name="Comma [0] 2 13 37 3 2 2 2" xfId="32149" xr:uid="{00000000-0005-0000-0000-00006D040000}"/>
    <cellStyle name="Comma [0] 2 13 37 3 2 2 3" xfId="47641" xr:uid="{00000000-0005-0000-0000-00006E040000}"/>
    <cellStyle name="Comma [0] 2 13 37 3 2 3" xfId="24409" xr:uid="{00000000-0005-0000-0000-00006F040000}"/>
    <cellStyle name="Comma [0] 2 13 37 3 2 4" xfId="39901" xr:uid="{00000000-0005-0000-0000-000070040000}"/>
    <cellStyle name="Comma [0] 2 13 37 3 3" xfId="12687" xr:uid="{00000000-0005-0000-0000-000071040000}"/>
    <cellStyle name="Comma [0] 2 13 37 3 3 2" xfId="28279" xr:uid="{00000000-0005-0000-0000-000072040000}"/>
    <cellStyle name="Comma [0] 2 13 37 3 3 3" xfId="43771" xr:uid="{00000000-0005-0000-0000-000073040000}"/>
    <cellStyle name="Comma [0] 2 13 37 3 4" xfId="20539" xr:uid="{00000000-0005-0000-0000-000074040000}"/>
    <cellStyle name="Comma [0] 2 13 37 3 5" xfId="36031" xr:uid="{00000000-0005-0000-0000-000075040000}"/>
    <cellStyle name="Comma [0] 2 13 37 4" xfId="6885" xr:uid="{00000000-0005-0000-0000-000076040000}"/>
    <cellStyle name="Comma [0] 2 13 37 4 2" xfId="14630" xr:uid="{00000000-0005-0000-0000-000077040000}"/>
    <cellStyle name="Comma [0] 2 13 37 4 2 2" xfId="30222" xr:uid="{00000000-0005-0000-0000-000078040000}"/>
    <cellStyle name="Comma [0] 2 13 37 4 2 3" xfId="45714" xr:uid="{00000000-0005-0000-0000-000079040000}"/>
    <cellStyle name="Comma [0] 2 13 37 4 3" xfId="22482" xr:uid="{00000000-0005-0000-0000-00007A040000}"/>
    <cellStyle name="Comma [0] 2 13 37 4 4" xfId="37974" xr:uid="{00000000-0005-0000-0000-00007B040000}"/>
    <cellStyle name="Comma [0] 2 13 37 5" xfId="10760" xr:uid="{00000000-0005-0000-0000-00007C040000}"/>
    <cellStyle name="Comma [0] 2 13 37 5 2" xfId="26352" xr:uid="{00000000-0005-0000-0000-00007D040000}"/>
    <cellStyle name="Comma [0] 2 13 37 5 3" xfId="41844" xr:uid="{00000000-0005-0000-0000-00007E040000}"/>
    <cellStyle name="Comma [0] 2 13 37 6" xfId="18612" xr:uid="{00000000-0005-0000-0000-00007F040000}"/>
    <cellStyle name="Comma [0] 2 13 37 7" xfId="34104" xr:uid="{00000000-0005-0000-0000-000080040000}"/>
    <cellStyle name="Comma [0] 2 13 38" xfId="2989" xr:uid="{00000000-0005-0000-0000-000081040000}"/>
    <cellStyle name="Comma [0] 2 13 38 2" xfId="3986" xr:uid="{00000000-0005-0000-0000-000082040000}"/>
    <cellStyle name="Comma [0] 2 13 38 2 2" xfId="5925" xr:uid="{00000000-0005-0000-0000-000083040000}"/>
    <cellStyle name="Comma [0] 2 13 38 2 2 2" xfId="9796" xr:uid="{00000000-0005-0000-0000-000084040000}"/>
    <cellStyle name="Comma [0] 2 13 38 2 2 2 2" xfId="17541" xr:uid="{00000000-0005-0000-0000-000085040000}"/>
    <cellStyle name="Comma [0] 2 13 38 2 2 2 2 2" xfId="33133" xr:uid="{00000000-0005-0000-0000-000086040000}"/>
    <cellStyle name="Comma [0] 2 13 38 2 2 2 2 3" xfId="48625" xr:uid="{00000000-0005-0000-0000-000087040000}"/>
    <cellStyle name="Comma [0] 2 13 38 2 2 2 3" xfId="25393" xr:uid="{00000000-0005-0000-0000-000088040000}"/>
    <cellStyle name="Comma [0] 2 13 38 2 2 2 4" xfId="40885" xr:uid="{00000000-0005-0000-0000-000089040000}"/>
    <cellStyle name="Comma [0] 2 13 38 2 2 3" xfId="13671" xr:uid="{00000000-0005-0000-0000-00008A040000}"/>
    <cellStyle name="Comma [0] 2 13 38 2 2 3 2" xfId="29263" xr:uid="{00000000-0005-0000-0000-00008B040000}"/>
    <cellStyle name="Comma [0] 2 13 38 2 2 3 3" xfId="44755" xr:uid="{00000000-0005-0000-0000-00008C040000}"/>
    <cellStyle name="Comma [0] 2 13 38 2 2 4" xfId="21523" xr:uid="{00000000-0005-0000-0000-00008D040000}"/>
    <cellStyle name="Comma [0] 2 13 38 2 2 5" xfId="37015" xr:uid="{00000000-0005-0000-0000-00008E040000}"/>
    <cellStyle name="Comma [0] 2 13 38 2 3" xfId="7869" xr:uid="{00000000-0005-0000-0000-00008F040000}"/>
    <cellStyle name="Comma [0] 2 13 38 2 3 2" xfId="15614" xr:uid="{00000000-0005-0000-0000-000090040000}"/>
    <cellStyle name="Comma [0] 2 13 38 2 3 2 2" xfId="31206" xr:uid="{00000000-0005-0000-0000-000091040000}"/>
    <cellStyle name="Comma [0] 2 13 38 2 3 2 3" xfId="46698" xr:uid="{00000000-0005-0000-0000-000092040000}"/>
    <cellStyle name="Comma [0] 2 13 38 2 3 3" xfId="23466" xr:uid="{00000000-0005-0000-0000-000093040000}"/>
    <cellStyle name="Comma [0] 2 13 38 2 3 4" xfId="38958" xr:uid="{00000000-0005-0000-0000-000094040000}"/>
    <cellStyle name="Comma [0] 2 13 38 2 4" xfId="11744" xr:uid="{00000000-0005-0000-0000-000095040000}"/>
    <cellStyle name="Comma [0] 2 13 38 2 4 2" xfId="27336" xr:uid="{00000000-0005-0000-0000-000096040000}"/>
    <cellStyle name="Comma [0] 2 13 38 2 4 3" xfId="42828" xr:uid="{00000000-0005-0000-0000-000097040000}"/>
    <cellStyle name="Comma [0] 2 13 38 2 5" xfId="19596" xr:uid="{00000000-0005-0000-0000-000098040000}"/>
    <cellStyle name="Comma [0] 2 13 38 2 6" xfId="35088" xr:uid="{00000000-0005-0000-0000-000099040000}"/>
    <cellStyle name="Comma [0] 2 13 38 3" xfId="4977" xr:uid="{00000000-0005-0000-0000-00009A040000}"/>
    <cellStyle name="Comma [0] 2 13 38 3 2" xfId="8848" xr:uid="{00000000-0005-0000-0000-00009B040000}"/>
    <cellStyle name="Comma [0] 2 13 38 3 2 2" xfId="16593" xr:uid="{00000000-0005-0000-0000-00009C040000}"/>
    <cellStyle name="Comma [0] 2 13 38 3 2 2 2" xfId="32185" xr:uid="{00000000-0005-0000-0000-00009D040000}"/>
    <cellStyle name="Comma [0] 2 13 38 3 2 2 3" xfId="47677" xr:uid="{00000000-0005-0000-0000-00009E040000}"/>
    <cellStyle name="Comma [0] 2 13 38 3 2 3" xfId="24445" xr:uid="{00000000-0005-0000-0000-00009F040000}"/>
    <cellStyle name="Comma [0] 2 13 38 3 2 4" xfId="39937" xr:uid="{00000000-0005-0000-0000-0000A0040000}"/>
    <cellStyle name="Comma [0] 2 13 38 3 3" xfId="12723" xr:uid="{00000000-0005-0000-0000-0000A1040000}"/>
    <cellStyle name="Comma [0] 2 13 38 3 3 2" xfId="28315" xr:uid="{00000000-0005-0000-0000-0000A2040000}"/>
    <cellStyle name="Comma [0] 2 13 38 3 3 3" xfId="43807" xr:uid="{00000000-0005-0000-0000-0000A3040000}"/>
    <cellStyle name="Comma [0] 2 13 38 3 4" xfId="20575" xr:uid="{00000000-0005-0000-0000-0000A4040000}"/>
    <cellStyle name="Comma [0] 2 13 38 3 5" xfId="36067" xr:uid="{00000000-0005-0000-0000-0000A5040000}"/>
    <cellStyle name="Comma [0] 2 13 38 4" xfId="6921" xr:uid="{00000000-0005-0000-0000-0000A6040000}"/>
    <cellStyle name="Comma [0] 2 13 38 4 2" xfId="14666" xr:uid="{00000000-0005-0000-0000-0000A7040000}"/>
    <cellStyle name="Comma [0] 2 13 38 4 2 2" xfId="30258" xr:uid="{00000000-0005-0000-0000-0000A8040000}"/>
    <cellStyle name="Comma [0] 2 13 38 4 2 3" xfId="45750" xr:uid="{00000000-0005-0000-0000-0000A9040000}"/>
    <cellStyle name="Comma [0] 2 13 38 4 3" xfId="22518" xr:uid="{00000000-0005-0000-0000-0000AA040000}"/>
    <cellStyle name="Comma [0] 2 13 38 4 4" xfId="38010" xr:uid="{00000000-0005-0000-0000-0000AB040000}"/>
    <cellStyle name="Comma [0] 2 13 38 5" xfId="10796" xr:uid="{00000000-0005-0000-0000-0000AC040000}"/>
    <cellStyle name="Comma [0] 2 13 38 5 2" xfId="26388" xr:uid="{00000000-0005-0000-0000-0000AD040000}"/>
    <cellStyle name="Comma [0] 2 13 38 5 3" xfId="41880" xr:uid="{00000000-0005-0000-0000-0000AE040000}"/>
    <cellStyle name="Comma [0] 2 13 38 6" xfId="18648" xr:uid="{00000000-0005-0000-0000-0000AF040000}"/>
    <cellStyle name="Comma [0] 2 13 38 7" xfId="34140" xr:uid="{00000000-0005-0000-0000-0000B0040000}"/>
    <cellStyle name="Comma [0] 2 13 39" xfId="3027" xr:uid="{00000000-0005-0000-0000-0000B1040000}"/>
    <cellStyle name="Comma [0] 2 13 39 2" xfId="4022" xr:uid="{00000000-0005-0000-0000-0000B2040000}"/>
    <cellStyle name="Comma [0] 2 13 39 2 2" xfId="5961" xr:uid="{00000000-0005-0000-0000-0000B3040000}"/>
    <cellStyle name="Comma [0] 2 13 39 2 2 2" xfId="9832" xr:uid="{00000000-0005-0000-0000-0000B4040000}"/>
    <cellStyle name="Comma [0] 2 13 39 2 2 2 2" xfId="17577" xr:uid="{00000000-0005-0000-0000-0000B5040000}"/>
    <cellStyle name="Comma [0] 2 13 39 2 2 2 2 2" xfId="33169" xr:uid="{00000000-0005-0000-0000-0000B6040000}"/>
    <cellStyle name="Comma [0] 2 13 39 2 2 2 2 3" xfId="48661" xr:uid="{00000000-0005-0000-0000-0000B7040000}"/>
    <cellStyle name="Comma [0] 2 13 39 2 2 2 3" xfId="25429" xr:uid="{00000000-0005-0000-0000-0000B8040000}"/>
    <cellStyle name="Comma [0] 2 13 39 2 2 2 4" xfId="40921" xr:uid="{00000000-0005-0000-0000-0000B9040000}"/>
    <cellStyle name="Comma [0] 2 13 39 2 2 3" xfId="13707" xr:uid="{00000000-0005-0000-0000-0000BA040000}"/>
    <cellStyle name="Comma [0] 2 13 39 2 2 3 2" xfId="29299" xr:uid="{00000000-0005-0000-0000-0000BB040000}"/>
    <cellStyle name="Comma [0] 2 13 39 2 2 3 3" xfId="44791" xr:uid="{00000000-0005-0000-0000-0000BC040000}"/>
    <cellStyle name="Comma [0] 2 13 39 2 2 4" xfId="21559" xr:uid="{00000000-0005-0000-0000-0000BD040000}"/>
    <cellStyle name="Comma [0] 2 13 39 2 2 5" xfId="37051" xr:uid="{00000000-0005-0000-0000-0000BE040000}"/>
    <cellStyle name="Comma [0] 2 13 39 2 3" xfId="7905" xr:uid="{00000000-0005-0000-0000-0000BF040000}"/>
    <cellStyle name="Comma [0] 2 13 39 2 3 2" xfId="15650" xr:uid="{00000000-0005-0000-0000-0000C0040000}"/>
    <cellStyle name="Comma [0] 2 13 39 2 3 2 2" xfId="31242" xr:uid="{00000000-0005-0000-0000-0000C1040000}"/>
    <cellStyle name="Comma [0] 2 13 39 2 3 2 3" xfId="46734" xr:uid="{00000000-0005-0000-0000-0000C2040000}"/>
    <cellStyle name="Comma [0] 2 13 39 2 3 3" xfId="23502" xr:uid="{00000000-0005-0000-0000-0000C3040000}"/>
    <cellStyle name="Comma [0] 2 13 39 2 3 4" xfId="38994" xr:uid="{00000000-0005-0000-0000-0000C4040000}"/>
    <cellStyle name="Comma [0] 2 13 39 2 4" xfId="11780" xr:uid="{00000000-0005-0000-0000-0000C5040000}"/>
    <cellStyle name="Comma [0] 2 13 39 2 4 2" xfId="27372" xr:uid="{00000000-0005-0000-0000-0000C6040000}"/>
    <cellStyle name="Comma [0] 2 13 39 2 4 3" xfId="42864" xr:uid="{00000000-0005-0000-0000-0000C7040000}"/>
    <cellStyle name="Comma [0] 2 13 39 2 5" xfId="19632" xr:uid="{00000000-0005-0000-0000-0000C8040000}"/>
    <cellStyle name="Comma [0] 2 13 39 2 6" xfId="35124" xr:uid="{00000000-0005-0000-0000-0000C9040000}"/>
    <cellStyle name="Comma [0] 2 13 39 3" xfId="5013" xr:uid="{00000000-0005-0000-0000-0000CA040000}"/>
    <cellStyle name="Comma [0] 2 13 39 3 2" xfId="8884" xr:uid="{00000000-0005-0000-0000-0000CB040000}"/>
    <cellStyle name="Comma [0] 2 13 39 3 2 2" xfId="16629" xr:uid="{00000000-0005-0000-0000-0000CC040000}"/>
    <cellStyle name="Comma [0] 2 13 39 3 2 2 2" xfId="32221" xr:uid="{00000000-0005-0000-0000-0000CD040000}"/>
    <cellStyle name="Comma [0] 2 13 39 3 2 2 3" xfId="47713" xr:uid="{00000000-0005-0000-0000-0000CE040000}"/>
    <cellStyle name="Comma [0] 2 13 39 3 2 3" xfId="24481" xr:uid="{00000000-0005-0000-0000-0000CF040000}"/>
    <cellStyle name="Comma [0] 2 13 39 3 2 4" xfId="39973" xr:uid="{00000000-0005-0000-0000-0000D0040000}"/>
    <cellStyle name="Comma [0] 2 13 39 3 3" xfId="12759" xr:uid="{00000000-0005-0000-0000-0000D1040000}"/>
    <cellStyle name="Comma [0] 2 13 39 3 3 2" xfId="28351" xr:uid="{00000000-0005-0000-0000-0000D2040000}"/>
    <cellStyle name="Comma [0] 2 13 39 3 3 3" xfId="43843" xr:uid="{00000000-0005-0000-0000-0000D3040000}"/>
    <cellStyle name="Comma [0] 2 13 39 3 4" xfId="20611" xr:uid="{00000000-0005-0000-0000-0000D4040000}"/>
    <cellStyle name="Comma [0] 2 13 39 3 5" xfId="36103" xr:uid="{00000000-0005-0000-0000-0000D5040000}"/>
    <cellStyle name="Comma [0] 2 13 39 4" xfId="6957" xr:uid="{00000000-0005-0000-0000-0000D6040000}"/>
    <cellStyle name="Comma [0] 2 13 39 4 2" xfId="14702" xr:uid="{00000000-0005-0000-0000-0000D7040000}"/>
    <cellStyle name="Comma [0] 2 13 39 4 2 2" xfId="30294" xr:uid="{00000000-0005-0000-0000-0000D8040000}"/>
    <cellStyle name="Comma [0] 2 13 39 4 2 3" xfId="45786" xr:uid="{00000000-0005-0000-0000-0000D9040000}"/>
    <cellStyle name="Comma [0] 2 13 39 4 3" xfId="22554" xr:uid="{00000000-0005-0000-0000-0000DA040000}"/>
    <cellStyle name="Comma [0] 2 13 39 4 4" xfId="38046" xr:uid="{00000000-0005-0000-0000-0000DB040000}"/>
    <cellStyle name="Comma [0] 2 13 39 5" xfId="10832" xr:uid="{00000000-0005-0000-0000-0000DC040000}"/>
    <cellStyle name="Comma [0] 2 13 39 5 2" xfId="26424" xr:uid="{00000000-0005-0000-0000-0000DD040000}"/>
    <cellStyle name="Comma [0] 2 13 39 5 3" xfId="41916" xr:uid="{00000000-0005-0000-0000-0000DE040000}"/>
    <cellStyle name="Comma [0] 2 13 39 6" xfId="18684" xr:uid="{00000000-0005-0000-0000-0000DF040000}"/>
    <cellStyle name="Comma [0] 2 13 39 7" xfId="34176" xr:uid="{00000000-0005-0000-0000-0000E0040000}"/>
    <cellStyle name="Comma [0] 2 13 4" xfId="70" xr:uid="{00000000-0005-0000-0000-0000E1040000}"/>
    <cellStyle name="Comma [0] 2 13 40" xfId="3064" xr:uid="{00000000-0005-0000-0000-0000E2040000}"/>
    <cellStyle name="Comma [0] 2 13 40 2" xfId="4058" xr:uid="{00000000-0005-0000-0000-0000E3040000}"/>
    <cellStyle name="Comma [0] 2 13 40 2 2" xfId="5997" xr:uid="{00000000-0005-0000-0000-0000E4040000}"/>
    <cellStyle name="Comma [0] 2 13 40 2 2 2" xfId="9868" xr:uid="{00000000-0005-0000-0000-0000E5040000}"/>
    <cellStyle name="Comma [0] 2 13 40 2 2 2 2" xfId="17613" xr:uid="{00000000-0005-0000-0000-0000E6040000}"/>
    <cellStyle name="Comma [0] 2 13 40 2 2 2 2 2" xfId="33205" xr:uid="{00000000-0005-0000-0000-0000E7040000}"/>
    <cellStyle name="Comma [0] 2 13 40 2 2 2 2 3" xfId="48697" xr:uid="{00000000-0005-0000-0000-0000E8040000}"/>
    <cellStyle name="Comma [0] 2 13 40 2 2 2 3" xfId="25465" xr:uid="{00000000-0005-0000-0000-0000E9040000}"/>
    <cellStyle name="Comma [0] 2 13 40 2 2 2 4" xfId="40957" xr:uid="{00000000-0005-0000-0000-0000EA040000}"/>
    <cellStyle name="Comma [0] 2 13 40 2 2 3" xfId="13743" xr:uid="{00000000-0005-0000-0000-0000EB040000}"/>
    <cellStyle name="Comma [0] 2 13 40 2 2 3 2" xfId="29335" xr:uid="{00000000-0005-0000-0000-0000EC040000}"/>
    <cellStyle name="Comma [0] 2 13 40 2 2 3 3" xfId="44827" xr:uid="{00000000-0005-0000-0000-0000ED040000}"/>
    <cellStyle name="Comma [0] 2 13 40 2 2 4" xfId="21595" xr:uid="{00000000-0005-0000-0000-0000EE040000}"/>
    <cellStyle name="Comma [0] 2 13 40 2 2 5" xfId="37087" xr:uid="{00000000-0005-0000-0000-0000EF040000}"/>
    <cellStyle name="Comma [0] 2 13 40 2 3" xfId="7941" xr:uid="{00000000-0005-0000-0000-0000F0040000}"/>
    <cellStyle name="Comma [0] 2 13 40 2 3 2" xfId="15686" xr:uid="{00000000-0005-0000-0000-0000F1040000}"/>
    <cellStyle name="Comma [0] 2 13 40 2 3 2 2" xfId="31278" xr:uid="{00000000-0005-0000-0000-0000F2040000}"/>
    <cellStyle name="Comma [0] 2 13 40 2 3 2 3" xfId="46770" xr:uid="{00000000-0005-0000-0000-0000F3040000}"/>
    <cellStyle name="Comma [0] 2 13 40 2 3 3" xfId="23538" xr:uid="{00000000-0005-0000-0000-0000F4040000}"/>
    <cellStyle name="Comma [0] 2 13 40 2 3 4" xfId="39030" xr:uid="{00000000-0005-0000-0000-0000F5040000}"/>
    <cellStyle name="Comma [0] 2 13 40 2 4" xfId="11816" xr:uid="{00000000-0005-0000-0000-0000F6040000}"/>
    <cellStyle name="Comma [0] 2 13 40 2 4 2" xfId="27408" xr:uid="{00000000-0005-0000-0000-0000F7040000}"/>
    <cellStyle name="Comma [0] 2 13 40 2 4 3" xfId="42900" xr:uid="{00000000-0005-0000-0000-0000F8040000}"/>
    <cellStyle name="Comma [0] 2 13 40 2 5" xfId="19668" xr:uid="{00000000-0005-0000-0000-0000F9040000}"/>
    <cellStyle name="Comma [0] 2 13 40 2 6" xfId="35160" xr:uid="{00000000-0005-0000-0000-0000FA040000}"/>
    <cellStyle name="Comma [0] 2 13 40 3" xfId="5049" xr:uid="{00000000-0005-0000-0000-0000FB040000}"/>
    <cellStyle name="Comma [0] 2 13 40 3 2" xfId="8920" xr:uid="{00000000-0005-0000-0000-0000FC040000}"/>
    <cellStyle name="Comma [0] 2 13 40 3 2 2" xfId="16665" xr:uid="{00000000-0005-0000-0000-0000FD040000}"/>
    <cellStyle name="Comma [0] 2 13 40 3 2 2 2" xfId="32257" xr:uid="{00000000-0005-0000-0000-0000FE040000}"/>
    <cellStyle name="Comma [0] 2 13 40 3 2 2 3" xfId="47749" xr:uid="{00000000-0005-0000-0000-0000FF040000}"/>
    <cellStyle name="Comma [0] 2 13 40 3 2 3" xfId="24517" xr:uid="{00000000-0005-0000-0000-000000050000}"/>
    <cellStyle name="Comma [0] 2 13 40 3 2 4" xfId="40009" xr:uid="{00000000-0005-0000-0000-000001050000}"/>
    <cellStyle name="Comma [0] 2 13 40 3 3" xfId="12795" xr:uid="{00000000-0005-0000-0000-000002050000}"/>
    <cellStyle name="Comma [0] 2 13 40 3 3 2" xfId="28387" xr:uid="{00000000-0005-0000-0000-000003050000}"/>
    <cellStyle name="Comma [0] 2 13 40 3 3 3" xfId="43879" xr:uid="{00000000-0005-0000-0000-000004050000}"/>
    <cellStyle name="Comma [0] 2 13 40 3 4" xfId="20647" xr:uid="{00000000-0005-0000-0000-000005050000}"/>
    <cellStyle name="Comma [0] 2 13 40 3 5" xfId="36139" xr:uid="{00000000-0005-0000-0000-000006050000}"/>
    <cellStyle name="Comma [0] 2 13 40 4" xfId="6993" xr:uid="{00000000-0005-0000-0000-000007050000}"/>
    <cellStyle name="Comma [0] 2 13 40 4 2" xfId="14738" xr:uid="{00000000-0005-0000-0000-000008050000}"/>
    <cellStyle name="Comma [0] 2 13 40 4 2 2" xfId="30330" xr:uid="{00000000-0005-0000-0000-000009050000}"/>
    <cellStyle name="Comma [0] 2 13 40 4 2 3" xfId="45822" xr:uid="{00000000-0005-0000-0000-00000A050000}"/>
    <cellStyle name="Comma [0] 2 13 40 4 3" xfId="22590" xr:uid="{00000000-0005-0000-0000-00000B050000}"/>
    <cellStyle name="Comma [0] 2 13 40 4 4" xfId="38082" xr:uid="{00000000-0005-0000-0000-00000C050000}"/>
    <cellStyle name="Comma [0] 2 13 40 5" xfId="10868" xr:uid="{00000000-0005-0000-0000-00000D050000}"/>
    <cellStyle name="Comma [0] 2 13 40 5 2" xfId="26460" xr:uid="{00000000-0005-0000-0000-00000E050000}"/>
    <cellStyle name="Comma [0] 2 13 40 5 3" xfId="41952" xr:uid="{00000000-0005-0000-0000-00000F050000}"/>
    <cellStyle name="Comma [0] 2 13 40 6" xfId="18720" xr:uid="{00000000-0005-0000-0000-000010050000}"/>
    <cellStyle name="Comma [0] 2 13 40 7" xfId="34212" xr:uid="{00000000-0005-0000-0000-000011050000}"/>
    <cellStyle name="Comma [0] 2 13 41" xfId="3111" xr:uid="{00000000-0005-0000-0000-000012050000}"/>
    <cellStyle name="Comma [0] 2 13 41 2" xfId="4094" xr:uid="{00000000-0005-0000-0000-000013050000}"/>
    <cellStyle name="Comma [0] 2 13 41 2 2" xfId="6033" xr:uid="{00000000-0005-0000-0000-000014050000}"/>
    <cellStyle name="Comma [0] 2 13 41 2 2 2" xfId="9904" xr:uid="{00000000-0005-0000-0000-000015050000}"/>
    <cellStyle name="Comma [0] 2 13 41 2 2 2 2" xfId="17649" xr:uid="{00000000-0005-0000-0000-000016050000}"/>
    <cellStyle name="Comma [0] 2 13 41 2 2 2 2 2" xfId="33241" xr:uid="{00000000-0005-0000-0000-000017050000}"/>
    <cellStyle name="Comma [0] 2 13 41 2 2 2 2 3" xfId="48733" xr:uid="{00000000-0005-0000-0000-000018050000}"/>
    <cellStyle name="Comma [0] 2 13 41 2 2 2 3" xfId="25501" xr:uid="{00000000-0005-0000-0000-000019050000}"/>
    <cellStyle name="Comma [0] 2 13 41 2 2 2 4" xfId="40993" xr:uid="{00000000-0005-0000-0000-00001A050000}"/>
    <cellStyle name="Comma [0] 2 13 41 2 2 3" xfId="13779" xr:uid="{00000000-0005-0000-0000-00001B050000}"/>
    <cellStyle name="Comma [0] 2 13 41 2 2 3 2" xfId="29371" xr:uid="{00000000-0005-0000-0000-00001C050000}"/>
    <cellStyle name="Comma [0] 2 13 41 2 2 3 3" xfId="44863" xr:uid="{00000000-0005-0000-0000-00001D050000}"/>
    <cellStyle name="Comma [0] 2 13 41 2 2 4" xfId="21631" xr:uid="{00000000-0005-0000-0000-00001E050000}"/>
    <cellStyle name="Comma [0] 2 13 41 2 2 5" xfId="37123" xr:uid="{00000000-0005-0000-0000-00001F050000}"/>
    <cellStyle name="Comma [0] 2 13 41 2 3" xfId="7977" xr:uid="{00000000-0005-0000-0000-000020050000}"/>
    <cellStyle name="Comma [0] 2 13 41 2 3 2" xfId="15722" xr:uid="{00000000-0005-0000-0000-000021050000}"/>
    <cellStyle name="Comma [0] 2 13 41 2 3 2 2" xfId="31314" xr:uid="{00000000-0005-0000-0000-000022050000}"/>
    <cellStyle name="Comma [0] 2 13 41 2 3 2 3" xfId="46806" xr:uid="{00000000-0005-0000-0000-000023050000}"/>
    <cellStyle name="Comma [0] 2 13 41 2 3 3" xfId="23574" xr:uid="{00000000-0005-0000-0000-000024050000}"/>
    <cellStyle name="Comma [0] 2 13 41 2 3 4" xfId="39066" xr:uid="{00000000-0005-0000-0000-000025050000}"/>
    <cellStyle name="Comma [0] 2 13 41 2 4" xfId="11852" xr:uid="{00000000-0005-0000-0000-000026050000}"/>
    <cellStyle name="Comma [0] 2 13 41 2 4 2" xfId="27444" xr:uid="{00000000-0005-0000-0000-000027050000}"/>
    <cellStyle name="Comma [0] 2 13 41 2 4 3" xfId="42936" xr:uid="{00000000-0005-0000-0000-000028050000}"/>
    <cellStyle name="Comma [0] 2 13 41 2 5" xfId="19704" xr:uid="{00000000-0005-0000-0000-000029050000}"/>
    <cellStyle name="Comma [0] 2 13 41 2 6" xfId="35196" xr:uid="{00000000-0005-0000-0000-00002A050000}"/>
    <cellStyle name="Comma [0] 2 13 41 3" xfId="5085" xr:uid="{00000000-0005-0000-0000-00002B050000}"/>
    <cellStyle name="Comma [0] 2 13 41 3 2" xfId="8956" xr:uid="{00000000-0005-0000-0000-00002C050000}"/>
    <cellStyle name="Comma [0] 2 13 41 3 2 2" xfId="16701" xr:uid="{00000000-0005-0000-0000-00002D050000}"/>
    <cellStyle name="Comma [0] 2 13 41 3 2 2 2" xfId="32293" xr:uid="{00000000-0005-0000-0000-00002E050000}"/>
    <cellStyle name="Comma [0] 2 13 41 3 2 2 3" xfId="47785" xr:uid="{00000000-0005-0000-0000-00002F050000}"/>
    <cellStyle name="Comma [0] 2 13 41 3 2 3" xfId="24553" xr:uid="{00000000-0005-0000-0000-000030050000}"/>
    <cellStyle name="Comma [0] 2 13 41 3 2 4" xfId="40045" xr:uid="{00000000-0005-0000-0000-000031050000}"/>
    <cellStyle name="Comma [0] 2 13 41 3 3" xfId="12831" xr:uid="{00000000-0005-0000-0000-000032050000}"/>
    <cellStyle name="Comma [0] 2 13 41 3 3 2" xfId="28423" xr:uid="{00000000-0005-0000-0000-000033050000}"/>
    <cellStyle name="Comma [0] 2 13 41 3 3 3" xfId="43915" xr:uid="{00000000-0005-0000-0000-000034050000}"/>
    <cellStyle name="Comma [0] 2 13 41 3 4" xfId="20683" xr:uid="{00000000-0005-0000-0000-000035050000}"/>
    <cellStyle name="Comma [0] 2 13 41 3 5" xfId="36175" xr:uid="{00000000-0005-0000-0000-000036050000}"/>
    <cellStyle name="Comma [0] 2 13 41 4" xfId="7029" xr:uid="{00000000-0005-0000-0000-000037050000}"/>
    <cellStyle name="Comma [0] 2 13 41 4 2" xfId="14774" xr:uid="{00000000-0005-0000-0000-000038050000}"/>
    <cellStyle name="Comma [0] 2 13 41 4 2 2" xfId="30366" xr:uid="{00000000-0005-0000-0000-000039050000}"/>
    <cellStyle name="Comma [0] 2 13 41 4 2 3" xfId="45858" xr:uid="{00000000-0005-0000-0000-00003A050000}"/>
    <cellStyle name="Comma [0] 2 13 41 4 3" xfId="22626" xr:uid="{00000000-0005-0000-0000-00003B050000}"/>
    <cellStyle name="Comma [0] 2 13 41 4 4" xfId="38118" xr:uid="{00000000-0005-0000-0000-00003C050000}"/>
    <cellStyle name="Comma [0] 2 13 41 5" xfId="10904" xr:uid="{00000000-0005-0000-0000-00003D050000}"/>
    <cellStyle name="Comma [0] 2 13 41 5 2" xfId="26496" xr:uid="{00000000-0005-0000-0000-00003E050000}"/>
    <cellStyle name="Comma [0] 2 13 41 5 3" xfId="41988" xr:uid="{00000000-0005-0000-0000-00003F050000}"/>
    <cellStyle name="Comma [0] 2 13 41 6" xfId="18756" xr:uid="{00000000-0005-0000-0000-000040050000}"/>
    <cellStyle name="Comma [0] 2 13 41 7" xfId="34248" xr:uid="{00000000-0005-0000-0000-000041050000}"/>
    <cellStyle name="Comma [0] 2 13 42" xfId="3168" xr:uid="{00000000-0005-0000-0000-000042050000}"/>
    <cellStyle name="Comma [0] 2 13 42 2" xfId="4132" xr:uid="{00000000-0005-0000-0000-000043050000}"/>
    <cellStyle name="Comma [0] 2 13 42 2 2" xfId="6071" xr:uid="{00000000-0005-0000-0000-000044050000}"/>
    <cellStyle name="Comma [0] 2 13 42 2 2 2" xfId="9942" xr:uid="{00000000-0005-0000-0000-000045050000}"/>
    <cellStyle name="Comma [0] 2 13 42 2 2 2 2" xfId="17687" xr:uid="{00000000-0005-0000-0000-000046050000}"/>
    <cellStyle name="Comma [0] 2 13 42 2 2 2 2 2" xfId="33279" xr:uid="{00000000-0005-0000-0000-000047050000}"/>
    <cellStyle name="Comma [0] 2 13 42 2 2 2 2 3" xfId="48771" xr:uid="{00000000-0005-0000-0000-000048050000}"/>
    <cellStyle name="Comma [0] 2 13 42 2 2 2 3" xfId="25539" xr:uid="{00000000-0005-0000-0000-000049050000}"/>
    <cellStyle name="Comma [0] 2 13 42 2 2 2 4" xfId="41031" xr:uid="{00000000-0005-0000-0000-00004A050000}"/>
    <cellStyle name="Comma [0] 2 13 42 2 2 3" xfId="13817" xr:uid="{00000000-0005-0000-0000-00004B050000}"/>
    <cellStyle name="Comma [0] 2 13 42 2 2 3 2" xfId="29409" xr:uid="{00000000-0005-0000-0000-00004C050000}"/>
    <cellStyle name="Comma [0] 2 13 42 2 2 3 3" xfId="44901" xr:uid="{00000000-0005-0000-0000-00004D050000}"/>
    <cellStyle name="Comma [0] 2 13 42 2 2 4" xfId="21669" xr:uid="{00000000-0005-0000-0000-00004E050000}"/>
    <cellStyle name="Comma [0] 2 13 42 2 2 5" xfId="37161" xr:uid="{00000000-0005-0000-0000-00004F050000}"/>
    <cellStyle name="Comma [0] 2 13 42 2 3" xfId="8015" xr:uid="{00000000-0005-0000-0000-000050050000}"/>
    <cellStyle name="Comma [0] 2 13 42 2 3 2" xfId="15760" xr:uid="{00000000-0005-0000-0000-000051050000}"/>
    <cellStyle name="Comma [0] 2 13 42 2 3 2 2" xfId="31352" xr:uid="{00000000-0005-0000-0000-000052050000}"/>
    <cellStyle name="Comma [0] 2 13 42 2 3 2 3" xfId="46844" xr:uid="{00000000-0005-0000-0000-000053050000}"/>
    <cellStyle name="Comma [0] 2 13 42 2 3 3" xfId="23612" xr:uid="{00000000-0005-0000-0000-000054050000}"/>
    <cellStyle name="Comma [0] 2 13 42 2 3 4" xfId="39104" xr:uid="{00000000-0005-0000-0000-000055050000}"/>
    <cellStyle name="Comma [0] 2 13 42 2 4" xfId="11890" xr:uid="{00000000-0005-0000-0000-000056050000}"/>
    <cellStyle name="Comma [0] 2 13 42 2 4 2" xfId="27482" xr:uid="{00000000-0005-0000-0000-000057050000}"/>
    <cellStyle name="Comma [0] 2 13 42 2 4 3" xfId="42974" xr:uid="{00000000-0005-0000-0000-000058050000}"/>
    <cellStyle name="Comma [0] 2 13 42 2 5" xfId="19742" xr:uid="{00000000-0005-0000-0000-000059050000}"/>
    <cellStyle name="Comma [0] 2 13 42 2 6" xfId="35234" xr:uid="{00000000-0005-0000-0000-00005A050000}"/>
    <cellStyle name="Comma [0] 2 13 42 3" xfId="5123" xr:uid="{00000000-0005-0000-0000-00005B050000}"/>
    <cellStyle name="Comma [0] 2 13 42 3 2" xfId="8994" xr:uid="{00000000-0005-0000-0000-00005C050000}"/>
    <cellStyle name="Comma [0] 2 13 42 3 2 2" xfId="16739" xr:uid="{00000000-0005-0000-0000-00005D050000}"/>
    <cellStyle name="Comma [0] 2 13 42 3 2 2 2" xfId="32331" xr:uid="{00000000-0005-0000-0000-00005E050000}"/>
    <cellStyle name="Comma [0] 2 13 42 3 2 2 3" xfId="47823" xr:uid="{00000000-0005-0000-0000-00005F050000}"/>
    <cellStyle name="Comma [0] 2 13 42 3 2 3" xfId="24591" xr:uid="{00000000-0005-0000-0000-000060050000}"/>
    <cellStyle name="Comma [0] 2 13 42 3 2 4" xfId="40083" xr:uid="{00000000-0005-0000-0000-000061050000}"/>
    <cellStyle name="Comma [0] 2 13 42 3 3" xfId="12869" xr:uid="{00000000-0005-0000-0000-000062050000}"/>
    <cellStyle name="Comma [0] 2 13 42 3 3 2" xfId="28461" xr:uid="{00000000-0005-0000-0000-000063050000}"/>
    <cellStyle name="Comma [0] 2 13 42 3 3 3" xfId="43953" xr:uid="{00000000-0005-0000-0000-000064050000}"/>
    <cellStyle name="Comma [0] 2 13 42 3 4" xfId="20721" xr:uid="{00000000-0005-0000-0000-000065050000}"/>
    <cellStyle name="Comma [0] 2 13 42 3 5" xfId="36213" xr:uid="{00000000-0005-0000-0000-000066050000}"/>
    <cellStyle name="Comma [0] 2 13 42 4" xfId="7067" xr:uid="{00000000-0005-0000-0000-000067050000}"/>
    <cellStyle name="Comma [0] 2 13 42 4 2" xfId="14812" xr:uid="{00000000-0005-0000-0000-000068050000}"/>
    <cellStyle name="Comma [0] 2 13 42 4 2 2" xfId="30404" xr:uid="{00000000-0005-0000-0000-000069050000}"/>
    <cellStyle name="Comma [0] 2 13 42 4 2 3" xfId="45896" xr:uid="{00000000-0005-0000-0000-00006A050000}"/>
    <cellStyle name="Comma [0] 2 13 42 4 3" xfId="22664" xr:uid="{00000000-0005-0000-0000-00006B050000}"/>
    <cellStyle name="Comma [0] 2 13 42 4 4" xfId="38156" xr:uid="{00000000-0005-0000-0000-00006C050000}"/>
    <cellStyle name="Comma [0] 2 13 42 5" xfId="10942" xr:uid="{00000000-0005-0000-0000-00006D050000}"/>
    <cellStyle name="Comma [0] 2 13 42 5 2" xfId="26534" xr:uid="{00000000-0005-0000-0000-00006E050000}"/>
    <cellStyle name="Comma [0] 2 13 42 5 3" xfId="42026" xr:uid="{00000000-0005-0000-0000-00006F050000}"/>
    <cellStyle name="Comma [0] 2 13 42 6" xfId="18794" xr:uid="{00000000-0005-0000-0000-000070050000}"/>
    <cellStyle name="Comma [0] 2 13 42 7" xfId="34286" xr:uid="{00000000-0005-0000-0000-000071050000}"/>
    <cellStyle name="Comma [0] 2 13 43" xfId="48844" xr:uid="{00000000-0005-0000-0000-000072050000}"/>
    <cellStyle name="Comma [0] 2 13 5" xfId="71" xr:uid="{00000000-0005-0000-0000-000073050000}"/>
    <cellStyle name="Comma [0] 2 13 6" xfId="72" xr:uid="{00000000-0005-0000-0000-000074050000}"/>
    <cellStyle name="Comma [0] 2 13 7" xfId="73" xr:uid="{00000000-0005-0000-0000-000075050000}"/>
    <cellStyle name="Comma [0] 2 13 8" xfId="74" xr:uid="{00000000-0005-0000-0000-000076050000}"/>
    <cellStyle name="Comma [0] 2 13 9" xfId="75" xr:uid="{00000000-0005-0000-0000-000077050000}"/>
    <cellStyle name="Comma [0] 2 14" xfId="76" xr:uid="{00000000-0005-0000-0000-000078050000}"/>
    <cellStyle name="Comma [0] 2 14 10" xfId="77" xr:uid="{00000000-0005-0000-0000-000079050000}"/>
    <cellStyle name="Comma [0] 2 14 11" xfId="78" xr:uid="{00000000-0005-0000-0000-00007A050000}"/>
    <cellStyle name="Comma [0] 2 14 12" xfId="79" xr:uid="{00000000-0005-0000-0000-00007B050000}"/>
    <cellStyle name="Comma [0] 2 14 13" xfId="80" xr:uid="{00000000-0005-0000-0000-00007C050000}"/>
    <cellStyle name="Comma [0] 2 14 14" xfId="81" xr:uid="{00000000-0005-0000-0000-00007D050000}"/>
    <cellStyle name="Comma [0] 2 14 15" xfId="82" xr:uid="{00000000-0005-0000-0000-00007E050000}"/>
    <cellStyle name="Comma [0] 2 14 16" xfId="83" xr:uid="{00000000-0005-0000-0000-00007F050000}"/>
    <cellStyle name="Comma [0] 2 14 17" xfId="84" xr:uid="{00000000-0005-0000-0000-000080050000}"/>
    <cellStyle name="Comma [0] 2 14 18" xfId="85" xr:uid="{00000000-0005-0000-0000-000081050000}"/>
    <cellStyle name="Comma [0] 2 14 19" xfId="86" xr:uid="{00000000-0005-0000-0000-000082050000}"/>
    <cellStyle name="Comma [0] 2 14 2" xfId="87" xr:uid="{00000000-0005-0000-0000-000083050000}"/>
    <cellStyle name="Comma [0] 2 14 20" xfId="88" xr:uid="{00000000-0005-0000-0000-000084050000}"/>
    <cellStyle name="Comma [0] 2 14 21" xfId="89" xr:uid="{00000000-0005-0000-0000-000085050000}"/>
    <cellStyle name="Comma [0] 2 14 22" xfId="90" xr:uid="{00000000-0005-0000-0000-000086050000}"/>
    <cellStyle name="Comma [0] 2 14 23" xfId="91" xr:uid="{00000000-0005-0000-0000-000087050000}"/>
    <cellStyle name="Comma [0] 2 14 24" xfId="92" xr:uid="{00000000-0005-0000-0000-000088050000}"/>
    <cellStyle name="Comma [0] 2 14 25" xfId="2159" xr:uid="{00000000-0005-0000-0000-000089050000}"/>
    <cellStyle name="Comma [0] 2 14 25 2" xfId="2507" xr:uid="{00000000-0005-0000-0000-00008A050000}"/>
    <cellStyle name="Comma [0] 2 14 25 2 2" xfId="3515" xr:uid="{00000000-0005-0000-0000-00008B050000}"/>
    <cellStyle name="Comma [0] 2 14 25 2 2 2" xfId="5454" xr:uid="{00000000-0005-0000-0000-00008C050000}"/>
    <cellStyle name="Comma [0] 2 14 25 2 2 2 2" xfId="9325" xr:uid="{00000000-0005-0000-0000-00008D050000}"/>
    <cellStyle name="Comma [0] 2 14 25 2 2 2 2 2" xfId="17070" xr:uid="{00000000-0005-0000-0000-00008E050000}"/>
    <cellStyle name="Comma [0] 2 14 25 2 2 2 2 2 2" xfId="32662" xr:uid="{00000000-0005-0000-0000-00008F050000}"/>
    <cellStyle name="Comma [0] 2 14 25 2 2 2 2 2 3" xfId="48154" xr:uid="{00000000-0005-0000-0000-000090050000}"/>
    <cellStyle name="Comma [0] 2 14 25 2 2 2 2 3" xfId="24922" xr:uid="{00000000-0005-0000-0000-000091050000}"/>
    <cellStyle name="Comma [0] 2 14 25 2 2 2 2 4" xfId="40414" xr:uid="{00000000-0005-0000-0000-000092050000}"/>
    <cellStyle name="Comma [0] 2 14 25 2 2 2 3" xfId="13200" xr:uid="{00000000-0005-0000-0000-000093050000}"/>
    <cellStyle name="Comma [0] 2 14 25 2 2 2 3 2" xfId="28792" xr:uid="{00000000-0005-0000-0000-000094050000}"/>
    <cellStyle name="Comma [0] 2 14 25 2 2 2 3 3" xfId="44284" xr:uid="{00000000-0005-0000-0000-000095050000}"/>
    <cellStyle name="Comma [0] 2 14 25 2 2 2 4" xfId="21052" xr:uid="{00000000-0005-0000-0000-000096050000}"/>
    <cellStyle name="Comma [0] 2 14 25 2 2 2 5" xfId="36544" xr:uid="{00000000-0005-0000-0000-000097050000}"/>
    <cellStyle name="Comma [0] 2 14 25 2 2 3" xfId="7398" xr:uid="{00000000-0005-0000-0000-000098050000}"/>
    <cellStyle name="Comma [0] 2 14 25 2 2 3 2" xfId="15143" xr:uid="{00000000-0005-0000-0000-000099050000}"/>
    <cellStyle name="Comma [0] 2 14 25 2 2 3 2 2" xfId="30735" xr:uid="{00000000-0005-0000-0000-00009A050000}"/>
    <cellStyle name="Comma [0] 2 14 25 2 2 3 2 3" xfId="46227" xr:uid="{00000000-0005-0000-0000-00009B050000}"/>
    <cellStyle name="Comma [0] 2 14 25 2 2 3 3" xfId="22995" xr:uid="{00000000-0005-0000-0000-00009C050000}"/>
    <cellStyle name="Comma [0] 2 14 25 2 2 3 4" xfId="38487" xr:uid="{00000000-0005-0000-0000-00009D050000}"/>
    <cellStyle name="Comma [0] 2 14 25 2 2 4" xfId="11273" xr:uid="{00000000-0005-0000-0000-00009E050000}"/>
    <cellStyle name="Comma [0] 2 14 25 2 2 4 2" xfId="26865" xr:uid="{00000000-0005-0000-0000-00009F050000}"/>
    <cellStyle name="Comma [0] 2 14 25 2 2 4 3" xfId="42357" xr:uid="{00000000-0005-0000-0000-0000A0050000}"/>
    <cellStyle name="Comma [0] 2 14 25 2 2 5" xfId="19125" xr:uid="{00000000-0005-0000-0000-0000A1050000}"/>
    <cellStyle name="Comma [0] 2 14 25 2 2 6" xfId="34617" xr:uid="{00000000-0005-0000-0000-0000A2050000}"/>
    <cellStyle name="Comma [0] 2 14 25 2 3" xfId="4506" xr:uid="{00000000-0005-0000-0000-0000A3050000}"/>
    <cellStyle name="Comma [0] 2 14 25 2 3 2" xfId="8377" xr:uid="{00000000-0005-0000-0000-0000A4050000}"/>
    <cellStyle name="Comma [0] 2 14 25 2 3 2 2" xfId="16122" xr:uid="{00000000-0005-0000-0000-0000A5050000}"/>
    <cellStyle name="Comma [0] 2 14 25 2 3 2 2 2" xfId="31714" xr:uid="{00000000-0005-0000-0000-0000A6050000}"/>
    <cellStyle name="Comma [0] 2 14 25 2 3 2 2 3" xfId="47206" xr:uid="{00000000-0005-0000-0000-0000A7050000}"/>
    <cellStyle name="Comma [0] 2 14 25 2 3 2 3" xfId="23974" xr:uid="{00000000-0005-0000-0000-0000A8050000}"/>
    <cellStyle name="Comma [0] 2 14 25 2 3 2 4" xfId="39466" xr:uid="{00000000-0005-0000-0000-0000A9050000}"/>
    <cellStyle name="Comma [0] 2 14 25 2 3 3" xfId="12252" xr:uid="{00000000-0005-0000-0000-0000AA050000}"/>
    <cellStyle name="Comma [0] 2 14 25 2 3 3 2" xfId="27844" xr:uid="{00000000-0005-0000-0000-0000AB050000}"/>
    <cellStyle name="Comma [0] 2 14 25 2 3 3 3" xfId="43336" xr:uid="{00000000-0005-0000-0000-0000AC050000}"/>
    <cellStyle name="Comma [0] 2 14 25 2 3 4" xfId="20104" xr:uid="{00000000-0005-0000-0000-0000AD050000}"/>
    <cellStyle name="Comma [0] 2 14 25 2 3 5" xfId="35596" xr:uid="{00000000-0005-0000-0000-0000AE050000}"/>
    <cellStyle name="Comma [0] 2 14 25 2 4" xfId="6450" xr:uid="{00000000-0005-0000-0000-0000AF050000}"/>
    <cellStyle name="Comma [0] 2 14 25 2 4 2" xfId="14195" xr:uid="{00000000-0005-0000-0000-0000B0050000}"/>
    <cellStyle name="Comma [0] 2 14 25 2 4 2 2" xfId="29787" xr:uid="{00000000-0005-0000-0000-0000B1050000}"/>
    <cellStyle name="Comma [0] 2 14 25 2 4 2 3" xfId="45279" xr:uid="{00000000-0005-0000-0000-0000B2050000}"/>
    <cellStyle name="Comma [0] 2 14 25 2 4 3" xfId="22047" xr:uid="{00000000-0005-0000-0000-0000B3050000}"/>
    <cellStyle name="Comma [0] 2 14 25 2 4 4" xfId="37539" xr:uid="{00000000-0005-0000-0000-0000B4050000}"/>
    <cellStyle name="Comma [0] 2 14 25 2 5" xfId="10325" xr:uid="{00000000-0005-0000-0000-0000B5050000}"/>
    <cellStyle name="Comma [0] 2 14 25 2 5 2" xfId="25917" xr:uid="{00000000-0005-0000-0000-0000B6050000}"/>
    <cellStyle name="Comma [0] 2 14 25 2 5 3" xfId="41409" xr:uid="{00000000-0005-0000-0000-0000B7050000}"/>
    <cellStyle name="Comma [0] 2 14 25 2 6" xfId="18177" xr:uid="{00000000-0005-0000-0000-0000B8050000}"/>
    <cellStyle name="Comma [0] 2 14 25 2 7" xfId="33669" xr:uid="{00000000-0005-0000-0000-0000B9050000}"/>
    <cellStyle name="Comma [0] 2 14 25 3" xfId="3206" xr:uid="{00000000-0005-0000-0000-0000BA050000}"/>
    <cellStyle name="Comma [0] 2 14 25 3 2" xfId="5145" xr:uid="{00000000-0005-0000-0000-0000BB050000}"/>
    <cellStyle name="Comma [0] 2 14 25 3 2 2" xfId="9016" xr:uid="{00000000-0005-0000-0000-0000BC050000}"/>
    <cellStyle name="Comma [0] 2 14 25 3 2 2 2" xfId="16761" xr:uid="{00000000-0005-0000-0000-0000BD050000}"/>
    <cellStyle name="Comma [0] 2 14 25 3 2 2 2 2" xfId="32353" xr:uid="{00000000-0005-0000-0000-0000BE050000}"/>
    <cellStyle name="Comma [0] 2 14 25 3 2 2 2 3" xfId="47845" xr:uid="{00000000-0005-0000-0000-0000BF050000}"/>
    <cellStyle name="Comma [0] 2 14 25 3 2 2 3" xfId="24613" xr:uid="{00000000-0005-0000-0000-0000C0050000}"/>
    <cellStyle name="Comma [0] 2 14 25 3 2 2 4" xfId="40105" xr:uid="{00000000-0005-0000-0000-0000C1050000}"/>
    <cellStyle name="Comma [0] 2 14 25 3 2 3" xfId="12891" xr:uid="{00000000-0005-0000-0000-0000C2050000}"/>
    <cellStyle name="Comma [0] 2 14 25 3 2 3 2" xfId="28483" xr:uid="{00000000-0005-0000-0000-0000C3050000}"/>
    <cellStyle name="Comma [0] 2 14 25 3 2 3 3" xfId="43975" xr:uid="{00000000-0005-0000-0000-0000C4050000}"/>
    <cellStyle name="Comma [0] 2 14 25 3 2 4" xfId="20743" xr:uid="{00000000-0005-0000-0000-0000C5050000}"/>
    <cellStyle name="Comma [0] 2 14 25 3 2 5" xfId="36235" xr:uid="{00000000-0005-0000-0000-0000C6050000}"/>
    <cellStyle name="Comma [0] 2 14 25 3 3" xfId="7089" xr:uid="{00000000-0005-0000-0000-0000C7050000}"/>
    <cellStyle name="Comma [0] 2 14 25 3 3 2" xfId="14834" xr:uid="{00000000-0005-0000-0000-0000C8050000}"/>
    <cellStyle name="Comma [0] 2 14 25 3 3 2 2" xfId="30426" xr:uid="{00000000-0005-0000-0000-0000C9050000}"/>
    <cellStyle name="Comma [0] 2 14 25 3 3 2 3" xfId="45918" xr:uid="{00000000-0005-0000-0000-0000CA050000}"/>
    <cellStyle name="Comma [0] 2 14 25 3 3 3" xfId="22686" xr:uid="{00000000-0005-0000-0000-0000CB050000}"/>
    <cellStyle name="Comma [0] 2 14 25 3 3 4" xfId="38178" xr:uid="{00000000-0005-0000-0000-0000CC050000}"/>
    <cellStyle name="Comma [0] 2 14 25 3 4" xfId="10964" xr:uid="{00000000-0005-0000-0000-0000CD050000}"/>
    <cellStyle name="Comma [0] 2 14 25 3 4 2" xfId="26556" xr:uid="{00000000-0005-0000-0000-0000CE050000}"/>
    <cellStyle name="Comma [0] 2 14 25 3 4 3" xfId="42048" xr:uid="{00000000-0005-0000-0000-0000CF050000}"/>
    <cellStyle name="Comma [0] 2 14 25 3 5" xfId="18816" xr:uid="{00000000-0005-0000-0000-0000D0050000}"/>
    <cellStyle name="Comma [0] 2 14 25 3 6" xfId="34308" xr:uid="{00000000-0005-0000-0000-0000D1050000}"/>
    <cellStyle name="Comma [0] 2 14 25 4" xfId="4197" xr:uid="{00000000-0005-0000-0000-0000D2050000}"/>
    <cellStyle name="Comma [0] 2 14 25 4 2" xfId="8068" xr:uid="{00000000-0005-0000-0000-0000D3050000}"/>
    <cellStyle name="Comma [0] 2 14 25 4 2 2" xfId="15813" xr:uid="{00000000-0005-0000-0000-0000D4050000}"/>
    <cellStyle name="Comma [0] 2 14 25 4 2 2 2" xfId="31405" xr:uid="{00000000-0005-0000-0000-0000D5050000}"/>
    <cellStyle name="Comma [0] 2 14 25 4 2 2 3" xfId="46897" xr:uid="{00000000-0005-0000-0000-0000D6050000}"/>
    <cellStyle name="Comma [0] 2 14 25 4 2 3" xfId="23665" xr:uid="{00000000-0005-0000-0000-0000D7050000}"/>
    <cellStyle name="Comma [0] 2 14 25 4 2 4" xfId="39157" xr:uid="{00000000-0005-0000-0000-0000D8050000}"/>
    <cellStyle name="Comma [0] 2 14 25 4 3" xfId="11943" xr:uid="{00000000-0005-0000-0000-0000D9050000}"/>
    <cellStyle name="Comma [0] 2 14 25 4 3 2" xfId="27535" xr:uid="{00000000-0005-0000-0000-0000DA050000}"/>
    <cellStyle name="Comma [0] 2 14 25 4 3 3" xfId="43027" xr:uid="{00000000-0005-0000-0000-0000DB050000}"/>
    <cellStyle name="Comma [0] 2 14 25 4 4" xfId="19795" xr:uid="{00000000-0005-0000-0000-0000DC050000}"/>
    <cellStyle name="Comma [0] 2 14 25 4 5" xfId="35287" xr:uid="{00000000-0005-0000-0000-0000DD050000}"/>
    <cellStyle name="Comma [0] 2 14 25 5" xfId="6141" xr:uid="{00000000-0005-0000-0000-0000DE050000}"/>
    <cellStyle name="Comma [0] 2 14 25 5 2" xfId="13886" xr:uid="{00000000-0005-0000-0000-0000DF050000}"/>
    <cellStyle name="Comma [0] 2 14 25 5 2 2" xfId="29478" xr:uid="{00000000-0005-0000-0000-0000E0050000}"/>
    <cellStyle name="Comma [0] 2 14 25 5 2 3" xfId="44970" xr:uid="{00000000-0005-0000-0000-0000E1050000}"/>
    <cellStyle name="Comma [0] 2 14 25 5 3" xfId="21738" xr:uid="{00000000-0005-0000-0000-0000E2050000}"/>
    <cellStyle name="Comma [0] 2 14 25 5 4" xfId="37230" xr:uid="{00000000-0005-0000-0000-0000E3050000}"/>
    <cellStyle name="Comma [0] 2 14 25 6" xfId="10016" xr:uid="{00000000-0005-0000-0000-0000E4050000}"/>
    <cellStyle name="Comma [0] 2 14 25 6 2" xfId="25608" xr:uid="{00000000-0005-0000-0000-0000E5050000}"/>
    <cellStyle name="Comma [0] 2 14 25 6 3" xfId="41100" xr:uid="{00000000-0005-0000-0000-0000E6050000}"/>
    <cellStyle name="Comma [0] 2 14 25 7" xfId="17868" xr:uid="{00000000-0005-0000-0000-0000E7050000}"/>
    <cellStyle name="Comma [0] 2 14 25 8" xfId="33360" xr:uid="{00000000-0005-0000-0000-0000E8050000}"/>
    <cellStyle name="Comma [0] 2 14 26" xfId="2228" xr:uid="{00000000-0005-0000-0000-0000E9050000}"/>
    <cellStyle name="Comma [0] 2 14 26 2" xfId="2545" xr:uid="{00000000-0005-0000-0000-0000EA050000}"/>
    <cellStyle name="Comma [0] 2 14 26 2 2" xfId="3553" xr:uid="{00000000-0005-0000-0000-0000EB050000}"/>
    <cellStyle name="Comma [0] 2 14 26 2 2 2" xfId="5492" xr:uid="{00000000-0005-0000-0000-0000EC050000}"/>
    <cellStyle name="Comma [0] 2 14 26 2 2 2 2" xfId="9363" xr:uid="{00000000-0005-0000-0000-0000ED050000}"/>
    <cellStyle name="Comma [0] 2 14 26 2 2 2 2 2" xfId="17108" xr:uid="{00000000-0005-0000-0000-0000EE050000}"/>
    <cellStyle name="Comma [0] 2 14 26 2 2 2 2 2 2" xfId="32700" xr:uid="{00000000-0005-0000-0000-0000EF050000}"/>
    <cellStyle name="Comma [0] 2 14 26 2 2 2 2 2 3" xfId="48192" xr:uid="{00000000-0005-0000-0000-0000F0050000}"/>
    <cellStyle name="Comma [0] 2 14 26 2 2 2 2 3" xfId="24960" xr:uid="{00000000-0005-0000-0000-0000F1050000}"/>
    <cellStyle name="Comma [0] 2 14 26 2 2 2 2 4" xfId="40452" xr:uid="{00000000-0005-0000-0000-0000F2050000}"/>
    <cellStyle name="Comma [0] 2 14 26 2 2 2 3" xfId="13238" xr:uid="{00000000-0005-0000-0000-0000F3050000}"/>
    <cellStyle name="Comma [0] 2 14 26 2 2 2 3 2" xfId="28830" xr:uid="{00000000-0005-0000-0000-0000F4050000}"/>
    <cellStyle name="Comma [0] 2 14 26 2 2 2 3 3" xfId="44322" xr:uid="{00000000-0005-0000-0000-0000F5050000}"/>
    <cellStyle name="Comma [0] 2 14 26 2 2 2 4" xfId="21090" xr:uid="{00000000-0005-0000-0000-0000F6050000}"/>
    <cellStyle name="Comma [0] 2 14 26 2 2 2 5" xfId="36582" xr:uid="{00000000-0005-0000-0000-0000F7050000}"/>
    <cellStyle name="Comma [0] 2 14 26 2 2 3" xfId="7436" xr:uid="{00000000-0005-0000-0000-0000F8050000}"/>
    <cellStyle name="Comma [0] 2 14 26 2 2 3 2" xfId="15181" xr:uid="{00000000-0005-0000-0000-0000F9050000}"/>
    <cellStyle name="Comma [0] 2 14 26 2 2 3 2 2" xfId="30773" xr:uid="{00000000-0005-0000-0000-0000FA050000}"/>
    <cellStyle name="Comma [0] 2 14 26 2 2 3 2 3" xfId="46265" xr:uid="{00000000-0005-0000-0000-0000FB050000}"/>
    <cellStyle name="Comma [0] 2 14 26 2 2 3 3" xfId="23033" xr:uid="{00000000-0005-0000-0000-0000FC050000}"/>
    <cellStyle name="Comma [0] 2 14 26 2 2 3 4" xfId="38525" xr:uid="{00000000-0005-0000-0000-0000FD050000}"/>
    <cellStyle name="Comma [0] 2 14 26 2 2 4" xfId="11311" xr:uid="{00000000-0005-0000-0000-0000FE050000}"/>
    <cellStyle name="Comma [0] 2 14 26 2 2 4 2" xfId="26903" xr:uid="{00000000-0005-0000-0000-0000FF050000}"/>
    <cellStyle name="Comma [0] 2 14 26 2 2 4 3" xfId="42395" xr:uid="{00000000-0005-0000-0000-000000060000}"/>
    <cellStyle name="Comma [0] 2 14 26 2 2 5" xfId="19163" xr:uid="{00000000-0005-0000-0000-000001060000}"/>
    <cellStyle name="Comma [0] 2 14 26 2 2 6" xfId="34655" xr:uid="{00000000-0005-0000-0000-000002060000}"/>
    <cellStyle name="Comma [0] 2 14 26 2 3" xfId="4544" xr:uid="{00000000-0005-0000-0000-000003060000}"/>
    <cellStyle name="Comma [0] 2 14 26 2 3 2" xfId="8415" xr:uid="{00000000-0005-0000-0000-000004060000}"/>
    <cellStyle name="Comma [0] 2 14 26 2 3 2 2" xfId="16160" xr:uid="{00000000-0005-0000-0000-000005060000}"/>
    <cellStyle name="Comma [0] 2 14 26 2 3 2 2 2" xfId="31752" xr:uid="{00000000-0005-0000-0000-000006060000}"/>
    <cellStyle name="Comma [0] 2 14 26 2 3 2 2 3" xfId="47244" xr:uid="{00000000-0005-0000-0000-000007060000}"/>
    <cellStyle name="Comma [0] 2 14 26 2 3 2 3" xfId="24012" xr:uid="{00000000-0005-0000-0000-000008060000}"/>
    <cellStyle name="Comma [0] 2 14 26 2 3 2 4" xfId="39504" xr:uid="{00000000-0005-0000-0000-000009060000}"/>
    <cellStyle name="Comma [0] 2 14 26 2 3 3" xfId="12290" xr:uid="{00000000-0005-0000-0000-00000A060000}"/>
    <cellStyle name="Comma [0] 2 14 26 2 3 3 2" xfId="27882" xr:uid="{00000000-0005-0000-0000-00000B060000}"/>
    <cellStyle name="Comma [0] 2 14 26 2 3 3 3" xfId="43374" xr:uid="{00000000-0005-0000-0000-00000C060000}"/>
    <cellStyle name="Comma [0] 2 14 26 2 3 4" xfId="20142" xr:uid="{00000000-0005-0000-0000-00000D060000}"/>
    <cellStyle name="Comma [0] 2 14 26 2 3 5" xfId="35634" xr:uid="{00000000-0005-0000-0000-00000E060000}"/>
    <cellStyle name="Comma [0] 2 14 26 2 4" xfId="6488" xr:uid="{00000000-0005-0000-0000-00000F060000}"/>
    <cellStyle name="Comma [0] 2 14 26 2 4 2" xfId="14233" xr:uid="{00000000-0005-0000-0000-000010060000}"/>
    <cellStyle name="Comma [0] 2 14 26 2 4 2 2" xfId="29825" xr:uid="{00000000-0005-0000-0000-000011060000}"/>
    <cellStyle name="Comma [0] 2 14 26 2 4 2 3" xfId="45317" xr:uid="{00000000-0005-0000-0000-000012060000}"/>
    <cellStyle name="Comma [0] 2 14 26 2 4 3" xfId="22085" xr:uid="{00000000-0005-0000-0000-000013060000}"/>
    <cellStyle name="Comma [0] 2 14 26 2 4 4" xfId="37577" xr:uid="{00000000-0005-0000-0000-000014060000}"/>
    <cellStyle name="Comma [0] 2 14 26 2 5" xfId="10363" xr:uid="{00000000-0005-0000-0000-000015060000}"/>
    <cellStyle name="Comma [0] 2 14 26 2 5 2" xfId="25955" xr:uid="{00000000-0005-0000-0000-000016060000}"/>
    <cellStyle name="Comma [0] 2 14 26 2 5 3" xfId="41447" xr:uid="{00000000-0005-0000-0000-000017060000}"/>
    <cellStyle name="Comma [0] 2 14 26 2 6" xfId="18215" xr:uid="{00000000-0005-0000-0000-000018060000}"/>
    <cellStyle name="Comma [0] 2 14 26 2 7" xfId="33707" xr:uid="{00000000-0005-0000-0000-000019060000}"/>
    <cellStyle name="Comma [0] 2 14 26 3" xfId="3244" xr:uid="{00000000-0005-0000-0000-00001A060000}"/>
    <cellStyle name="Comma [0] 2 14 26 3 2" xfId="5183" xr:uid="{00000000-0005-0000-0000-00001B060000}"/>
    <cellStyle name="Comma [0] 2 14 26 3 2 2" xfId="9054" xr:uid="{00000000-0005-0000-0000-00001C060000}"/>
    <cellStyle name="Comma [0] 2 14 26 3 2 2 2" xfId="16799" xr:uid="{00000000-0005-0000-0000-00001D060000}"/>
    <cellStyle name="Comma [0] 2 14 26 3 2 2 2 2" xfId="32391" xr:uid="{00000000-0005-0000-0000-00001E060000}"/>
    <cellStyle name="Comma [0] 2 14 26 3 2 2 2 3" xfId="47883" xr:uid="{00000000-0005-0000-0000-00001F060000}"/>
    <cellStyle name="Comma [0] 2 14 26 3 2 2 3" xfId="24651" xr:uid="{00000000-0005-0000-0000-000020060000}"/>
    <cellStyle name="Comma [0] 2 14 26 3 2 2 4" xfId="40143" xr:uid="{00000000-0005-0000-0000-000021060000}"/>
    <cellStyle name="Comma [0] 2 14 26 3 2 3" xfId="12929" xr:uid="{00000000-0005-0000-0000-000022060000}"/>
    <cellStyle name="Comma [0] 2 14 26 3 2 3 2" xfId="28521" xr:uid="{00000000-0005-0000-0000-000023060000}"/>
    <cellStyle name="Comma [0] 2 14 26 3 2 3 3" xfId="44013" xr:uid="{00000000-0005-0000-0000-000024060000}"/>
    <cellStyle name="Comma [0] 2 14 26 3 2 4" xfId="20781" xr:uid="{00000000-0005-0000-0000-000025060000}"/>
    <cellStyle name="Comma [0] 2 14 26 3 2 5" xfId="36273" xr:uid="{00000000-0005-0000-0000-000026060000}"/>
    <cellStyle name="Comma [0] 2 14 26 3 3" xfId="7127" xr:uid="{00000000-0005-0000-0000-000027060000}"/>
    <cellStyle name="Comma [0] 2 14 26 3 3 2" xfId="14872" xr:uid="{00000000-0005-0000-0000-000028060000}"/>
    <cellStyle name="Comma [0] 2 14 26 3 3 2 2" xfId="30464" xr:uid="{00000000-0005-0000-0000-000029060000}"/>
    <cellStyle name="Comma [0] 2 14 26 3 3 2 3" xfId="45956" xr:uid="{00000000-0005-0000-0000-00002A060000}"/>
    <cellStyle name="Comma [0] 2 14 26 3 3 3" xfId="22724" xr:uid="{00000000-0005-0000-0000-00002B060000}"/>
    <cellStyle name="Comma [0] 2 14 26 3 3 4" xfId="38216" xr:uid="{00000000-0005-0000-0000-00002C060000}"/>
    <cellStyle name="Comma [0] 2 14 26 3 4" xfId="11002" xr:uid="{00000000-0005-0000-0000-00002D060000}"/>
    <cellStyle name="Comma [0] 2 14 26 3 4 2" xfId="26594" xr:uid="{00000000-0005-0000-0000-00002E060000}"/>
    <cellStyle name="Comma [0] 2 14 26 3 4 3" xfId="42086" xr:uid="{00000000-0005-0000-0000-00002F060000}"/>
    <cellStyle name="Comma [0] 2 14 26 3 5" xfId="18854" xr:uid="{00000000-0005-0000-0000-000030060000}"/>
    <cellStyle name="Comma [0] 2 14 26 3 6" xfId="34346" xr:uid="{00000000-0005-0000-0000-000031060000}"/>
    <cellStyle name="Comma [0] 2 14 26 4" xfId="4235" xr:uid="{00000000-0005-0000-0000-000032060000}"/>
    <cellStyle name="Comma [0] 2 14 26 4 2" xfId="8106" xr:uid="{00000000-0005-0000-0000-000033060000}"/>
    <cellStyle name="Comma [0] 2 14 26 4 2 2" xfId="15851" xr:uid="{00000000-0005-0000-0000-000034060000}"/>
    <cellStyle name="Comma [0] 2 14 26 4 2 2 2" xfId="31443" xr:uid="{00000000-0005-0000-0000-000035060000}"/>
    <cellStyle name="Comma [0] 2 14 26 4 2 2 3" xfId="46935" xr:uid="{00000000-0005-0000-0000-000036060000}"/>
    <cellStyle name="Comma [0] 2 14 26 4 2 3" xfId="23703" xr:uid="{00000000-0005-0000-0000-000037060000}"/>
    <cellStyle name="Comma [0] 2 14 26 4 2 4" xfId="39195" xr:uid="{00000000-0005-0000-0000-000038060000}"/>
    <cellStyle name="Comma [0] 2 14 26 4 3" xfId="11981" xr:uid="{00000000-0005-0000-0000-000039060000}"/>
    <cellStyle name="Comma [0] 2 14 26 4 3 2" xfId="27573" xr:uid="{00000000-0005-0000-0000-00003A060000}"/>
    <cellStyle name="Comma [0] 2 14 26 4 3 3" xfId="43065" xr:uid="{00000000-0005-0000-0000-00003B060000}"/>
    <cellStyle name="Comma [0] 2 14 26 4 4" xfId="19833" xr:uid="{00000000-0005-0000-0000-00003C060000}"/>
    <cellStyle name="Comma [0] 2 14 26 4 5" xfId="35325" xr:uid="{00000000-0005-0000-0000-00003D060000}"/>
    <cellStyle name="Comma [0] 2 14 26 5" xfId="6179" xr:uid="{00000000-0005-0000-0000-00003E060000}"/>
    <cellStyle name="Comma [0] 2 14 26 5 2" xfId="13924" xr:uid="{00000000-0005-0000-0000-00003F060000}"/>
    <cellStyle name="Comma [0] 2 14 26 5 2 2" xfId="29516" xr:uid="{00000000-0005-0000-0000-000040060000}"/>
    <cellStyle name="Comma [0] 2 14 26 5 2 3" xfId="45008" xr:uid="{00000000-0005-0000-0000-000041060000}"/>
    <cellStyle name="Comma [0] 2 14 26 5 3" xfId="21776" xr:uid="{00000000-0005-0000-0000-000042060000}"/>
    <cellStyle name="Comma [0] 2 14 26 5 4" xfId="37268" xr:uid="{00000000-0005-0000-0000-000043060000}"/>
    <cellStyle name="Comma [0] 2 14 26 6" xfId="10054" xr:uid="{00000000-0005-0000-0000-000044060000}"/>
    <cellStyle name="Comma [0] 2 14 26 6 2" xfId="25646" xr:uid="{00000000-0005-0000-0000-000045060000}"/>
    <cellStyle name="Comma [0] 2 14 26 6 3" xfId="41138" xr:uid="{00000000-0005-0000-0000-000046060000}"/>
    <cellStyle name="Comma [0] 2 14 26 7" xfId="17906" xr:uid="{00000000-0005-0000-0000-000047060000}"/>
    <cellStyle name="Comma [0] 2 14 26 8" xfId="33398" xr:uid="{00000000-0005-0000-0000-000048060000}"/>
    <cellStyle name="Comma [0] 2 14 27" xfId="2265" xr:uid="{00000000-0005-0000-0000-000049060000}"/>
    <cellStyle name="Comma [0] 2 14 27 2" xfId="2581" xr:uid="{00000000-0005-0000-0000-00004A060000}"/>
    <cellStyle name="Comma [0] 2 14 27 2 2" xfId="3589" xr:uid="{00000000-0005-0000-0000-00004B060000}"/>
    <cellStyle name="Comma [0] 2 14 27 2 2 2" xfId="5528" xr:uid="{00000000-0005-0000-0000-00004C060000}"/>
    <cellStyle name="Comma [0] 2 14 27 2 2 2 2" xfId="9399" xr:uid="{00000000-0005-0000-0000-00004D060000}"/>
    <cellStyle name="Comma [0] 2 14 27 2 2 2 2 2" xfId="17144" xr:uid="{00000000-0005-0000-0000-00004E060000}"/>
    <cellStyle name="Comma [0] 2 14 27 2 2 2 2 2 2" xfId="32736" xr:uid="{00000000-0005-0000-0000-00004F060000}"/>
    <cellStyle name="Comma [0] 2 14 27 2 2 2 2 2 3" xfId="48228" xr:uid="{00000000-0005-0000-0000-000050060000}"/>
    <cellStyle name="Comma [0] 2 14 27 2 2 2 2 3" xfId="24996" xr:uid="{00000000-0005-0000-0000-000051060000}"/>
    <cellStyle name="Comma [0] 2 14 27 2 2 2 2 4" xfId="40488" xr:uid="{00000000-0005-0000-0000-000052060000}"/>
    <cellStyle name="Comma [0] 2 14 27 2 2 2 3" xfId="13274" xr:uid="{00000000-0005-0000-0000-000053060000}"/>
    <cellStyle name="Comma [0] 2 14 27 2 2 2 3 2" xfId="28866" xr:uid="{00000000-0005-0000-0000-000054060000}"/>
    <cellStyle name="Comma [0] 2 14 27 2 2 2 3 3" xfId="44358" xr:uid="{00000000-0005-0000-0000-000055060000}"/>
    <cellStyle name="Comma [0] 2 14 27 2 2 2 4" xfId="21126" xr:uid="{00000000-0005-0000-0000-000056060000}"/>
    <cellStyle name="Comma [0] 2 14 27 2 2 2 5" xfId="36618" xr:uid="{00000000-0005-0000-0000-000057060000}"/>
    <cellStyle name="Comma [0] 2 14 27 2 2 3" xfId="7472" xr:uid="{00000000-0005-0000-0000-000058060000}"/>
    <cellStyle name="Comma [0] 2 14 27 2 2 3 2" xfId="15217" xr:uid="{00000000-0005-0000-0000-000059060000}"/>
    <cellStyle name="Comma [0] 2 14 27 2 2 3 2 2" xfId="30809" xr:uid="{00000000-0005-0000-0000-00005A060000}"/>
    <cellStyle name="Comma [0] 2 14 27 2 2 3 2 3" xfId="46301" xr:uid="{00000000-0005-0000-0000-00005B060000}"/>
    <cellStyle name="Comma [0] 2 14 27 2 2 3 3" xfId="23069" xr:uid="{00000000-0005-0000-0000-00005C060000}"/>
    <cellStyle name="Comma [0] 2 14 27 2 2 3 4" xfId="38561" xr:uid="{00000000-0005-0000-0000-00005D060000}"/>
    <cellStyle name="Comma [0] 2 14 27 2 2 4" xfId="11347" xr:uid="{00000000-0005-0000-0000-00005E060000}"/>
    <cellStyle name="Comma [0] 2 14 27 2 2 4 2" xfId="26939" xr:uid="{00000000-0005-0000-0000-00005F060000}"/>
    <cellStyle name="Comma [0] 2 14 27 2 2 4 3" xfId="42431" xr:uid="{00000000-0005-0000-0000-000060060000}"/>
    <cellStyle name="Comma [0] 2 14 27 2 2 5" xfId="19199" xr:uid="{00000000-0005-0000-0000-000061060000}"/>
    <cellStyle name="Comma [0] 2 14 27 2 2 6" xfId="34691" xr:uid="{00000000-0005-0000-0000-000062060000}"/>
    <cellStyle name="Comma [0] 2 14 27 2 3" xfId="4580" xr:uid="{00000000-0005-0000-0000-000063060000}"/>
    <cellStyle name="Comma [0] 2 14 27 2 3 2" xfId="8451" xr:uid="{00000000-0005-0000-0000-000064060000}"/>
    <cellStyle name="Comma [0] 2 14 27 2 3 2 2" xfId="16196" xr:uid="{00000000-0005-0000-0000-000065060000}"/>
    <cellStyle name="Comma [0] 2 14 27 2 3 2 2 2" xfId="31788" xr:uid="{00000000-0005-0000-0000-000066060000}"/>
    <cellStyle name="Comma [0] 2 14 27 2 3 2 2 3" xfId="47280" xr:uid="{00000000-0005-0000-0000-000067060000}"/>
    <cellStyle name="Comma [0] 2 14 27 2 3 2 3" xfId="24048" xr:uid="{00000000-0005-0000-0000-000068060000}"/>
    <cellStyle name="Comma [0] 2 14 27 2 3 2 4" xfId="39540" xr:uid="{00000000-0005-0000-0000-000069060000}"/>
    <cellStyle name="Comma [0] 2 14 27 2 3 3" xfId="12326" xr:uid="{00000000-0005-0000-0000-00006A060000}"/>
    <cellStyle name="Comma [0] 2 14 27 2 3 3 2" xfId="27918" xr:uid="{00000000-0005-0000-0000-00006B060000}"/>
    <cellStyle name="Comma [0] 2 14 27 2 3 3 3" xfId="43410" xr:uid="{00000000-0005-0000-0000-00006C060000}"/>
    <cellStyle name="Comma [0] 2 14 27 2 3 4" xfId="20178" xr:uid="{00000000-0005-0000-0000-00006D060000}"/>
    <cellStyle name="Comma [0] 2 14 27 2 3 5" xfId="35670" xr:uid="{00000000-0005-0000-0000-00006E060000}"/>
    <cellStyle name="Comma [0] 2 14 27 2 4" xfId="6524" xr:uid="{00000000-0005-0000-0000-00006F060000}"/>
    <cellStyle name="Comma [0] 2 14 27 2 4 2" xfId="14269" xr:uid="{00000000-0005-0000-0000-000070060000}"/>
    <cellStyle name="Comma [0] 2 14 27 2 4 2 2" xfId="29861" xr:uid="{00000000-0005-0000-0000-000071060000}"/>
    <cellStyle name="Comma [0] 2 14 27 2 4 2 3" xfId="45353" xr:uid="{00000000-0005-0000-0000-000072060000}"/>
    <cellStyle name="Comma [0] 2 14 27 2 4 3" xfId="22121" xr:uid="{00000000-0005-0000-0000-000073060000}"/>
    <cellStyle name="Comma [0] 2 14 27 2 4 4" xfId="37613" xr:uid="{00000000-0005-0000-0000-000074060000}"/>
    <cellStyle name="Comma [0] 2 14 27 2 5" xfId="10399" xr:uid="{00000000-0005-0000-0000-000075060000}"/>
    <cellStyle name="Comma [0] 2 14 27 2 5 2" xfId="25991" xr:uid="{00000000-0005-0000-0000-000076060000}"/>
    <cellStyle name="Comma [0] 2 14 27 2 5 3" xfId="41483" xr:uid="{00000000-0005-0000-0000-000077060000}"/>
    <cellStyle name="Comma [0] 2 14 27 2 6" xfId="18251" xr:uid="{00000000-0005-0000-0000-000078060000}"/>
    <cellStyle name="Comma [0] 2 14 27 2 7" xfId="33743" xr:uid="{00000000-0005-0000-0000-000079060000}"/>
    <cellStyle name="Comma [0] 2 14 27 3" xfId="3280" xr:uid="{00000000-0005-0000-0000-00007A060000}"/>
    <cellStyle name="Comma [0] 2 14 27 3 2" xfId="5219" xr:uid="{00000000-0005-0000-0000-00007B060000}"/>
    <cellStyle name="Comma [0] 2 14 27 3 2 2" xfId="9090" xr:uid="{00000000-0005-0000-0000-00007C060000}"/>
    <cellStyle name="Comma [0] 2 14 27 3 2 2 2" xfId="16835" xr:uid="{00000000-0005-0000-0000-00007D060000}"/>
    <cellStyle name="Comma [0] 2 14 27 3 2 2 2 2" xfId="32427" xr:uid="{00000000-0005-0000-0000-00007E060000}"/>
    <cellStyle name="Comma [0] 2 14 27 3 2 2 2 3" xfId="47919" xr:uid="{00000000-0005-0000-0000-00007F060000}"/>
    <cellStyle name="Comma [0] 2 14 27 3 2 2 3" xfId="24687" xr:uid="{00000000-0005-0000-0000-000080060000}"/>
    <cellStyle name="Comma [0] 2 14 27 3 2 2 4" xfId="40179" xr:uid="{00000000-0005-0000-0000-000081060000}"/>
    <cellStyle name="Comma [0] 2 14 27 3 2 3" xfId="12965" xr:uid="{00000000-0005-0000-0000-000082060000}"/>
    <cellStyle name="Comma [0] 2 14 27 3 2 3 2" xfId="28557" xr:uid="{00000000-0005-0000-0000-000083060000}"/>
    <cellStyle name="Comma [0] 2 14 27 3 2 3 3" xfId="44049" xr:uid="{00000000-0005-0000-0000-000084060000}"/>
    <cellStyle name="Comma [0] 2 14 27 3 2 4" xfId="20817" xr:uid="{00000000-0005-0000-0000-000085060000}"/>
    <cellStyle name="Comma [0] 2 14 27 3 2 5" xfId="36309" xr:uid="{00000000-0005-0000-0000-000086060000}"/>
    <cellStyle name="Comma [0] 2 14 27 3 3" xfId="7163" xr:uid="{00000000-0005-0000-0000-000087060000}"/>
    <cellStyle name="Comma [0] 2 14 27 3 3 2" xfId="14908" xr:uid="{00000000-0005-0000-0000-000088060000}"/>
    <cellStyle name="Comma [0] 2 14 27 3 3 2 2" xfId="30500" xr:uid="{00000000-0005-0000-0000-000089060000}"/>
    <cellStyle name="Comma [0] 2 14 27 3 3 2 3" xfId="45992" xr:uid="{00000000-0005-0000-0000-00008A060000}"/>
    <cellStyle name="Comma [0] 2 14 27 3 3 3" xfId="22760" xr:uid="{00000000-0005-0000-0000-00008B060000}"/>
    <cellStyle name="Comma [0] 2 14 27 3 3 4" xfId="38252" xr:uid="{00000000-0005-0000-0000-00008C060000}"/>
    <cellStyle name="Comma [0] 2 14 27 3 4" xfId="11038" xr:uid="{00000000-0005-0000-0000-00008D060000}"/>
    <cellStyle name="Comma [0] 2 14 27 3 4 2" xfId="26630" xr:uid="{00000000-0005-0000-0000-00008E060000}"/>
    <cellStyle name="Comma [0] 2 14 27 3 4 3" xfId="42122" xr:uid="{00000000-0005-0000-0000-00008F060000}"/>
    <cellStyle name="Comma [0] 2 14 27 3 5" xfId="18890" xr:uid="{00000000-0005-0000-0000-000090060000}"/>
    <cellStyle name="Comma [0] 2 14 27 3 6" xfId="34382" xr:uid="{00000000-0005-0000-0000-000091060000}"/>
    <cellStyle name="Comma [0] 2 14 27 4" xfId="4271" xr:uid="{00000000-0005-0000-0000-000092060000}"/>
    <cellStyle name="Comma [0] 2 14 27 4 2" xfId="8142" xr:uid="{00000000-0005-0000-0000-000093060000}"/>
    <cellStyle name="Comma [0] 2 14 27 4 2 2" xfId="15887" xr:uid="{00000000-0005-0000-0000-000094060000}"/>
    <cellStyle name="Comma [0] 2 14 27 4 2 2 2" xfId="31479" xr:uid="{00000000-0005-0000-0000-000095060000}"/>
    <cellStyle name="Comma [0] 2 14 27 4 2 2 3" xfId="46971" xr:uid="{00000000-0005-0000-0000-000096060000}"/>
    <cellStyle name="Comma [0] 2 14 27 4 2 3" xfId="23739" xr:uid="{00000000-0005-0000-0000-000097060000}"/>
    <cellStyle name="Comma [0] 2 14 27 4 2 4" xfId="39231" xr:uid="{00000000-0005-0000-0000-000098060000}"/>
    <cellStyle name="Comma [0] 2 14 27 4 3" xfId="12017" xr:uid="{00000000-0005-0000-0000-000099060000}"/>
    <cellStyle name="Comma [0] 2 14 27 4 3 2" xfId="27609" xr:uid="{00000000-0005-0000-0000-00009A060000}"/>
    <cellStyle name="Comma [0] 2 14 27 4 3 3" xfId="43101" xr:uid="{00000000-0005-0000-0000-00009B060000}"/>
    <cellStyle name="Comma [0] 2 14 27 4 4" xfId="19869" xr:uid="{00000000-0005-0000-0000-00009C060000}"/>
    <cellStyle name="Comma [0] 2 14 27 4 5" xfId="35361" xr:uid="{00000000-0005-0000-0000-00009D060000}"/>
    <cellStyle name="Comma [0] 2 14 27 5" xfId="6215" xr:uid="{00000000-0005-0000-0000-00009E060000}"/>
    <cellStyle name="Comma [0] 2 14 27 5 2" xfId="13960" xr:uid="{00000000-0005-0000-0000-00009F060000}"/>
    <cellStyle name="Comma [0] 2 14 27 5 2 2" xfId="29552" xr:uid="{00000000-0005-0000-0000-0000A0060000}"/>
    <cellStyle name="Comma [0] 2 14 27 5 2 3" xfId="45044" xr:uid="{00000000-0005-0000-0000-0000A1060000}"/>
    <cellStyle name="Comma [0] 2 14 27 5 3" xfId="21812" xr:uid="{00000000-0005-0000-0000-0000A2060000}"/>
    <cellStyle name="Comma [0] 2 14 27 5 4" xfId="37304" xr:uid="{00000000-0005-0000-0000-0000A3060000}"/>
    <cellStyle name="Comma [0] 2 14 27 6" xfId="10090" xr:uid="{00000000-0005-0000-0000-0000A4060000}"/>
    <cellStyle name="Comma [0] 2 14 27 6 2" xfId="25682" xr:uid="{00000000-0005-0000-0000-0000A5060000}"/>
    <cellStyle name="Comma [0] 2 14 27 6 3" xfId="41174" xr:uid="{00000000-0005-0000-0000-0000A6060000}"/>
    <cellStyle name="Comma [0] 2 14 27 7" xfId="17942" xr:uid="{00000000-0005-0000-0000-0000A7060000}"/>
    <cellStyle name="Comma [0] 2 14 27 8" xfId="33434" xr:uid="{00000000-0005-0000-0000-0000A8060000}"/>
    <cellStyle name="Comma [0] 2 14 28" xfId="2302" xr:uid="{00000000-0005-0000-0000-0000A9060000}"/>
    <cellStyle name="Comma [0] 2 14 28 2" xfId="2617" xr:uid="{00000000-0005-0000-0000-0000AA060000}"/>
    <cellStyle name="Comma [0] 2 14 28 2 2" xfId="3625" xr:uid="{00000000-0005-0000-0000-0000AB060000}"/>
    <cellStyle name="Comma [0] 2 14 28 2 2 2" xfId="5564" xr:uid="{00000000-0005-0000-0000-0000AC060000}"/>
    <cellStyle name="Comma [0] 2 14 28 2 2 2 2" xfId="9435" xr:uid="{00000000-0005-0000-0000-0000AD060000}"/>
    <cellStyle name="Comma [0] 2 14 28 2 2 2 2 2" xfId="17180" xr:uid="{00000000-0005-0000-0000-0000AE060000}"/>
    <cellStyle name="Comma [0] 2 14 28 2 2 2 2 2 2" xfId="32772" xr:uid="{00000000-0005-0000-0000-0000AF060000}"/>
    <cellStyle name="Comma [0] 2 14 28 2 2 2 2 2 3" xfId="48264" xr:uid="{00000000-0005-0000-0000-0000B0060000}"/>
    <cellStyle name="Comma [0] 2 14 28 2 2 2 2 3" xfId="25032" xr:uid="{00000000-0005-0000-0000-0000B1060000}"/>
    <cellStyle name="Comma [0] 2 14 28 2 2 2 2 4" xfId="40524" xr:uid="{00000000-0005-0000-0000-0000B2060000}"/>
    <cellStyle name="Comma [0] 2 14 28 2 2 2 3" xfId="13310" xr:uid="{00000000-0005-0000-0000-0000B3060000}"/>
    <cellStyle name="Comma [0] 2 14 28 2 2 2 3 2" xfId="28902" xr:uid="{00000000-0005-0000-0000-0000B4060000}"/>
    <cellStyle name="Comma [0] 2 14 28 2 2 2 3 3" xfId="44394" xr:uid="{00000000-0005-0000-0000-0000B5060000}"/>
    <cellStyle name="Comma [0] 2 14 28 2 2 2 4" xfId="21162" xr:uid="{00000000-0005-0000-0000-0000B6060000}"/>
    <cellStyle name="Comma [0] 2 14 28 2 2 2 5" xfId="36654" xr:uid="{00000000-0005-0000-0000-0000B7060000}"/>
    <cellStyle name="Comma [0] 2 14 28 2 2 3" xfId="7508" xr:uid="{00000000-0005-0000-0000-0000B8060000}"/>
    <cellStyle name="Comma [0] 2 14 28 2 2 3 2" xfId="15253" xr:uid="{00000000-0005-0000-0000-0000B9060000}"/>
    <cellStyle name="Comma [0] 2 14 28 2 2 3 2 2" xfId="30845" xr:uid="{00000000-0005-0000-0000-0000BA060000}"/>
    <cellStyle name="Comma [0] 2 14 28 2 2 3 2 3" xfId="46337" xr:uid="{00000000-0005-0000-0000-0000BB060000}"/>
    <cellStyle name="Comma [0] 2 14 28 2 2 3 3" xfId="23105" xr:uid="{00000000-0005-0000-0000-0000BC060000}"/>
    <cellStyle name="Comma [0] 2 14 28 2 2 3 4" xfId="38597" xr:uid="{00000000-0005-0000-0000-0000BD060000}"/>
    <cellStyle name="Comma [0] 2 14 28 2 2 4" xfId="11383" xr:uid="{00000000-0005-0000-0000-0000BE060000}"/>
    <cellStyle name="Comma [0] 2 14 28 2 2 4 2" xfId="26975" xr:uid="{00000000-0005-0000-0000-0000BF060000}"/>
    <cellStyle name="Comma [0] 2 14 28 2 2 4 3" xfId="42467" xr:uid="{00000000-0005-0000-0000-0000C0060000}"/>
    <cellStyle name="Comma [0] 2 14 28 2 2 5" xfId="19235" xr:uid="{00000000-0005-0000-0000-0000C1060000}"/>
    <cellStyle name="Comma [0] 2 14 28 2 2 6" xfId="34727" xr:uid="{00000000-0005-0000-0000-0000C2060000}"/>
    <cellStyle name="Comma [0] 2 14 28 2 3" xfId="4616" xr:uid="{00000000-0005-0000-0000-0000C3060000}"/>
    <cellStyle name="Comma [0] 2 14 28 2 3 2" xfId="8487" xr:uid="{00000000-0005-0000-0000-0000C4060000}"/>
    <cellStyle name="Comma [0] 2 14 28 2 3 2 2" xfId="16232" xr:uid="{00000000-0005-0000-0000-0000C5060000}"/>
    <cellStyle name="Comma [0] 2 14 28 2 3 2 2 2" xfId="31824" xr:uid="{00000000-0005-0000-0000-0000C6060000}"/>
    <cellStyle name="Comma [0] 2 14 28 2 3 2 2 3" xfId="47316" xr:uid="{00000000-0005-0000-0000-0000C7060000}"/>
    <cellStyle name="Comma [0] 2 14 28 2 3 2 3" xfId="24084" xr:uid="{00000000-0005-0000-0000-0000C8060000}"/>
    <cellStyle name="Comma [0] 2 14 28 2 3 2 4" xfId="39576" xr:uid="{00000000-0005-0000-0000-0000C9060000}"/>
    <cellStyle name="Comma [0] 2 14 28 2 3 3" xfId="12362" xr:uid="{00000000-0005-0000-0000-0000CA060000}"/>
    <cellStyle name="Comma [0] 2 14 28 2 3 3 2" xfId="27954" xr:uid="{00000000-0005-0000-0000-0000CB060000}"/>
    <cellStyle name="Comma [0] 2 14 28 2 3 3 3" xfId="43446" xr:uid="{00000000-0005-0000-0000-0000CC060000}"/>
    <cellStyle name="Comma [0] 2 14 28 2 3 4" xfId="20214" xr:uid="{00000000-0005-0000-0000-0000CD060000}"/>
    <cellStyle name="Comma [0] 2 14 28 2 3 5" xfId="35706" xr:uid="{00000000-0005-0000-0000-0000CE060000}"/>
    <cellStyle name="Comma [0] 2 14 28 2 4" xfId="6560" xr:uid="{00000000-0005-0000-0000-0000CF060000}"/>
    <cellStyle name="Comma [0] 2 14 28 2 4 2" xfId="14305" xr:uid="{00000000-0005-0000-0000-0000D0060000}"/>
    <cellStyle name="Comma [0] 2 14 28 2 4 2 2" xfId="29897" xr:uid="{00000000-0005-0000-0000-0000D1060000}"/>
    <cellStyle name="Comma [0] 2 14 28 2 4 2 3" xfId="45389" xr:uid="{00000000-0005-0000-0000-0000D2060000}"/>
    <cellStyle name="Comma [0] 2 14 28 2 4 3" xfId="22157" xr:uid="{00000000-0005-0000-0000-0000D3060000}"/>
    <cellStyle name="Comma [0] 2 14 28 2 4 4" xfId="37649" xr:uid="{00000000-0005-0000-0000-0000D4060000}"/>
    <cellStyle name="Comma [0] 2 14 28 2 5" xfId="10435" xr:uid="{00000000-0005-0000-0000-0000D5060000}"/>
    <cellStyle name="Comma [0] 2 14 28 2 5 2" xfId="26027" xr:uid="{00000000-0005-0000-0000-0000D6060000}"/>
    <cellStyle name="Comma [0] 2 14 28 2 5 3" xfId="41519" xr:uid="{00000000-0005-0000-0000-0000D7060000}"/>
    <cellStyle name="Comma [0] 2 14 28 2 6" xfId="18287" xr:uid="{00000000-0005-0000-0000-0000D8060000}"/>
    <cellStyle name="Comma [0] 2 14 28 2 7" xfId="33779" xr:uid="{00000000-0005-0000-0000-0000D9060000}"/>
    <cellStyle name="Comma [0] 2 14 28 3" xfId="3316" xr:uid="{00000000-0005-0000-0000-0000DA060000}"/>
    <cellStyle name="Comma [0] 2 14 28 3 2" xfId="5255" xr:uid="{00000000-0005-0000-0000-0000DB060000}"/>
    <cellStyle name="Comma [0] 2 14 28 3 2 2" xfId="9126" xr:uid="{00000000-0005-0000-0000-0000DC060000}"/>
    <cellStyle name="Comma [0] 2 14 28 3 2 2 2" xfId="16871" xr:uid="{00000000-0005-0000-0000-0000DD060000}"/>
    <cellStyle name="Comma [0] 2 14 28 3 2 2 2 2" xfId="32463" xr:uid="{00000000-0005-0000-0000-0000DE060000}"/>
    <cellStyle name="Comma [0] 2 14 28 3 2 2 2 3" xfId="47955" xr:uid="{00000000-0005-0000-0000-0000DF060000}"/>
    <cellStyle name="Comma [0] 2 14 28 3 2 2 3" xfId="24723" xr:uid="{00000000-0005-0000-0000-0000E0060000}"/>
    <cellStyle name="Comma [0] 2 14 28 3 2 2 4" xfId="40215" xr:uid="{00000000-0005-0000-0000-0000E1060000}"/>
    <cellStyle name="Comma [0] 2 14 28 3 2 3" xfId="13001" xr:uid="{00000000-0005-0000-0000-0000E2060000}"/>
    <cellStyle name="Comma [0] 2 14 28 3 2 3 2" xfId="28593" xr:uid="{00000000-0005-0000-0000-0000E3060000}"/>
    <cellStyle name="Comma [0] 2 14 28 3 2 3 3" xfId="44085" xr:uid="{00000000-0005-0000-0000-0000E4060000}"/>
    <cellStyle name="Comma [0] 2 14 28 3 2 4" xfId="20853" xr:uid="{00000000-0005-0000-0000-0000E5060000}"/>
    <cellStyle name="Comma [0] 2 14 28 3 2 5" xfId="36345" xr:uid="{00000000-0005-0000-0000-0000E6060000}"/>
    <cellStyle name="Comma [0] 2 14 28 3 3" xfId="7199" xr:uid="{00000000-0005-0000-0000-0000E7060000}"/>
    <cellStyle name="Comma [0] 2 14 28 3 3 2" xfId="14944" xr:uid="{00000000-0005-0000-0000-0000E8060000}"/>
    <cellStyle name="Comma [0] 2 14 28 3 3 2 2" xfId="30536" xr:uid="{00000000-0005-0000-0000-0000E9060000}"/>
    <cellStyle name="Comma [0] 2 14 28 3 3 2 3" xfId="46028" xr:uid="{00000000-0005-0000-0000-0000EA060000}"/>
    <cellStyle name="Comma [0] 2 14 28 3 3 3" xfId="22796" xr:uid="{00000000-0005-0000-0000-0000EB060000}"/>
    <cellStyle name="Comma [0] 2 14 28 3 3 4" xfId="38288" xr:uid="{00000000-0005-0000-0000-0000EC060000}"/>
    <cellStyle name="Comma [0] 2 14 28 3 4" xfId="11074" xr:uid="{00000000-0005-0000-0000-0000ED060000}"/>
    <cellStyle name="Comma [0] 2 14 28 3 4 2" xfId="26666" xr:uid="{00000000-0005-0000-0000-0000EE060000}"/>
    <cellStyle name="Comma [0] 2 14 28 3 4 3" xfId="42158" xr:uid="{00000000-0005-0000-0000-0000EF060000}"/>
    <cellStyle name="Comma [0] 2 14 28 3 5" xfId="18926" xr:uid="{00000000-0005-0000-0000-0000F0060000}"/>
    <cellStyle name="Comma [0] 2 14 28 3 6" xfId="34418" xr:uid="{00000000-0005-0000-0000-0000F1060000}"/>
    <cellStyle name="Comma [0] 2 14 28 4" xfId="4307" xr:uid="{00000000-0005-0000-0000-0000F2060000}"/>
    <cellStyle name="Comma [0] 2 14 28 4 2" xfId="8178" xr:uid="{00000000-0005-0000-0000-0000F3060000}"/>
    <cellStyle name="Comma [0] 2 14 28 4 2 2" xfId="15923" xr:uid="{00000000-0005-0000-0000-0000F4060000}"/>
    <cellStyle name="Comma [0] 2 14 28 4 2 2 2" xfId="31515" xr:uid="{00000000-0005-0000-0000-0000F5060000}"/>
    <cellStyle name="Comma [0] 2 14 28 4 2 2 3" xfId="47007" xr:uid="{00000000-0005-0000-0000-0000F6060000}"/>
    <cellStyle name="Comma [0] 2 14 28 4 2 3" xfId="23775" xr:uid="{00000000-0005-0000-0000-0000F7060000}"/>
    <cellStyle name="Comma [0] 2 14 28 4 2 4" xfId="39267" xr:uid="{00000000-0005-0000-0000-0000F8060000}"/>
    <cellStyle name="Comma [0] 2 14 28 4 3" xfId="12053" xr:uid="{00000000-0005-0000-0000-0000F9060000}"/>
    <cellStyle name="Comma [0] 2 14 28 4 3 2" xfId="27645" xr:uid="{00000000-0005-0000-0000-0000FA060000}"/>
    <cellStyle name="Comma [0] 2 14 28 4 3 3" xfId="43137" xr:uid="{00000000-0005-0000-0000-0000FB060000}"/>
    <cellStyle name="Comma [0] 2 14 28 4 4" xfId="19905" xr:uid="{00000000-0005-0000-0000-0000FC060000}"/>
    <cellStyle name="Comma [0] 2 14 28 4 5" xfId="35397" xr:uid="{00000000-0005-0000-0000-0000FD060000}"/>
    <cellStyle name="Comma [0] 2 14 28 5" xfId="6251" xr:uid="{00000000-0005-0000-0000-0000FE060000}"/>
    <cellStyle name="Comma [0] 2 14 28 5 2" xfId="13996" xr:uid="{00000000-0005-0000-0000-0000FF060000}"/>
    <cellStyle name="Comma [0] 2 14 28 5 2 2" xfId="29588" xr:uid="{00000000-0005-0000-0000-000000070000}"/>
    <cellStyle name="Comma [0] 2 14 28 5 2 3" xfId="45080" xr:uid="{00000000-0005-0000-0000-000001070000}"/>
    <cellStyle name="Comma [0] 2 14 28 5 3" xfId="21848" xr:uid="{00000000-0005-0000-0000-000002070000}"/>
    <cellStyle name="Comma [0] 2 14 28 5 4" xfId="37340" xr:uid="{00000000-0005-0000-0000-000003070000}"/>
    <cellStyle name="Comma [0] 2 14 28 6" xfId="10126" xr:uid="{00000000-0005-0000-0000-000004070000}"/>
    <cellStyle name="Comma [0] 2 14 28 6 2" xfId="25718" xr:uid="{00000000-0005-0000-0000-000005070000}"/>
    <cellStyle name="Comma [0] 2 14 28 6 3" xfId="41210" xr:uid="{00000000-0005-0000-0000-000006070000}"/>
    <cellStyle name="Comma [0] 2 14 28 7" xfId="17978" xr:uid="{00000000-0005-0000-0000-000007070000}"/>
    <cellStyle name="Comma [0] 2 14 28 8" xfId="33470" xr:uid="{00000000-0005-0000-0000-000008070000}"/>
    <cellStyle name="Comma [0] 2 14 29" xfId="2340" xr:uid="{00000000-0005-0000-0000-000009070000}"/>
    <cellStyle name="Comma [0] 2 14 29 2" xfId="2653" xr:uid="{00000000-0005-0000-0000-00000A070000}"/>
    <cellStyle name="Comma [0] 2 14 29 2 2" xfId="3661" xr:uid="{00000000-0005-0000-0000-00000B070000}"/>
    <cellStyle name="Comma [0] 2 14 29 2 2 2" xfId="5600" xr:uid="{00000000-0005-0000-0000-00000C070000}"/>
    <cellStyle name="Comma [0] 2 14 29 2 2 2 2" xfId="9471" xr:uid="{00000000-0005-0000-0000-00000D070000}"/>
    <cellStyle name="Comma [0] 2 14 29 2 2 2 2 2" xfId="17216" xr:uid="{00000000-0005-0000-0000-00000E070000}"/>
    <cellStyle name="Comma [0] 2 14 29 2 2 2 2 2 2" xfId="32808" xr:uid="{00000000-0005-0000-0000-00000F070000}"/>
    <cellStyle name="Comma [0] 2 14 29 2 2 2 2 2 3" xfId="48300" xr:uid="{00000000-0005-0000-0000-000010070000}"/>
    <cellStyle name="Comma [0] 2 14 29 2 2 2 2 3" xfId="25068" xr:uid="{00000000-0005-0000-0000-000011070000}"/>
    <cellStyle name="Comma [0] 2 14 29 2 2 2 2 4" xfId="40560" xr:uid="{00000000-0005-0000-0000-000012070000}"/>
    <cellStyle name="Comma [0] 2 14 29 2 2 2 3" xfId="13346" xr:uid="{00000000-0005-0000-0000-000013070000}"/>
    <cellStyle name="Comma [0] 2 14 29 2 2 2 3 2" xfId="28938" xr:uid="{00000000-0005-0000-0000-000014070000}"/>
    <cellStyle name="Comma [0] 2 14 29 2 2 2 3 3" xfId="44430" xr:uid="{00000000-0005-0000-0000-000015070000}"/>
    <cellStyle name="Comma [0] 2 14 29 2 2 2 4" xfId="21198" xr:uid="{00000000-0005-0000-0000-000016070000}"/>
    <cellStyle name="Comma [0] 2 14 29 2 2 2 5" xfId="36690" xr:uid="{00000000-0005-0000-0000-000017070000}"/>
    <cellStyle name="Comma [0] 2 14 29 2 2 3" xfId="7544" xr:uid="{00000000-0005-0000-0000-000018070000}"/>
    <cellStyle name="Comma [0] 2 14 29 2 2 3 2" xfId="15289" xr:uid="{00000000-0005-0000-0000-000019070000}"/>
    <cellStyle name="Comma [0] 2 14 29 2 2 3 2 2" xfId="30881" xr:uid="{00000000-0005-0000-0000-00001A070000}"/>
    <cellStyle name="Comma [0] 2 14 29 2 2 3 2 3" xfId="46373" xr:uid="{00000000-0005-0000-0000-00001B070000}"/>
    <cellStyle name="Comma [0] 2 14 29 2 2 3 3" xfId="23141" xr:uid="{00000000-0005-0000-0000-00001C070000}"/>
    <cellStyle name="Comma [0] 2 14 29 2 2 3 4" xfId="38633" xr:uid="{00000000-0005-0000-0000-00001D070000}"/>
    <cellStyle name="Comma [0] 2 14 29 2 2 4" xfId="11419" xr:uid="{00000000-0005-0000-0000-00001E070000}"/>
    <cellStyle name="Comma [0] 2 14 29 2 2 4 2" xfId="27011" xr:uid="{00000000-0005-0000-0000-00001F070000}"/>
    <cellStyle name="Comma [0] 2 14 29 2 2 4 3" xfId="42503" xr:uid="{00000000-0005-0000-0000-000020070000}"/>
    <cellStyle name="Comma [0] 2 14 29 2 2 5" xfId="19271" xr:uid="{00000000-0005-0000-0000-000021070000}"/>
    <cellStyle name="Comma [0] 2 14 29 2 2 6" xfId="34763" xr:uid="{00000000-0005-0000-0000-000022070000}"/>
    <cellStyle name="Comma [0] 2 14 29 2 3" xfId="4652" xr:uid="{00000000-0005-0000-0000-000023070000}"/>
    <cellStyle name="Comma [0] 2 14 29 2 3 2" xfId="8523" xr:uid="{00000000-0005-0000-0000-000024070000}"/>
    <cellStyle name="Comma [0] 2 14 29 2 3 2 2" xfId="16268" xr:uid="{00000000-0005-0000-0000-000025070000}"/>
    <cellStyle name="Comma [0] 2 14 29 2 3 2 2 2" xfId="31860" xr:uid="{00000000-0005-0000-0000-000026070000}"/>
    <cellStyle name="Comma [0] 2 14 29 2 3 2 2 3" xfId="47352" xr:uid="{00000000-0005-0000-0000-000027070000}"/>
    <cellStyle name="Comma [0] 2 14 29 2 3 2 3" xfId="24120" xr:uid="{00000000-0005-0000-0000-000028070000}"/>
    <cellStyle name="Comma [0] 2 14 29 2 3 2 4" xfId="39612" xr:uid="{00000000-0005-0000-0000-000029070000}"/>
    <cellStyle name="Comma [0] 2 14 29 2 3 3" xfId="12398" xr:uid="{00000000-0005-0000-0000-00002A070000}"/>
    <cellStyle name="Comma [0] 2 14 29 2 3 3 2" xfId="27990" xr:uid="{00000000-0005-0000-0000-00002B070000}"/>
    <cellStyle name="Comma [0] 2 14 29 2 3 3 3" xfId="43482" xr:uid="{00000000-0005-0000-0000-00002C070000}"/>
    <cellStyle name="Comma [0] 2 14 29 2 3 4" xfId="20250" xr:uid="{00000000-0005-0000-0000-00002D070000}"/>
    <cellStyle name="Comma [0] 2 14 29 2 3 5" xfId="35742" xr:uid="{00000000-0005-0000-0000-00002E070000}"/>
    <cellStyle name="Comma [0] 2 14 29 2 4" xfId="6596" xr:uid="{00000000-0005-0000-0000-00002F070000}"/>
    <cellStyle name="Comma [0] 2 14 29 2 4 2" xfId="14341" xr:uid="{00000000-0005-0000-0000-000030070000}"/>
    <cellStyle name="Comma [0] 2 14 29 2 4 2 2" xfId="29933" xr:uid="{00000000-0005-0000-0000-000031070000}"/>
    <cellStyle name="Comma [0] 2 14 29 2 4 2 3" xfId="45425" xr:uid="{00000000-0005-0000-0000-000032070000}"/>
    <cellStyle name="Comma [0] 2 14 29 2 4 3" xfId="22193" xr:uid="{00000000-0005-0000-0000-000033070000}"/>
    <cellStyle name="Comma [0] 2 14 29 2 4 4" xfId="37685" xr:uid="{00000000-0005-0000-0000-000034070000}"/>
    <cellStyle name="Comma [0] 2 14 29 2 5" xfId="10471" xr:uid="{00000000-0005-0000-0000-000035070000}"/>
    <cellStyle name="Comma [0] 2 14 29 2 5 2" xfId="26063" xr:uid="{00000000-0005-0000-0000-000036070000}"/>
    <cellStyle name="Comma [0] 2 14 29 2 5 3" xfId="41555" xr:uid="{00000000-0005-0000-0000-000037070000}"/>
    <cellStyle name="Comma [0] 2 14 29 2 6" xfId="18323" xr:uid="{00000000-0005-0000-0000-000038070000}"/>
    <cellStyle name="Comma [0] 2 14 29 2 7" xfId="33815" xr:uid="{00000000-0005-0000-0000-000039070000}"/>
    <cellStyle name="Comma [0] 2 14 29 3" xfId="3352" xr:uid="{00000000-0005-0000-0000-00003A070000}"/>
    <cellStyle name="Comma [0] 2 14 29 3 2" xfId="5291" xr:uid="{00000000-0005-0000-0000-00003B070000}"/>
    <cellStyle name="Comma [0] 2 14 29 3 2 2" xfId="9162" xr:uid="{00000000-0005-0000-0000-00003C070000}"/>
    <cellStyle name="Comma [0] 2 14 29 3 2 2 2" xfId="16907" xr:uid="{00000000-0005-0000-0000-00003D070000}"/>
    <cellStyle name="Comma [0] 2 14 29 3 2 2 2 2" xfId="32499" xr:uid="{00000000-0005-0000-0000-00003E070000}"/>
    <cellStyle name="Comma [0] 2 14 29 3 2 2 2 3" xfId="47991" xr:uid="{00000000-0005-0000-0000-00003F070000}"/>
    <cellStyle name="Comma [0] 2 14 29 3 2 2 3" xfId="24759" xr:uid="{00000000-0005-0000-0000-000040070000}"/>
    <cellStyle name="Comma [0] 2 14 29 3 2 2 4" xfId="40251" xr:uid="{00000000-0005-0000-0000-000041070000}"/>
    <cellStyle name="Comma [0] 2 14 29 3 2 3" xfId="13037" xr:uid="{00000000-0005-0000-0000-000042070000}"/>
    <cellStyle name="Comma [0] 2 14 29 3 2 3 2" xfId="28629" xr:uid="{00000000-0005-0000-0000-000043070000}"/>
    <cellStyle name="Comma [0] 2 14 29 3 2 3 3" xfId="44121" xr:uid="{00000000-0005-0000-0000-000044070000}"/>
    <cellStyle name="Comma [0] 2 14 29 3 2 4" xfId="20889" xr:uid="{00000000-0005-0000-0000-000045070000}"/>
    <cellStyle name="Comma [0] 2 14 29 3 2 5" xfId="36381" xr:uid="{00000000-0005-0000-0000-000046070000}"/>
    <cellStyle name="Comma [0] 2 14 29 3 3" xfId="7235" xr:uid="{00000000-0005-0000-0000-000047070000}"/>
    <cellStyle name="Comma [0] 2 14 29 3 3 2" xfId="14980" xr:uid="{00000000-0005-0000-0000-000048070000}"/>
    <cellStyle name="Comma [0] 2 14 29 3 3 2 2" xfId="30572" xr:uid="{00000000-0005-0000-0000-000049070000}"/>
    <cellStyle name="Comma [0] 2 14 29 3 3 2 3" xfId="46064" xr:uid="{00000000-0005-0000-0000-00004A070000}"/>
    <cellStyle name="Comma [0] 2 14 29 3 3 3" xfId="22832" xr:uid="{00000000-0005-0000-0000-00004B070000}"/>
    <cellStyle name="Comma [0] 2 14 29 3 3 4" xfId="38324" xr:uid="{00000000-0005-0000-0000-00004C070000}"/>
    <cellStyle name="Comma [0] 2 14 29 3 4" xfId="11110" xr:uid="{00000000-0005-0000-0000-00004D070000}"/>
    <cellStyle name="Comma [0] 2 14 29 3 4 2" xfId="26702" xr:uid="{00000000-0005-0000-0000-00004E070000}"/>
    <cellStyle name="Comma [0] 2 14 29 3 4 3" xfId="42194" xr:uid="{00000000-0005-0000-0000-00004F070000}"/>
    <cellStyle name="Comma [0] 2 14 29 3 5" xfId="18962" xr:uid="{00000000-0005-0000-0000-000050070000}"/>
    <cellStyle name="Comma [0] 2 14 29 3 6" xfId="34454" xr:uid="{00000000-0005-0000-0000-000051070000}"/>
    <cellStyle name="Comma [0] 2 14 29 4" xfId="4343" xr:uid="{00000000-0005-0000-0000-000052070000}"/>
    <cellStyle name="Comma [0] 2 14 29 4 2" xfId="8214" xr:uid="{00000000-0005-0000-0000-000053070000}"/>
    <cellStyle name="Comma [0] 2 14 29 4 2 2" xfId="15959" xr:uid="{00000000-0005-0000-0000-000054070000}"/>
    <cellStyle name="Comma [0] 2 14 29 4 2 2 2" xfId="31551" xr:uid="{00000000-0005-0000-0000-000055070000}"/>
    <cellStyle name="Comma [0] 2 14 29 4 2 2 3" xfId="47043" xr:uid="{00000000-0005-0000-0000-000056070000}"/>
    <cellStyle name="Comma [0] 2 14 29 4 2 3" xfId="23811" xr:uid="{00000000-0005-0000-0000-000057070000}"/>
    <cellStyle name="Comma [0] 2 14 29 4 2 4" xfId="39303" xr:uid="{00000000-0005-0000-0000-000058070000}"/>
    <cellStyle name="Comma [0] 2 14 29 4 3" xfId="12089" xr:uid="{00000000-0005-0000-0000-000059070000}"/>
    <cellStyle name="Comma [0] 2 14 29 4 3 2" xfId="27681" xr:uid="{00000000-0005-0000-0000-00005A070000}"/>
    <cellStyle name="Comma [0] 2 14 29 4 3 3" xfId="43173" xr:uid="{00000000-0005-0000-0000-00005B070000}"/>
    <cellStyle name="Comma [0] 2 14 29 4 4" xfId="19941" xr:uid="{00000000-0005-0000-0000-00005C070000}"/>
    <cellStyle name="Comma [0] 2 14 29 4 5" xfId="35433" xr:uid="{00000000-0005-0000-0000-00005D070000}"/>
    <cellStyle name="Comma [0] 2 14 29 5" xfId="6287" xr:uid="{00000000-0005-0000-0000-00005E070000}"/>
    <cellStyle name="Comma [0] 2 14 29 5 2" xfId="14032" xr:uid="{00000000-0005-0000-0000-00005F070000}"/>
    <cellStyle name="Comma [0] 2 14 29 5 2 2" xfId="29624" xr:uid="{00000000-0005-0000-0000-000060070000}"/>
    <cellStyle name="Comma [0] 2 14 29 5 2 3" xfId="45116" xr:uid="{00000000-0005-0000-0000-000061070000}"/>
    <cellStyle name="Comma [0] 2 14 29 5 3" xfId="21884" xr:uid="{00000000-0005-0000-0000-000062070000}"/>
    <cellStyle name="Comma [0] 2 14 29 5 4" xfId="37376" xr:uid="{00000000-0005-0000-0000-000063070000}"/>
    <cellStyle name="Comma [0] 2 14 29 6" xfId="10162" xr:uid="{00000000-0005-0000-0000-000064070000}"/>
    <cellStyle name="Comma [0] 2 14 29 6 2" xfId="25754" xr:uid="{00000000-0005-0000-0000-000065070000}"/>
    <cellStyle name="Comma [0] 2 14 29 6 3" xfId="41246" xr:uid="{00000000-0005-0000-0000-000066070000}"/>
    <cellStyle name="Comma [0] 2 14 29 7" xfId="18014" xr:uid="{00000000-0005-0000-0000-000067070000}"/>
    <cellStyle name="Comma [0] 2 14 29 8" xfId="33506" xr:uid="{00000000-0005-0000-0000-000068070000}"/>
    <cellStyle name="Comma [0] 2 14 3" xfId="93" xr:uid="{00000000-0005-0000-0000-000069070000}"/>
    <cellStyle name="Comma [0] 2 14 30" xfId="2377" xr:uid="{00000000-0005-0000-0000-00006A070000}"/>
    <cellStyle name="Comma [0] 2 14 30 2" xfId="2689" xr:uid="{00000000-0005-0000-0000-00006B070000}"/>
    <cellStyle name="Comma [0] 2 14 30 2 2" xfId="3697" xr:uid="{00000000-0005-0000-0000-00006C070000}"/>
    <cellStyle name="Comma [0] 2 14 30 2 2 2" xfId="5636" xr:uid="{00000000-0005-0000-0000-00006D070000}"/>
    <cellStyle name="Comma [0] 2 14 30 2 2 2 2" xfId="9507" xr:uid="{00000000-0005-0000-0000-00006E070000}"/>
    <cellStyle name="Comma [0] 2 14 30 2 2 2 2 2" xfId="17252" xr:uid="{00000000-0005-0000-0000-00006F070000}"/>
    <cellStyle name="Comma [0] 2 14 30 2 2 2 2 2 2" xfId="32844" xr:uid="{00000000-0005-0000-0000-000070070000}"/>
    <cellStyle name="Comma [0] 2 14 30 2 2 2 2 2 3" xfId="48336" xr:uid="{00000000-0005-0000-0000-000071070000}"/>
    <cellStyle name="Comma [0] 2 14 30 2 2 2 2 3" xfId="25104" xr:uid="{00000000-0005-0000-0000-000072070000}"/>
    <cellStyle name="Comma [0] 2 14 30 2 2 2 2 4" xfId="40596" xr:uid="{00000000-0005-0000-0000-000073070000}"/>
    <cellStyle name="Comma [0] 2 14 30 2 2 2 3" xfId="13382" xr:uid="{00000000-0005-0000-0000-000074070000}"/>
    <cellStyle name="Comma [0] 2 14 30 2 2 2 3 2" xfId="28974" xr:uid="{00000000-0005-0000-0000-000075070000}"/>
    <cellStyle name="Comma [0] 2 14 30 2 2 2 3 3" xfId="44466" xr:uid="{00000000-0005-0000-0000-000076070000}"/>
    <cellStyle name="Comma [0] 2 14 30 2 2 2 4" xfId="21234" xr:uid="{00000000-0005-0000-0000-000077070000}"/>
    <cellStyle name="Comma [0] 2 14 30 2 2 2 5" xfId="36726" xr:uid="{00000000-0005-0000-0000-000078070000}"/>
    <cellStyle name="Comma [0] 2 14 30 2 2 3" xfId="7580" xr:uid="{00000000-0005-0000-0000-000079070000}"/>
    <cellStyle name="Comma [0] 2 14 30 2 2 3 2" xfId="15325" xr:uid="{00000000-0005-0000-0000-00007A070000}"/>
    <cellStyle name="Comma [0] 2 14 30 2 2 3 2 2" xfId="30917" xr:uid="{00000000-0005-0000-0000-00007B070000}"/>
    <cellStyle name="Comma [0] 2 14 30 2 2 3 2 3" xfId="46409" xr:uid="{00000000-0005-0000-0000-00007C070000}"/>
    <cellStyle name="Comma [0] 2 14 30 2 2 3 3" xfId="23177" xr:uid="{00000000-0005-0000-0000-00007D070000}"/>
    <cellStyle name="Comma [0] 2 14 30 2 2 3 4" xfId="38669" xr:uid="{00000000-0005-0000-0000-00007E070000}"/>
    <cellStyle name="Comma [0] 2 14 30 2 2 4" xfId="11455" xr:uid="{00000000-0005-0000-0000-00007F070000}"/>
    <cellStyle name="Comma [0] 2 14 30 2 2 4 2" xfId="27047" xr:uid="{00000000-0005-0000-0000-000080070000}"/>
    <cellStyle name="Comma [0] 2 14 30 2 2 4 3" xfId="42539" xr:uid="{00000000-0005-0000-0000-000081070000}"/>
    <cellStyle name="Comma [0] 2 14 30 2 2 5" xfId="19307" xr:uid="{00000000-0005-0000-0000-000082070000}"/>
    <cellStyle name="Comma [0] 2 14 30 2 2 6" xfId="34799" xr:uid="{00000000-0005-0000-0000-000083070000}"/>
    <cellStyle name="Comma [0] 2 14 30 2 3" xfId="4688" xr:uid="{00000000-0005-0000-0000-000084070000}"/>
    <cellStyle name="Comma [0] 2 14 30 2 3 2" xfId="8559" xr:uid="{00000000-0005-0000-0000-000085070000}"/>
    <cellStyle name="Comma [0] 2 14 30 2 3 2 2" xfId="16304" xr:uid="{00000000-0005-0000-0000-000086070000}"/>
    <cellStyle name="Comma [0] 2 14 30 2 3 2 2 2" xfId="31896" xr:uid="{00000000-0005-0000-0000-000087070000}"/>
    <cellStyle name="Comma [0] 2 14 30 2 3 2 2 3" xfId="47388" xr:uid="{00000000-0005-0000-0000-000088070000}"/>
    <cellStyle name="Comma [0] 2 14 30 2 3 2 3" xfId="24156" xr:uid="{00000000-0005-0000-0000-000089070000}"/>
    <cellStyle name="Comma [0] 2 14 30 2 3 2 4" xfId="39648" xr:uid="{00000000-0005-0000-0000-00008A070000}"/>
    <cellStyle name="Comma [0] 2 14 30 2 3 3" xfId="12434" xr:uid="{00000000-0005-0000-0000-00008B070000}"/>
    <cellStyle name="Comma [0] 2 14 30 2 3 3 2" xfId="28026" xr:uid="{00000000-0005-0000-0000-00008C070000}"/>
    <cellStyle name="Comma [0] 2 14 30 2 3 3 3" xfId="43518" xr:uid="{00000000-0005-0000-0000-00008D070000}"/>
    <cellStyle name="Comma [0] 2 14 30 2 3 4" xfId="20286" xr:uid="{00000000-0005-0000-0000-00008E070000}"/>
    <cellStyle name="Comma [0] 2 14 30 2 3 5" xfId="35778" xr:uid="{00000000-0005-0000-0000-00008F070000}"/>
    <cellStyle name="Comma [0] 2 14 30 2 4" xfId="6632" xr:uid="{00000000-0005-0000-0000-000090070000}"/>
    <cellStyle name="Comma [0] 2 14 30 2 4 2" xfId="14377" xr:uid="{00000000-0005-0000-0000-000091070000}"/>
    <cellStyle name="Comma [0] 2 14 30 2 4 2 2" xfId="29969" xr:uid="{00000000-0005-0000-0000-000092070000}"/>
    <cellStyle name="Comma [0] 2 14 30 2 4 2 3" xfId="45461" xr:uid="{00000000-0005-0000-0000-000093070000}"/>
    <cellStyle name="Comma [0] 2 14 30 2 4 3" xfId="22229" xr:uid="{00000000-0005-0000-0000-000094070000}"/>
    <cellStyle name="Comma [0] 2 14 30 2 4 4" xfId="37721" xr:uid="{00000000-0005-0000-0000-000095070000}"/>
    <cellStyle name="Comma [0] 2 14 30 2 5" xfId="10507" xr:uid="{00000000-0005-0000-0000-000096070000}"/>
    <cellStyle name="Comma [0] 2 14 30 2 5 2" xfId="26099" xr:uid="{00000000-0005-0000-0000-000097070000}"/>
    <cellStyle name="Comma [0] 2 14 30 2 5 3" xfId="41591" xr:uid="{00000000-0005-0000-0000-000098070000}"/>
    <cellStyle name="Comma [0] 2 14 30 2 6" xfId="18359" xr:uid="{00000000-0005-0000-0000-000099070000}"/>
    <cellStyle name="Comma [0] 2 14 30 2 7" xfId="33851" xr:uid="{00000000-0005-0000-0000-00009A070000}"/>
    <cellStyle name="Comma [0] 2 14 30 3" xfId="3388" xr:uid="{00000000-0005-0000-0000-00009B070000}"/>
    <cellStyle name="Comma [0] 2 14 30 3 2" xfId="5327" xr:uid="{00000000-0005-0000-0000-00009C070000}"/>
    <cellStyle name="Comma [0] 2 14 30 3 2 2" xfId="9198" xr:uid="{00000000-0005-0000-0000-00009D070000}"/>
    <cellStyle name="Comma [0] 2 14 30 3 2 2 2" xfId="16943" xr:uid="{00000000-0005-0000-0000-00009E070000}"/>
    <cellStyle name="Comma [0] 2 14 30 3 2 2 2 2" xfId="32535" xr:uid="{00000000-0005-0000-0000-00009F070000}"/>
    <cellStyle name="Comma [0] 2 14 30 3 2 2 2 3" xfId="48027" xr:uid="{00000000-0005-0000-0000-0000A0070000}"/>
    <cellStyle name="Comma [0] 2 14 30 3 2 2 3" xfId="24795" xr:uid="{00000000-0005-0000-0000-0000A1070000}"/>
    <cellStyle name="Comma [0] 2 14 30 3 2 2 4" xfId="40287" xr:uid="{00000000-0005-0000-0000-0000A2070000}"/>
    <cellStyle name="Comma [0] 2 14 30 3 2 3" xfId="13073" xr:uid="{00000000-0005-0000-0000-0000A3070000}"/>
    <cellStyle name="Comma [0] 2 14 30 3 2 3 2" xfId="28665" xr:uid="{00000000-0005-0000-0000-0000A4070000}"/>
    <cellStyle name="Comma [0] 2 14 30 3 2 3 3" xfId="44157" xr:uid="{00000000-0005-0000-0000-0000A5070000}"/>
    <cellStyle name="Comma [0] 2 14 30 3 2 4" xfId="20925" xr:uid="{00000000-0005-0000-0000-0000A6070000}"/>
    <cellStyle name="Comma [0] 2 14 30 3 2 5" xfId="36417" xr:uid="{00000000-0005-0000-0000-0000A7070000}"/>
    <cellStyle name="Comma [0] 2 14 30 3 3" xfId="7271" xr:uid="{00000000-0005-0000-0000-0000A8070000}"/>
    <cellStyle name="Comma [0] 2 14 30 3 3 2" xfId="15016" xr:uid="{00000000-0005-0000-0000-0000A9070000}"/>
    <cellStyle name="Comma [0] 2 14 30 3 3 2 2" xfId="30608" xr:uid="{00000000-0005-0000-0000-0000AA070000}"/>
    <cellStyle name="Comma [0] 2 14 30 3 3 2 3" xfId="46100" xr:uid="{00000000-0005-0000-0000-0000AB070000}"/>
    <cellStyle name="Comma [0] 2 14 30 3 3 3" xfId="22868" xr:uid="{00000000-0005-0000-0000-0000AC070000}"/>
    <cellStyle name="Comma [0] 2 14 30 3 3 4" xfId="38360" xr:uid="{00000000-0005-0000-0000-0000AD070000}"/>
    <cellStyle name="Comma [0] 2 14 30 3 4" xfId="11146" xr:uid="{00000000-0005-0000-0000-0000AE070000}"/>
    <cellStyle name="Comma [0] 2 14 30 3 4 2" xfId="26738" xr:uid="{00000000-0005-0000-0000-0000AF070000}"/>
    <cellStyle name="Comma [0] 2 14 30 3 4 3" xfId="42230" xr:uid="{00000000-0005-0000-0000-0000B0070000}"/>
    <cellStyle name="Comma [0] 2 14 30 3 5" xfId="18998" xr:uid="{00000000-0005-0000-0000-0000B1070000}"/>
    <cellStyle name="Comma [0] 2 14 30 3 6" xfId="34490" xr:uid="{00000000-0005-0000-0000-0000B2070000}"/>
    <cellStyle name="Comma [0] 2 14 30 4" xfId="4379" xr:uid="{00000000-0005-0000-0000-0000B3070000}"/>
    <cellStyle name="Comma [0] 2 14 30 4 2" xfId="8250" xr:uid="{00000000-0005-0000-0000-0000B4070000}"/>
    <cellStyle name="Comma [0] 2 14 30 4 2 2" xfId="15995" xr:uid="{00000000-0005-0000-0000-0000B5070000}"/>
    <cellStyle name="Comma [0] 2 14 30 4 2 2 2" xfId="31587" xr:uid="{00000000-0005-0000-0000-0000B6070000}"/>
    <cellStyle name="Comma [0] 2 14 30 4 2 2 3" xfId="47079" xr:uid="{00000000-0005-0000-0000-0000B7070000}"/>
    <cellStyle name="Comma [0] 2 14 30 4 2 3" xfId="23847" xr:uid="{00000000-0005-0000-0000-0000B8070000}"/>
    <cellStyle name="Comma [0] 2 14 30 4 2 4" xfId="39339" xr:uid="{00000000-0005-0000-0000-0000B9070000}"/>
    <cellStyle name="Comma [0] 2 14 30 4 3" xfId="12125" xr:uid="{00000000-0005-0000-0000-0000BA070000}"/>
    <cellStyle name="Comma [0] 2 14 30 4 3 2" xfId="27717" xr:uid="{00000000-0005-0000-0000-0000BB070000}"/>
    <cellStyle name="Comma [0] 2 14 30 4 3 3" xfId="43209" xr:uid="{00000000-0005-0000-0000-0000BC070000}"/>
    <cellStyle name="Comma [0] 2 14 30 4 4" xfId="19977" xr:uid="{00000000-0005-0000-0000-0000BD070000}"/>
    <cellStyle name="Comma [0] 2 14 30 4 5" xfId="35469" xr:uid="{00000000-0005-0000-0000-0000BE070000}"/>
    <cellStyle name="Comma [0] 2 14 30 5" xfId="6323" xr:uid="{00000000-0005-0000-0000-0000BF070000}"/>
    <cellStyle name="Comma [0] 2 14 30 5 2" xfId="14068" xr:uid="{00000000-0005-0000-0000-0000C0070000}"/>
    <cellStyle name="Comma [0] 2 14 30 5 2 2" xfId="29660" xr:uid="{00000000-0005-0000-0000-0000C1070000}"/>
    <cellStyle name="Comma [0] 2 14 30 5 2 3" xfId="45152" xr:uid="{00000000-0005-0000-0000-0000C2070000}"/>
    <cellStyle name="Comma [0] 2 14 30 5 3" xfId="21920" xr:uid="{00000000-0005-0000-0000-0000C3070000}"/>
    <cellStyle name="Comma [0] 2 14 30 5 4" xfId="37412" xr:uid="{00000000-0005-0000-0000-0000C4070000}"/>
    <cellStyle name="Comma [0] 2 14 30 6" xfId="10198" xr:uid="{00000000-0005-0000-0000-0000C5070000}"/>
    <cellStyle name="Comma [0] 2 14 30 6 2" xfId="25790" xr:uid="{00000000-0005-0000-0000-0000C6070000}"/>
    <cellStyle name="Comma [0] 2 14 30 6 3" xfId="41282" xr:uid="{00000000-0005-0000-0000-0000C7070000}"/>
    <cellStyle name="Comma [0] 2 14 30 7" xfId="18050" xr:uid="{00000000-0005-0000-0000-0000C8070000}"/>
    <cellStyle name="Comma [0] 2 14 30 8" xfId="33542" xr:uid="{00000000-0005-0000-0000-0000C9070000}"/>
    <cellStyle name="Comma [0] 2 14 31" xfId="2415" xr:uid="{00000000-0005-0000-0000-0000CA070000}"/>
    <cellStyle name="Comma [0] 2 14 31 2" xfId="2725" xr:uid="{00000000-0005-0000-0000-0000CB070000}"/>
    <cellStyle name="Comma [0] 2 14 31 2 2" xfId="3733" xr:uid="{00000000-0005-0000-0000-0000CC070000}"/>
    <cellStyle name="Comma [0] 2 14 31 2 2 2" xfId="5672" xr:uid="{00000000-0005-0000-0000-0000CD070000}"/>
    <cellStyle name="Comma [0] 2 14 31 2 2 2 2" xfId="9543" xr:uid="{00000000-0005-0000-0000-0000CE070000}"/>
    <cellStyle name="Comma [0] 2 14 31 2 2 2 2 2" xfId="17288" xr:uid="{00000000-0005-0000-0000-0000CF070000}"/>
    <cellStyle name="Comma [0] 2 14 31 2 2 2 2 2 2" xfId="32880" xr:uid="{00000000-0005-0000-0000-0000D0070000}"/>
    <cellStyle name="Comma [0] 2 14 31 2 2 2 2 2 3" xfId="48372" xr:uid="{00000000-0005-0000-0000-0000D1070000}"/>
    <cellStyle name="Comma [0] 2 14 31 2 2 2 2 3" xfId="25140" xr:uid="{00000000-0005-0000-0000-0000D2070000}"/>
    <cellStyle name="Comma [0] 2 14 31 2 2 2 2 4" xfId="40632" xr:uid="{00000000-0005-0000-0000-0000D3070000}"/>
    <cellStyle name="Comma [0] 2 14 31 2 2 2 3" xfId="13418" xr:uid="{00000000-0005-0000-0000-0000D4070000}"/>
    <cellStyle name="Comma [0] 2 14 31 2 2 2 3 2" xfId="29010" xr:uid="{00000000-0005-0000-0000-0000D5070000}"/>
    <cellStyle name="Comma [0] 2 14 31 2 2 2 3 3" xfId="44502" xr:uid="{00000000-0005-0000-0000-0000D6070000}"/>
    <cellStyle name="Comma [0] 2 14 31 2 2 2 4" xfId="21270" xr:uid="{00000000-0005-0000-0000-0000D7070000}"/>
    <cellStyle name="Comma [0] 2 14 31 2 2 2 5" xfId="36762" xr:uid="{00000000-0005-0000-0000-0000D8070000}"/>
    <cellStyle name="Comma [0] 2 14 31 2 2 3" xfId="7616" xr:uid="{00000000-0005-0000-0000-0000D9070000}"/>
    <cellStyle name="Comma [0] 2 14 31 2 2 3 2" xfId="15361" xr:uid="{00000000-0005-0000-0000-0000DA070000}"/>
    <cellStyle name="Comma [0] 2 14 31 2 2 3 2 2" xfId="30953" xr:uid="{00000000-0005-0000-0000-0000DB070000}"/>
    <cellStyle name="Comma [0] 2 14 31 2 2 3 2 3" xfId="46445" xr:uid="{00000000-0005-0000-0000-0000DC070000}"/>
    <cellStyle name="Comma [0] 2 14 31 2 2 3 3" xfId="23213" xr:uid="{00000000-0005-0000-0000-0000DD070000}"/>
    <cellStyle name="Comma [0] 2 14 31 2 2 3 4" xfId="38705" xr:uid="{00000000-0005-0000-0000-0000DE070000}"/>
    <cellStyle name="Comma [0] 2 14 31 2 2 4" xfId="11491" xr:uid="{00000000-0005-0000-0000-0000DF070000}"/>
    <cellStyle name="Comma [0] 2 14 31 2 2 4 2" xfId="27083" xr:uid="{00000000-0005-0000-0000-0000E0070000}"/>
    <cellStyle name="Comma [0] 2 14 31 2 2 4 3" xfId="42575" xr:uid="{00000000-0005-0000-0000-0000E1070000}"/>
    <cellStyle name="Comma [0] 2 14 31 2 2 5" xfId="19343" xr:uid="{00000000-0005-0000-0000-0000E2070000}"/>
    <cellStyle name="Comma [0] 2 14 31 2 2 6" xfId="34835" xr:uid="{00000000-0005-0000-0000-0000E3070000}"/>
    <cellStyle name="Comma [0] 2 14 31 2 3" xfId="4724" xr:uid="{00000000-0005-0000-0000-0000E4070000}"/>
    <cellStyle name="Comma [0] 2 14 31 2 3 2" xfId="8595" xr:uid="{00000000-0005-0000-0000-0000E5070000}"/>
    <cellStyle name="Comma [0] 2 14 31 2 3 2 2" xfId="16340" xr:uid="{00000000-0005-0000-0000-0000E6070000}"/>
    <cellStyle name="Comma [0] 2 14 31 2 3 2 2 2" xfId="31932" xr:uid="{00000000-0005-0000-0000-0000E7070000}"/>
    <cellStyle name="Comma [0] 2 14 31 2 3 2 2 3" xfId="47424" xr:uid="{00000000-0005-0000-0000-0000E8070000}"/>
    <cellStyle name="Comma [0] 2 14 31 2 3 2 3" xfId="24192" xr:uid="{00000000-0005-0000-0000-0000E9070000}"/>
    <cellStyle name="Comma [0] 2 14 31 2 3 2 4" xfId="39684" xr:uid="{00000000-0005-0000-0000-0000EA070000}"/>
    <cellStyle name="Comma [0] 2 14 31 2 3 3" xfId="12470" xr:uid="{00000000-0005-0000-0000-0000EB070000}"/>
    <cellStyle name="Comma [0] 2 14 31 2 3 3 2" xfId="28062" xr:uid="{00000000-0005-0000-0000-0000EC070000}"/>
    <cellStyle name="Comma [0] 2 14 31 2 3 3 3" xfId="43554" xr:uid="{00000000-0005-0000-0000-0000ED070000}"/>
    <cellStyle name="Comma [0] 2 14 31 2 3 4" xfId="20322" xr:uid="{00000000-0005-0000-0000-0000EE070000}"/>
    <cellStyle name="Comma [0] 2 14 31 2 3 5" xfId="35814" xr:uid="{00000000-0005-0000-0000-0000EF070000}"/>
    <cellStyle name="Comma [0] 2 14 31 2 4" xfId="6668" xr:uid="{00000000-0005-0000-0000-0000F0070000}"/>
    <cellStyle name="Comma [0] 2 14 31 2 4 2" xfId="14413" xr:uid="{00000000-0005-0000-0000-0000F1070000}"/>
    <cellStyle name="Comma [0] 2 14 31 2 4 2 2" xfId="30005" xr:uid="{00000000-0005-0000-0000-0000F2070000}"/>
    <cellStyle name="Comma [0] 2 14 31 2 4 2 3" xfId="45497" xr:uid="{00000000-0005-0000-0000-0000F3070000}"/>
    <cellStyle name="Comma [0] 2 14 31 2 4 3" xfId="22265" xr:uid="{00000000-0005-0000-0000-0000F4070000}"/>
    <cellStyle name="Comma [0] 2 14 31 2 4 4" xfId="37757" xr:uid="{00000000-0005-0000-0000-0000F5070000}"/>
    <cellStyle name="Comma [0] 2 14 31 2 5" xfId="10543" xr:uid="{00000000-0005-0000-0000-0000F6070000}"/>
    <cellStyle name="Comma [0] 2 14 31 2 5 2" xfId="26135" xr:uid="{00000000-0005-0000-0000-0000F7070000}"/>
    <cellStyle name="Comma [0] 2 14 31 2 5 3" xfId="41627" xr:uid="{00000000-0005-0000-0000-0000F8070000}"/>
    <cellStyle name="Comma [0] 2 14 31 2 6" xfId="18395" xr:uid="{00000000-0005-0000-0000-0000F9070000}"/>
    <cellStyle name="Comma [0] 2 14 31 2 7" xfId="33887" xr:uid="{00000000-0005-0000-0000-0000FA070000}"/>
    <cellStyle name="Comma [0] 2 14 31 3" xfId="3424" xr:uid="{00000000-0005-0000-0000-0000FB070000}"/>
    <cellStyle name="Comma [0] 2 14 31 3 2" xfId="5363" xr:uid="{00000000-0005-0000-0000-0000FC070000}"/>
    <cellStyle name="Comma [0] 2 14 31 3 2 2" xfId="9234" xr:uid="{00000000-0005-0000-0000-0000FD070000}"/>
    <cellStyle name="Comma [0] 2 14 31 3 2 2 2" xfId="16979" xr:uid="{00000000-0005-0000-0000-0000FE070000}"/>
    <cellStyle name="Comma [0] 2 14 31 3 2 2 2 2" xfId="32571" xr:uid="{00000000-0005-0000-0000-0000FF070000}"/>
    <cellStyle name="Comma [0] 2 14 31 3 2 2 2 3" xfId="48063" xr:uid="{00000000-0005-0000-0000-000000080000}"/>
    <cellStyle name="Comma [0] 2 14 31 3 2 2 3" xfId="24831" xr:uid="{00000000-0005-0000-0000-000001080000}"/>
    <cellStyle name="Comma [0] 2 14 31 3 2 2 4" xfId="40323" xr:uid="{00000000-0005-0000-0000-000002080000}"/>
    <cellStyle name="Comma [0] 2 14 31 3 2 3" xfId="13109" xr:uid="{00000000-0005-0000-0000-000003080000}"/>
    <cellStyle name="Comma [0] 2 14 31 3 2 3 2" xfId="28701" xr:uid="{00000000-0005-0000-0000-000004080000}"/>
    <cellStyle name="Comma [0] 2 14 31 3 2 3 3" xfId="44193" xr:uid="{00000000-0005-0000-0000-000005080000}"/>
    <cellStyle name="Comma [0] 2 14 31 3 2 4" xfId="20961" xr:uid="{00000000-0005-0000-0000-000006080000}"/>
    <cellStyle name="Comma [0] 2 14 31 3 2 5" xfId="36453" xr:uid="{00000000-0005-0000-0000-000007080000}"/>
    <cellStyle name="Comma [0] 2 14 31 3 3" xfId="7307" xr:uid="{00000000-0005-0000-0000-000008080000}"/>
    <cellStyle name="Comma [0] 2 14 31 3 3 2" xfId="15052" xr:uid="{00000000-0005-0000-0000-000009080000}"/>
    <cellStyle name="Comma [0] 2 14 31 3 3 2 2" xfId="30644" xr:uid="{00000000-0005-0000-0000-00000A080000}"/>
    <cellStyle name="Comma [0] 2 14 31 3 3 2 3" xfId="46136" xr:uid="{00000000-0005-0000-0000-00000B080000}"/>
    <cellStyle name="Comma [0] 2 14 31 3 3 3" xfId="22904" xr:uid="{00000000-0005-0000-0000-00000C080000}"/>
    <cellStyle name="Comma [0] 2 14 31 3 3 4" xfId="38396" xr:uid="{00000000-0005-0000-0000-00000D080000}"/>
    <cellStyle name="Comma [0] 2 14 31 3 4" xfId="11182" xr:uid="{00000000-0005-0000-0000-00000E080000}"/>
    <cellStyle name="Comma [0] 2 14 31 3 4 2" xfId="26774" xr:uid="{00000000-0005-0000-0000-00000F080000}"/>
    <cellStyle name="Comma [0] 2 14 31 3 4 3" xfId="42266" xr:uid="{00000000-0005-0000-0000-000010080000}"/>
    <cellStyle name="Comma [0] 2 14 31 3 5" xfId="19034" xr:uid="{00000000-0005-0000-0000-000011080000}"/>
    <cellStyle name="Comma [0] 2 14 31 3 6" xfId="34526" xr:uid="{00000000-0005-0000-0000-000012080000}"/>
    <cellStyle name="Comma [0] 2 14 31 4" xfId="4415" xr:uid="{00000000-0005-0000-0000-000013080000}"/>
    <cellStyle name="Comma [0] 2 14 31 4 2" xfId="8286" xr:uid="{00000000-0005-0000-0000-000014080000}"/>
    <cellStyle name="Comma [0] 2 14 31 4 2 2" xfId="16031" xr:uid="{00000000-0005-0000-0000-000015080000}"/>
    <cellStyle name="Comma [0] 2 14 31 4 2 2 2" xfId="31623" xr:uid="{00000000-0005-0000-0000-000016080000}"/>
    <cellStyle name="Comma [0] 2 14 31 4 2 2 3" xfId="47115" xr:uid="{00000000-0005-0000-0000-000017080000}"/>
    <cellStyle name="Comma [0] 2 14 31 4 2 3" xfId="23883" xr:uid="{00000000-0005-0000-0000-000018080000}"/>
    <cellStyle name="Comma [0] 2 14 31 4 2 4" xfId="39375" xr:uid="{00000000-0005-0000-0000-000019080000}"/>
    <cellStyle name="Comma [0] 2 14 31 4 3" xfId="12161" xr:uid="{00000000-0005-0000-0000-00001A080000}"/>
    <cellStyle name="Comma [0] 2 14 31 4 3 2" xfId="27753" xr:uid="{00000000-0005-0000-0000-00001B080000}"/>
    <cellStyle name="Comma [0] 2 14 31 4 3 3" xfId="43245" xr:uid="{00000000-0005-0000-0000-00001C080000}"/>
    <cellStyle name="Comma [0] 2 14 31 4 4" xfId="20013" xr:uid="{00000000-0005-0000-0000-00001D080000}"/>
    <cellStyle name="Comma [0] 2 14 31 4 5" xfId="35505" xr:uid="{00000000-0005-0000-0000-00001E080000}"/>
    <cellStyle name="Comma [0] 2 14 31 5" xfId="6359" xr:uid="{00000000-0005-0000-0000-00001F080000}"/>
    <cellStyle name="Comma [0] 2 14 31 5 2" xfId="14104" xr:uid="{00000000-0005-0000-0000-000020080000}"/>
    <cellStyle name="Comma [0] 2 14 31 5 2 2" xfId="29696" xr:uid="{00000000-0005-0000-0000-000021080000}"/>
    <cellStyle name="Comma [0] 2 14 31 5 2 3" xfId="45188" xr:uid="{00000000-0005-0000-0000-000022080000}"/>
    <cellStyle name="Comma [0] 2 14 31 5 3" xfId="21956" xr:uid="{00000000-0005-0000-0000-000023080000}"/>
    <cellStyle name="Comma [0] 2 14 31 5 4" xfId="37448" xr:uid="{00000000-0005-0000-0000-000024080000}"/>
    <cellStyle name="Comma [0] 2 14 31 6" xfId="10234" xr:uid="{00000000-0005-0000-0000-000025080000}"/>
    <cellStyle name="Comma [0] 2 14 31 6 2" xfId="25826" xr:uid="{00000000-0005-0000-0000-000026080000}"/>
    <cellStyle name="Comma [0] 2 14 31 6 3" xfId="41318" xr:uid="{00000000-0005-0000-0000-000027080000}"/>
    <cellStyle name="Comma [0] 2 14 31 7" xfId="18086" xr:uid="{00000000-0005-0000-0000-000028080000}"/>
    <cellStyle name="Comma [0] 2 14 31 8" xfId="33578" xr:uid="{00000000-0005-0000-0000-000029080000}"/>
    <cellStyle name="Comma [0] 2 14 32" xfId="2452" xr:uid="{00000000-0005-0000-0000-00002A080000}"/>
    <cellStyle name="Comma [0] 2 14 32 2" xfId="2761" xr:uid="{00000000-0005-0000-0000-00002B080000}"/>
    <cellStyle name="Comma [0] 2 14 32 2 2" xfId="3769" xr:uid="{00000000-0005-0000-0000-00002C080000}"/>
    <cellStyle name="Comma [0] 2 14 32 2 2 2" xfId="5708" xr:uid="{00000000-0005-0000-0000-00002D080000}"/>
    <cellStyle name="Comma [0] 2 14 32 2 2 2 2" xfId="9579" xr:uid="{00000000-0005-0000-0000-00002E080000}"/>
    <cellStyle name="Comma [0] 2 14 32 2 2 2 2 2" xfId="17324" xr:uid="{00000000-0005-0000-0000-00002F080000}"/>
    <cellStyle name="Comma [0] 2 14 32 2 2 2 2 2 2" xfId="32916" xr:uid="{00000000-0005-0000-0000-000030080000}"/>
    <cellStyle name="Comma [0] 2 14 32 2 2 2 2 2 3" xfId="48408" xr:uid="{00000000-0005-0000-0000-000031080000}"/>
    <cellStyle name="Comma [0] 2 14 32 2 2 2 2 3" xfId="25176" xr:uid="{00000000-0005-0000-0000-000032080000}"/>
    <cellStyle name="Comma [0] 2 14 32 2 2 2 2 4" xfId="40668" xr:uid="{00000000-0005-0000-0000-000033080000}"/>
    <cellStyle name="Comma [0] 2 14 32 2 2 2 3" xfId="13454" xr:uid="{00000000-0005-0000-0000-000034080000}"/>
    <cellStyle name="Comma [0] 2 14 32 2 2 2 3 2" xfId="29046" xr:uid="{00000000-0005-0000-0000-000035080000}"/>
    <cellStyle name="Comma [0] 2 14 32 2 2 2 3 3" xfId="44538" xr:uid="{00000000-0005-0000-0000-000036080000}"/>
    <cellStyle name="Comma [0] 2 14 32 2 2 2 4" xfId="21306" xr:uid="{00000000-0005-0000-0000-000037080000}"/>
    <cellStyle name="Comma [0] 2 14 32 2 2 2 5" xfId="36798" xr:uid="{00000000-0005-0000-0000-000038080000}"/>
    <cellStyle name="Comma [0] 2 14 32 2 2 3" xfId="7652" xr:uid="{00000000-0005-0000-0000-000039080000}"/>
    <cellStyle name="Comma [0] 2 14 32 2 2 3 2" xfId="15397" xr:uid="{00000000-0005-0000-0000-00003A080000}"/>
    <cellStyle name="Comma [0] 2 14 32 2 2 3 2 2" xfId="30989" xr:uid="{00000000-0005-0000-0000-00003B080000}"/>
    <cellStyle name="Comma [0] 2 14 32 2 2 3 2 3" xfId="46481" xr:uid="{00000000-0005-0000-0000-00003C080000}"/>
    <cellStyle name="Comma [0] 2 14 32 2 2 3 3" xfId="23249" xr:uid="{00000000-0005-0000-0000-00003D080000}"/>
    <cellStyle name="Comma [0] 2 14 32 2 2 3 4" xfId="38741" xr:uid="{00000000-0005-0000-0000-00003E080000}"/>
    <cellStyle name="Comma [0] 2 14 32 2 2 4" xfId="11527" xr:uid="{00000000-0005-0000-0000-00003F080000}"/>
    <cellStyle name="Comma [0] 2 14 32 2 2 4 2" xfId="27119" xr:uid="{00000000-0005-0000-0000-000040080000}"/>
    <cellStyle name="Comma [0] 2 14 32 2 2 4 3" xfId="42611" xr:uid="{00000000-0005-0000-0000-000041080000}"/>
    <cellStyle name="Comma [0] 2 14 32 2 2 5" xfId="19379" xr:uid="{00000000-0005-0000-0000-000042080000}"/>
    <cellStyle name="Comma [0] 2 14 32 2 2 6" xfId="34871" xr:uid="{00000000-0005-0000-0000-000043080000}"/>
    <cellStyle name="Comma [0] 2 14 32 2 3" xfId="4760" xr:uid="{00000000-0005-0000-0000-000044080000}"/>
    <cellStyle name="Comma [0] 2 14 32 2 3 2" xfId="8631" xr:uid="{00000000-0005-0000-0000-000045080000}"/>
    <cellStyle name="Comma [0] 2 14 32 2 3 2 2" xfId="16376" xr:uid="{00000000-0005-0000-0000-000046080000}"/>
    <cellStyle name="Comma [0] 2 14 32 2 3 2 2 2" xfId="31968" xr:uid="{00000000-0005-0000-0000-000047080000}"/>
    <cellStyle name="Comma [0] 2 14 32 2 3 2 2 3" xfId="47460" xr:uid="{00000000-0005-0000-0000-000048080000}"/>
    <cellStyle name="Comma [0] 2 14 32 2 3 2 3" xfId="24228" xr:uid="{00000000-0005-0000-0000-000049080000}"/>
    <cellStyle name="Comma [0] 2 14 32 2 3 2 4" xfId="39720" xr:uid="{00000000-0005-0000-0000-00004A080000}"/>
    <cellStyle name="Comma [0] 2 14 32 2 3 3" xfId="12506" xr:uid="{00000000-0005-0000-0000-00004B080000}"/>
    <cellStyle name="Comma [0] 2 14 32 2 3 3 2" xfId="28098" xr:uid="{00000000-0005-0000-0000-00004C080000}"/>
    <cellStyle name="Comma [0] 2 14 32 2 3 3 3" xfId="43590" xr:uid="{00000000-0005-0000-0000-00004D080000}"/>
    <cellStyle name="Comma [0] 2 14 32 2 3 4" xfId="20358" xr:uid="{00000000-0005-0000-0000-00004E080000}"/>
    <cellStyle name="Comma [0] 2 14 32 2 3 5" xfId="35850" xr:uid="{00000000-0005-0000-0000-00004F080000}"/>
    <cellStyle name="Comma [0] 2 14 32 2 4" xfId="6704" xr:uid="{00000000-0005-0000-0000-000050080000}"/>
    <cellStyle name="Comma [0] 2 14 32 2 4 2" xfId="14449" xr:uid="{00000000-0005-0000-0000-000051080000}"/>
    <cellStyle name="Comma [0] 2 14 32 2 4 2 2" xfId="30041" xr:uid="{00000000-0005-0000-0000-000052080000}"/>
    <cellStyle name="Comma [0] 2 14 32 2 4 2 3" xfId="45533" xr:uid="{00000000-0005-0000-0000-000053080000}"/>
    <cellStyle name="Comma [0] 2 14 32 2 4 3" xfId="22301" xr:uid="{00000000-0005-0000-0000-000054080000}"/>
    <cellStyle name="Comma [0] 2 14 32 2 4 4" xfId="37793" xr:uid="{00000000-0005-0000-0000-000055080000}"/>
    <cellStyle name="Comma [0] 2 14 32 2 5" xfId="10579" xr:uid="{00000000-0005-0000-0000-000056080000}"/>
    <cellStyle name="Comma [0] 2 14 32 2 5 2" xfId="26171" xr:uid="{00000000-0005-0000-0000-000057080000}"/>
    <cellStyle name="Comma [0] 2 14 32 2 5 3" xfId="41663" xr:uid="{00000000-0005-0000-0000-000058080000}"/>
    <cellStyle name="Comma [0] 2 14 32 2 6" xfId="18431" xr:uid="{00000000-0005-0000-0000-000059080000}"/>
    <cellStyle name="Comma [0] 2 14 32 2 7" xfId="33923" xr:uid="{00000000-0005-0000-0000-00005A080000}"/>
    <cellStyle name="Comma [0] 2 14 32 3" xfId="3460" xr:uid="{00000000-0005-0000-0000-00005B080000}"/>
    <cellStyle name="Comma [0] 2 14 32 3 2" xfId="5399" xr:uid="{00000000-0005-0000-0000-00005C080000}"/>
    <cellStyle name="Comma [0] 2 14 32 3 2 2" xfId="9270" xr:uid="{00000000-0005-0000-0000-00005D080000}"/>
    <cellStyle name="Comma [0] 2 14 32 3 2 2 2" xfId="17015" xr:uid="{00000000-0005-0000-0000-00005E080000}"/>
    <cellStyle name="Comma [0] 2 14 32 3 2 2 2 2" xfId="32607" xr:uid="{00000000-0005-0000-0000-00005F080000}"/>
    <cellStyle name="Comma [0] 2 14 32 3 2 2 2 3" xfId="48099" xr:uid="{00000000-0005-0000-0000-000060080000}"/>
    <cellStyle name="Comma [0] 2 14 32 3 2 2 3" xfId="24867" xr:uid="{00000000-0005-0000-0000-000061080000}"/>
    <cellStyle name="Comma [0] 2 14 32 3 2 2 4" xfId="40359" xr:uid="{00000000-0005-0000-0000-000062080000}"/>
    <cellStyle name="Comma [0] 2 14 32 3 2 3" xfId="13145" xr:uid="{00000000-0005-0000-0000-000063080000}"/>
    <cellStyle name="Comma [0] 2 14 32 3 2 3 2" xfId="28737" xr:uid="{00000000-0005-0000-0000-000064080000}"/>
    <cellStyle name="Comma [0] 2 14 32 3 2 3 3" xfId="44229" xr:uid="{00000000-0005-0000-0000-000065080000}"/>
    <cellStyle name="Comma [0] 2 14 32 3 2 4" xfId="20997" xr:uid="{00000000-0005-0000-0000-000066080000}"/>
    <cellStyle name="Comma [0] 2 14 32 3 2 5" xfId="36489" xr:uid="{00000000-0005-0000-0000-000067080000}"/>
    <cellStyle name="Comma [0] 2 14 32 3 3" xfId="7343" xr:uid="{00000000-0005-0000-0000-000068080000}"/>
    <cellStyle name="Comma [0] 2 14 32 3 3 2" xfId="15088" xr:uid="{00000000-0005-0000-0000-000069080000}"/>
    <cellStyle name="Comma [0] 2 14 32 3 3 2 2" xfId="30680" xr:uid="{00000000-0005-0000-0000-00006A080000}"/>
    <cellStyle name="Comma [0] 2 14 32 3 3 2 3" xfId="46172" xr:uid="{00000000-0005-0000-0000-00006B080000}"/>
    <cellStyle name="Comma [0] 2 14 32 3 3 3" xfId="22940" xr:uid="{00000000-0005-0000-0000-00006C080000}"/>
    <cellStyle name="Comma [0] 2 14 32 3 3 4" xfId="38432" xr:uid="{00000000-0005-0000-0000-00006D080000}"/>
    <cellStyle name="Comma [0] 2 14 32 3 4" xfId="11218" xr:uid="{00000000-0005-0000-0000-00006E080000}"/>
    <cellStyle name="Comma [0] 2 14 32 3 4 2" xfId="26810" xr:uid="{00000000-0005-0000-0000-00006F080000}"/>
    <cellStyle name="Comma [0] 2 14 32 3 4 3" xfId="42302" xr:uid="{00000000-0005-0000-0000-000070080000}"/>
    <cellStyle name="Comma [0] 2 14 32 3 5" xfId="19070" xr:uid="{00000000-0005-0000-0000-000071080000}"/>
    <cellStyle name="Comma [0] 2 14 32 3 6" xfId="34562" xr:uid="{00000000-0005-0000-0000-000072080000}"/>
    <cellStyle name="Comma [0] 2 14 32 4" xfId="4451" xr:uid="{00000000-0005-0000-0000-000073080000}"/>
    <cellStyle name="Comma [0] 2 14 32 4 2" xfId="8322" xr:uid="{00000000-0005-0000-0000-000074080000}"/>
    <cellStyle name="Comma [0] 2 14 32 4 2 2" xfId="16067" xr:uid="{00000000-0005-0000-0000-000075080000}"/>
    <cellStyle name="Comma [0] 2 14 32 4 2 2 2" xfId="31659" xr:uid="{00000000-0005-0000-0000-000076080000}"/>
    <cellStyle name="Comma [0] 2 14 32 4 2 2 3" xfId="47151" xr:uid="{00000000-0005-0000-0000-000077080000}"/>
    <cellStyle name="Comma [0] 2 14 32 4 2 3" xfId="23919" xr:uid="{00000000-0005-0000-0000-000078080000}"/>
    <cellStyle name="Comma [0] 2 14 32 4 2 4" xfId="39411" xr:uid="{00000000-0005-0000-0000-000079080000}"/>
    <cellStyle name="Comma [0] 2 14 32 4 3" xfId="12197" xr:uid="{00000000-0005-0000-0000-00007A080000}"/>
    <cellStyle name="Comma [0] 2 14 32 4 3 2" xfId="27789" xr:uid="{00000000-0005-0000-0000-00007B080000}"/>
    <cellStyle name="Comma [0] 2 14 32 4 3 3" xfId="43281" xr:uid="{00000000-0005-0000-0000-00007C080000}"/>
    <cellStyle name="Comma [0] 2 14 32 4 4" xfId="20049" xr:uid="{00000000-0005-0000-0000-00007D080000}"/>
    <cellStyle name="Comma [0] 2 14 32 4 5" xfId="35541" xr:uid="{00000000-0005-0000-0000-00007E080000}"/>
    <cellStyle name="Comma [0] 2 14 32 5" xfId="6395" xr:uid="{00000000-0005-0000-0000-00007F080000}"/>
    <cellStyle name="Comma [0] 2 14 32 5 2" xfId="14140" xr:uid="{00000000-0005-0000-0000-000080080000}"/>
    <cellStyle name="Comma [0] 2 14 32 5 2 2" xfId="29732" xr:uid="{00000000-0005-0000-0000-000081080000}"/>
    <cellStyle name="Comma [0] 2 14 32 5 2 3" xfId="45224" xr:uid="{00000000-0005-0000-0000-000082080000}"/>
    <cellStyle name="Comma [0] 2 14 32 5 3" xfId="21992" xr:uid="{00000000-0005-0000-0000-000083080000}"/>
    <cellStyle name="Comma [0] 2 14 32 5 4" xfId="37484" xr:uid="{00000000-0005-0000-0000-000084080000}"/>
    <cellStyle name="Comma [0] 2 14 32 6" xfId="10270" xr:uid="{00000000-0005-0000-0000-000085080000}"/>
    <cellStyle name="Comma [0] 2 14 32 6 2" xfId="25862" xr:uid="{00000000-0005-0000-0000-000086080000}"/>
    <cellStyle name="Comma [0] 2 14 32 6 3" xfId="41354" xr:uid="{00000000-0005-0000-0000-000087080000}"/>
    <cellStyle name="Comma [0] 2 14 32 7" xfId="18122" xr:uid="{00000000-0005-0000-0000-000088080000}"/>
    <cellStyle name="Comma [0] 2 14 32 8" xfId="33614" xr:uid="{00000000-0005-0000-0000-000089080000}"/>
    <cellStyle name="Comma [0] 2 14 33" xfId="2798" xr:uid="{00000000-0005-0000-0000-00008A080000}"/>
    <cellStyle name="Comma [0] 2 14 33 2" xfId="3805" xr:uid="{00000000-0005-0000-0000-00008B080000}"/>
    <cellStyle name="Comma [0] 2 14 33 2 2" xfId="5744" xr:uid="{00000000-0005-0000-0000-00008C080000}"/>
    <cellStyle name="Comma [0] 2 14 33 2 2 2" xfId="9615" xr:uid="{00000000-0005-0000-0000-00008D080000}"/>
    <cellStyle name="Comma [0] 2 14 33 2 2 2 2" xfId="17360" xr:uid="{00000000-0005-0000-0000-00008E080000}"/>
    <cellStyle name="Comma [0] 2 14 33 2 2 2 2 2" xfId="32952" xr:uid="{00000000-0005-0000-0000-00008F080000}"/>
    <cellStyle name="Comma [0] 2 14 33 2 2 2 2 3" xfId="48444" xr:uid="{00000000-0005-0000-0000-000090080000}"/>
    <cellStyle name="Comma [0] 2 14 33 2 2 2 3" xfId="25212" xr:uid="{00000000-0005-0000-0000-000091080000}"/>
    <cellStyle name="Comma [0] 2 14 33 2 2 2 4" xfId="40704" xr:uid="{00000000-0005-0000-0000-000092080000}"/>
    <cellStyle name="Comma [0] 2 14 33 2 2 3" xfId="13490" xr:uid="{00000000-0005-0000-0000-000093080000}"/>
    <cellStyle name="Comma [0] 2 14 33 2 2 3 2" xfId="29082" xr:uid="{00000000-0005-0000-0000-000094080000}"/>
    <cellStyle name="Comma [0] 2 14 33 2 2 3 3" xfId="44574" xr:uid="{00000000-0005-0000-0000-000095080000}"/>
    <cellStyle name="Comma [0] 2 14 33 2 2 4" xfId="21342" xr:uid="{00000000-0005-0000-0000-000096080000}"/>
    <cellStyle name="Comma [0] 2 14 33 2 2 5" xfId="36834" xr:uid="{00000000-0005-0000-0000-000097080000}"/>
    <cellStyle name="Comma [0] 2 14 33 2 3" xfId="7688" xr:uid="{00000000-0005-0000-0000-000098080000}"/>
    <cellStyle name="Comma [0] 2 14 33 2 3 2" xfId="15433" xr:uid="{00000000-0005-0000-0000-000099080000}"/>
    <cellStyle name="Comma [0] 2 14 33 2 3 2 2" xfId="31025" xr:uid="{00000000-0005-0000-0000-00009A080000}"/>
    <cellStyle name="Comma [0] 2 14 33 2 3 2 3" xfId="46517" xr:uid="{00000000-0005-0000-0000-00009B080000}"/>
    <cellStyle name="Comma [0] 2 14 33 2 3 3" xfId="23285" xr:uid="{00000000-0005-0000-0000-00009C080000}"/>
    <cellStyle name="Comma [0] 2 14 33 2 3 4" xfId="38777" xr:uid="{00000000-0005-0000-0000-00009D080000}"/>
    <cellStyle name="Comma [0] 2 14 33 2 4" xfId="11563" xr:uid="{00000000-0005-0000-0000-00009E080000}"/>
    <cellStyle name="Comma [0] 2 14 33 2 4 2" xfId="27155" xr:uid="{00000000-0005-0000-0000-00009F080000}"/>
    <cellStyle name="Comma [0] 2 14 33 2 4 3" xfId="42647" xr:uid="{00000000-0005-0000-0000-0000A0080000}"/>
    <cellStyle name="Comma [0] 2 14 33 2 5" xfId="19415" xr:uid="{00000000-0005-0000-0000-0000A1080000}"/>
    <cellStyle name="Comma [0] 2 14 33 2 6" xfId="34907" xr:uid="{00000000-0005-0000-0000-0000A2080000}"/>
    <cellStyle name="Comma [0] 2 14 33 3" xfId="4796" xr:uid="{00000000-0005-0000-0000-0000A3080000}"/>
    <cellStyle name="Comma [0] 2 14 33 3 2" xfId="8667" xr:uid="{00000000-0005-0000-0000-0000A4080000}"/>
    <cellStyle name="Comma [0] 2 14 33 3 2 2" xfId="16412" xr:uid="{00000000-0005-0000-0000-0000A5080000}"/>
    <cellStyle name="Comma [0] 2 14 33 3 2 2 2" xfId="32004" xr:uid="{00000000-0005-0000-0000-0000A6080000}"/>
    <cellStyle name="Comma [0] 2 14 33 3 2 2 3" xfId="47496" xr:uid="{00000000-0005-0000-0000-0000A7080000}"/>
    <cellStyle name="Comma [0] 2 14 33 3 2 3" xfId="24264" xr:uid="{00000000-0005-0000-0000-0000A8080000}"/>
    <cellStyle name="Comma [0] 2 14 33 3 2 4" xfId="39756" xr:uid="{00000000-0005-0000-0000-0000A9080000}"/>
    <cellStyle name="Comma [0] 2 14 33 3 3" xfId="12542" xr:uid="{00000000-0005-0000-0000-0000AA080000}"/>
    <cellStyle name="Comma [0] 2 14 33 3 3 2" xfId="28134" xr:uid="{00000000-0005-0000-0000-0000AB080000}"/>
    <cellStyle name="Comma [0] 2 14 33 3 3 3" xfId="43626" xr:uid="{00000000-0005-0000-0000-0000AC080000}"/>
    <cellStyle name="Comma [0] 2 14 33 3 4" xfId="20394" xr:uid="{00000000-0005-0000-0000-0000AD080000}"/>
    <cellStyle name="Comma [0] 2 14 33 3 5" xfId="35886" xr:uid="{00000000-0005-0000-0000-0000AE080000}"/>
    <cellStyle name="Comma [0] 2 14 33 4" xfId="6740" xr:uid="{00000000-0005-0000-0000-0000AF080000}"/>
    <cellStyle name="Comma [0] 2 14 33 4 2" xfId="14485" xr:uid="{00000000-0005-0000-0000-0000B0080000}"/>
    <cellStyle name="Comma [0] 2 14 33 4 2 2" xfId="30077" xr:uid="{00000000-0005-0000-0000-0000B1080000}"/>
    <cellStyle name="Comma [0] 2 14 33 4 2 3" xfId="45569" xr:uid="{00000000-0005-0000-0000-0000B2080000}"/>
    <cellStyle name="Comma [0] 2 14 33 4 3" xfId="22337" xr:uid="{00000000-0005-0000-0000-0000B3080000}"/>
    <cellStyle name="Comma [0] 2 14 33 4 4" xfId="37829" xr:uid="{00000000-0005-0000-0000-0000B4080000}"/>
    <cellStyle name="Comma [0] 2 14 33 5" xfId="10615" xr:uid="{00000000-0005-0000-0000-0000B5080000}"/>
    <cellStyle name="Comma [0] 2 14 33 5 2" xfId="26207" xr:uid="{00000000-0005-0000-0000-0000B6080000}"/>
    <cellStyle name="Comma [0] 2 14 33 5 3" xfId="41699" xr:uid="{00000000-0005-0000-0000-0000B7080000}"/>
    <cellStyle name="Comma [0] 2 14 33 6" xfId="18467" xr:uid="{00000000-0005-0000-0000-0000B8080000}"/>
    <cellStyle name="Comma [0] 2 14 33 7" xfId="33959" xr:uid="{00000000-0005-0000-0000-0000B9080000}"/>
    <cellStyle name="Comma [0] 2 14 34" xfId="2837" xr:uid="{00000000-0005-0000-0000-0000BA080000}"/>
    <cellStyle name="Comma [0] 2 14 34 2" xfId="3843" xr:uid="{00000000-0005-0000-0000-0000BB080000}"/>
    <cellStyle name="Comma [0] 2 14 34 2 2" xfId="5782" xr:uid="{00000000-0005-0000-0000-0000BC080000}"/>
    <cellStyle name="Comma [0] 2 14 34 2 2 2" xfId="9653" xr:uid="{00000000-0005-0000-0000-0000BD080000}"/>
    <cellStyle name="Comma [0] 2 14 34 2 2 2 2" xfId="17398" xr:uid="{00000000-0005-0000-0000-0000BE080000}"/>
    <cellStyle name="Comma [0] 2 14 34 2 2 2 2 2" xfId="32990" xr:uid="{00000000-0005-0000-0000-0000BF080000}"/>
    <cellStyle name="Comma [0] 2 14 34 2 2 2 2 3" xfId="48482" xr:uid="{00000000-0005-0000-0000-0000C0080000}"/>
    <cellStyle name="Comma [0] 2 14 34 2 2 2 3" xfId="25250" xr:uid="{00000000-0005-0000-0000-0000C1080000}"/>
    <cellStyle name="Comma [0] 2 14 34 2 2 2 4" xfId="40742" xr:uid="{00000000-0005-0000-0000-0000C2080000}"/>
    <cellStyle name="Comma [0] 2 14 34 2 2 3" xfId="13528" xr:uid="{00000000-0005-0000-0000-0000C3080000}"/>
    <cellStyle name="Comma [0] 2 14 34 2 2 3 2" xfId="29120" xr:uid="{00000000-0005-0000-0000-0000C4080000}"/>
    <cellStyle name="Comma [0] 2 14 34 2 2 3 3" xfId="44612" xr:uid="{00000000-0005-0000-0000-0000C5080000}"/>
    <cellStyle name="Comma [0] 2 14 34 2 2 4" xfId="21380" xr:uid="{00000000-0005-0000-0000-0000C6080000}"/>
    <cellStyle name="Comma [0] 2 14 34 2 2 5" xfId="36872" xr:uid="{00000000-0005-0000-0000-0000C7080000}"/>
    <cellStyle name="Comma [0] 2 14 34 2 3" xfId="7726" xr:uid="{00000000-0005-0000-0000-0000C8080000}"/>
    <cellStyle name="Comma [0] 2 14 34 2 3 2" xfId="15471" xr:uid="{00000000-0005-0000-0000-0000C9080000}"/>
    <cellStyle name="Comma [0] 2 14 34 2 3 2 2" xfId="31063" xr:uid="{00000000-0005-0000-0000-0000CA080000}"/>
    <cellStyle name="Comma [0] 2 14 34 2 3 2 3" xfId="46555" xr:uid="{00000000-0005-0000-0000-0000CB080000}"/>
    <cellStyle name="Comma [0] 2 14 34 2 3 3" xfId="23323" xr:uid="{00000000-0005-0000-0000-0000CC080000}"/>
    <cellStyle name="Comma [0] 2 14 34 2 3 4" xfId="38815" xr:uid="{00000000-0005-0000-0000-0000CD080000}"/>
    <cellStyle name="Comma [0] 2 14 34 2 4" xfId="11601" xr:uid="{00000000-0005-0000-0000-0000CE080000}"/>
    <cellStyle name="Comma [0] 2 14 34 2 4 2" xfId="27193" xr:uid="{00000000-0005-0000-0000-0000CF080000}"/>
    <cellStyle name="Comma [0] 2 14 34 2 4 3" xfId="42685" xr:uid="{00000000-0005-0000-0000-0000D0080000}"/>
    <cellStyle name="Comma [0] 2 14 34 2 5" xfId="19453" xr:uid="{00000000-0005-0000-0000-0000D1080000}"/>
    <cellStyle name="Comma [0] 2 14 34 2 6" xfId="34945" xr:uid="{00000000-0005-0000-0000-0000D2080000}"/>
    <cellStyle name="Comma [0] 2 14 34 3" xfId="4834" xr:uid="{00000000-0005-0000-0000-0000D3080000}"/>
    <cellStyle name="Comma [0] 2 14 34 3 2" xfId="8705" xr:uid="{00000000-0005-0000-0000-0000D4080000}"/>
    <cellStyle name="Comma [0] 2 14 34 3 2 2" xfId="16450" xr:uid="{00000000-0005-0000-0000-0000D5080000}"/>
    <cellStyle name="Comma [0] 2 14 34 3 2 2 2" xfId="32042" xr:uid="{00000000-0005-0000-0000-0000D6080000}"/>
    <cellStyle name="Comma [0] 2 14 34 3 2 2 3" xfId="47534" xr:uid="{00000000-0005-0000-0000-0000D7080000}"/>
    <cellStyle name="Comma [0] 2 14 34 3 2 3" xfId="24302" xr:uid="{00000000-0005-0000-0000-0000D8080000}"/>
    <cellStyle name="Comma [0] 2 14 34 3 2 4" xfId="39794" xr:uid="{00000000-0005-0000-0000-0000D9080000}"/>
    <cellStyle name="Comma [0] 2 14 34 3 3" xfId="12580" xr:uid="{00000000-0005-0000-0000-0000DA080000}"/>
    <cellStyle name="Comma [0] 2 14 34 3 3 2" xfId="28172" xr:uid="{00000000-0005-0000-0000-0000DB080000}"/>
    <cellStyle name="Comma [0] 2 14 34 3 3 3" xfId="43664" xr:uid="{00000000-0005-0000-0000-0000DC080000}"/>
    <cellStyle name="Comma [0] 2 14 34 3 4" xfId="20432" xr:uid="{00000000-0005-0000-0000-0000DD080000}"/>
    <cellStyle name="Comma [0] 2 14 34 3 5" xfId="35924" xr:uid="{00000000-0005-0000-0000-0000DE080000}"/>
    <cellStyle name="Comma [0] 2 14 34 4" xfId="6778" xr:uid="{00000000-0005-0000-0000-0000DF080000}"/>
    <cellStyle name="Comma [0] 2 14 34 4 2" xfId="14523" xr:uid="{00000000-0005-0000-0000-0000E0080000}"/>
    <cellStyle name="Comma [0] 2 14 34 4 2 2" xfId="30115" xr:uid="{00000000-0005-0000-0000-0000E1080000}"/>
    <cellStyle name="Comma [0] 2 14 34 4 2 3" xfId="45607" xr:uid="{00000000-0005-0000-0000-0000E2080000}"/>
    <cellStyle name="Comma [0] 2 14 34 4 3" xfId="22375" xr:uid="{00000000-0005-0000-0000-0000E3080000}"/>
    <cellStyle name="Comma [0] 2 14 34 4 4" xfId="37867" xr:uid="{00000000-0005-0000-0000-0000E4080000}"/>
    <cellStyle name="Comma [0] 2 14 34 5" xfId="10653" xr:uid="{00000000-0005-0000-0000-0000E5080000}"/>
    <cellStyle name="Comma [0] 2 14 34 5 2" xfId="26245" xr:uid="{00000000-0005-0000-0000-0000E6080000}"/>
    <cellStyle name="Comma [0] 2 14 34 5 3" xfId="41737" xr:uid="{00000000-0005-0000-0000-0000E7080000}"/>
    <cellStyle name="Comma [0] 2 14 34 6" xfId="18505" xr:uid="{00000000-0005-0000-0000-0000E8080000}"/>
    <cellStyle name="Comma [0] 2 14 34 7" xfId="33997" xr:uid="{00000000-0005-0000-0000-0000E9080000}"/>
    <cellStyle name="Comma [0] 2 14 35" xfId="2874" xr:uid="{00000000-0005-0000-0000-0000EA080000}"/>
    <cellStyle name="Comma [0] 2 14 35 2" xfId="3879" xr:uid="{00000000-0005-0000-0000-0000EB080000}"/>
    <cellStyle name="Comma [0] 2 14 35 2 2" xfId="5818" xr:uid="{00000000-0005-0000-0000-0000EC080000}"/>
    <cellStyle name="Comma [0] 2 14 35 2 2 2" xfId="9689" xr:uid="{00000000-0005-0000-0000-0000ED080000}"/>
    <cellStyle name="Comma [0] 2 14 35 2 2 2 2" xfId="17434" xr:uid="{00000000-0005-0000-0000-0000EE080000}"/>
    <cellStyle name="Comma [0] 2 14 35 2 2 2 2 2" xfId="33026" xr:uid="{00000000-0005-0000-0000-0000EF080000}"/>
    <cellStyle name="Comma [0] 2 14 35 2 2 2 2 3" xfId="48518" xr:uid="{00000000-0005-0000-0000-0000F0080000}"/>
    <cellStyle name="Comma [0] 2 14 35 2 2 2 3" xfId="25286" xr:uid="{00000000-0005-0000-0000-0000F1080000}"/>
    <cellStyle name="Comma [0] 2 14 35 2 2 2 4" xfId="40778" xr:uid="{00000000-0005-0000-0000-0000F2080000}"/>
    <cellStyle name="Comma [0] 2 14 35 2 2 3" xfId="13564" xr:uid="{00000000-0005-0000-0000-0000F3080000}"/>
    <cellStyle name="Comma [0] 2 14 35 2 2 3 2" xfId="29156" xr:uid="{00000000-0005-0000-0000-0000F4080000}"/>
    <cellStyle name="Comma [0] 2 14 35 2 2 3 3" xfId="44648" xr:uid="{00000000-0005-0000-0000-0000F5080000}"/>
    <cellStyle name="Comma [0] 2 14 35 2 2 4" xfId="21416" xr:uid="{00000000-0005-0000-0000-0000F6080000}"/>
    <cellStyle name="Comma [0] 2 14 35 2 2 5" xfId="36908" xr:uid="{00000000-0005-0000-0000-0000F7080000}"/>
    <cellStyle name="Comma [0] 2 14 35 2 3" xfId="7762" xr:uid="{00000000-0005-0000-0000-0000F8080000}"/>
    <cellStyle name="Comma [0] 2 14 35 2 3 2" xfId="15507" xr:uid="{00000000-0005-0000-0000-0000F9080000}"/>
    <cellStyle name="Comma [0] 2 14 35 2 3 2 2" xfId="31099" xr:uid="{00000000-0005-0000-0000-0000FA080000}"/>
    <cellStyle name="Comma [0] 2 14 35 2 3 2 3" xfId="46591" xr:uid="{00000000-0005-0000-0000-0000FB080000}"/>
    <cellStyle name="Comma [0] 2 14 35 2 3 3" xfId="23359" xr:uid="{00000000-0005-0000-0000-0000FC080000}"/>
    <cellStyle name="Comma [0] 2 14 35 2 3 4" xfId="38851" xr:uid="{00000000-0005-0000-0000-0000FD080000}"/>
    <cellStyle name="Comma [0] 2 14 35 2 4" xfId="11637" xr:uid="{00000000-0005-0000-0000-0000FE080000}"/>
    <cellStyle name="Comma [0] 2 14 35 2 4 2" xfId="27229" xr:uid="{00000000-0005-0000-0000-0000FF080000}"/>
    <cellStyle name="Comma [0] 2 14 35 2 4 3" xfId="42721" xr:uid="{00000000-0005-0000-0000-000000090000}"/>
    <cellStyle name="Comma [0] 2 14 35 2 5" xfId="19489" xr:uid="{00000000-0005-0000-0000-000001090000}"/>
    <cellStyle name="Comma [0] 2 14 35 2 6" xfId="34981" xr:uid="{00000000-0005-0000-0000-000002090000}"/>
    <cellStyle name="Comma [0] 2 14 35 3" xfId="4870" xr:uid="{00000000-0005-0000-0000-000003090000}"/>
    <cellStyle name="Comma [0] 2 14 35 3 2" xfId="8741" xr:uid="{00000000-0005-0000-0000-000004090000}"/>
    <cellStyle name="Comma [0] 2 14 35 3 2 2" xfId="16486" xr:uid="{00000000-0005-0000-0000-000005090000}"/>
    <cellStyle name="Comma [0] 2 14 35 3 2 2 2" xfId="32078" xr:uid="{00000000-0005-0000-0000-000006090000}"/>
    <cellStyle name="Comma [0] 2 14 35 3 2 2 3" xfId="47570" xr:uid="{00000000-0005-0000-0000-000007090000}"/>
    <cellStyle name="Comma [0] 2 14 35 3 2 3" xfId="24338" xr:uid="{00000000-0005-0000-0000-000008090000}"/>
    <cellStyle name="Comma [0] 2 14 35 3 2 4" xfId="39830" xr:uid="{00000000-0005-0000-0000-000009090000}"/>
    <cellStyle name="Comma [0] 2 14 35 3 3" xfId="12616" xr:uid="{00000000-0005-0000-0000-00000A090000}"/>
    <cellStyle name="Comma [0] 2 14 35 3 3 2" xfId="28208" xr:uid="{00000000-0005-0000-0000-00000B090000}"/>
    <cellStyle name="Comma [0] 2 14 35 3 3 3" xfId="43700" xr:uid="{00000000-0005-0000-0000-00000C090000}"/>
    <cellStyle name="Comma [0] 2 14 35 3 4" xfId="20468" xr:uid="{00000000-0005-0000-0000-00000D090000}"/>
    <cellStyle name="Comma [0] 2 14 35 3 5" xfId="35960" xr:uid="{00000000-0005-0000-0000-00000E090000}"/>
    <cellStyle name="Comma [0] 2 14 35 4" xfId="6814" xr:uid="{00000000-0005-0000-0000-00000F090000}"/>
    <cellStyle name="Comma [0] 2 14 35 4 2" xfId="14559" xr:uid="{00000000-0005-0000-0000-000010090000}"/>
    <cellStyle name="Comma [0] 2 14 35 4 2 2" xfId="30151" xr:uid="{00000000-0005-0000-0000-000011090000}"/>
    <cellStyle name="Comma [0] 2 14 35 4 2 3" xfId="45643" xr:uid="{00000000-0005-0000-0000-000012090000}"/>
    <cellStyle name="Comma [0] 2 14 35 4 3" xfId="22411" xr:uid="{00000000-0005-0000-0000-000013090000}"/>
    <cellStyle name="Comma [0] 2 14 35 4 4" xfId="37903" xr:uid="{00000000-0005-0000-0000-000014090000}"/>
    <cellStyle name="Comma [0] 2 14 35 5" xfId="10689" xr:uid="{00000000-0005-0000-0000-000015090000}"/>
    <cellStyle name="Comma [0] 2 14 35 5 2" xfId="26281" xr:uid="{00000000-0005-0000-0000-000016090000}"/>
    <cellStyle name="Comma [0] 2 14 35 5 3" xfId="41773" xr:uid="{00000000-0005-0000-0000-000017090000}"/>
    <cellStyle name="Comma [0] 2 14 35 6" xfId="18541" xr:uid="{00000000-0005-0000-0000-000018090000}"/>
    <cellStyle name="Comma [0] 2 14 35 7" xfId="34033" xr:uid="{00000000-0005-0000-0000-000019090000}"/>
    <cellStyle name="Comma [0] 2 14 36" xfId="2911" xr:uid="{00000000-0005-0000-0000-00001A090000}"/>
    <cellStyle name="Comma [0] 2 14 36 2" xfId="3915" xr:uid="{00000000-0005-0000-0000-00001B090000}"/>
    <cellStyle name="Comma [0] 2 14 36 2 2" xfId="5854" xr:uid="{00000000-0005-0000-0000-00001C090000}"/>
    <cellStyle name="Comma [0] 2 14 36 2 2 2" xfId="9725" xr:uid="{00000000-0005-0000-0000-00001D090000}"/>
    <cellStyle name="Comma [0] 2 14 36 2 2 2 2" xfId="17470" xr:uid="{00000000-0005-0000-0000-00001E090000}"/>
    <cellStyle name="Comma [0] 2 14 36 2 2 2 2 2" xfId="33062" xr:uid="{00000000-0005-0000-0000-00001F090000}"/>
    <cellStyle name="Comma [0] 2 14 36 2 2 2 2 3" xfId="48554" xr:uid="{00000000-0005-0000-0000-000020090000}"/>
    <cellStyle name="Comma [0] 2 14 36 2 2 2 3" xfId="25322" xr:uid="{00000000-0005-0000-0000-000021090000}"/>
    <cellStyle name="Comma [0] 2 14 36 2 2 2 4" xfId="40814" xr:uid="{00000000-0005-0000-0000-000022090000}"/>
    <cellStyle name="Comma [0] 2 14 36 2 2 3" xfId="13600" xr:uid="{00000000-0005-0000-0000-000023090000}"/>
    <cellStyle name="Comma [0] 2 14 36 2 2 3 2" xfId="29192" xr:uid="{00000000-0005-0000-0000-000024090000}"/>
    <cellStyle name="Comma [0] 2 14 36 2 2 3 3" xfId="44684" xr:uid="{00000000-0005-0000-0000-000025090000}"/>
    <cellStyle name="Comma [0] 2 14 36 2 2 4" xfId="21452" xr:uid="{00000000-0005-0000-0000-000026090000}"/>
    <cellStyle name="Comma [0] 2 14 36 2 2 5" xfId="36944" xr:uid="{00000000-0005-0000-0000-000027090000}"/>
    <cellStyle name="Comma [0] 2 14 36 2 3" xfId="7798" xr:uid="{00000000-0005-0000-0000-000028090000}"/>
    <cellStyle name="Comma [0] 2 14 36 2 3 2" xfId="15543" xr:uid="{00000000-0005-0000-0000-000029090000}"/>
    <cellStyle name="Comma [0] 2 14 36 2 3 2 2" xfId="31135" xr:uid="{00000000-0005-0000-0000-00002A090000}"/>
    <cellStyle name="Comma [0] 2 14 36 2 3 2 3" xfId="46627" xr:uid="{00000000-0005-0000-0000-00002B090000}"/>
    <cellStyle name="Comma [0] 2 14 36 2 3 3" xfId="23395" xr:uid="{00000000-0005-0000-0000-00002C090000}"/>
    <cellStyle name="Comma [0] 2 14 36 2 3 4" xfId="38887" xr:uid="{00000000-0005-0000-0000-00002D090000}"/>
    <cellStyle name="Comma [0] 2 14 36 2 4" xfId="11673" xr:uid="{00000000-0005-0000-0000-00002E090000}"/>
    <cellStyle name="Comma [0] 2 14 36 2 4 2" xfId="27265" xr:uid="{00000000-0005-0000-0000-00002F090000}"/>
    <cellStyle name="Comma [0] 2 14 36 2 4 3" xfId="42757" xr:uid="{00000000-0005-0000-0000-000030090000}"/>
    <cellStyle name="Comma [0] 2 14 36 2 5" xfId="19525" xr:uid="{00000000-0005-0000-0000-000031090000}"/>
    <cellStyle name="Comma [0] 2 14 36 2 6" xfId="35017" xr:uid="{00000000-0005-0000-0000-000032090000}"/>
    <cellStyle name="Comma [0] 2 14 36 3" xfId="4906" xr:uid="{00000000-0005-0000-0000-000033090000}"/>
    <cellStyle name="Comma [0] 2 14 36 3 2" xfId="8777" xr:uid="{00000000-0005-0000-0000-000034090000}"/>
    <cellStyle name="Comma [0] 2 14 36 3 2 2" xfId="16522" xr:uid="{00000000-0005-0000-0000-000035090000}"/>
    <cellStyle name="Comma [0] 2 14 36 3 2 2 2" xfId="32114" xr:uid="{00000000-0005-0000-0000-000036090000}"/>
    <cellStyle name="Comma [0] 2 14 36 3 2 2 3" xfId="47606" xr:uid="{00000000-0005-0000-0000-000037090000}"/>
    <cellStyle name="Comma [0] 2 14 36 3 2 3" xfId="24374" xr:uid="{00000000-0005-0000-0000-000038090000}"/>
    <cellStyle name="Comma [0] 2 14 36 3 2 4" xfId="39866" xr:uid="{00000000-0005-0000-0000-000039090000}"/>
    <cellStyle name="Comma [0] 2 14 36 3 3" xfId="12652" xr:uid="{00000000-0005-0000-0000-00003A090000}"/>
    <cellStyle name="Comma [0] 2 14 36 3 3 2" xfId="28244" xr:uid="{00000000-0005-0000-0000-00003B090000}"/>
    <cellStyle name="Comma [0] 2 14 36 3 3 3" xfId="43736" xr:uid="{00000000-0005-0000-0000-00003C090000}"/>
    <cellStyle name="Comma [0] 2 14 36 3 4" xfId="20504" xr:uid="{00000000-0005-0000-0000-00003D090000}"/>
    <cellStyle name="Comma [0] 2 14 36 3 5" xfId="35996" xr:uid="{00000000-0005-0000-0000-00003E090000}"/>
    <cellStyle name="Comma [0] 2 14 36 4" xfId="6850" xr:uid="{00000000-0005-0000-0000-00003F090000}"/>
    <cellStyle name="Comma [0] 2 14 36 4 2" xfId="14595" xr:uid="{00000000-0005-0000-0000-000040090000}"/>
    <cellStyle name="Comma [0] 2 14 36 4 2 2" xfId="30187" xr:uid="{00000000-0005-0000-0000-000041090000}"/>
    <cellStyle name="Comma [0] 2 14 36 4 2 3" xfId="45679" xr:uid="{00000000-0005-0000-0000-000042090000}"/>
    <cellStyle name="Comma [0] 2 14 36 4 3" xfId="22447" xr:uid="{00000000-0005-0000-0000-000043090000}"/>
    <cellStyle name="Comma [0] 2 14 36 4 4" xfId="37939" xr:uid="{00000000-0005-0000-0000-000044090000}"/>
    <cellStyle name="Comma [0] 2 14 36 5" xfId="10725" xr:uid="{00000000-0005-0000-0000-000045090000}"/>
    <cellStyle name="Comma [0] 2 14 36 5 2" xfId="26317" xr:uid="{00000000-0005-0000-0000-000046090000}"/>
    <cellStyle name="Comma [0] 2 14 36 5 3" xfId="41809" xr:uid="{00000000-0005-0000-0000-000047090000}"/>
    <cellStyle name="Comma [0] 2 14 36 6" xfId="18577" xr:uid="{00000000-0005-0000-0000-000048090000}"/>
    <cellStyle name="Comma [0] 2 14 36 7" xfId="34069" xr:uid="{00000000-0005-0000-0000-000049090000}"/>
    <cellStyle name="Comma [0] 2 14 37" xfId="2950" xr:uid="{00000000-0005-0000-0000-00004A090000}"/>
    <cellStyle name="Comma [0] 2 14 37 2" xfId="3951" xr:uid="{00000000-0005-0000-0000-00004B090000}"/>
    <cellStyle name="Comma [0] 2 14 37 2 2" xfId="5890" xr:uid="{00000000-0005-0000-0000-00004C090000}"/>
    <cellStyle name="Comma [0] 2 14 37 2 2 2" xfId="9761" xr:uid="{00000000-0005-0000-0000-00004D090000}"/>
    <cellStyle name="Comma [0] 2 14 37 2 2 2 2" xfId="17506" xr:uid="{00000000-0005-0000-0000-00004E090000}"/>
    <cellStyle name="Comma [0] 2 14 37 2 2 2 2 2" xfId="33098" xr:uid="{00000000-0005-0000-0000-00004F090000}"/>
    <cellStyle name="Comma [0] 2 14 37 2 2 2 2 3" xfId="48590" xr:uid="{00000000-0005-0000-0000-000050090000}"/>
    <cellStyle name="Comma [0] 2 14 37 2 2 2 3" xfId="25358" xr:uid="{00000000-0005-0000-0000-000051090000}"/>
    <cellStyle name="Comma [0] 2 14 37 2 2 2 4" xfId="40850" xr:uid="{00000000-0005-0000-0000-000052090000}"/>
    <cellStyle name="Comma [0] 2 14 37 2 2 3" xfId="13636" xr:uid="{00000000-0005-0000-0000-000053090000}"/>
    <cellStyle name="Comma [0] 2 14 37 2 2 3 2" xfId="29228" xr:uid="{00000000-0005-0000-0000-000054090000}"/>
    <cellStyle name="Comma [0] 2 14 37 2 2 3 3" xfId="44720" xr:uid="{00000000-0005-0000-0000-000055090000}"/>
    <cellStyle name="Comma [0] 2 14 37 2 2 4" xfId="21488" xr:uid="{00000000-0005-0000-0000-000056090000}"/>
    <cellStyle name="Comma [0] 2 14 37 2 2 5" xfId="36980" xr:uid="{00000000-0005-0000-0000-000057090000}"/>
    <cellStyle name="Comma [0] 2 14 37 2 3" xfId="7834" xr:uid="{00000000-0005-0000-0000-000058090000}"/>
    <cellStyle name="Comma [0] 2 14 37 2 3 2" xfId="15579" xr:uid="{00000000-0005-0000-0000-000059090000}"/>
    <cellStyle name="Comma [0] 2 14 37 2 3 2 2" xfId="31171" xr:uid="{00000000-0005-0000-0000-00005A090000}"/>
    <cellStyle name="Comma [0] 2 14 37 2 3 2 3" xfId="46663" xr:uid="{00000000-0005-0000-0000-00005B090000}"/>
    <cellStyle name="Comma [0] 2 14 37 2 3 3" xfId="23431" xr:uid="{00000000-0005-0000-0000-00005C090000}"/>
    <cellStyle name="Comma [0] 2 14 37 2 3 4" xfId="38923" xr:uid="{00000000-0005-0000-0000-00005D090000}"/>
    <cellStyle name="Comma [0] 2 14 37 2 4" xfId="11709" xr:uid="{00000000-0005-0000-0000-00005E090000}"/>
    <cellStyle name="Comma [0] 2 14 37 2 4 2" xfId="27301" xr:uid="{00000000-0005-0000-0000-00005F090000}"/>
    <cellStyle name="Comma [0] 2 14 37 2 4 3" xfId="42793" xr:uid="{00000000-0005-0000-0000-000060090000}"/>
    <cellStyle name="Comma [0] 2 14 37 2 5" xfId="19561" xr:uid="{00000000-0005-0000-0000-000061090000}"/>
    <cellStyle name="Comma [0] 2 14 37 2 6" xfId="35053" xr:uid="{00000000-0005-0000-0000-000062090000}"/>
    <cellStyle name="Comma [0] 2 14 37 3" xfId="4942" xr:uid="{00000000-0005-0000-0000-000063090000}"/>
    <cellStyle name="Comma [0] 2 14 37 3 2" xfId="8813" xr:uid="{00000000-0005-0000-0000-000064090000}"/>
    <cellStyle name="Comma [0] 2 14 37 3 2 2" xfId="16558" xr:uid="{00000000-0005-0000-0000-000065090000}"/>
    <cellStyle name="Comma [0] 2 14 37 3 2 2 2" xfId="32150" xr:uid="{00000000-0005-0000-0000-000066090000}"/>
    <cellStyle name="Comma [0] 2 14 37 3 2 2 3" xfId="47642" xr:uid="{00000000-0005-0000-0000-000067090000}"/>
    <cellStyle name="Comma [0] 2 14 37 3 2 3" xfId="24410" xr:uid="{00000000-0005-0000-0000-000068090000}"/>
    <cellStyle name="Comma [0] 2 14 37 3 2 4" xfId="39902" xr:uid="{00000000-0005-0000-0000-000069090000}"/>
    <cellStyle name="Comma [0] 2 14 37 3 3" xfId="12688" xr:uid="{00000000-0005-0000-0000-00006A090000}"/>
    <cellStyle name="Comma [0] 2 14 37 3 3 2" xfId="28280" xr:uid="{00000000-0005-0000-0000-00006B090000}"/>
    <cellStyle name="Comma [0] 2 14 37 3 3 3" xfId="43772" xr:uid="{00000000-0005-0000-0000-00006C090000}"/>
    <cellStyle name="Comma [0] 2 14 37 3 4" xfId="20540" xr:uid="{00000000-0005-0000-0000-00006D090000}"/>
    <cellStyle name="Comma [0] 2 14 37 3 5" xfId="36032" xr:uid="{00000000-0005-0000-0000-00006E090000}"/>
    <cellStyle name="Comma [0] 2 14 37 4" xfId="6886" xr:uid="{00000000-0005-0000-0000-00006F090000}"/>
    <cellStyle name="Comma [0] 2 14 37 4 2" xfId="14631" xr:uid="{00000000-0005-0000-0000-000070090000}"/>
    <cellStyle name="Comma [0] 2 14 37 4 2 2" xfId="30223" xr:uid="{00000000-0005-0000-0000-000071090000}"/>
    <cellStyle name="Comma [0] 2 14 37 4 2 3" xfId="45715" xr:uid="{00000000-0005-0000-0000-000072090000}"/>
    <cellStyle name="Comma [0] 2 14 37 4 3" xfId="22483" xr:uid="{00000000-0005-0000-0000-000073090000}"/>
    <cellStyle name="Comma [0] 2 14 37 4 4" xfId="37975" xr:uid="{00000000-0005-0000-0000-000074090000}"/>
    <cellStyle name="Comma [0] 2 14 37 5" xfId="10761" xr:uid="{00000000-0005-0000-0000-000075090000}"/>
    <cellStyle name="Comma [0] 2 14 37 5 2" xfId="26353" xr:uid="{00000000-0005-0000-0000-000076090000}"/>
    <cellStyle name="Comma [0] 2 14 37 5 3" xfId="41845" xr:uid="{00000000-0005-0000-0000-000077090000}"/>
    <cellStyle name="Comma [0] 2 14 37 6" xfId="18613" xr:uid="{00000000-0005-0000-0000-000078090000}"/>
    <cellStyle name="Comma [0] 2 14 37 7" xfId="34105" xr:uid="{00000000-0005-0000-0000-000079090000}"/>
    <cellStyle name="Comma [0] 2 14 38" xfId="2990" xr:uid="{00000000-0005-0000-0000-00007A090000}"/>
    <cellStyle name="Comma [0] 2 14 38 2" xfId="3987" xr:uid="{00000000-0005-0000-0000-00007B090000}"/>
    <cellStyle name="Comma [0] 2 14 38 2 2" xfId="5926" xr:uid="{00000000-0005-0000-0000-00007C090000}"/>
    <cellStyle name="Comma [0] 2 14 38 2 2 2" xfId="9797" xr:uid="{00000000-0005-0000-0000-00007D090000}"/>
    <cellStyle name="Comma [0] 2 14 38 2 2 2 2" xfId="17542" xr:uid="{00000000-0005-0000-0000-00007E090000}"/>
    <cellStyle name="Comma [0] 2 14 38 2 2 2 2 2" xfId="33134" xr:uid="{00000000-0005-0000-0000-00007F090000}"/>
    <cellStyle name="Comma [0] 2 14 38 2 2 2 2 3" xfId="48626" xr:uid="{00000000-0005-0000-0000-000080090000}"/>
    <cellStyle name="Comma [0] 2 14 38 2 2 2 3" xfId="25394" xr:uid="{00000000-0005-0000-0000-000081090000}"/>
    <cellStyle name="Comma [0] 2 14 38 2 2 2 4" xfId="40886" xr:uid="{00000000-0005-0000-0000-000082090000}"/>
    <cellStyle name="Comma [0] 2 14 38 2 2 3" xfId="13672" xr:uid="{00000000-0005-0000-0000-000083090000}"/>
    <cellStyle name="Comma [0] 2 14 38 2 2 3 2" xfId="29264" xr:uid="{00000000-0005-0000-0000-000084090000}"/>
    <cellStyle name="Comma [0] 2 14 38 2 2 3 3" xfId="44756" xr:uid="{00000000-0005-0000-0000-000085090000}"/>
    <cellStyle name="Comma [0] 2 14 38 2 2 4" xfId="21524" xr:uid="{00000000-0005-0000-0000-000086090000}"/>
    <cellStyle name="Comma [0] 2 14 38 2 2 5" xfId="37016" xr:uid="{00000000-0005-0000-0000-000087090000}"/>
    <cellStyle name="Comma [0] 2 14 38 2 3" xfId="7870" xr:uid="{00000000-0005-0000-0000-000088090000}"/>
    <cellStyle name="Comma [0] 2 14 38 2 3 2" xfId="15615" xr:uid="{00000000-0005-0000-0000-000089090000}"/>
    <cellStyle name="Comma [0] 2 14 38 2 3 2 2" xfId="31207" xr:uid="{00000000-0005-0000-0000-00008A090000}"/>
    <cellStyle name="Comma [0] 2 14 38 2 3 2 3" xfId="46699" xr:uid="{00000000-0005-0000-0000-00008B090000}"/>
    <cellStyle name="Comma [0] 2 14 38 2 3 3" xfId="23467" xr:uid="{00000000-0005-0000-0000-00008C090000}"/>
    <cellStyle name="Comma [0] 2 14 38 2 3 4" xfId="38959" xr:uid="{00000000-0005-0000-0000-00008D090000}"/>
    <cellStyle name="Comma [0] 2 14 38 2 4" xfId="11745" xr:uid="{00000000-0005-0000-0000-00008E090000}"/>
    <cellStyle name="Comma [0] 2 14 38 2 4 2" xfId="27337" xr:uid="{00000000-0005-0000-0000-00008F090000}"/>
    <cellStyle name="Comma [0] 2 14 38 2 4 3" xfId="42829" xr:uid="{00000000-0005-0000-0000-000090090000}"/>
    <cellStyle name="Comma [0] 2 14 38 2 5" xfId="19597" xr:uid="{00000000-0005-0000-0000-000091090000}"/>
    <cellStyle name="Comma [0] 2 14 38 2 6" xfId="35089" xr:uid="{00000000-0005-0000-0000-000092090000}"/>
    <cellStyle name="Comma [0] 2 14 38 3" xfId="4978" xr:uid="{00000000-0005-0000-0000-000093090000}"/>
    <cellStyle name="Comma [0] 2 14 38 3 2" xfId="8849" xr:uid="{00000000-0005-0000-0000-000094090000}"/>
    <cellStyle name="Comma [0] 2 14 38 3 2 2" xfId="16594" xr:uid="{00000000-0005-0000-0000-000095090000}"/>
    <cellStyle name="Comma [0] 2 14 38 3 2 2 2" xfId="32186" xr:uid="{00000000-0005-0000-0000-000096090000}"/>
    <cellStyle name="Comma [0] 2 14 38 3 2 2 3" xfId="47678" xr:uid="{00000000-0005-0000-0000-000097090000}"/>
    <cellStyle name="Comma [0] 2 14 38 3 2 3" xfId="24446" xr:uid="{00000000-0005-0000-0000-000098090000}"/>
    <cellStyle name="Comma [0] 2 14 38 3 2 4" xfId="39938" xr:uid="{00000000-0005-0000-0000-000099090000}"/>
    <cellStyle name="Comma [0] 2 14 38 3 3" xfId="12724" xr:uid="{00000000-0005-0000-0000-00009A090000}"/>
    <cellStyle name="Comma [0] 2 14 38 3 3 2" xfId="28316" xr:uid="{00000000-0005-0000-0000-00009B090000}"/>
    <cellStyle name="Comma [0] 2 14 38 3 3 3" xfId="43808" xr:uid="{00000000-0005-0000-0000-00009C090000}"/>
    <cellStyle name="Comma [0] 2 14 38 3 4" xfId="20576" xr:uid="{00000000-0005-0000-0000-00009D090000}"/>
    <cellStyle name="Comma [0] 2 14 38 3 5" xfId="36068" xr:uid="{00000000-0005-0000-0000-00009E090000}"/>
    <cellStyle name="Comma [0] 2 14 38 4" xfId="6922" xr:uid="{00000000-0005-0000-0000-00009F090000}"/>
    <cellStyle name="Comma [0] 2 14 38 4 2" xfId="14667" xr:uid="{00000000-0005-0000-0000-0000A0090000}"/>
    <cellStyle name="Comma [0] 2 14 38 4 2 2" xfId="30259" xr:uid="{00000000-0005-0000-0000-0000A1090000}"/>
    <cellStyle name="Comma [0] 2 14 38 4 2 3" xfId="45751" xr:uid="{00000000-0005-0000-0000-0000A2090000}"/>
    <cellStyle name="Comma [0] 2 14 38 4 3" xfId="22519" xr:uid="{00000000-0005-0000-0000-0000A3090000}"/>
    <cellStyle name="Comma [0] 2 14 38 4 4" xfId="38011" xr:uid="{00000000-0005-0000-0000-0000A4090000}"/>
    <cellStyle name="Comma [0] 2 14 38 5" xfId="10797" xr:uid="{00000000-0005-0000-0000-0000A5090000}"/>
    <cellStyle name="Comma [0] 2 14 38 5 2" xfId="26389" xr:uid="{00000000-0005-0000-0000-0000A6090000}"/>
    <cellStyle name="Comma [0] 2 14 38 5 3" xfId="41881" xr:uid="{00000000-0005-0000-0000-0000A7090000}"/>
    <cellStyle name="Comma [0] 2 14 38 6" xfId="18649" xr:uid="{00000000-0005-0000-0000-0000A8090000}"/>
    <cellStyle name="Comma [0] 2 14 38 7" xfId="34141" xr:uid="{00000000-0005-0000-0000-0000A9090000}"/>
    <cellStyle name="Comma [0] 2 14 39" xfId="3028" xr:uid="{00000000-0005-0000-0000-0000AA090000}"/>
    <cellStyle name="Comma [0] 2 14 39 2" xfId="4023" xr:uid="{00000000-0005-0000-0000-0000AB090000}"/>
    <cellStyle name="Comma [0] 2 14 39 2 2" xfId="5962" xr:uid="{00000000-0005-0000-0000-0000AC090000}"/>
    <cellStyle name="Comma [0] 2 14 39 2 2 2" xfId="9833" xr:uid="{00000000-0005-0000-0000-0000AD090000}"/>
    <cellStyle name="Comma [0] 2 14 39 2 2 2 2" xfId="17578" xr:uid="{00000000-0005-0000-0000-0000AE090000}"/>
    <cellStyle name="Comma [0] 2 14 39 2 2 2 2 2" xfId="33170" xr:uid="{00000000-0005-0000-0000-0000AF090000}"/>
    <cellStyle name="Comma [0] 2 14 39 2 2 2 2 3" xfId="48662" xr:uid="{00000000-0005-0000-0000-0000B0090000}"/>
    <cellStyle name="Comma [0] 2 14 39 2 2 2 3" xfId="25430" xr:uid="{00000000-0005-0000-0000-0000B1090000}"/>
    <cellStyle name="Comma [0] 2 14 39 2 2 2 4" xfId="40922" xr:uid="{00000000-0005-0000-0000-0000B2090000}"/>
    <cellStyle name="Comma [0] 2 14 39 2 2 3" xfId="13708" xr:uid="{00000000-0005-0000-0000-0000B3090000}"/>
    <cellStyle name="Comma [0] 2 14 39 2 2 3 2" xfId="29300" xr:uid="{00000000-0005-0000-0000-0000B4090000}"/>
    <cellStyle name="Comma [0] 2 14 39 2 2 3 3" xfId="44792" xr:uid="{00000000-0005-0000-0000-0000B5090000}"/>
    <cellStyle name="Comma [0] 2 14 39 2 2 4" xfId="21560" xr:uid="{00000000-0005-0000-0000-0000B6090000}"/>
    <cellStyle name="Comma [0] 2 14 39 2 2 5" xfId="37052" xr:uid="{00000000-0005-0000-0000-0000B7090000}"/>
    <cellStyle name="Comma [0] 2 14 39 2 3" xfId="7906" xr:uid="{00000000-0005-0000-0000-0000B8090000}"/>
    <cellStyle name="Comma [0] 2 14 39 2 3 2" xfId="15651" xr:uid="{00000000-0005-0000-0000-0000B9090000}"/>
    <cellStyle name="Comma [0] 2 14 39 2 3 2 2" xfId="31243" xr:uid="{00000000-0005-0000-0000-0000BA090000}"/>
    <cellStyle name="Comma [0] 2 14 39 2 3 2 3" xfId="46735" xr:uid="{00000000-0005-0000-0000-0000BB090000}"/>
    <cellStyle name="Comma [0] 2 14 39 2 3 3" xfId="23503" xr:uid="{00000000-0005-0000-0000-0000BC090000}"/>
    <cellStyle name="Comma [0] 2 14 39 2 3 4" xfId="38995" xr:uid="{00000000-0005-0000-0000-0000BD090000}"/>
    <cellStyle name="Comma [0] 2 14 39 2 4" xfId="11781" xr:uid="{00000000-0005-0000-0000-0000BE090000}"/>
    <cellStyle name="Comma [0] 2 14 39 2 4 2" xfId="27373" xr:uid="{00000000-0005-0000-0000-0000BF090000}"/>
    <cellStyle name="Comma [0] 2 14 39 2 4 3" xfId="42865" xr:uid="{00000000-0005-0000-0000-0000C0090000}"/>
    <cellStyle name="Comma [0] 2 14 39 2 5" xfId="19633" xr:uid="{00000000-0005-0000-0000-0000C1090000}"/>
    <cellStyle name="Comma [0] 2 14 39 2 6" xfId="35125" xr:uid="{00000000-0005-0000-0000-0000C2090000}"/>
    <cellStyle name="Comma [0] 2 14 39 3" xfId="5014" xr:uid="{00000000-0005-0000-0000-0000C3090000}"/>
    <cellStyle name="Comma [0] 2 14 39 3 2" xfId="8885" xr:uid="{00000000-0005-0000-0000-0000C4090000}"/>
    <cellStyle name="Comma [0] 2 14 39 3 2 2" xfId="16630" xr:uid="{00000000-0005-0000-0000-0000C5090000}"/>
    <cellStyle name="Comma [0] 2 14 39 3 2 2 2" xfId="32222" xr:uid="{00000000-0005-0000-0000-0000C6090000}"/>
    <cellStyle name="Comma [0] 2 14 39 3 2 2 3" xfId="47714" xr:uid="{00000000-0005-0000-0000-0000C7090000}"/>
    <cellStyle name="Comma [0] 2 14 39 3 2 3" xfId="24482" xr:uid="{00000000-0005-0000-0000-0000C8090000}"/>
    <cellStyle name="Comma [0] 2 14 39 3 2 4" xfId="39974" xr:uid="{00000000-0005-0000-0000-0000C9090000}"/>
    <cellStyle name="Comma [0] 2 14 39 3 3" xfId="12760" xr:uid="{00000000-0005-0000-0000-0000CA090000}"/>
    <cellStyle name="Comma [0] 2 14 39 3 3 2" xfId="28352" xr:uid="{00000000-0005-0000-0000-0000CB090000}"/>
    <cellStyle name="Comma [0] 2 14 39 3 3 3" xfId="43844" xr:uid="{00000000-0005-0000-0000-0000CC090000}"/>
    <cellStyle name="Comma [0] 2 14 39 3 4" xfId="20612" xr:uid="{00000000-0005-0000-0000-0000CD090000}"/>
    <cellStyle name="Comma [0] 2 14 39 3 5" xfId="36104" xr:uid="{00000000-0005-0000-0000-0000CE090000}"/>
    <cellStyle name="Comma [0] 2 14 39 4" xfId="6958" xr:uid="{00000000-0005-0000-0000-0000CF090000}"/>
    <cellStyle name="Comma [0] 2 14 39 4 2" xfId="14703" xr:uid="{00000000-0005-0000-0000-0000D0090000}"/>
    <cellStyle name="Comma [0] 2 14 39 4 2 2" xfId="30295" xr:uid="{00000000-0005-0000-0000-0000D1090000}"/>
    <cellStyle name="Comma [0] 2 14 39 4 2 3" xfId="45787" xr:uid="{00000000-0005-0000-0000-0000D2090000}"/>
    <cellStyle name="Comma [0] 2 14 39 4 3" xfId="22555" xr:uid="{00000000-0005-0000-0000-0000D3090000}"/>
    <cellStyle name="Comma [0] 2 14 39 4 4" xfId="38047" xr:uid="{00000000-0005-0000-0000-0000D4090000}"/>
    <cellStyle name="Comma [0] 2 14 39 5" xfId="10833" xr:uid="{00000000-0005-0000-0000-0000D5090000}"/>
    <cellStyle name="Comma [0] 2 14 39 5 2" xfId="26425" xr:uid="{00000000-0005-0000-0000-0000D6090000}"/>
    <cellStyle name="Comma [0] 2 14 39 5 3" xfId="41917" xr:uid="{00000000-0005-0000-0000-0000D7090000}"/>
    <cellStyle name="Comma [0] 2 14 39 6" xfId="18685" xr:uid="{00000000-0005-0000-0000-0000D8090000}"/>
    <cellStyle name="Comma [0] 2 14 39 7" xfId="34177" xr:uid="{00000000-0005-0000-0000-0000D9090000}"/>
    <cellStyle name="Comma [0] 2 14 4" xfId="94" xr:uid="{00000000-0005-0000-0000-0000DA090000}"/>
    <cellStyle name="Comma [0] 2 14 40" xfId="3065" xr:uid="{00000000-0005-0000-0000-0000DB090000}"/>
    <cellStyle name="Comma [0] 2 14 40 2" xfId="4059" xr:uid="{00000000-0005-0000-0000-0000DC090000}"/>
    <cellStyle name="Comma [0] 2 14 40 2 2" xfId="5998" xr:uid="{00000000-0005-0000-0000-0000DD090000}"/>
    <cellStyle name="Comma [0] 2 14 40 2 2 2" xfId="9869" xr:uid="{00000000-0005-0000-0000-0000DE090000}"/>
    <cellStyle name="Comma [0] 2 14 40 2 2 2 2" xfId="17614" xr:uid="{00000000-0005-0000-0000-0000DF090000}"/>
    <cellStyle name="Comma [0] 2 14 40 2 2 2 2 2" xfId="33206" xr:uid="{00000000-0005-0000-0000-0000E0090000}"/>
    <cellStyle name="Comma [0] 2 14 40 2 2 2 2 3" xfId="48698" xr:uid="{00000000-0005-0000-0000-0000E1090000}"/>
    <cellStyle name="Comma [0] 2 14 40 2 2 2 3" xfId="25466" xr:uid="{00000000-0005-0000-0000-0000E2090000}"/>
    <cellStyle name="Comma [0] 2 14 40 2 2 2 4" xfId="40958" xr:uid="{00000000-0005-0000-0000-0000E3090000}"/>
    <cellStyle name="Comma [0] 2 14 40 2 2 3" xfId="13744" xr:uid="{00000000-0005-0000-0000-0000E4090000}"/>
    <cellStyle name="Comma [0] 2 14 40 2 2 3 2" xfId="29336" xr:uid="{00000000-0005-0000-0000-0000E5090000}"/>
    <cellStyle name="Comma [0] 2 14 40 2 2 3 3" xfId="44828" xr:uid="{00000000-0005-0000-0000-0000E6090000}"/>
    <cellStyle name="Comma [0] 2 14 40 2 2 4" xfId="21596" xr:uid="{00000000-0005-0000-0000-0000E7090000}"/>
    <cellStyle name="Comma [0] 2 14 40 2 2 5" xfId="37088" xr:uid="{00000000-0005-0000-0000-0000E8090000}"/>
    <cellStyle name="Comma [0] 2 14 40 2 3" xfId="7942" xr:uid="{00000000-0005-0000-0000-0000E9090000}"/>
    <cellStyle name="Comma [0] 2 14 40 2 3 2" xfId="15687" xr:uid="{00000000-0005-0000-0000-0000EA090000}"/>
    <cellStyle name="Comma [0] 2 14 40 2 3 2 2" xfId="31279" xr:uid="{00000000-0005-0000-0000-0000EB090000}"/>
    <cellStyle name="Comma [0] 2 14 40 2 3 2 3" xfId="46771" xr:uid="{00000000-0005-0000-0000-0000EC090000}"/>
    <cellStyle name="Comma [0] 2 14 40 2 3 3" xfId="23539" xr:uid="{00000000-0005-0000-0000-0000ED090000}"/>
    <cellStyle name="Comma [0] 2 14 40 2 3 4" xfId="39031" xr:uid="{00000000-0005-0000-0000-0000EE090000}"/>
    <cellStyle name="Comma [0] 2 14 40 2 4" xfId="11817" xr:uid="{00000000-0005-0000-0000-0000EF090000}"/>
    <cellStyle name="Comma [0] 2 14 40 2 4 2" xfId="27409" xr:uid="{00000000-0005-0000-0000-0000F0090000}"/>
    <cellStyle name="Comma [0] 2 14 40 2 4 3" xfId="42901" xr:uid="{00000000-0005-0000-0000-0000F1090000}"/>
    <cellStyle name="Comma [0] 2 14 40 2 5" xfId="19669" xr:uid="{00000000-0005-0000-0000-0000F2090000}"/>
    <cellStyle name="Comma [0] 2 14 40 2 6" xfId="35161" xr:uid="{00000000-0005-0000-0000-0000F3090000}"/>
    <cellStyle name="Comma [0] 2 14 40 3" xfId="5050" xr:uid="{00000000-0005-0000-0000-0000F4090000}"/>
    <cellStyle name="Comma [0] 2 14 40 3 2" xfId="8921" xr:uid="{00000000-0005-0000-0000-0000F5090000}"/>
    <cellStyle name="Comma [0] 2 14 40 3 2 2" xfId="16666" xr:uid="{00000000-0005-0000-0000-0000F6090000}"/>
    <cellStyle name="Comma [0] 2 14 40 3 2 2 2" xfId="32258" xr:uid="{00000000-0005-0000-0000-0000F7090000}"/>
    <cellStyle name="Comma [0] 2 14 40 3 2 2 3" xfId="47750" xr:uid="{00000000-0005-0000-0000-0000F8090000}"/>
    <cellStyle name="Comma [0] 2 14 40 3 2 3" xfId="24518" xr:uid="{00000000-0005-0000-0000-0000F9090000}"/>
    <cellStyle name="Comma [0] 2 14 40 3 2 4" xfId="40010" xr:uid="{00000000-0005-0000-0000-0000FA090000}"/>
    <cellStyle name="Comma [0] 2 14 40 3 3" xfId="12796" xr:uid="{00000000-0005-0000-0000-0000FB090000}"/>
    <cellStyle name="Comma [0] 2 14 40 3 3 2" xfId="28388" xr:uid="{00000000-0005-0000-0000-0000FC090000}"/>
    <cellStyle name="Comma [0] 2 14 40 3 3 3" xfId="43880" xr:uid="{00000000-0005-0000-0000-0000FD090000}"/>
    <cellStyle name="Comma [0] 2 14 40 3 4" xfId="20648" xr:uid="{00000000-0005-0000-0000-0000FE090000}"/>
    <cellStyle name="Comma [0] 2 14 40 3 5" xfId="36140" xr:uid="{00000000-0005-0000-0000-0000FF090000}"/>
    <cellStyle name="Comma [0] 2 14 40 4" xfId="6994" xr:uid="{00000000-0005-0000-0000-0000000A0000}"/>
    <cellStyle name="Comma [0] 2 14 40 4 2" xfId="14739" xr:uid="{00000000-0005-0000-0000-0000010A0000}"/>
    <cellStyle name="Comma [0] 2 14 40 4 2 2" xfId="30331" xr:uid="{00000000-0005-0000-0000-0000020A0000}"/>
    <cellStyle name="Comma [0] 2 14 40 4 2 3" xfId="45823" xr:uid="{00000000-0005-0000-0000-0000030A0000}"/>
    <cellStyle name="Comma [0] 2 14 40 4 3" xfId="22591" xr:uid="{00000000-0005-0000-0000-0000040A0000}"/>
    <cellStyle name="Comma [0] 2 14 40 4 4" xfId="38083" xr:uid="{00000000-0005-0000-0000-0000050A0000}"/>
    <cellStyle name="Comma [0] 2 14 40 5" xfId="10869" xr:uid="{00000000-0005-0000-0000-0000060A0000}"/>
    <cellStyle name="Comma [0] 2 14 40 5 2" xfId="26461" xr:uid="{00000000-0005-0000-0000-0000070A0000}"/>
    <cellStyle name="Comma [0] 2 14 40 5 3" xfId="41953" xr:uid="{00000000-0005-0000-0000-0000080A0000}"/>
    <cellStyle name="Comma [0] 2 14 40 6" xfId="18721" xr:uid="{00000000-0005-0000-0000-0000090A0000}"/>
    <cellStyle name="Comma [0] 2 14 40 7" xfId="34213" xr:uid="{00000000-0005-0000-0000-00000A0A0000}"/>
    <cellStyle name="Comma [0] 2 14 41" xfId="3112" xr:uid="{00000000-0005-0000-0000-00000B0A0000}"/>
    <cellStyle name="Comma [0] 2 14 41 2" xfId="4095" xr:uid="{00000000-0005-0000-0000-00000C0A0000}"/>
    <cellStyle name="Comma [0] 2 14 41 2 2" xfId="6034" xr:uid="{00000000-0005-0000-0000-00000D0A0000}"/>
    <cellStyle name="Comma [0] 2 14 41 2 2 2" xfId="9905" xr:uid="{00000000-0005-0000-0000-00000E0A0000}"/>
    <cellStyle name="Comma [0] 2 14 41 2 2 2 2" xfId="17650" xr:uid="{00000000-0005-0000-0000-00000F0A0000}"/>
    <cellStyle name="Comma [0] 2 14 41 2 2 2 2 2" xfId="33242" xr:uid="{00000000-0005-0000-0000-0000100A0000}"/>
    <cellStyle name="Comma [0] 2 14 41 2 2 2 2 3" xfId="48734" xr:uid="{00000000-0005-0000-0000-0000110A0000}"/>
    <cellStyle name="Comma [0] 2 14 41 2 2 2 3" xfId="25502" xr:uid="{00000000-0005-0000-0000-0000120A0000}"/>
    <cellStyle name="Comma [0] 2 14 41 2 2 2 4" xfId="40994" xr:uid="{00000000-0005-0000-0000-0000130A0000}"/>
    <cellStyle name="Comma [0] 2 14 41 2 2 3" xfId="13780" xr:uid="{00000000-0005-0000-0000-0000140A0000}"/>
    <cellStyle name="Comma [0] 2 14 41 2 2 3 2" xfId="29372" xr:uid="{00000000-0005-0000-0000-0000150A0000}"/>
    <cellStyle name="Comma [0] 2 14 41 2 2 3 3" xfId="44864" xr:uid="{00000000-0005-0000-0000-0000160A0000}"/>
    <cellStyle name="Comma [0] 2 14 41 2 2 4" xfId="21632" xr:uid="{00000000-0005-0000-0000-0000170A0000}"/>
    <cellStyle name="Comma [0] 2 14 41 2 2 5" xfId="37124" xr:uid="{00000000-0005-0000-0000-0000180A0000}"/>
    <cellStyle name="Comma [0] 2 14 41 2 3" xfId="7978" xr:uid="{00000000-0005-0000-0000-0000190A0000}"/>
    <cellStyle name="Comma [0] 2 14 41 2 3 2" xfId="15723" xr:uid="{00000000-0005-0000-0000-00001A0A0000}"/>
    <cellStyle name="Comma [0] 2 14 41 2 3 2 2" xfId="31315" xr:uid="{00000000-0005-0000-0000-00001B0A0000}"/>
    <cellStyle name="Comma [0] 2 14 41 2 3 2 3" xfId="46807" xr:uid="{00000000-0005-0000-0000-00001C0A0000}"/>
    <cellStyle name="Comma [0] 2 14 41 2 3 3" xfId="23575" xr:uid="{00000000-0005-0000-0000-00001D0A0000}"/>
    <cellStyle name="Comma [0] 2 14 41 2 3 4" xfId="39067" xr:uid="{00000000-0005-0000-0000-00001E0A0000}"/>
    <cellStyle name="Comma [0] 2 14 41 2 4" xfId="11853" xr:uid="{00000000-0005-0000-0000-00001F0A0000}"/>
    <cellStyle name="Comma [0] 2 14 41 2 4 2" xfId="27445" xr:uid="{00000000-0005-0000-0000-0000200A0000}"/>
    <cellStyle name="Comma [0] 2 14 41 2 4 3" xfId="42937" xr:uid="{00000000-0005-0000-0000-0000210A0000}"/>
    <cellStyle name="Comma [0] 2 14 41 2 5" xfId="19705" xr:uid="{00000000-0005-0000-0000-0000220A0000}"/>
    <cellStyle name="Comma [0] 2 14 41 2 6" xfId="35197" xr:uid="{00000000-0005-0000-0000-0000230A0000}"/>
    <cellStyle name="Comma [0] 2 14 41 3" xfId="5086" xr:uid="{00000000-0005-0000-0000-0000240A0000}"/>
    <cellStyle name="Comma [0] 2 14 41 3 2" xfId="8957" xr:uid="{00000000-0005-0000-0000-0000250A0000}"/>
    <cellStyle name="Comma [0] 2 14 41 3 2 2" xfId="16702" xr:uid="{00000000-0005-0000-0000-0000260A0000}"/>
    <cellStyle name="Comma [0] 2 14 41 3 2 2 2" xfId="32294" xr:uid="{00000000-0005-0000-0000-0000270A0000}"/>
    <cellStyle name="Comma [0] 2 14 41 3 2 2 3" xfId="47786" xr:uid="{00000000-0005-0000-0000-0000280A0000}"/>
    <cellStyle name="Comma [0] 2 14 41 3 2 3" xfId="24554" xr:uid="{00000000-0005-0000-0000-0000290A0000}"/>
    <cellStyle name="Comma [0] 2 14 41 3 2 4" xfId="40046" xr:uid="{00000000-0005-0000-0000-00002A0A0000}"/>
    <cellStyle name="Comma [0] 2 14 41 3 3" xfId="12832" xr:uid="{00000000-0005-0000-0000-00002B0A0000}"/>
    <cellStyle name="Comma [0] 2 14 41 3 3 2" xfId="28424" xr:uid="{00000000-0005-0000-0000-00002C0A0000}"/>
    <cellStyle name="Comma [0] 2 14 41 3 3 3" xfId="43916" xr:uid="{00000000-0005-0000-0000-00002D0A0000}"/>
    <cellStyle name="Comma [0] 2 14 41 3 4" xfId="20684" xr:uid="{00000000-0005-0000-0000-00002E0A0000}"/>
    <cellStyle name="Comma [0] 2 14 41 3 5" xfId="36176" xr:uid="{00000000-0005-0000-0000-00002F0A0000}"/>
    <cellStyle name="Comma [0] 2 14 41 4" xfId="7030" xr:uid="{00000000-0005-0000-0000-0000300A0000}"/>
    <cellStyle name="Comma [0] 2 14 41 4 2" xfId="14775" xr:uid="{00000000-0005-0000-0000-0000310A0000}"/>
    <cellStyle name="Comma [0] 2 14 41 4 2 2" xfId="30367" xr:uid="{00000000-0005-0000-0000-0000320A0000}"/>
    <cellStyle name="Comma [0] 2 14 41 4 2 3" xfId="45859" xr:uid="{00000000-0005-0000-0000-0000330A0000}"/>
    <cellStyle name="Comma [0] 2 14 41 4 3" xfId="22627" xr:uid="{00000000-0005-0000-0000-0000340A0000}"/>
    <cellStyle name="Comma [0] 2 14 41 4 4" xfId="38119" xr:uid="{00000000-0005-0000-0000-0000350A0000}"/>
    <cellStyle name="Comma [0] 2 14 41 5" xfId="10905" xr:uid="{00000000-0005-0000-0000-0000360A0000}"/>
    <cellStyle name="Comma [0] 2 14 41 5 2" xfId="26497" xr:uid="{00000000-0005-0000-0000-0000370A0000}"/>
    <cellStyle name="Comma [0] 2 14 41 5 3" xfId="41989" xr:uid="{00000000-0005-0000-0000-0000380A0000}"/>
    <cellStyle name="Comma [0] 2 14 41 6" xfId="18757" xr:uid="{00000000-0005-0000-0000-0000390A0000}"/>
    <cellStyle name="Comma [0] 2 14 41 7" xfId="34249" xr:uid="{00000000-0005-0000-0000-00003A0A0000}"/>
    <cellStyle name="Comma [0] 2 14 42" xfId="48845" xr:uid="{00000000-0005-0000-0000-00003B0A0000}"/>
    <cellStyle name="Comma [0] 2 14 5" xfId="95" xr:uid="{00000000-0005-0000-0000-00003C0A0000}"/>
    <cellStyle name="Comma [0] 2 14 6" xfId="96" xr:uid="{00000000-0005-0000-0000-00003D0A0000}"/>
    <cellStyle name="Comma [0] 2 14 7" xfId="97" xr:uid="{00000000-0005-0000-0000-00003E0A0000}"/>
    <cellStyle name="Comma [0] 2 14 8" xfId="98" xr:uid="{00000000-0005-0000-0000-00003F0A0000}"/>
    <cellStyle name="Comma [0] 2 14 9" xfId="99" xr:uid="{00000000-0005-0000-0000-0000400A0000}"/>
    <cellStyle name="Comma [0] 2 15" xfId="100" xr:uid="{00000000-0005-0000-0000-0000410A0000}"/>
    <cellStyle name="Comma [0] 2 15 2" xfId="101" xr:uid="{00000000-0005-0000-0000-0000420A0000}"/>
    <cellStyle name="Comma [0] 2 15 3" xfId="49036" xr:uid="{BBFDBA7F-9530-40E1-B669-909B3809C9FD}"/>
    <cellStyle name="Comma [0] 2 16" xfId="102" xr:uid="{00000000-0005-0000-0000-0000430A0000}"/>
    <cellStyle name="Comma [0] 2 16 2" xfId="103" xr:uid="{00000000-0005-0000-0000-0000440A0000}"/>
    <cellStyle name="Comma [0] 2 17" xfId="104" xr:uid="{00000000-0005-0000-0000-0000450A0000}"/>
    <cellStyle name="Comma [0] 2 17 2" xfId="105" xr:uid="{00000000-0005-0000-0000-0000460A0000}"/>
    <cellStyle name="Comma [0] 2 18" xfId="106" xr:uid="{00000000-0005-0000-0000-0000470A0000}"/>
    <cellStyle name="Comma [0] 2 18 2" xfId="107" xr:uid="{00000000-0005-0000-0000-0000480A0000}"/>
    <cellStyle name="Comma [0] 2 19" xfId="108" xr:uid="{00000000-0005-0000-0000-0000490A0000}"/>
    <cellStyle name="Comma [0] 2 19 2" xfId="109" xr:uid="{00000000-0005-0000-0000-00004A0A0000}"/>
    <cellStyle name="Comma [0] 2 2" xfId="110" xr:uid="{00000000-0005-0000-0000-00004B0A0000}"/>
    <cellStyle name="Comma [0] 2 2 10" xfId="111" xr:uid="{00000000-0005-0000-0000-00004C0A0000}"/>
    <cellStyle name="Comma [0] 2 2 11" xfId="112" xr:uid="{00000000-0005-0000-0000-00004D0A0000}"/>
    <cellStyle name="Comma [0] 2 2 11 10" xfId="113" xr:uid="{00000000-0005-0000-0000-00004E0A0000}"/>
    <cellStyle name="Comma [0] 2 2 11 11" xfId="114" xr:uid="{00000000-0005-0000-0000-00004F0A0000}"/>
    <cellStyle name="Comma [0] 2 2 11 12" xfId="115" xr:uid="{00000000-0005-0000-0000-0000500A0000}"/>
    <cellStyle name="Comma [0] 2 2 11 13" xfId="116" xr:uid="{00000000-0005-0000-0000-0000510A0000}"/>
    <cellStyle name="Comma [0] 2 2 11 14" xfId="117" xr:uid="{00000000-0005-0000-0000-0000520A0000}"/>
    <cellStyle name="Comma [0] 2 2 11 15" xfId="118" xr:uid="{00000000-0005-0000-0000-0000530A0000}"/>
    <cellStyle name="Comma [0] 2 2 11 16" xfId="119" xr:uid="{00000000-0005-0000-0000-0000540A0000}"/>
    <cellStyle name="Comma [0] 2 2 11 17" xfId="120" xr:uid="{00000000-0005-0000-0000-0000550A0000}"/>
    <cellStyle name="Comma [0] 2 2 11 18" xfId="121" xr:uid="{00000000-0005-0000-0000-0000560A0000}"/>
    <cellStyle name="Comma [0] 2 2 11 19" xfId="122" xr:uid="{00000000-0005-0000-0000-0000570A0000}"/>
    <cellStyle name="Comma [0] 2 2 11 2" xfId="123" xr:uid="{00000000-0005-0000-0000-0000580A0000}"/>
    <cellStyle name="Comma [0] 2 2 11 20" xfId="124" xr:uid="{00000000-0005-0000-0000-0000590A0000}"/>
    <cellStyle name="Comma [0] 2 2 11 21" xfId="125" xr:uid="{00000000-0005-0000-0000-00005A0A0000}"/>
    <cellStyle name="Comma [0] 2 2 11 22" xfId="126" xr:uid="{00000000-0005-0000-0000-00005B0A0000}"/>
    <cellStyle name="Comma [0] 2 2 11 23" xfId="127" xr:uid="{00000000-0005-0000-0000-00005C0A0000}"/>
    <cellStyle name="Comma [0] 2 2 11 24" xfId="2160" xr:uid="{00000000-0005-0000-0000-00005D0A0000}"/>
    <cellStyle name="Comma [0] 2 2 11 24 2" xfId="2508" xr:uid="{00000000-0005-0000-0000-00005E0A0000}"/>
    <cellStyle name="Comma [0] 2 2 11 24 2 2" xfId="3516" xr:uid="{00000000-0005-0000-0000-00005F0A0000}"/>
    <cellStyle name="Comma [0] 2 2 11 24 2 2 2" xfId="5455" xr:uid="{00000000-0005-0000-0000-0000600A0000}"/>
    <cellStyle name="Comma [0] 2 2 11 24 2 2 2 2" xfId="9326" xr:uid="{00000000-0005-0000-0000-0000610A0000}"/>
    <cellStyle name="Comma [0] 2 2 11 24 2 2 2 2 2" xfId="17071" xr:uid="{00000000-0005-0000-0000-0000620A0000}"/>
    <cellStyle name="Comma [0] 2 2 11 24 2 2 2 2 2 2" xfId="32663" xr:uid="{00000000-0005-0000-0000-0000630A0000}"/>
    <cellStyle name="Comma [0] 2 2 11 24 2 2 2 2 2 3" xfId="48155" xr:uid="{00000000-0005-0000-0000-0000640A0000}"/>
    <cellStyle name="Comma [0] 2 2 11 24 2 2 2 2 3" xfId="24923" xr:uid="{00000000-0005-0000-0000-0000650A0000}"/>
    <cellStyle name="Comma [0] 2 2 11 24 2 2 2 2 4" xfId="40415" xr:uid="{00000000-0005-0000-0000-0000660A0000}"/>
    <cellStyle name="Comma [0] 2 2 11 24 2 2 2 3" xfId="13201" xr:uid="{00000000-0005-0000-0000-0000670A0000}"/>
    <cellStyle name="Comma [0] 2 2 11 24 2 2 2 3 2" xfId="28793" xr:uid="{00000000-0005-0000-0000-0000680A0000}"/>
    <cellStyle name="Comma [0] 2 2 11 24 2 2 2 3 3" xfId="44285" xr:uid="{00000000-0005-0000-0000-0000690A0000}"/>
    <cellStyle name="Comma [0] 2 2 11 24 2 2 2 4" xfId="21053" xr:uid="{00000000-0005-0000-0000-00006A0A0000}"/>
    <cellStyle name="Comma [0] 2 2 11 24 2 2 2 5" xfId="36545" xr:uid="{00000000-0005-0000-0000-00006B0A0000}"/>
    <cellStyle name="Comma [0] 2 2 11 24 2 2 3" xfId="7399" xr:uid="{00000000-0005-0000-0000-00006C0A0000}"/>
    <cellStyle name="Comma [0] 2 2 11 24 2 2 3 2" xfId="15144" xr:uid="{00000000-0005-0000-0000-00006D0A0000}"/>
    <cellStyle name="Comma [0] 2 2 11 24 2 2 3 2 2" xfId="30736" xr:uid="{00000000-0005-0000-0000-00006E0A0000}"/>
    <cellStyle name="Comma [0] 2 2 11 24 2 2 3 2 3" xfId="46228" xr:uid="{00000000-0005-0000-0000-00006F0A0000}"/>
    <cellStyle name="Comma [0] 2 2 11 24 2 2 3 3" xfId="22996" xr:uid="{00000000-0005-0000-0000-0000700A0000}"/>
    <cellStyle name="Comma [0] 2 2 11 24 2 2 3 4" xfId="38488" xr:uid="{00000000-0005-0000-0000-0000710A0000}"/>
    <cellStyle name="Comma [0] 2 2 11 24 2 2 4" xfId="11274" xr:uid="{00000000-0005-0000-0000-0000720A0000}"/>
    <cellStyle name="Comma [0] 2 2 11 24 2 2 4 2" xfId="26866" xr:uid="{00000000-0005-0000-0000-0000730A0000}"/>
    <cellStyle name="Comma [0] 2 2 11 24 2 2 4 3" xfId="42358" xr:uid="{00000000-0005-0000-0000-0000740A0000}"/>
    <cellStyle name="Comma [0] 2 2 11 24 2 2 5" xfId="19126" xr:uid="{00000000-0005-0000-0000-0000750A0000}"/>
    <cellStyle name="Comma [0] 2 2 11 24 2 2 6" xfId="34618" xr:uid="{00000000-0005-0000-0000-0000760A0000}"/>
    <cellStyle name="Comma [0] 2 2 11 24 2 3" xfId="4507" xr:uid="{00000000-0005-0000-0000-0000770A0000}"/>
    <cellStyle name="Comma [0] 2 2 11 24 2 3 2" xfId="8378" xr:uid="{00000000-0005-0000-0000-0000780A0000}"/>
    <cellStyle name="Comma [0] 2 2 11 24 2 3 2 2" xfId="16123" xr:uid="{00000000-0005-0000-0000-0000790A0000}"/>
    <cellStyle name="Comma [0] 2 2 11 24 2 3 2 2 2" xfId="31715" xr:uid="{00000000-0005-0000-0000-00007A0A0000}"/>
    <cellStyle name="Comma [0] 2 2 11 24 2 3 2 2 3" xfId="47207" xr:uid="{00000000-0005-0000-0000-00007B0A0000}"/>
    <cellStyle name="Comma [0] 2 2 11 24 2 3 2 3" xfId="23975" xr:uid="{00000000-0005-0000-0000-00007C0A0000}"/>
    <cellStyle name="Comma [0] 2 2 11 24 2 3 2 4" xfId="39467" xr:uid="{00000000-0005-0000-0000-00007D0A0000}"/>
    <cellStyle name="Comma [0] 2 2 11 24 2 3 3" xfId="12253" xr:uid="{00000000-0005-0000-0000-00007E0A0000}"/>
    <cellStyle name="Comma [0] 2 2 11 24 2 3 3 2" xfId="27845" xr:uid="{00000000-0005-0000-0000-00007F0A0000}"/>
    <cellStyle name="Comma [0] 2 2 11 24 2 3 3 3" xfId="43337" xr:uid="{00000000-0005-0000-0000-0000800A0000}"/>
    <cellStyle name="Comma [0] 2 2 11 24 2 3 4" xfId="20105" xr:uid="{00000000-0005-0000-0000-0000810A0000}"/>
    <cellStyle name="Comma [0] 2 2 11 24 2 3 5" xfId="35597" xr:uid="{00000000-0005-0000-0000-0000820A0000}"/>
    <cellStyle name="Comma [0] 2 2 11 24 2 4" xfId="6451" xr:uid="{00000000-0005-0000-0000-0000830A0000}"/>
    <cellStyle name="Comma [0] 2 2 11 24 2 4 2" xfId="14196" xr:uid="{00000000-0005-0000-0000-0000840A0000}"/>
    <cellStyle name="Comma [0] 2 2 11 24 2 4 2 2" xfId="29788" xr:uid="{00000000-0005-0000-0000-0000850A0000}"/>
    <cellStyle name="Comma [0] 2 2 11 24 2 4 2 3" xfId="45280" xr:uid="{00000000-0005-0000-0000-0000860A0000}"/>
    <cellStyle name="Comma [0] 2 2 11 24 2 4 3" xfId="22048" xr:uid="{00000000-0005-0000-0000-0000870A0000}"/>
    <cellStyle name="Comma [0] 2 2 11 24 2 4 4" xfId="37540" xr:uid="{00000000-0005-0000-0000-0000880A0000}"/>
    <cellStyle name="Comma [0] 2 2 11 24 2 5" xfId="10326" xr:uid="{00000000-0005-0000-0000-0000890A0000}"/>
    <cellStyle name="Comma [0] 2 2 11 24 2 5 2" xfId="25918" xr:uid="{00000000-0005-0000-0000-00008A0A0000}"/>
    <cellStyle name="Comma [0] 2 2 11 24 2 5 3" xfId="41410" xr:uid="{00000000-0005-0000-0000-00008B0A0000}"/>
    <cellStyle name="Comma [0] 2 2 11 24 2 6" xfId="18178" xr:uid="{00000000-0005-0000-0000-00008C0A0000}"/>
    <cellStyle name="Comma [0] 2 2 11 24 2 7" xfId="33670" xr:uid="{00000000-0005-0000-0000-00008D0A0000}"/>
    <cellStyle name="Comma [0] 2 2 11 24 3" xfId="3207" xr:uid="{00000000-0005-0000-0000-00008E0A0000}"/>
    <cellStyle name="Comma [0] 2 2 11 24 3 2" xfId="5146" xr:uid="{00000000-0005-0000-0000-00008F0A0000}"/>
    <cellStyle name="Comma [0] 2 2 11 24 3 2 2" xfId="9017" xr:uid="{00000000-0005-0000-0000-0000900A0000}"/>
    <cellStyle name="Comma [0] 2 2 11 24 3 2 2 2" xfId="16762" xr:uid="{00000000-0005-0000-0000-0000910A0000}"/>
    <cellStyle name="Comma [0] 2 2 11 24 3 2 2 2 2" xfId="32354" xr:uid="{00000000-0005-0000-0000-0000920A0000}"/>
    <cellStyle name="Comma [0] 2 2 11 24 3 2 2 2 3" xfId="47846" xr:uid="{00000000-0005-0000-0000-0000930A0000}"/>
    <cellStyle name="Comma [0] 2 2 11 24 3 2 2 3" xfId="24614" xr:uid="{00000000-0005-0000-0000-0000940A0000}"/>
    <cellStyle name="Comma [0] 2 2 11 24 3 2 2 4" xfId="40106" xr:uid="{00000000-0005-0000-0000-0000950A0000}"/>
    <cellStyle name="Comma [0] 2 2 11 24 3 2 3" xfId="12892" xr:uid="{00000000-0005-0000-0000-0000960A0000}"/>
    <cellStyle name="Comma [0] 2 2 11 24 3 2 3 2" xfId="28484" xr:uid="{00000000-0005-0000-0000-0000970A0000}"/>
    <cellStyle name="Comma [0] 2 2 11 24 3 2 3 3" xfId="43976" xr:uid="{00000000-0005-0000-0000-0000980A0000}"/>
    <cellStyle name="Comma [0] 2 2 11 24 3 2 4" xfId="20744" xr:uid="{00000000-0005-0000-0000-0000990A0000}"/>
    <cellStyle name="Comma [0] 2 2 11 24 3 2 5" xfId="36236" xr:uid="{00000000-0005-0000-0000-00009A0A0000}"/>
    <cellStyle name="Comma [0] 2 2 11 24 3 3" xfId="7090" xr:uid="{00000000-0005-0000-0000-00009B0A0000}"/>
    <cellStyle name="Comma [0] 2 2 11 24 3 3 2" xfId="14835" xr:uid="{00000000-0005-0000-0000-00009C0A0000}"/>
    <cellStyle name="Comma [0] 2 2 11 24 3 3 2 2" xfId="30427" xr:uid="{00000000-0005-0000-0000-00009D0A0000}"/>
    <cellStyle name="Comma [0] 2 2 11 24 3 3 2 3" xfId="45919" xr:uid="{00000000-0005-0000-0000-00009E0A0000}"/>
    <cellStyle name="Comma [0] 2 2 11 24 3 3 3" xfId="22687" xr:uid="{00000000-0005-0000-0000-00009F0A0000}"/>
    <cellStyle name="Comma [0] 2 2 11 24 3 3 4" xfId="38179" xr:uid="{00000000-0005-0000-0000-0000A00A0000}"/>
    <cellStyle name="Comma [0] 2 2 11 24 3 4" xfId="10965" xr:uid="{00000000-0005-0000-0000-0000A10A0000}"/>
    <cellStyle name="Comma [0] 2 2 11 24 3 4 2" xfId="26557" xr:uid="{00000000-0005-0000-0000-0000A20A0000}"/>
    <cellStyle name="Comma [0] 2 2 11 24 3 4 3" xfId="42049" xr:uid="{00000000-0005-0000-0000-0000A30A0000}"/>
    <cellStyle name="Comma [0] 2 2 11 24 3 5" xfId="18817" xr:uid="{00000000-0005-0000-0000-0000A40A0000}"/>
    <cellStyle name="Comma [0] 2 2 11 24 3 6" xfId="34309" xr:uid="{00000000-0005-0000-0000-0000A50A0000}"/>
    <cellStyle name="Comma [0] 2 2 11 24 4" xfId="4198" xr:uid="{00000000-0005-0000-0000-0000A60A0000}"/>
    <cellStyle name="Comma [0] 2 2 11 24 4 2" xfId="8069" xr:uid="{00000000-0005-0000-0000-0000A70A0000}"/>
    <cellStyle name="Comma [0] 2 2 11 24 4 2 2" xfId="15814" xr:uid="{00000000-0005-0000-0000-0000A80A0000}"/>
    <cellStyle name="Comma [0] 2 2 11 24 4 2 2 2" xfId="31406" xr:uid="{00000000-0005-0000-0000-0000A90A0000}"/>
    <cellStyle name="Comma [0] 2 2 11 24 4 2 2 3" xfId="46898" xr:uid="{00000000-0005-0000-0000-0000AA0A0000}"/>
    <cellStyle name="Comma [0] 2 2 11 24 4 2 3" xfId="23666" xr:uid="{00000000-0005-0000-0000-0000AB0A0000}"/>
    <cellStyle name="Comma [0] 2 2 11 24 4 2 4" xfId="39158" xr:uid="{00000000-0005-0000-0000-0000AC0A0000}"/>
    <cellStyle name="Comma [0] 2 2 11 24 4 3" xfId="11944" xr:uid="{00000000-0005-0000-0000-0000AD0A0000}"/>
    <cellStyle name="Comma [0] 2 2 11 24 4 3 2" xfId="27536" xr:uid="{00000000-0005-0000-0000-0000AE0A0000}"/>
    <cellStyle name="Comma [0] 2 2 11 24 4 3 3" xfId="43028" xr:uid="{00000000-0005-0000-0000-0000AF0A0000}"/>
    <cellStyle name="Comma [0] 2 2 11 24 4 4" xfId="19796" xr:uid="{00000000-0005-0000-0000-0000B00A0000}"/>
    <cellStyle name="Comma [0] 2 2 11 24 4 5" xfId="35288" xr:uid="{00000000-0005-0000-0000-0000B10A0000}"/>
    <cellStyle name="Comma [0] 2 2 11 24 5" xfId="6142" xr:uid="{00000000-0005-0000-0000-0000B20A0000}"/>
    <cellStyle name="Comma [0] 2 2 11 24 5 2" xfId="13887" xr:uid="{00000000-0005-0000-0000-0000B30A0000}"/>
    <cellStyle name="Comma [0] 2 2 11 24 5 2 2" xfId="29479" xr:uid="{00000000-0005-0000-0000-0000B40A0000}"/>
    <cellStyle name="Comma [0] 2 2 11 24 5 2 3" xfId="44971" xr:uid="{00000000-0005-0000-0000-0000B50A0000}"/>
    <cellStyle name="Comma [0] 2 2 11 24 5 3" xfId="21739" xr:uid="{00000000-0005-0000-0000-0000B60A0000}"/>
    <cellStyle name="Comma [0] 2 2 11 24 5 4" xfId="37231" xr:uid="{00000000-0005-0000-0000-0000B70A0000}"/>
    <cellStyle name="Comma [0] 2 2 11 24 6" xfId="10017" xr:uid="{00000000-0005-0000-0000-0000B80A0000}"/>
    <cellStyle name="Comma [0] 2 2 11 24 6 2" xfId="25609" xr:uid="{00000000-0005-0000-0000-0000B90A0000}"/>
    <cellStyle name="Comma [0] 2 2 11 24 6 3" xfId="41101" xr:uid="{00000000-0005-0000-0000-0000BA0A0000}"/>
    <cellStyle name="Comma [0] 2 2 11 24 7" xfId="17869" xr:uid="{00000000-0005-0000-0000-0000BB0A0000}"/>
    <cellStyle name="Comma [0] 2 2 11 24 8" xfId="33361" xr:uid="{00000000-0005-0000-0000-0000BC0A0000}"/>
    <cellStyle name="Comma [0] 2 2 11 25" xfId="2229" xr:uid="{00000000-0005-0000-0000-0000BD0A0000}"/>
    <cellStyle name="Comma [0] 2 2 11 25 2" xfId="2546" xr:uid="{00000000-0005-0000-0000-0000BE0A0000}"/>
    <cellStyle name="Comma [0] 2 2 11 25 2 2" xfId="3554" xr:uid="{00000000-0005-0000-0000-0000BF0A0000}"/>
    <cellStyle name="Comma [0] 2 2 11 25 2 2 2" xfId="5493" xr:uid="{00000000-0005-0000-0000-0000C00A0000}"/>
    <cellStyle name="Comma [0] 2 2 11 25 2 2 2 2" xfId="9364" xr:uid="{00000000-0005-0000-0000-0000C10A0000}"/>
    <cellStyle name="Comma [0] 2 2 11 25 2 2 2 2 2" xfId="17109" xr:uid="{00000000-0005-0000-0000-0000C20A0000}"/>
    <cellStyle name="Comma [0] 2 2 11 25 2 2 2 2 2 2" xfId="32701" xr:uid="{00000000-0005-0000-0000-0000C30A0000}"/>
    <cellStyle name="Comma [0] 2 2 11 25 2 2 2 2 2 3" xfId="48193" xr:uid="{00000000-0005-0000-0000-0000C40A0000}"/>
    <cellStyle name="Comma [0] 2 2 11 25 2 2 2 2 3" xfId="24961" xr:uid="{00000000-0005-0000-0000-0000C50A0000}"/>
    <cellStyle name="Comma [0] 2 2 11 25 2 2 2 2 4" xfId="40453" xr:uid="{00000000-0005-0000-0000-0000C60A0000}"/>
    <cellStyle name="Comma [0] 2 2 11 25 2 2 2 3" xfId="13239" xr:uid="{00000000-0005-0000-0000-0000C70A0000}"/>
    <cellStyle name="Comma [0] 2 2 11 25 2 2 2 3 2" xfId="28831" xr:uid="{00000000-0005-0000-0000-0000C80A0000}"/>
    <cellStyle name="Comma [0] 2 2 11 25 2 2 2 3 3" xfId="44323" xr:uid="{00000000-0005-0000-0000-0000C90A0000}"/>
    <cellStyle name="Comma [0] 2 2 11 25 2 2 2 4" xfId="21091" xr:uid="{00000000-0005-0000-0000-0000CA0A0000}"/>
    <cellStyle name="Comma [0] 2 2 11 25 2 2 2 5" xfId="36583" xr:uid="{00000000-0005-0000-0000-0000CB0A0000}"/>
    <cellStyle name="Comma [0] 2 2 11 25 2 2 3" xfId="7437" xr:uid="{00000000-0005-0000-0000-0000CC0A0000}"/>
    <cellStyle name="Comma [0] 2 2 11 25 2 2 3 2" xfId="15182" xr:uid="{00000000-0005-0000-0000-0000CD0A0000}"/>
    <cellStyle name="Comma [0] 2 2 11 25 2 2 3 2 2" xfId="30774" xr:uid="{00000000-0005-0000-0000-0000CE0A0000}"/>
    <cellStyle name="Comma [0] 2 2 11 25 2 2 3 2 3" xfId="46266" xr:uid="{00000000-0005-0000-0000-0000CF0A0000}"/>
    <cellStyle name="Comma [0] 2 2 11 25 2 2 3 3" xfId="23034" xr:uid="{00000000-0005-0000-0000-0000D00A0000}"/>
    <cellStyle name="Comma [0] 2 2 11 25 2 2 3 4" xfId="38526" xr:uid="{00000000-0005-0000-0000-0000D10A0000}"/>
    <cellStyle name="Comma [0] 2 2 11 25 2 2 4" xfId="11312" xr:uid="{00000000-0005-0000-0000-0000D20A0000}"/>
    <cellStyle name="Comma [0] 2 2 11 25 2 2 4 2" xfId="26904" xr:uid="{00000000-0005-0000-0000-0000D30A0000}"/>
    <cellStyle name="Comma [0] 2 2 11 25 2 2 4 3" xfId="42396" xr:uid="{00000000-0005-0000-0000-0000D40A0000}"/>
    <cellStyle name="Comma [0] 2 2 11 25 2 2 5" xfId="19164" xr:uid="{00000000-0005-0000-0000-0000D50A0000}"/>
    <cellStyle name="Comma [0] 2 2 11 25 2 2 6" xfId="34656" xr:uid="{00000000-0005-0000-0000-0000D60A0000}"/>
    <cellStyle name="Comma [0] 2 2 11 25 2 3" xfId="4545" xr:uid="{00000000-0005-0000-0000-0000D70A0000}"/>
    <cellStyle name="Comma [0] 2 2 11 25 2 3 2" xfId="8416" xr:uid="{00000000-0005-0000-0000-0000D80A0000}"/>
    <cellStyle name="Comma [0] 2 2 11 25 2 3 2 2" xfId="16161" xr:uid="{00000000-0005-0000-0000-0000D90A0000}"/>
    <cellStyle name="Comma [0] 2 2 11 25 2 3 2 2 2" xfId="31753" xr:uid="{00000000-0005-0000-0000-0000DA0A0000}"/>
    <cellStyle name="Comma [0] 2 2 11 25 2 3 2 2 3" xfId="47245" xr:uid="{00000000-0005-0000-0000-0000DB0A0000}"/>
    <cellStyle name="Comma [0] 2 2 11 25 2 3 2 3" xfId="24013" xr:uid="{00000000-0005-0000-0000-0000DC0A0000}"/>
    <cellStyle name="Comma [0] 2 2 11 25 2 3 2 4" xfId="39505" xr:uid="{00000000-0005-0000-0000-0000DD0A0000}"/>
    <cellStyle name="Comma [0] 2 2 11 25 2 3 3" xfId="12291" xr:uid="{00000000-0005-0000-0000-0000DE0A0000}"/>
    <cellStyle name="Comma [0] 2 2 11 25 2 3 3 2" xfId="27883" xr:uid="{00000000-0005-0000-0000-0000DF0A0000}"/>
    <cellStyle name="Comma [0] 2 2 11 25 2 3 3 3" xfId="43375" xr:uid="{00000000-0005-0000-0000-0000E00A0000}"/>
    <cellStyle name="Comma [0] 2 2 11 25 2 3 4" xfId="20143" xr:uid="{00000000-0005-0000-0000-0000E10A0000}"/>
    <cellStyle name="Comma [0] 2 2 11 25 2 3 5" xfId="35635" xr:uid="{00000000-0005-0000-0000-0000E20A0000}"/>
    <cellStyle name="Comma [0] 2 2 11 25 2 4" xfId="6489" xr:uid="{00000000-0005-0000-0000-0000E30A0000}"/>
    <cellStyle name="Comma [0] 2 2 11 25 2 4 2" xfId="14234" xr:uid="{00000000-0005-0000-0000-0000E40A0000}"/>
    <cellStyle name="Comma [0] 2 2 11 25 2 4 2 2" xfId="29826" xr:uid="{00000000-0005-0000-0000-0000E50A0000}"/>
    <cellStyle name="Comma [0] 2 2 11 25 2 4 2 3" xfId="45318" xr:uid="{00000000-0005-0000-0000-0000E60A0000}"/>
    <cellStyle name="Comma [0] 2 2 11 25 2 4 3" xfId="22086" xr:uid="{00000000-0005-0000-0000-0000E70A0000}"/>
    <cellStyle name="Comma [0] 2 2 11 25 2 4 4" xfId="37578" xr:uid="{00000000-0005-0000-0000-0000E80A0000}"/>
    <cellStyle name="Comma [0] 2 2 11 25 2 5" xfId="10364" xr:uid="{00000000-0005-0000-0000-0000E90A0000}"/>
    <cellStyle name="Comma [0] 2 2 11 25 2 5 2" xfId="25956" xr:uid="{00000000-0005-0000-0000-0000EA0A0000}"/>
    <cellStyle name="Comma [0] 2 2 11 25 2 5 3" xfId="41448" xr:uid="{00000000-0005-0000-0000-0000EB0A0000}"/>
    <cellStyle name="Comma [0] 2 2 11 25 2 6" xfId="18216" xr:uid="{00000000-0005-0000-0000-0000EC0A0000}"/>
    <cellStyle name="Comma [0] 2 2 11 25 2 7" xfId="33708" xr:uid="{00000000-0005-0000-0000-0000ED0A0000}"/>
    <cellStyle name="Comma [0] 2 2 11 25 3" xfId="3245" xr:uid="{00000000-0005-0000-0000-0000EE0A0000}"/>
    <cellStyle name="Comma [0] 2 2 11 25 3 2" xfId="5184" xr:uid="{00000000-0005-0000-0000-0000EF0A0000}"/>
    <cellStyle name="Comma [0] 2 2 11 25 3 2 2" xfId="9055" xr:uid="{00000000-0005-0000-0000-0000F00A0000}"/>
    <cellStyle name="Comma [0] 2 2 11 25 3 2 2 2" xfId="16800" xr:uid="{00000000-0005-0000-0000-0000F10A0000}"/>
    <cellStyle name="Comma [0] 2 2 11 25 3 2 2 2 2" xfId="32392" xr:uid="{00000000-0005-0000-0000-0000F20A0000}"/>
    <cellStyle name="Comma [0] 2 2 11 25 3 2 2 2 3" xfId="47884" xr:uid="{00000000-0005-0000-0000-0000F30A0000}"/>
    <cellStyle name="Comma [0] 2 2 11 25 3 2 2 3" xfId="24652" xr:uid="{00000000-0005-0000-0000-0000F40A0000}"/>
    <cellStyle name="Comma [0] 2 2 11 25 3 2 2 4" xfId="40144" xr:uid="{00000000-0005-0000-0000-0000F50A0000}"/>
    <cellStyle name="Comma [0] 2 2 11 25 3 2 3" xfId="12930" xr:uid="{00000000-0005-0000-0000-0000F60A0000}"/>
    <cellStyle name="Comma [0] 2 2 11 25 3 2 3 2" xfId="28522" xr:uid="{00000000-0005-0000-0000-0000F70A0000}"/>
    <cellStyle name="Comma [0] 2 2 11 25 3 2 3 3" xfId="44014" xr:uid="{00000000-0005-0000-0000-0000F80A0000}"/>
    <cellStyle name="Comma [0] 2 2 11 25 3 2 4" xfId="20782" xr:uid="{00000000-0005-0000-0000-0000F90A0000}"/>
    <cellStyle name="Comma [0] 2 2 11 25 3 2 5" xfId="36274" xr:uid="{00000000-0005-0000-0000-0000FA0A0000}"/>
    <cellStyle name="Comma [0] 2 2 11 25 3 3" xfId="7128" xr:uid="{00000000-0005-0000-0000-0000FB0A0000}"/>
    <cellStyle name="Comma [0] 2 2 11 25 3 3 2" xfId="14873" xr:uid="{00000000-0005-0000-0000-0000FC0A0000}"/>
    <cellStyle name="Comma [0] 2 2 11 25 3 3 2 2" xfId="30465" xr:uid="{00000000-0005-0000-0000-0000FD0A0000}"/>
    <cellStyle name="Comma [0] 2 2 11 25 3 3 2 3" xfId="45957" xr:uid="{00000000-0005-0000-0000-0000FE0A0000}"/>
    <cellStyle name="Comma [0] 2 2 11 25 3 3 3" xfId="22725" xr:uid="{00000000-0005-0000-0000-0000FF0A0000}"/>
    <cellStyle name="Comma [0] 2 2 11 25 3 3 4" xfId="38217" xr:uid="{00000000-0005-0000-0000-0000000B0000}"/>
    <cellStyle name="Comma [0] 2 2 11 25 3 4" xfId="11003" xr:uid="{00000000-0005-0000-0000-0000010B0000}"/>
    <cellStyle name="Comma [0] 2 2 11 25 3 4 2" xfId="26595" xr:uid="{00000000-0005-0000-0000-0000020B0000}"/>
    <cellStyle name="Comma [0] 2 2 11 25 3 4 3" xfId="42087" xr:uid="{00000000-0005-0000-0000-0000030B0000}"/>
    <cellStyle name="Comma [0] 2 2 11 25 3 5" xfId="18855" xr:uid="{00000000-0005-0000-0000-0000040B0000}"/>
    <cellStyle name="Comma [0] 2 2 11 25 3 6" xfId="34347" xr:uid="{00000000-0005-0000-0000-0000050B0000}"/>
    <cellStyle name="Comma [0] 2 2 11 25 4" xfId="4236" xr:uid="{00000000-0005-0000-0000-0000060B0000}"/>
    <cellStyle name="Comma [0] 2 2 11 25 4 2" xfId="8107" xr:uid="{00000000-0005-0000-0000-0000070B0000}"/>
    <cellStyle name="Comma [0] 2 2 11 25 4 2 2" xfId="15852" xr:uid="{00000000-0005-0000-0000-0000080B0000}"/>
    <cellStyle name="Comma [0] 2 2 11 25 4 2 2 2" xfId="31444" xr:uid="{00000000-0005-0000-0000-0000090B0000}"/>
    <cellStyle name="Comma [0] 2 2 11 25 4 2 2 3" xfId="46936" xr:uid="{00000000-0005-0000-0000-00000A0B0000}"/>
    <cellStyle name="Comma [0] 2 2 11 25 4 2 3" xfId="23704" xr:uid="{00000000-0005-0000-0000-00000B0B0000}"/>
    <cellStyle name="Comma [0] 2 2 11 25 4 2 4" xfId="39196" xr:uid="{00000000-0005-0000-0000-00000C0B0000}"/>
    <cellStyle name="Comma [0] 2 2 11 25 4 3" xfId="11982" xr:uid="{00000000-0005-0000-0000-00000D0B0000}"/>
    <cellStyle name="Comma [0] 2 2 11 25 4 3 2" xfId="27574" xr:uid="{00000000-0005-0000-0000-00000E0B0000}"/>
    <cellStyle name="Comma [0] 2 2 11 25 4 3 3" xfId="43066" xr:uid="{00000000-0005-0000-0000-00000F0B0000}"/>
    <cellStyle name="Comma [0] 2 2 11 25 4 4" xfId="19834" xr:uid="{00000000-0005-0000-0000-0000100B0000}"/>
    <cellStyle name="Comma [0] 2 2 11 25 4 5" xfId="35326" xr:uid="{00000000-0005-0000-0000-0000110B0000}"/>
    <cellStyle name="Comma [0] 2 2 11 25 5" xfId="6180" xr:uid="{00000000-0005-0000-0000-0000120B0000}"/>
    <cellStyle name="Comma [0] 2 2 11 25 5 2" xfId="13925" xr:uid="{00000000-0005-0000-0000-0000130B0000}"/>
    <cellStyle name="Comma [0] 2 2 11 25 5 2 2" xfId="29517" xr:uid="{00000000-0005-0000-0000-0000140B0000}"/>
    <cellStyle name="Comma [0] 2 2 11 25 5 2 3" xfId="45009" xr:uid="{00000000-0005-0000-0000-0000150B0000}"/>
    <cellStyle name="Comma [0] 2 2 11 25 5 3" xfId="21777" xr:uid="{00000000-0005-0000-0000-0000160B0000}"/>
    <cellStyle name="Comma [0] 2 2 11 25 5 4" xfId="37269" xr:uid="{00000000-0005-0000-0000-0000170B0000}"/>
    <cellStyle name="Comma [0] 2 2 11 25 6" xfId="10055" xr:uid="{00000000-0005-0000-0000-0000180B0000}"/>
    <cellStyle name="Comma [0] 2 2 11 25 6 2" xfId="25647" xr:uid="{00000000-0005-0000-0000-0000190B0000}"/>
    <cellStyle name="Comma [0] 2 2 11 25 6 3" xfId="41139" xr:uid="{00000000-0005-0000-0000-00001A0B0000}"/>
    <cellStyle name="Comma [0] 2 2 11 25 7" xfId="17907" xr:uid="{00000000-0005-0000-0000-00001B0B0000}"/>
    <cellStyle name="Comma [0] 2 2 11 25 8" xfId="33399" xr:uid="{00000000-0005-0000-0000-00001C0B0000}"/>
    <cellStyle name="Comma [0] 2 2 11 26" xfId="2266" xr:uid="{00000000-0005-0000-0000-00001D0B0000}"/>
    <cellStyle name="Comma [0] 2 2 11 26 2" xfId="2582" xr:uid="{00000000-0005-0000-0000-00001E0B0000}"/>
    <cellStyle name="Comma [0] 2 2 11 26 2 2" xfId="3590" xr:uid="{00000000-0005-0000-0000-00001F0B0000}"/>
    <cellStyle name="Comma [0] 2 2 11 26 2 2 2" xfId="5529" xr:uid="{00000000-0005-0000-0000-0000200B0000}"/>
    <cellStyle name="Comma [0] 2 2 11 26 2 2 2 2" xfId="9400" xr:uid="{00000000-0005-0000-0000-0000210B0000}"/>
    <cellStyle name="Comma [0] 2 2 11 26 2 2 2 2 2" xfId="17145" xr:uid="{00000000-0005-0000-0000-0000220B0000}"/>
    <cellStyle name="Comma [0] 2 2 11 26 2 2 2 2 2 2" xfId="32737" xr:uid="{00000000-0005-0000-0000-0000230B0000}"/>
    <cellStyle name="Comma [0] 2 2 11 26 2 2 2 2 2 3" xfId="48229" xr:uid="{00000000-0005-0000-0000-0000240B0000}"/>
    <cellStyle name="Comma [0] 2 2 11 26 2 2 2 2 3" xfId="24997" xr:uid="{00000000-0005-0000-0000-0000250B0000}"/>
    <cellStyle name="Comma [0] 2 2 11 26 2 2 2 2 4" xfId="40489" xr:uid="{00000000-0005-0000-0000-0000260B0000}"/>
    <cellStyle name="Comma [0] 2 2 11 26 2 2 2 3" xfId="13275" xr:uid="{00000000-0005-0000-0000-0000270B0000}"/>
    <cellStyle name="Comma [0] 2 2 11 26 2 2 2 3 2" xfId="28867" xr:uid="{00000000-0005-0000-0000-0000280B0000}"/>
    <cellStyle name="Comma [0] 2 2 11 26 2 2 2 3 3" xfId="44359" xr:uid="{00000000-0005-0000-0000-0000290B0000}"/>
    <cellStyle name="Comma [0] 2 2 11 26 2 2 2 4" xfId="21127" xr:uid="{00000000-0005-0000-0000-00002A0B0000}"/>
    <cellStyle name="Comma [0] 2 2 11 26 2 2 2 5" xfId="36619" xr:uid="{00000000-0005-0000-0000-00002B0B0000}"/>
    <cellStyle name="Comma [0] 2 2 11 26 2 2 3" xfId="7473" xr:uid="{00000000-0005-0000-0000-00002C0B0000}"/>
    <cellStyle name="Comma [0] 2 2 11 26 2 2 3 2" xfId="15218" xr:uid="{00000000-0005-0000-0000-00002D0B0000}"/>
    <cellStyle name="Comma [0] 2 2 11 26 2 2 3 2 2" xfId="30810" xr:uid="{00000000-0005-0000-0000-00002E0B0000}"/>
    <cellStyle name="Comma [0] 2 2 11 26 2 2 3 2 3" xfId="46302" xr:uid="{00000000-0005-0000-0000-00002F0B0000}"/>
    <cellStyle name="Comma [0] 2 2 11 26 2 2 3 3" xfId="23070" xr:uid="{00000000-0005-0000-0000-0000300B0000}"/>
    <cellStyle name="Comma [0] 2 2 11 26 2 2 3 4" xfId="38562" xr:uid="{00000000-0005-0000-0000-0000310B0000}"/>
    <cellStyle name="Comma [0] 2 2 11 26 2 2 4" xfId="11348" xr:uid="{00000000-0005-0000-0000-0000320B0000}"/>
    <cellStyle name="Comma [0] 2 2 11 26 2 2 4 2" xfId="26940" xr:uid="{00000000-0005-0000-0000-0000330B0000}"/>
    <cellStyle name="Comma [0] 2 2 11 26 2 2 4 3" xfId="42432" xr:uid="{00000000-0005-0000-0000-0000340B0000}"/>
    <cellStyle name="Comma [0] 2 2 11 26 2 2 5" xfId="19200" xr:uid="{00000000-0005-0000-0000-0000350B0000}"/>
    <cellStyle name="Comma [0] 2 2 11 26 2 2 6" xfId="34692" xr:uid="{00000000-0005-0000-0000-0000360B0000}"/>
    <cellStyle name="Comma [0] 2 2 11 26 2 3" xfId="4581" xr:uid="{00000000-0005-0000-0000-0000370B0000}"/>
    <cellStyle name="Comma [0] 2 2 11 26 2 3 2" xfId="8452" xr:uid="{00000000-0005-0000-0000-0000380B0000}"/>
    <cellStyle name="Comma [0] 2 2 11 26 2 3 2 2" xfId="16197" xr:uid="{00000000-0005-0000-0000-0000390B0000}"/>
    <cellStyle name="Comma [0] 2 2 11 26 2 3 2 2 2" xfId="31789" xr:uid="{00000000-0005-0000-0000-00003A0B0000}"/>
    <cellStyle name="Comma [0] 2 2 11 26 2 3 2 2 3" xfId="47281" xr:uid="{00000000-0005-0000-0000-00003B0B0000}"/>
    <cellStyle name="Comma [0] 2 2 11 26 2 3 2 3" xfId="24049" xr:uid="{00000000-0005-0000-0000-00003C0B0000}"/>
    <cellStyle name="Comma [0] 2 2 11 26 2 3 2 4" xfId="39541" xr:uid="{00000000-0005-0000-0000-00003D0B0000}"/>
    <cellStyle name="Comma [0] 2 2 11 26 2 3 3" xfId="12327" xr:uid="{00000000-0005-0000-0000-00003E0B0000}"/>
    <cellStyle name="Comma [0] 2 2 11 26 2 3 3 2" xfId="27919" xr:uid="{00000000-0005-0000-0000-00003F0B0000}"/>
    <cellStyle name="Comma [0] 2 2 11 26 2 3 3 3" xfId="43411" xr:uid="{00000000-0005-0000-0000-0000400B0000}"/>
    <cellStyle name="Comma [0] 2 2 11 26 2 3 4" xfId="20179" xr:uid="{00000000-0005-0000-0000-0000410B0000}"/>
    <cellStyle name="Comma [0] 2 2 11 26 2 3 5" xfId="35671" xr:uid="{00000000-0005-0000-0000-0000420B0000}"/>
    <cellStyle name="Comma [0] 2 2 11 26 2 4" xfId="6525" xr:uid="{00000000-0005-0000-0000-0000430B0000}"/>
    <cellStyle name="Comma [0] 2 2 11 26 2 4 2" xfId="14270" xr:uid="{00000000-0005-0000-0000-0000440B0000}"/>
    <cellStyle name="Comma [0] 2 2 11 26 2 4 2 2" xfId="29862" xr:uid="{00000000-0005-0000-0000-0000450B0000}"/>
    <cellStyle name="Comma [0] 2 2 11 26 2 4 2 3" xfId="45354" xr:uid="{00000000-0005-0000-0000-0000460B0000}"/>
    <cellStyle name="Comma [0] 2 2 11 26 2 4 3" xfId="22122" xr:uid="{00000000-0005-0000-0000-0000470B0000}"/>
    <cellStyle name="Comma [0] 2 2 11 26 2 4 4" xfId="37614" xr:uid="{00000000-0005-0000-0000-0000480B0000}"/>
    <cellStyle name="Comma [0] 2 2 11 26 2 5" xfId="10400" xr:uid="{00000000-0005-0000-0000-0000490B0000}"/>
    <cellStyle name="Comma [0] 2 2 11 26 2 5 2" xfId="25992" xr:uid="{00000000-0005-0000-0000-00004A0B0000}"/>
    <cellStyle name="Comma [0] 2 2 11 26 2 5 3" xfId="41484" xr:uid="{00000000-0005-0000-0000-00004B0B0000}"/>
    <cellStyle name="Comma [0] 2 2 11 26 2 6" xfId="18252" xr:uid="{00000000-0005-0000-0000-00004C0B0000}"/>
    <cellStyle name="Comma [0] 2 2 11 26 2 7" xfId="33744" xr:uid="{00000000-0005-0000-0000-00004D0B0000}"/>
    <cellStyle name="Comma [0] 2 2 11 26 3" xfId="3281" xr:uid="{00000000-0005-0000-0000-00004E0B0000}"/>
    <cellStyle name="Comma [0] 2 2 11 26 3 2" xfId="5220" xr:uid="{00000000-0005-0000-0000-00004F0B0000}"/>
    <cellStyle name="Comma [0] 2 2 11 26 3 2 2" xfId="9091" xr:uid="{00000000-0005-0000-0000-0000500B0000}"/>
    <cellStyle name="Comma [0] 2 2 11 26 3 2 2 2" xfId="16836" xr:uid="{00000000-0005-0000-0000-0000510B0000}"/>
    <cellStyle name="Comma [0] 2 2 11 26 3 2 2 2 2" xfId="32428" xr:uid="{00000000-0005-0000-0000-0000520B0000}"/>
    <cellStyle name="Comma [0] 2 2 11 26 3 2 2 2 3" xfId="47920" xr:uid="{00000000-0005-0000-0000-0000530B0000}"/>
    <cellStyle name="Comma [0] 2 2 11 26 3 2 2 3" xfId="24688" xr:uid="{00000000-0005-0000-0000-0000540B0000}"/>
    <cellStyle name="Comma [0] 2 2 11 26 3 2 2 4" xfId="40180" xr:uid="{00000000-0005-0000-0000-0000550B0000}"/>
    <cellStyle name="Comma [0] 2 2 11 26 3 2 3" xfId="12966" xr:uid="{00000000-0005-0000-0000-0000560B0000}"/>
    <cellStyle name="Comma [0] 2 2 11 26 3 2 3 2" xfId="28558" xr:uid="{00000000-0005-0000-0000-0000570B0000}"/>
    <cellStyle name="Comma [0] 2 2 11 26 3 2 3 3" xfId="44050" xr:uid="{00000000-0005-0000-0000-0000580B0000}"/>
    <cellStyle name="Comma [0] 2 2 11 26 3 2 4" xfId="20818" xr:uid="{00000000-0005-0000-0000-0000590B0000}"/>
    <cellStyle name="Comma [0] 2 2 11 26 3 2 5" xfId="36310" xr:uid="{00000000-0005-0000-0000-00005A0B0000}"/>
    <cellStyle name="Comma [0] 2 2 11 26 3 3" xfId="7164" xr:uid="{00000000-0005-0000-0000-00005B0B0000}"/>
    <cellStyle name="Comma [0] 2 2 11 26 3 3 2" xfId="14909" xr:uid="{00000000-0005-0000-0000-00005C0B0000}"/>
    <cellStyle name="Comma [0] 2 2 11 26 3 3 2 2" xfId="30501" xr:uid="{00000000-0005-0000-0000-00005D0B0000}"/>
    <cellStyle name="Comma [0] 2 2 11 26 3 3 2 3" xfId="45993" xr:uid="{00000000-0005-0000-0000-00005E0B0000}"/>
    <cellStyle name="Comma [0] 2 2 11 26 3 3 3" xfId="22761" xr:uid="{00000000-0005-0000-0000-00005F0B0000}"/>
    <cellStyle name="Comma [0] 2 2 11 26 3 3 4" xfId="38253" xr:uid="{00000000-0005-0000-0000-0000600B0000}"/>
    <cellStyle name="Comma [0] 2 2 11 26 3 4" xfId="11039" xr:uid="{00000000-0005-0000-0000-0000610B0000}"/>
    <cellStyle name="Comma [0] 2 2 11 26 3 4 2" xfId="26631" xr:uid="{00000000-0005-0000-0000-0000620B0000}"/>
    <cellStyle name="Comma [0] 2 2 11 26 3 4 3" xfId="42123" xr:uid="{00000000-0005-0000-0000-0000630B0000}"/>
    <cellStyle name="Comma [0] 2 2 11 26 3 5" xfId="18891" xr:uid="{00000000-0005-0000-0000-0000640B0000}"/>
    <cellStyle name="Comma [0] 2 2 11 26 3 6" xfId="34383" xr:uid="{00000000-0005-0000-0000-0000650B0000}"/>
    <cellStyle name="Comma [0] 2 2 11 26 4" xfId="4272" xr:uid="{00000000-0005-0000-0000-0000660B0000}"/>
    <cellStyle name="Comma [0] 2 2 11 26 4 2" xfId="8143" xr:uid="{00000000-0005-0000-0000-0000670B0000}"/>
    <cellStyle name="Comma [0] 2 2 11 26 4 2 2" xfId="15888" xr:uid="{00000000-0005-0000-0000-0000680B0000}"/>
    <cellStyle name="Comma [0] 2 2 11 26 4 2 2 2" xfId="31480" xr:uid="{00000000-0005-0000-0000-0000690B0000}"/>
    <cellStyle name="Comma [0] 2 2 11 26 4 2 2 3" xfId="46972" xr:uid="{00000000-0005-0000-0000-00006A0B0000}"/>
    <cellStyle name="Comma [0] 2 2 11 26 4 2 3" xfId="23740" xr:uid="{00000000-0005-0000-0000-00006B0B0000}"/>
    <cellStyle name="Comma [0] 2 2 11 26 4 2 4" xfId="39232" xr:uid="{00000000-0005-0000-0000-00006C0B0000}"/>
    <cellStyle name="Comma [0] 2 2 11 26 4 3" xfId="12018" xr:uid="{00000000-0005-0000-0000-00006D0B0000}"/>
    <cellStyle name="Comma [0] 2 2 11 26 4 3 2" xfId="27610" xr:uid="{00000000-0005-0000-0000-00006E0B0000}"/>
    <cellStyle name="Comma [0] 2 2 11 26 4 3 3" xfId="43102" xr:uid="{00000000-0005-0000-0000-00006F0B0000}"/>
    <cellStyle name="Comma [0] 2 2 11 26 4 4" xfId="19870" xr:uid="{00000000-0005-0000-0000-0000700B0000}"/>
    <cellStyle name="Comma [0] 2 2 11 26 4 5" xfId="35362" xr:uid="{00000000-0005-0000-0000-0000710B0000}"/>
    <cellStyle name="Comma [0] 2 2 11 26 5" xfId="6216" xr:uid="{00000000-0005-0000-0000-0000720B0000}"/>
    <cellStyle name="Comma [0] 2 2 11 26 5 2" xfId="13961" xr:uid="{00000000-0005-0000-0000-0000730B0000}"/>
    <cellStyle name="Comma [0] 2 2 11 26 5 2 2" xfId="29553" xr:uid="{00000000-0005-0000-0000-0000740B0000}"/>
    <cellStyle name="Comma [0] 2 2 11 26 5 2 3" xfId="45045" xr:uid="{00000000-0005-0000-0000-0000750B0000}"/>
    <cellStyle name="Comma [0] 2 2 11 26 5 3" xfId="21813" xr:uid="{00000000-0005-0000-0000-0000760B0000}"/>
    <cellStyle name="Comma [0] 2 2 11 26 5 4" xfId="37305" xr:uid="{00000000-0005-0000-0000-0000770B0000}"/>
    <cellStyle name="Comma [0] 2 2 11 26 6" xfId="10091" xr:uid="{00000000-0005-0000-0000-0000780B0000}"/>
    <cellStyle name="Comma [0] 2 2 11 26 6 2" xfId="25683" xr:uid="{00000000-0005-0000-0000-0000790B0000}"/>
    <cellStyle name="Comma [0] 2 2 11 26 6 3" xfId="41175" xr:uid="{00000000-0005-0000-0000-00007A0B0000}"/>
    <cellStyle name="Comma [0] 2 2 11 26 7" xfId="17943" xr:uid="{00000000-0005-0000-0000-00007B0B0000}"/>
    <cellStyle name="Comma [0] 2 2 11 26 8" xfId="33435" xr:uid="{00000000-0005-0000-0000-00007C0B0000}"/>
    <cellStyle name="Comma [0] 2 2 11 27" xfId="2303" xr:uid="{00000000-0005-0000-0000-00007D0B0000}"/>
    <cellStyle name="Comma [0] 2 2 11 27 2" xfId="2618" xr:uid="{00000000-0005-0000-0000-00007E0B0000}"/>
    <cellStyle name="Comma [0] 2 2 11 27 2 2" xfId="3626" xr:uid="{00000000-0005-0000-0000-00007F0B0000}"/>
    <cellStyle name="Comma [0] 2 2 11 27 2 2 2" xfId="5565" xr:uid="{00000000-0005-0000-0000-0000800B0000}"/>
    <cellStyle name="Comma [0] 2 2 11 27 2 2 2 2" xfId="9436" xr:uid="{00000000-0005-0000-0000-0000810B0000}"/>
    <cellStyle name="Comma [0] 2 2 11 27 2 2 2 2 2" xfId="17181" xr:uid="{00000000-0005-0000-0000-0000820B0000}"/>
    <cellStyle name="Comma [0] 2 2 11 27 2 2 2 2 2 2" xfId="32773" xr:uid="{00000000-0005-0000-0000-0000830B0000}"/>
    <cellStyle name="Comma [0] 2 2 11 27 2 2 2 2 2 3" xfId="48265" xr:uid="{00000000-0005-0000-0000-0000840B0000}"/>
    <cellStyle name="Comma [0] 2 2 11 27 2 2 2 2 3" xfId="25033" xr:uid="{00000000-0005-0000-0000-0000850B0000}"/>
    <cellStyle name="Comma [0] 2 2 11 27 2 2 2 2 4" xfId="40525" xr:uid="{00000000-0005-0000-0000-0000860B0000}"/>
    <cellStyle name="Comma [0] 2 2 11 27 2 2 2 3" xfId="13311" xr:uid="{00000000-0005-0000-0000-0000870B0000}"/>
    <cellStyle name="Comma [0] 2 2 11 27 2 2 2 3 2" xfId="28903" xr:uid="{00000000-0005-0000-0000-0000880B0000}"/>
    <cellStyle name="Comma [0] 2 2 11 27 2 2 2 3 3" xfId="44395" xr:uid="{00000000-0005-0000-0000-0000890B0000}"/>
    <cellStyle name="Comma [0] 2 2 11 27 2 2 2 4" xfId="21163" xr:uid="{00000000-0005-0000-0000-00008A0B0000}"/>
    <cellStyle name="Comma [0] 2 2 11 27 2 2 2 5" xfId="36655" xr:uid="{00000000-0005-0000-0000-00008B0B0000}"/>
    <cellStyle name="Comma [0] 2 2 11 27 2 2 3" xfId="7509" xr:uid="{00000000-0005-0000-0000-00008C0B0000}"/>
    <cellStyle name="Comma [0] 2 2 11 27 2 2 3 2" xfId="15254" xr:uid="{00000000-0005-0000-0000-00008D0B0000}"/>
    <cellStyle name="Comma [0] 2 2 11 27 2 2 3 2 2" xfId="30846" xr:uid="{00000000-0005-0000-0000-00008E0B0000}"/>
    <cellStyle name="Comma [0] 2 2 11 27 2 2 3 2 3" xfId="46338" xr:uid="{00000000-0005-0000-0000-00008F0B0000}"/>
    <cellStyle name="Comma [0] 2 2 11 27 2 2 3 3" xfId="23106" xr:uid="{00000000-0005-0000-0000-0000900B0000}"/>
    <cellStyle name="Comma [0] 2 2 11 27 2 2 3 4" xfId="38598" xr:uid="{00000000-0005-0000-0000-0000910B0000}"/>
    <cellStyle name="Comma [0] 2 2 11 27 2 2 4" xfId="11384" xr:uid="{00000000-0005-0000-0000-0000920B0000}"/>
    <cellStyle name="Comma [0] 2 2 11 27 2 2 4 2" xfId="26976" xr:uid="{00000000-0005-0000-0000-0000930B0000}"/>
    <cellStyle name="Comma [0] 2 2 11 27 2 2 4 3" xfId="42468" xr:uid="{00000000-0005-0000-0000-0000940B0000}"/>
    <cellStyle name="Comma [0] 2 2 11 27 2 2 5" xfId="19236" xr:uid="{00000000-0005-0000-0000-0000950B0000}"/>
    <cellStyle name="Comma [0] 2 2 11 27 2 2 6" xfId="34728" xr:uid="{00000000-0005-0000-0000-0000960B0000}"/>
    <cellStyle name="Comma [0] 2 2 11 27 2 3" xfId="4617" xr:uid="{00000000-0005-0000-0000-0000970B0000}"/>
    <cellStyle name="Comma [0] 2 2 11 27 2 3 2" xfId="8488" xr:uid="{00000000-0005-0000-0000-0000980B0000}"/>
    <cellStyle name="Comma [0] 2 2 11 27 2 3 2 2" xfId="16233" xr:uid="{00000000-0005-0000-0000-0000990B0000}"/>
    <cellStyle name="Comma [0] 2 2 11 27 2 3 2 2 2" xfId="31825" xr:uid="{00000000-0005-0000-0000-00009A0B0000}"/>
    <cellStyle name="Comma [0] 2 2 11 27 2 3 2 2 3" xfId="47317" xr:uid="{00000000-0005-0000-0000-00009B0B0000}"/>
    <cellStyle name="Comma [0] 2 2 11 27 2 3 2 3" xfId="24085" xr:uid="{00000000-0005-0000-0000-00009C0B0000}"/>
    <cellStyle name="Comma [0] 2 2 11 27 2 3 2 4" xfId="39577" xr:uid="{00000000-0005-0000-0000-00009D0B0000}"/>
    <cellStyle name="Comma [0] 2 2 11 27 2 3 3" xfId="12363" xr:uid="{00000000-0005-0000-0000-00009E0B0000}"/>
    <cellStyle name="Comma [0] 2 2 11 27 2 3 3 2" xfId="27955" xr:uid="{00000000-0005-0000-0000-00009F0B0000}"/>
    <cellStyle name="Comma [0] 2 2 11 27 2 3 3 3" xfId="43447" xr:uid="{00000000-0005-0000-0000-0000A00B0000}"/>
    <cellStyle name="Comma [0] 2 2 11 27 2 3 4" xfId="20215" xr:uid="{00000000-0005-0000-0000-0000A10B0000}"/>
    <cellStyle name="Comma [0] 2 2 11 27 2 3 5" xfId="35707" xr:uid="{00000000-0005-0000-0000-0000A20B0000}"/>
    <cellStyle name="Comma [0] 2 2 11 27 2 4" xfId="6561" xr:uid="{00000000-0005-0000-0000-0000A30B0000}"/>
    <cellStyle name="Comma [0] 2 2 11 27 2 4 2" xfId="14306" xr:uid="{00000000-0005-0000-0000-0000A40B0000}"/>
    <cellStyle name="Comma [0] 2 2 11 27 2 4 2 2" xfId="29898" xr:uid="{00000000-0005-0000-0000-0000A50B0000}"/>
    <cellStyle name="Comma [0] 2 2 11 27 2 4 2 3" xfId="45390" xr:uid="{00000000-0005-0000-0000-0000A60B0000}"/>
    <cellStyle name="Comma [0] 2 2 11 27 2 4 3" xfId="22158" xr:uid="{00000000-0005-0000-0000-0000A70B0000}"/>
    <cellStyle name="Comma [0] 2 2 11 27 2 4 4" xfId="37650" xr:uid="{00000000-0005-0000-0000-0000A80B0000}"/>
    <cellStyle name="Comma [0] 2 2 11 27 2 5" xfId="10436" xr:uid="{00000000-0005-0000-0000-0000A90B0000}"/>
    <cellStyle name="Comma [0] 2 2 11 27 2 5 2" xfId="26028" xr:uid="{00000000-0005-0000-0000-0000AA0B0000}"/>
    <cellStyle name="Comma [0] 2 2 11 27 2 5 3" xfId="41520" xr:uid="{00000000-0005-0000-0000-0000AB0B0000}"/>
    <cellStyle name="Comma [0] 2 2 11 27 2 6" xfId="18288" xr:uid="{00000000-0005-0000-0000-0000AC0B0000}"/>
    <cellStyle name="Comma [0] 2 2 11 27 2 7" xfId="33780" xr:uid="{00000000-0005-0000-0000-0000AD0B0000}"/>
    <cellStyle name="Comma [0] 2 2 11 27 3" xfId="3317" xr:uid="{00000000-0005-0000-0000-0000AE0B0000}"/>
    <cellStyle name="Comma [0] 2 2 11 27 3 2" xfId="5256" xr:uid="{00000000-0005-0000-0000-0000AF0B0000}"/>
    <cellStyle name="Comma [0] 2 2 11 27 3 2 2" xfId="9127" xr:uid="{00000000-0005-0000-0000-0000B00B0000}"/>
    <cellStyle name="Comma [0] 2 2 11 27 3 2 2 2" xfId="16872" xr:uid="{00000000-0005-0000-0000-0000B10B0000}"/>
    <cellStyle name="Comma [0] 2 2 11 27 3 2 2 2 2" xfId="32464" xr:uid="{00000000-0005-0000-0000-0000B20B0000}"/>
    <cellStyle name="Comma [0] 2 2 11 27 3 2 2 2 3" xfId="47956" xr:uid="{00000000-0005-0000-0000-0000B30B0000}"/>
    <cellStyle name="Comma [0] 2 2 11 27 3 2 2 3" xfId="24724" xr:uid="{00000000-0005-0000-0000-0000B40B0000}"/>
    <cellStyle name="Comma [0] 2 2 11 27 3 2 2 4" xfId="40216" xr:uid="{00000000-0005-0000-0000-0000B50B0000}"/>
    <cellStyle name="Comma [0] 2 2 11 27 3 2 3" xfId="13002" xr:uid="{00000000-0005-0000-0000-0000B60B0000}"/>
    <cellStyle name="Comma [0] 2 2 11 27 3 2 3 2" xfId="28594" xr:uid="{00000000-0005-0000-0000-0000B70B0000}"/>
    <cellStyle name="Comma [0] 2 2 11 27 3 2 3 3" xfId="44086" xr:uid="{00000000-0005-0000-0000-0000B80B0000}"/>
    <cellStyle name="Comma [0] 2 2 11 27 3 2 4" xfId="20854" xr:uid="{00000000-0005-0000-0000-0000B90B0000}"/>
    <cellStyle name="Comma [0] 2 2 11 27 3 2 5" xfId="36346" xr:uid="{00000000-0005-0000-0000-0000BA0B0000}"/>
    <cellStyle name="Comma [0] 2 2 11 27 3 3" xfId="7200" xr:uid="{00000000-0005-0000-0000-0000BB0B0000}"/>
    <cellStyle name="Comma [0] 2 2 11 27 3 3 2" xfId="14945" xr:uid="{00000000-0005-0000-0000-0000BC0B0000}"/>
    <cellStyle name="Comma [0] 2 2 11 27 3 3 2 2" xfId="30537" xr:uid="{00000000-0005-0000-0000-0000BD0B0000}"/>
    <cellStyle name="Comma [0] 2 2 11 27 3 3 2 3" xfId="46029" xr:uid="{00000000-0005-0000-0000-0000BE0B0000}"/>
    <cellStyle name="Comma [0] 2 2 11 27 3 3 3" xfId="22797" xr:uid="{00000000-0005-0000-0000-0000BF0B0000}"/>
    <cellStyle name="Comma [0] 2 2 11 27 3 3 4" xfId="38289" xr:uid="{00000000-0005-0000-0000-0000C00B0000}"/>
    <cellStyle name="Comma [0] 2 2 11 27 3 4" xfId="11075" xr:uid="{00000000-0005-0000-0000-0000C10B0000}"/>
    <cellStyle name="Comma [0] 2 2 11 27 3 4 2" xfId="26667" xr:uid="{00000000-0005-0000-0000-0000C20B0000}"/>
    <cellStyle name="Comma [0] 2 2 11 27 3 4 3" xfId="42159" xr:uid="{00000000-0005-0000-0000-0000C30B0000}"/>
    <cellStyle name="Comma [0] 2 2 11 27 3 5" xfId="18927" xr:uid="{00000000-0005-0000-0000-0000C40B0000}"/>
    <cellStyle name="Comma [0] 2 2 11 27 3 6" xfId="34419" xr:uid="{00000000-0005-0000-0000-0000C50B0000}"/>
    <cellStyle name="Comma [0] 2 2 11 27 4" xfId="4308" xr:uid="{00000000-0005-0000-0000-0000C60B0000}"/>
    <cellStyle name="Comma [0] 2 2 11 27 4 2" xfId="8179" xr:uid="{00000000-0005-0000-0000-0000C70B0000}"/>
    <cellStyle name="Comma [0] 2 2 11 27 4 2 2" xfId="15924" xr:uid="{00000000-0005-0000-0000-0000C80B0000}"/>
    <cellStyle name="Comma [0] 2 2 11 27 4 2 2 2" xfId="31516" xr:uid="{00000000-0005-0000-0000-0000C90B0000}"/>
    <cellStyle name="Comma [0] 2 2 11 27 4 2 2 3" xfId="47008" xr:uid="{00000000-0005-0000-0000-0000CA0B0000}"/>
    <cellStyle name="Comma [0] 2 2 11 27 4 2 3" xfId="23776" xr:uid="{00000000-0005-0000-0000-0000CB0B0000}"/>
    <cellStyle name="Comma [0] 2 2 11 27 4 2 4" xfId="39268" xr:uid="{00000000-0005-0000-0000-0000CC0B0000}"/>
    <cellStyle name="Comma [0] 2 2 11 27 4 3" xfId="12054" xr:uid="{00000000-0005-0000-0000-0000CD0B0000}"/>
    <cellStyle name="Comma [0] 2 2 11 27 4 3 2" xfId="27646" xr:uid="{00000000-0005-0000-0000-0000CE0B0000}"/>
    <cellStyle name="Comma [0] 2 2 11 27 4 3 3" xfId="43138" xr:uid="{00000000-0005-0000-0000-0000CF0B0000}"/>
    <cellStyle name="Comma [0] 2 2 11 27 4 4" xfId="19906" xr:uid="{00000000-0005-0000-0000-0000D00B0000}"/>
    <cellStyle name="Comma [0] 2 2 11 27 4 5" xfId="35398" xr:uid="{00000000-0005-0000-0000-0000D10B0000}"/>
    <cellStyle name="Comma [0] 2 2 11 27 5" xfId="6252" xr:uid="{00000000-0005-0000-0000-0000D20B0000}"/>
    <cellStyle name="Comma [0] 2 2 11 27 5 2" xfId="13997" xr:uid="{00000000-0005-0000-0000-0000D30B0000}"/>
    <cellStyle name="Comma [0] 2 2 11 27 5 2 2" xfId="29589" xr:uid="{00000000-0005-0000-0000-0000D40B0000}"/>
    <cellStyle name="Comma [0] 2 2 11 27 5 2 3" xfId="45081" xr:uid="{00000000-0005-0000-0000-0000D50B0000}"/>
    <cellStyle name="Comma [0] 2 2 11 27 5 3" xfId="21849" xr:uid="{00000000-0005-0000-0000-0000D60B0000}"/>
    <cellStyle name="Comma [0] 2 2 11 27 5 4" xfId="37341" xr:uid="{00000000-0005-0000-0000-0000D70B0000}"/>
    <cellStyle name="Comma [0] 2 2 11 27 6" xfId="10127" xr:uid="{00000000-0005-0000-0000-0000D80B0000}"/>
    <cellStyle name="Comma [0] 2 2 11 27 6 2" xfId="25719" xr:uid="{00000000-0005-0000-0000-0000D90B0000}"/>
    <cellStyle name="Comma [0] 2 2 11 27 6 3" xfId="41211" xr:uid="{00000000-0005-0000-0000-0000DA0B0000}"/>
    <cellStyle name="Comma [0] 2 2 11 27 7" xfId="17979" xr:uid="{00000000-0005-0000-0000-0000DB0B0000}"/>
    <cellStyle name="Comma [0] 2 2 11 27 8" xfId="33471" xr:uid="{00000000-0005-0000-0000-0000DC0B0000}"/>
    <cellStyle name="Comma [0] 2 2 11 28" xfId="2341" xr:uid="{00000000-0005-0000-0000-0000DD0B0000}"/>
    <cellStyle name="Comma [0] 2 2 11 28 2" xfId="2654" xr:uid="{00000000-0005-0000-0000-0000DE0B0000}"/>
    <cellStyle name="Comma [0] 2 2 11 28 2 2" xfId="3662" xr:uid="{00000000-0005-0000-0000-0000DF0B0000}"/>
    <cellStyle name="Comma [0] 2 2 11 28 2 2 2" xfId="5601" xr:uid="{00000000-0005-0000-0000-0000E00B0000}"/>
    <cellStyle name="Comma [0] 2 2 11 28 2 2 2 2" xfId="9472" xr:uid="{00000000-0005-0000-0000-0000E10B0000}"/>
    <cellStyle name="Comma [0] 2 2 11 28 2 2 2 2 2" xfId="17217" xr:uid="{00000000-0005-0000-0000-0000E20B0000}"/>
    <cellStyle name="Comma [0] 2 2 11 28 2 2 2 2 2 2" xfId="32809" xr:uid="{00000000-0005-0000-0000-0000E30B0000}"/>
    <cellStyle name="Comma [0] 2 2 11 28 2 2 2 2 2 3" xfId="48301" xr:uid="{00000000-0005-0000-0000-0000E40B0000}"/>
    <cellStyle name="Comma [0] 2 2 11 28 2 2 2 2 3" xfId="25069" xr:uid="{00000000-0005-0000-0000-0000E50B0000}"/>
    <cellStyle name="Comma [0] 2 2 11 28 2 2 2 2 4" xfId="40561" xr:uid="{00000000-0005-0000-0000-0000E60B0000}"/>
    <cellStyle name="Comma [0] 2 2 11 28 2 2 2 3" xfId="13347" xr:uid="{00000000-0005-0000-0000-0000E70B0000}"/>
    <cellStyle name="Comma [0] 2 2 11 28 2 2 2 3 2" xfId="28939" xr:uid="{00000000-0005-0000-0000-0000E80B0000}"/>
    <cellStyle name="Comma [0] 2 2 11 28 2 2 2 3 3" xfId="44431" xr:uid="{00000000-0005-0000-0000-0000E90B0000}"/>
    <cellStyle name="Comma [0] 2 2 11 28 2 2 2 4" xfId="21199" xr:uid="{00000000-0005-0000-0000-0000EA0B0000}"/>
    <cellStyle name="Comma [0] 2 2 11 28 2 2 2 5" xfId="36691" xr:uid="{00000000-0005-0000-0000-0000EB0B0000}"/>
    <cellStyle name="Comma [0] 2 2 11 28 2 2 3" xfId="7545" xr:uid="{00000000-0005-0000-0000-0000EC0B0000}"/>
    <cellStyle name="Comma [0] 2 2 11 28 2 2 3 2" xfId="15290" xr:uid="{00000000-0005-0000-0000-0000ED0B0000}"/>
    <cellStyle name="Comma [0] 2 2 11 28 2 2 3 2 2" xfId="30882" xr:uid="{00000000-0005-0000-0000-0000EE0B0000}"/>
    <cellStyle name="Comma [0] 2 2 11 28 2 2 3 2 3" xfId="46374" xr:uid="{00000000-0005-0000-0000-0000EF0B0000}"/>
    <cellStyle name="Comma [0] 2 2 11 28 2 2 3 3" xfId="23142" xr:uid="{00000000-0005-0000-0000-0000F00B0000}"/>
    <cellStyle name="Comma [0] 2 2 11 28 2 2 3 4" xfId="38634" xr:uid="{00000000-0005-0000-0000-0000F10B0000}"/>
    <cellStyle name="Comma [0] 2 2 11 28 2 2 4" xfId="11420" xr:uid="{00000000-0005-0000-0000-0000F20B0000}"/>
    <cellStyle name="Comma [0] 2 2 11 28 2 2 4 2" xfId="27012" xr:uid="{00000000-0005-0000-0000-0000F30B0000}"/>
    <cellStyle name="Comma [0] 2 2 11 28 2 2 4 3" xfId="42504" xr:uid="{00000000-0005-0000-0000-0000F40B0000}"/>
    <cellStyle name="Comma [0] 2 2 11 28 2 2 5" xfId="19272" xr:uid="{00000000-0005-0000-0000-0000F50B0000}"/>
    <cellStyle name="Comma [0] 2 2 11 28 2 2 6" xfId="34764" xr:uid="{00000000-0005-0000-0000-0000F60B0000}"/>
    <cellStyle name="Comma [0] 2 2 11 28 2 3" xfId="4653" xr:uid="{00000000-0005-0000-0000-0000F70B0000}"/>
    <cellStyle name="Comma [0] 2 2 11 28 2 3 2" xfId="8524" xr:uid="{00000000-0005-0000-0000-0000F80B0000}"/>
    <cellStyle name="Comma [0] 2 2 11 28 2 3 2 2" xfId="16269" xr:uid="{00000000-0005-0000-0000-0000F90B0000}"/>
    <cellStyle name="Comma [0] 2 2 11 28 2 3 2 2 2" xfId="31861" xr:uid="{00000000-0005-0000-0000-0000FA0B0000}"/>
    <cellStyle name="Comma [0] 2 2 11 28 2 3 2 2 3" xfId="47353" xr:uid="{00000000-0005-0000-0000-0000FB0B0000}"/>
    <cellStyle name="Comma [0] 2 2 11 28 2 3 2 3" xfId="24121" xr:uid="{00000000-0005-0000-0000-0000FC0B0000}"/>
    <cellStyle name="Comma [0] 2 2 11 28 2 3 2 4" xfId="39613" xr:uid="{00000000-0005-0000-0000-0000FD0B0000}"/>
    <cellStyle name="Comma [0] 2 2 11 28 2 3 3" xfId="12399" xr:uid="{00000000-0005-0000-0000-0000FE0B0000}"/>
    <cellStyle name="Comma [0] 2 2 11 28 2 3 3 2" xfId="27991" xr:uid="{00000000-0005-0000-0000-0000FF0B0000}"/>
    <cellStyle name="Comma [0] 2 2 11 28 2 3 3 3" xfId="43483" xr:uid="{00000000-0005-0000-0000-0000000C0000}"/>
    <cellStyle name="Comma [0] 2 2 11 28 2 3 4" xfId="20251" xr:uid="{00000000-0005-0000-0000-0000010C0000}"/>
    <cellStyle name="Comma [0] 2 2 11 28 2 3 5" xfId="35743" xr:uid="{00000000-0005-0000-0000-0000020C0000}"/>
    <cellStyle name="Comma [0] 2 2 11 28 2 4" xfId="6597" xr:uid="{00000000-0005-0000-0000-0000030C0000}"/>
    <cellStyle name="Comma [0] 2 2 11 28 2 4 2" xfId="14342" xr:uid="{00000000-0005-0000-0000-0000040C0000}"/>
    <cellStyle name="Comma [0] 2 2 11 28 2 4 2 2" xfId="29934" xr:uid="{00000000-0005-0000-0000-0000050C0000}"/>
    <cellStyle name="Comma [0] 2 2 11 28 2 4 2 3" xfId="45426" xr:uid="{00000000-0005-0000-0000-0000060C0000}"/>
    <cellStyle name="Comma [0] 2 2 11 28 2 4 3" xfId="22194" xr:uid="{00000000-0005-0000-0000-0000070C0000}"/>
    <cellStyle name="Comma [0] 2 2 11 28 2 4 4" xfId="37686" xr:uid="{00000000-0005-0000-0000-0000080C0000}"/>
    <cellStyle name="Comma [0] 2 2 11 28 2 5" xfId="10472" xr:uid="{00000000-0005-0000-0000-0000090C0000}"/>
    <cellStyle name="Comma [0] 2 2 11 28 2 5 2" xfId="26064" xr:uid="{00000000-0005-0000-0000-00000A0C0000}"/>
    <cellStyle name="Comma [0] 2 2 11 28 2 5 3" xfId="41556" xr:uid="{00000000-0005-0000-0000-00000B0C0000}"/>
    <cellStyle name="Comma [0] 2 2 11 28 2 6" xfId="18324" xr:uid="{00000000-0005-0000-0000-00000C0C0000}"/>
    <cellStyle name="Comma [0] 2 2 11 28 2 7" xfId="33816" xr:uid="{00000000-0005-0000-0000-00000D0C0000}"/>
    <cellStyle name="Comma [0] 2 2 11 28 3" xfId="3353" xr:uid="{00000000-0005-0000-0000-00000E0C0000}"/>
    <cellStyle name="Comma [0] 2 2 11 28 3 2" xfId="5292" xr:uid="{00000000-0005-0000-0000-00000F0C0000}"/>
    <cellStyle name="Comma [0] 2 2 11 28 3 2 2" xfId="9163" xr:uid="{00000000-0005-0000-0000-0000100C0000}"/>
    <cellStyle name="Comma [0] 2 2 11 28 3 2 2 2" xfId="16908" xr:uid="{00000000-0005-0000-0000-0000110C0000}"/>
    <cellStyle name="Comma [0] 2 2 11 28 3 2 2 2 2" xfId="32500" xr:uid="{00000000-0005-0000-0000-0000120C0000}"/>
    <cellStyle name="Comma [0] 2 2 11 28 3 2 2 2 3" xfId="47992" xr:uid="{00000000-0005-0000-0000-0000130C0000}"/>
    <cellStyle name="Comma [0] 2 2 11 28 3 2 2 3" xfId="24760" xr:uid="{00000000-0005-0000-0000-0000140C0000}"/>
    <cellStyle name="Comma [0] 2 2 11 28 3 2 2 4" xfId="40252" xr:uid="{00000000-0005-0000-0000-0000150C0000}"/>
    <cellStyle name="Comma [0] 2 2 11 28 3 2 3" xfId="13038" xr:uid="{00000000-0005-0000-0000-0000160C0000}"/>
    <cellStyle name="Comma [0] 2 2 11 28 3 2 3 2" xfId="28630" xr:uid="{00000000-0005-0000-0000-0000170C0000}"/>
    <cellStyle name="Comma [0] 2 2 11 28 3 2 3 3" xfId="44122" xr:uid="{00000000-0005-0000-0000-0000180C0000}"/>
    <cellStyle name="Comma [0] 2 2 11 28 3 2 4" xfId="20890" xr:uid="{00000000-0005-0000-0000-0000190C0000}"/>
    <cellStyle name="Comma [0] 2 2 11 28 3 2 5" xfId="36382" xr:uid="{00000000-0005-0000-0000-00001A0C0000}"/>
    <cellStyle name="Comma [0] 2 2 11 28 3 3" xfId="7236" xr:uid="{00000000-0005-0000-0000-00001B0C0000}"/>
    <cellStyle name="Comma [0] 2 2 11 28 3 3 2" xfId="14981" xr:uid="{00000000-0005-0000-0000-00001C0C0000}"/>
    <cellStyle name="Comma [0] 2 2 11 28 3 3 2 2" xfId="30573" xr:uid="{00000000-0005-0000-0000-00001D0C0000}"/>
    <cellStyle name="Comma [0] 2 2 11 28 3 3 2 3" xfId="46065" xr:uid="{00000000-0005-0000-0000-00001E0C0000}"/>
    <cellStyle name="Comma [0] 2 2 11 28 3 3 3" xfId="22833" xr:uid="{00000000-0005-0000-0000-00001F0C0000}"/>
    <cellStyle name="Comma [0] 2 2 11 28 3 3 4" xfId="38325" xr:uid="{00000000-0005-0000-0000-0000200C0000}"/>
    <cellStyle name="Comma [0] 2 2 11 28 3 4" xfId="11111" xr:uid="{00000000-0005-0000-0000-0000210C0000}"/>
    <cellStyle name="Comma [0] 2 2 11 28 3 4 2" xfId="26703" xr:uid="{00000000-0005-0000-0000-0000220C0000}"/>
    <cellStyle name="Comma [0] 2 2 11 28 3 4 3" xfId="42195" xr:uid="{00000000-0005-0000-0000-0000230C0000}"/>
    <cellStyle name="Comma [0] 2 2 11 28 3 5" xfId="18963" xr:uid="{00000000-0005-0000-0000-0000240C0000}"/>
    <cellStyle name="Comma [0] 2 2 11 28 3 6" xfId="34455" xr:uid="{00000000-0005-0000-0000-0000250C0000}"/>
    <cellStyle name="Comma [0] 2 2 11 28 4" xfId="4344" xr:uid="{00000000-0005-0000-0000-0000260C0000}"/>
    <cellStyle name="Comma [0] 2 2 11 28 4 2" xfId="8215" xr:uid="{00000000-0005-0000-0000-0000270C0000}"/>
    <cellStyle name="Comma [0] 2 2 11 28 4 2 2" xfId="15960" xr:uid="{00000000-0005-0000-0000-0000280C0000}"/>
    <cellStyle name="Comma [0] 2 2 11 28 4 2 2 2" xfId="31552" xr:uid="{00000000-0005-0000-0000-0000290C0000}"/>
    <cellStyle name="Comma [0] 2 2 11 28 4 2 2 3" xfId="47044" xr:uid="{00000000-0005-0000-0000-00002A0C0000}"/>
    <cellStyle name="Comma [0] 2 2 11 28 4 2 3" xfId="23812" xr:uid="{00000000-0005-0000-0000-00002B0C0000}"/>
    <cellStyle name="Comma [0] 2 2 11 28 4 2 4" xfId="39304" xr:uid="{00000000-0005-0000-0000-00002C0C0000}"/>
    <cellStyle name="Comma [0] 2 2 11 28 4 3" xfId="12090" xr:uid="{00000000-0005-0000-0000-00002D0C0000}"/>
    <cellStyle name="Comma [0] 2 2 11 28 4 3 2" xfId="27682" xr:uid="{00000000-0005-0000-0000-00002E0C0000}"/>
    <cellStyle name="Comma [0] 2 2 11 28 4 3 3" xfId="43174" xr:uid="{00000000-0005-0000-0000-00002F0C0000}"/>
    <cellStyle name="Comma [0] 2 2 11 28 4 4" xfId="19942" xr:uid="{00000000-0005-0000-0000-0000300C0000}"/>
    <cellStyle name="Comma [0] 2 2 11 28 4 5" xfId="35434" xr:uid="{00000000-0005-0000-0000-0000310C0000}"/>
    <cellStyle name="Comma [0] 2 2 11 28 5" xfId="6288" xr:uid="{00000000-0005-0000-0000-0000320C0000}"/>
    <cellStyle name="Comma [0] 2 2 11 28 5 2" xfId="14033" xr:uid="{00000000-0005-0000-0000-0000330C0000}"/>
    <cellStyle name="Comma [0] 2 2 11 28 5 2 2" xfId="29625" xr:uid="{00000000-0005-0000-0000-0000340C0000}"/>
    <cellStyle name="Comma [0] 2 2 11 28 5 2 3" xfId="45117" xr:uid="{00000000-0005-0000-0000-0000350C0000}"/>
    <cellStyle name="Comma [0] 2 2 11 28 5 3" xfId="21885" xr:uid="{00000000-0005-0000-0000-0000360C0000}"/>
    <cellStyle name="Comma [0] 2 2 11 28 5 4" xfId="37377" xr:uid="{00000000-0005-0000-0000-0000370C0000}"/>
    <cellStyle name="Comma [0] 2 2 11 28 6" xfId="10163" xr:uid="{00000000-0005-0000-0000-0000380C0000}"/>
    <cellStyle name="Comma [0] 2 2 11 28 6 2" xfId="25755" xr:uid="{00000000-0005-0000-0000-0000390C0000}"/>
    <cellStyle name="Comma [0] 2 2 11 28 6 3" xfId="41247" xr:uid="{00000000-0005-0000-0000-00003A0C0000}"/>
    <cellStyle name="Comma [0] 2 2 11 28 7" xfId="18015" xr:uid="{00000000-0005-0000-0000-00003B0C0000}"/>
    <cellStyle name="Comma [0] 2 2 11 28 8" xfId="33507" xr:uid="{00000000-0005-0000-0000-00003C0C0000}"/>
    <cellStyle name="Comma [0] 2 2 11 29" xfId="2378" xr:uid="{00000000-0005-0000-0000-00003D0C0000}"/>
    <cellStyle name="Comma [0] 2 2 11 29 2" xfId="2690" xr:uid="{00000000-0005-0000-0000-00003E0C0000}"/>
    <cellStyle name="Comma [0] 2 2 11 29 2 2" xfId="3698" xr:uid="{00000000-0005-0000-0000-00003F0C0000}"/>
    <cellStyle name="Comma [0] 2 2 11 29 2 2 2" xfId="5637" xr:uid="{00000000-0005-0000-0000-0000400C0000}"/>
    <cellStyle name="Comma [0] 2 2 11 29 2 2 2 2" xfId="9508" xr:uid="{00000000-0005-0000-0000-0000410C0000}"/>
    <cellStyle name="Comma [0] 2 2 11 29 2 2 2 2 2" xfId="17253" xr:uid="{00000000-0005-0000-0000-0000420C0000}"/>
    <cellStyle name="Comma [0] 2 2 11 29 2 2 2 2 2 2" xfId="32845" xr:uid="{00000000-0005-0000-0000-0000430C0000}"/>
    <cellStyle name="Comma [0] 2 2 11 29 2 2 2 2 2 3" xfId="48337" xr:uid="{00000000-0005-0000-0000-0000440C0000}"/>
    <cellStyle name="Comma [0] 2 2 11 29 2 2 2 2 3" xfId="25105" xr:uid="{00000000-0005-0000-0000-0000450C0000}"/>
    <cellStyle name="Comma [0] 2 2 11 29 2 2 2 2 4" xfId="40597" xr:uid="{00000000-0005-0000-0000-0000460C0000}"/>
    <cellStyle name="Comma [0] 2 2 11 29 2 2 2 3" xfId="13383" xr:uid="{00000000-0005-0000-0000-0000470C0000}"/>
    <cellStyle name="Comma [0] 2 2 11 29 2 2 2 3 2" xfId="28975" xr:uid="{00000000-0005-0000-0000-0000480C0000}"/>
    <cellStyle name="Comma [0] 2 2 11 29 2 2 2 3 3" xfId="44467" xr:uid="{00000000-0005-0000-0000-0000490C0000}"/>
    <cellStyle name="Comma [0] 2 2 11 29 2 2 2 4" xfId="21235" xr:uid="{00000000-0005-0000-0000-00004A0C0000}"/>
    <cellStyle name="Comma [0] 2 2 11 29 2 2 2 5" xfId="36727" xr:uid="{00000000-0005-0000-0000-00004B0C0000}"/>
    <cellStyle name="Comma [0] 2 2 11 29 2 2 3" xfId="7581" xr:uid="{00000000-0005-0000-0000-00004C0C0000}"/>
    <cellStyle name="Comma [0] 2 2 11 29 2 2 3 2" xfId="15326" xr:uid="{00000000-0005-0000-0000-00004D0C0000}"/>
    <cellStyle name="Comma [0] 2 2 11 29 2 2 3 2 2" xfId="30918" xr:uid="{00000000-0005-0000-0000-00004E0C0000}"/>
    <cellStyle name="Comma [0] 2 2 11 29 2 2 3 2 3" xfId="46410" xr:uid="{00000000-0005-0000-0000-00004F0C0000}"/>
    <cellStyle name="Comma [0] 2 2 11 29 2 2 3 3" xfId="23178" xr:uid="{00000000-0005-0000-0000-0000500C0000}"/>
    <cellStyle name="Comma [0] 2 2 11 29 2 2 3 4" xfId="38670" xr:uid="{00000000-0005-0000-0000-0000510C0000}"/>
    <cellStyle name="Comma [0] 2 2 11 29 2 2 4" xfId="11456" xr:uid="{00000000-0005-0000-0000-0000520C0000}"/>
    <cellStyle name="Comma [0] 2 2 11 29 2 2 4 2" xfId="27048" xr:uid="{00000000-0005-0000-0000-0000530C0000}"/>
    <cellStyle name="Comma [0] 2 2 11 29 2 2 4 3" xfId="42540" xr:uid="{00000000-0005-0000-0000-0000540C0000}"/>
    <cellStyle name="Comma [0] 2 2 11 29 2 2 5" xfId="19308" xr:uid="{00000000-0005-0000-0000-0000550C0000}"/>
    <cellStyle name="Comma [0] 2 2 11 29 2 2 6" xfId="34800" xr:uid="{00000000-0005-0000-0000-0000560C0000}"/>
    <cellStyle name="Comma [0] 2 2 11 29 2 3" xfId="4689" xr:uid="{00000000-0005-0000-0000-0000570C0000}"/>
    <cellStyle name="Comma [0] 2 2 11 29 2 3 2" xfId="8560" xr:uid="{00000000-0005-0000-0000-0000580C0000}"/>
    <cellStyle name="Comma [0] 2 2 11 29 2 3 2 2" xfId="16305" xr:uid="{00000000-0005-0000-0000-0000590C0000}"/>
    <cellStyle name="Comma [0] 2 2 11 29 2 3 2 2 2" xfId="31897" xr:uid="{00000000-0005-0000-0000-00005A0C0000}"/>
    <cellStyle name="Comma [0] 2 2 11 29 2 3 2 2 3" xfId="47389" xr:uid="{00000000-0005-0000-0000-00005B0C0000}"/>
    <cellStyle name="Comma [0] 2 2 11 29 2 3 2 3" xfId="24157" xr:uid="{00000000-0005-0000-0000-00005C0C0000}"/>
    <cellStyle name="Comma [0] 2 2 11 29 2 3 2 4" xfId="39649" xr:uid="{00000000-0005-0000-0000-00005D0C0000}"/>
    <cellStyle name="Comma [0] 2 2 11 29 2 3 3" xfId="12435" xr:uid="{00000000-0005-0000-0000-00005E0C0000}"/>
    <cellStyle name="Comma [0] 2 2 11 29 2 3 3 2" xfId="28027" xr:uid="{00000000-0005-0000-0000-00005F0C0000}"/>
    <cellStyle name="Comma [0] 2 2 11 29 2 3 3 3" xfId="43519" xr:uid="{00000000-0005-0000-0000-0000600C0000}"/>
    <cellStyle name="Comma [0] 2 2 11 29 2 3 4" xfId="20287" xr:uid="{00000000-0005-0000-0000-0000610C0000}"/>
    <cellStyle name="Comma [0] 2 2 11 29 2 3 5" xfId="35779" xr:uid="{00000000-0005-0000-0000-0000620C0000}"/>
    <cellStyle name="Comma [0] 2 2 11 29 2 4" xfId="6633" xr:uid="{00000000-0005-0000-0000-0000630C0000}"/>
    <cellStyle name="Comma [0] 2 2 11 29 2 4 2" xfId="14378" xr:uid="{00000000-0005-0000-0000-0000640C0000}"/>
    <cellStyle name="Comma [0] 2 2 11 29 2 4 2 2" xfId="29970" xr:uid="{00000000-0005-0000-0000-0000650C0000}"/>
    <cellStyle name="Comma [0] 2 2 11 29 2 4 2 3" xfId="45462" xr:uid="{00000000-0005-0000-0000-0000660C0000}"/>
    <cellStyle name="Comma [0] 2 2 11 29 2 4 3" xfId="22230" xr:uid="{00000000-0005-0000-0000-0000670C0000}"/>
    <cellStyle name="Comma [0] 2 2 11 29 2 4 4" xfId="37722" xr:uid="{00000000-0005-0000-0000-0000680C0000}"/>
    <cellStyle name="Comma [0] 2 2 11 29 2 5" xfId="10508" xr:uid="{00000000-0005-0000-0000-0000690C0000}"/>
    <cellStyle name="Comma [0] 2 2 11 29 2 5 2" xfId="26100" xr:uid="{00000000-0005-0000-0000-00006A0C0000}"/>
    <cellStyle name="Comma [0] 2 2 11 29 2 5 3" xfId="41592" xr:uid="{00000000-0005-0000-0000-00006B0C0000}"/>
    <cellStyle name="Comma [0] 2 2 11 29 2 6" xfId="18360" xr:uid="{00000000-0005-0000-0000-00006C0C0000}"/>
    <cellStyle name="Comma [0] 2 2 11 29 2 7" xfId="33852" xr:uid="{00000000-0005-0000-0000-00006D0C0000}"/>
    <cellStyle name="Comma [0] 2 2 11 29 3" xfId="3389" xr:uid="{00000000-0005-0000-0000-00006E0C0000}"/>
    <cellStyle name="Comma [0] 2 2 11 29 3 2" xfId="5328" xr:uid="{00000000-0005-0000-0000-00006F0C0000}"/>
    <cellStyle name="Comma [0] 2 2 11 29 3 2 2" xfId="9199" xr:uid="{00000000-0005-0000-0000-0000700C0000}"/>
    <cellStyle name="Comma [0] 2 2 11 29 3 2 2 2" xfId="16944" xr:uid="{00000000-0005-0000-0000-0000710C0000}"/>
    <cellStyle name="Comma [0] 2 2 11 29 3 2 2 2 2" xfId="32536" xr:uid="{00000000-0005-0000-0000-0000720C0000}"/>
    <cellStyle name="Comma [0] 2 2 11 29 3 2 2 2 3" xfId="48028" xr:uid="{00000000-0005-0000-0000-0000730C0000}"/>
    <cellStyle name="Comma [0] 2 2 11 29 3 2 2 3" xfId="24796" xr:uid="{00000000-0005-0000-0000-0000740C0000}"/>
    <cellStyle name="Comma [0] 2 2 11 29 3 2 2 4" xfId="40288" xr:uid="{00000000-0005-0000-0000-0000750C0000}"/>
    <cellStyle name="Comma [0] 2 2 11 29 3 2 3" xfId="13074" xr:uid="{00000000-0005-0000-0000-0000760C0000}"/>
    <cellStyle name="Comma [0] 2 2 11 29 3 2 3 2" xfId="28666" xr:uid="{00000000-0005-0000-0000-0000770C0000}"/>
    <cellStyle name="Comma [0] 2 2 11 29 3 2 3 3" xfId="44158" xr:uid="{00000000-0005-0000-0000-0000780C0000}"/>
    <cellStyle name="Comma [0] 2 2 11 29 3 2 4" xfId="20926" xr:uid="{00000000-0005-0000-0000-0000790C0000}"/>
    <cellStyle name="Comma [0] 2 2 11 29 3 2 5" xfId="36418" xr:uid="{00000000-0005-0000-0000-00007A0C0000}"/>
    <cellStyle name="Comma [0] 2 2 11 29 3 3" xfId="7272" xr:uid="{00000000-0005-0000-0000-00007B0C0000}"/>
    <cellStyle name="Comma [0] 2 2 11 29 3 3 2" xfId="15017" xr:uid="{00000000-0005-0000-0000-00007C0C0000}"/>
    <cellStyle name="Comma [0] 2 2 11 29 3 3 2 2" xfId="30609" xr:uid="{00000000-0005-0000-0000-00007D0C0000}"/>
    <cellStyle name="Comma [0] 2 2 11 29 3 3 2 3" xfId="46101" xr:uid="{00000000-0005-0000-0000-00007E0C0000}"/>
    <cellStyle name="Comma [0] 2 2 11 29 3 3 3" xfId="22869" xr:uid="{00000000-0005-0000-0000-00007F0C0000}"/>
    <cellStyle name="Comma [0] 2 2 11 29 3 3 4" xfId="38361" xr:uid="{00000000-0005-0000-0000-0000800C0000}"/>
    <cellStyle name="Comma [0] 2 2 11 29 3 4" xfId="11147" xr:uid="{00000000-0005-0000-0000-0000810C0000}"/>
    <cellStyle name="Comma [0] 2 2 11 29 3 4 2" xfId="26739" xr:uid="{00000000-0005-0000-0000-0000820C0000}"/>
    <cellStyle name="Comma [0] 2 2 11 29 3 4 3" xfId="42231" xr:uid="{00000000-0005-0000-0000-0000830C0000}"/>
    <cellStyle name="Comma [0] 2 2 11 29 3 5" xfId="18999" xr:uid="{00000000-0005-0000-0000-0000840C0000}"/>
    <cellStyle name="Comma [0] 2 2 11 29 3 6" xfId="34491" xr:uid="{00000000-0005-0000-0000-0000850C0000}"/>
    <cellStyle name="Comma [0] 2 2 11 29 4" xfId="4380" xr:uid="{00000000-0005-0000-0000-0000860C0000}"/>
    <cellStyle name="Comma [0] 2 2 11 29 4 2" xfId="8251" xr:uid="{00000000-0005-0000-0000-0000870C0000}"/>
    <cellStyle name="Comma [0] 2 2 11 29 4 2 2" xfId="15996" xr:uid="{00000000-0005-0000-0000-0000880C0000}"/>
    <cellStyle name="Comma [0] 2 2 11 29 4 2 2 2" xfId="31588" xr:uid="{00000000-0005-0000-0000-0000890C0000}"/>
    <cellStyle name="Comma [0] 2 2 11 29 4 2 2 3" xfId="47080" xr:uid="{00000000-0005-0000-0000-00008A0C0000}"/>
    <cellStyle name="Comma [0] 2 2 11 29 4 2 3" xfId="23848" xr:uid="{00000000-0005-0000-0000-00008B0C0000}"/>
    <cellStyle name="Comma [0] 2 2 11 29 4 2 4" xfId="39340" xr:uid="{00000000-0005-0000-0000-00008C0C0000}"/>
    <cellStyle name="Comma [0] 2 2 11 29 4 3" xfId="12126" xr:uid="{00000000-0005-0000-0000-00008D0C0000}"/>
    <cellStyle name="Comma [0] 2 2 11 29 4 3 2" xfId="27718" xr:uid="{00000000-0005-0000-0000-00008E0C0000}"/>
    <cellStyle name="Comma [0] 2 2 11 29 4 3 3" xfId="43210" xr:uid="{00000000-0005-0000-0000-00008F0C0000}"/>
    <cellStyle name="Comma [0] 2 2 11 29 4 4" xfId="19978" xr:uid="{00000000-0005-0000-0000-0000900C0000}"/>
    <cellStyle name="Comma [0] 2 2 11 29 4 5" xfId="35470" xr:uid="{00000000-0005-0000-0000-0000910C0000}"/>
    <cellStyle name="Comma [0] 2 2 11 29 5" xfId="6324" xr:uid="{00000000-0005-0000-0000-0000920C0000}"/>
    <cellStyle name="Comma [0] 2 2 11 29 5 2" xfId="14069" xr:uid="{00000000-0005-0000-0000-0000930C0000}"/>
    <cellStyle name="Comma [0] 2 2 11 29 5 2 2" xfId="29661" xr:uid="{00000000-0005-0000-0000-0000940C0000}"/>
    <cellStyle name="Comma [0] 2 2 11 29 5 2 3" xfId="45153" xr:uid="{00000000-0005-0000-0000-0000950C0000}"/>
    <cellStyle name="Comma [0] 2 2 11 29 5 3" xfId="21921" xr:uid="{00000000-0005-0000-0000-0000960C0000}"/>
    <cellStyle name="Comma [0] 2 2 11 29 5 4" xfId="37413" xr:uid="{00000000-0005-0000-0000-0000970C0000}"/>
    <cellStyle name="Comma [0] 2 2 11 29 6" xfId="10199" xr:uid="{00000000-0005-0000-0000-0000980C0000}"/>
    <cellStyle name="Comma [0] 2 2 11 29 6 2" xfId="25791" xr:uid="{00000000-0005-0000-0000-0000990C0000}"/>
    <cellStyle name="Comma [0] 2 2 11 29 6 3" xfId="41283" xr:uid="{00000000-0005-0000-0000-00009A0C0000}"/>
    <cellStyle name="Comma [0] 2 2 11 29 7" xfId="18051" xr:uid="{00000000-0005-0000-0000-00009B0C0000}"/>
    <cellStyle name="Comma [0] 2 2 11 29 8" xfId="33543" xr:uid="{00000000-0005-0000-0000-00009C0C0000}"/>
    <cellStyle name="Comma [0] 2 2 11 3" xfId="128" xr:uid="{00000000-0005-0000-0000-00009D0C0000}"/>
    <cellStyle name="Comma [0] 2 2 11 30" xfId="2416" xr:uid="{00000000-0005-0000-0000-00009E0C0000}"/>
    <cellStyle name="Comma [0] 2 2 11 30 2" xfId="2726" xr:uid="{00000000-0005-0000-0000-00009F0C0000}"/>
    <cellStyle name="Comma [0] 2 2 11 30 2 2" xfId="3734" xr:uid="{00000000-0005-0000-0000-0000A00C0000}"/>
    <cellStyle name="Comma [0] 2 2 11 30 2 2 2" xfId="5673" xr:uid="{00000000-0005-0000-0000-0000A10C0000}"/>
    <cellStyle name="Comma [0] 2 2 11 30 2 2 2 2" xfId="9544" xr:uid="{00000000-0005-0000-0000-0000A20C0000}"/>
    <cellStyle name="Comma [0] 2 2 11 30 2 2 2 2 2" xfId="17289" xr:uid="{00000000-0005-0000-0000-0000A30C0000}"/>
    <cellStyle name="Comma [0] 2 2 11 30 2 2 2 2 2 2" xfId="32881" xr:uid="{00000000-0005-0000-0000-0000A40C0000}"/>
    <cellStyle name="Comma [0] 2 2 11 30 2 2 2 2 2 3" xfId="48373" xr:uid="{00000000-0005-0000-0000-0000A50C0000}"/>
    <cellStyle name="Comma [0] 2 2 11 30 2 2 2 2 3" xfId="25141" xr:uid="{00000000-0005-0000-0000-0000A60C0000}"/>
    <cellStyle name="Comma [0] 2 2 11 30 2 2 2 2 4" xfId="40633" xr:uid="{00000000-0005-0000-0000-0000A70C0000}"/>
    <cellStyle name="Comma [0] 2 2 11 30 2 2 2 3" xfId="13419" xr:uid="{00000000-0005-0000-0000-0000A80C0000}"/>
    <cellStyle name="Comma [0] 2 2 11 30 2 2 2 3 2" xfId="29011" xr:uid="{00000000-0005-0000-0000-0000A90C0000}"/>
    <cellStyle name="Comma [0] 2 2 11 30 2 2 2 3 3" xfId="44503" xr:uid="{00000000-0005-0000-0000-0000AA0C0000}"/>
    <cellStyle name="Comma [0] 2 2 11 30 2 2 2 4" xfId="21271" xr:uid="{00000000-0005-0000-0000-0000AB0C0000}"/>
    <cellStyle name="Comma [0] 2 2 11 30 2 2 2 5" xfId="36763" xr:uid="{00000000-0005-0000-0000-0000AC0C0000}"/>
    <cellStyle name="Comma [0] 2 2 11 30 2 2 3" xfId="7617" xr:uid="{00000000-0005-0000-0000-0000AD0C0000}"/>
    <cellStyle name="Comma [0] 2 2 11 30 2 2 3 2" xfId="15362" xr:uid="{00000000-0005-0000-0000-0000AE0C0000}"/>
    <cellStyle name="Comma [0] 2 2 11 30 2 2 3 2 2" xfId="30954" xr:uid="{00000000-0005-0000-0000-0000AF0C0000}"/>
    <cellStyle name="Comma [0] 2 2 11 30 2 2 3 2 3" xfId="46446" xr:uid="{00000000-0005-0000-0000-0000B00C0000}"/>
    <cellStyle name="Comma [0] 2 2 11 30 2 2 3 3" xfId="23214" xr:uid="{00000000-0005-0000-0000-0000B10C0000}"/>
    <cellStyle name="Comma [0] 2 2 11 30 2 2 3 4" xfId="38706" xr:uid="{00000000-0005-0000-0000-0000B20C0000}"/>
    <cellStyle name="Comma [0] 2 2 11 30 2 2 4" xfId="11492" xr:uid="{00000000-0005-0000-0000-0000B30C0000}"/>
    <cellStyle name="Comma [0] 2 2 11 30 2 2 4 2" xfId="27084" xr:uid="{00000000-0005-0000-0000-0000B40C0000}"/>
    <cellStyle name="Comma [0] 2 2 11 30 2 2 4 3" xfId="42576" xr:uid="{00000000-0005-0000-0000-0000B50C0000}"/>
    <cellStyle name="Comma [0] 2 2 11 30 2 2 5" xfId="19344" xr:uid="{00000000-0005-0000-0000-0000B60C0000}"/>
    <cellStyle name="Comma [0] 2 2 11 30 2 2 6" xfId="34836" xr:uid="{00000000-0005-0000-0000-0000B70C0000}"/>
    <cellStyle name="Comma [0] 2 2 11 30 2 3" xfId="4725" xr:uid="{00000000-0005-0000-0000-0000B80C0000}"/>
    <cellStyle name="Comma [0] 2 2 11 30 2 3 2" xfId="8596" xr:uid="{00000000-0005-0000-0000-0000B90C0000}"/>
    <cellStyle name="Comma [0] 2 2 11 30 2 3 2 2" xfId="16341" xr:uid="{00000000-0005-0000-0000-0000BA0C0000}"/>
    <cellStyle name="Comma [0] 2 2 11 30 2 3 2 2 2" xfId="31933" xr:uid="{00000000-0005-0000-0000-0000BB0C0000}"/>
    <cellStyle name="Comma [0] 2 2 11 30 2 3 2 2 3" xfId="47425" xr:uid="{00000000-0005-0000-0000-0000BC0C0000}"/>
    <cellStyle name="Comma [0] 2 2 11 30 2 3 2 3" xfId="24193" xr:uid="{00000000-0005-0000-0000-0000BD0C0000}"/>
    <cellStyle name="Comma [0] 2 2 11 30 2 3 2 4" xfId="39685" xr:uid="{00000000-0005-0000-0000-0000BE0C0000}"/>
    <cellStyle name="Comma [0] 2 2 11 30 2 3 3" xfId="12471" xr:uid="{00000000-0005-0000-0000-0000BF0C0000}"/>
    <cellStyle name="Comma [0] 2 2 11 30 2 3 3 2" xfId="28063" xr:uid="{00000000-0005-0000-0000-0000C00C0000}"/>
    <cellStyle name="Comma [0] 2 2 11 30 2 3 3 3" xfId="43555" xr:uid="{00000000-0005-0000-0000-0000C10C0000}"/>
    <cellStyle name="Comma [0] 2 2 11 30 2 3 4" xfId="20323" xr:uid="{00000000-0005-0000-0000-0000C20C0000}"/>
    <cellStyle name="Comma [0] 2 2 11 30 2 3 5" xfId="35815" xr:uid="{00000000-0005-0000-0000-0000C30C0000}"/>
    <cellStyle name="Comma [0] 2 2 11 30 2 4" xfId="6669" xr:uid="{00000000-0005-0000-0000-0000C40C0000}"/>
    <cellStyle name="Comma [0] 2 2 11 30 2 4 2" xfId="14414" xr:uid="{00000000-0005-0000-0000-0000C50C0000}"/>
    <cellStyle name="Comma [0] 2 2 11 30 2 4 2 2" xfId="30006" xr:uid="{00000000-0005-0000-0000-0000C60C0000}"/>
    <cellStyle name="Comma [0] 2 2 11 30 2 4 2 3" xfId="45498" xr:uid="{00000000-0005-0000-0000-0000C70C0000}"/>
    <cellStyle name="Comma [0] 2 2 11 30 2 4 3" xfId="22266" xr:uid="{00000000-0005-0000-0000-0000C80C0000}"/>
    <cellStyle name="Comma [0] 2 2 11 30 2 4 4" xfId="37758" xr:uid="{00000000-0005-0000-0000-0000C90C0000}"/>
    <cellStyle name="Comma [0] 2 2 11 30 2 5" xfId="10544" xr:uid="{00000000-0005-0000-0000-0000CA0C0000}"/>
    <cellStyle name="Comma [0] 2 2 11 30 2 5 2" xfId="26136" xr:uid="{00000000-0005-0000-0000-0000CB0C0000}"/>
    <cellStyle name="Comma [0] 2 2 11 30 2 5 3" xfId="41628" xr:uid="{00000000-0005-0000-0000-0000CC0C0000}"/>
    <cellStyle name="Comma [0] 2 2 11 30 2 6" xfId="18396" xr:uid="{00000000-0005-0000-0000-0000CD0C0000}"/>
    <cellStyle name="Comma [0] 2 2 11 30 2 7" xfId="33888" xr:uid="{00000000-0005-0000-0000-0000CE0C0000}"/>
    <cellStyle name="Comma [0] 2 2 11 30 3" xfId="3425" xr:uid="{00000000-0005-0000-0000-0000CF0C0000}"/>
    <cellStyle name="Comma [0] 2 2 11 30 3 2" xfId="5364" xr:uid="{00000000-0005-0000-0000-0000D00C0000}"/>
    <cellStyle name="Comma [0] 2 2 11 30 3 2 2" xfId="9235" xr:uid="{00000000-0005-0000-0000-0000D10C0000}"/>
    <cellStyle name="Comma [0] 2 2 11 30 3 2 2 2" xfId="16980" xr:uid="{00000000-0005-0000-0000-0000D20C0000}"/>
    <cellStyle name="Comma [0] 2 2 11 30 3 2 2 2 2" xfId="32572" xr:uid="{00000000-0005-0000-0000-0000D30C0000}"/>
    <cellStyle name="Comma [0] 2 2 11 30 3 2 2 2 3" xfId="48064" xr:uid="{00000000-0005-0000-0000-0000D40C0000}"/>
    <cellStyle name="Comma [0] 2 2 11 30 3 2 2 3" xfId="24832" xr:uid="{00000000-0005-0000-0000-0000D50C0000}"/>
    <cellStyle name="Comma [0] 2 2 11 30 3 2 2 4" xfId="40324" xr:uid="{00000000-0005-0000-0000-0000D60C0000}"/>
    <cellStyle name="Comma [0] 2 2 11 30 3 2 3" xfId="13110" xr:uid="{00000000-0005-0000-0000-0000D70C0000}"/>
    <cellStyle name="Comma [0] 2 2 11 30 3 2 3 2" xfId="28702" xr:uid="{00000000-0005-0000-0000-0000D80C0000}"/>
    <cellStyle name="Comma [0] 2 2 11 30 3 2 3 3" xfId="44194" xr:uid="{00000000-0005-0000-0000-0000D90C0000}"/>
    <cellStyle name="Comma [0] 2 2 11 30 3 2 4" xfId="20962" xr:uid="{00000000-0005-0000-0000-0000DA0C0000}"/>
    <cellStyle name="Comma [0] 2 2 11 30 3 2 5" xfId="36454" xr:uid="{00000000-0005-0000-0000-0000DB0C0000}"/>
    <cellStyle name="Comma [0] 2 2 11 30 3 3" xfId="7308" xr:uid="{00000000-0005-0000-0000-0000DC0C0000}"/>
    <cellStyle name="Comma [0] 2 2 11 30 3 3 2" xfId="15053" xr:uid="{00000000-0005-0000-0000-0000DD0C0000}"/>
    <cellStyle name="Comma [0] 2 2 11 30 3 3 2 2" xfId="30645" xr:uid="{00000000-0005-0000-0000-0000DE0C0000}"/>
    <cellStyle name="Comma [0] 2 2 11 30 3 3 2 3" xfId="46137" xr:uid="{00000000-0005-0000-0000-0000DF0C0000}"/>
    <cellStyle name="Comma [0] 2 2 11 30 3 3 3" xfId="22905" xr:uid="{00000000-0005-0000-0000-0000E00C0000}"/>
    <cellStyle name="Comma [0] 2 2 11 30 3 3 4" xfId="38397" xr:uid="{00000000-0005-0000-0000-0000E10C0000}"/>
    <cellStyle name="Comma [0] 2 2 11 30 3 4" xfId="11183" xr:uid="{00000000-0005-0000-0000-0000E20C0000}"/>
    <cellStyle name="Comma [0] 2 2 11 30 3 4 2" xfId="26775" xr:uid="{00000000-0005-0000-0000-0000E30C0000}"/>
    <cellStyle name="Comma [0] 2 2 11 30 3 4 3" xfId="42267" xr:uid="{00000000-0005-0000-0000-0000E40C0000}"/>
    <cellStyle name="Comma [0] 2 2 11 30 3 5" xfId="19035" xr:uid="{00000000-0005-0000-0000-0000E50C0000}"/>
    <cellStyle name="Comma [0] 2 2 11 30 3 6" xfId="34527" xr:uid="{00000000-0005-0000-0000-0000E60C0000}"/>
    <cellStyle name="Comma [0] 2 2 11 30 4" xfId="4416" xr:uid="{00000000-0005-0000-0000-0000E70C0000}"/>
    <cellStyle name="Comma [0] 2 2 11 30 4 2" xfId="8287" xr:uid="{00000000-0005-0000-0000-0000E80C0000}"/>
    <cellStyle name="Comma [0] 2 2 11 30 4 2 2" xfId="16032" xr:uid="{00000000-0005-0000-0000-0000E90C0000}"/>
    <cellStyle name="Comma [0] 2 2 11 30 4 2 2 2" xfId="31624" xr:uid="{00000000-0005-0000-0000-0000EA0C0000}"/>
    <cellStyle name="Comma [0] 2 2 11 30 4 2 2 3" xfId="47116" xr:uid="{00000000-0005-0000-0000-0000EB0C0000}"/>
    <cellStyle name="Comma [0] 2 2 11 30 4 2 3" xfId="23884" xr:uid="{00000000-0005-0000-0000-0000EC0C0000}"/>
    <cellStyle name="Comma [0] 2 2 11 30 4 2 4" xfId="39376" xr:uid="{00000000-0005-0000-0000-0000ED0C0000}"/>
    <cellStyle name="Comma [0] 2 2 11 30 4 3" xfId="12162" xr:uid="{00000000-0005-0000-0000-0000EE0C0000}"/>
    <cellStyle name="Comma [0] 2 2 11 30 4 3 2" xfId="27754" xr:uid="{00000000-0005-0000-0000-0000EF0C0000}"/>
    <cellStyle name="Comma [0] 2 2 11 30 4 3 3" xfId="43246" xr:uid="{00000000-0005-0000-0000-0000F00C0000}"/>
    <cellStyle name="Comma [0] 2 2 11 30 4 4" xfId="20014" xr:uid="{00000000-0005-0000-0000-0000F10C0000}"/>
    <cellStyle name="Comma [0] 2 2 11 30 4 5" xfId="35506" xr:uid="{00000000-0005-0000-0000-0000F20C0000}"/>
    <cellStyle name="Comma [0] 2 2 11 30 5" xfId="6360" xr:uid="{00000000-0005-0000-0000-0000F30C0000}"/>
    <cellStyle name="Comma [0] 2 2 11 30 5 2" xfId="14105" xr:uid="{00000000-0005-0000-0000-0000F40C0000}"/>
    <cellStyle name="Comma [0] 2 2 11 30 5 2 2" xfId="29697" xr:uid="{00000000-0005-0000-0000-0000F50C0000}"/>
    <cellStyle name="Comma [0] 2 2 11 30 5 2 3" xfId="45189" xr:uid="{00000000-0005-0000-0000-0000F60C0000}"/>
    <cellStyle name="Comma [0] 2 2 11 30 5 3" xfId="21957" xr:uid="{00000000-0005-0000-0000-0000F70C0000}"/>
    <cellStyle name="Comma [0] 2 2 11 30 5 4" xfId="37449" xr:uid="{00000000-0005-0000-0000-0000F80C0000}"/>
    <cellStyle name="Comma [0] 2 2 11 30 6" xfId="10235" xr:uid="{00000000-0005-0000-0000-0000F90C0000}"/>
    <cellStyle name="Comma [0] 2 2 11 30 6 2" xfId="25827" xr:uid="{00000000-0005-0000-0000-0000FA0C0000}"/>
    <cellStyle name="Comma [0] 2 2 11 30 6 3" xfId="41319" xr:uid="{00000000-0005-0000-0000-0000FB0C0000}"/>
    <cellStyle name="Comma [0] 2 2 11 30 7" xfId="18087" xr:uid="{00000000-0005-0000-0000-0000FC0C0000}"/>
    <cellStyle name="Comma [0] 2 2 11 30 8" xfId="33579" xr:uid="{00000000-0005-0000-0000-0000FD0C0000}"/>
    <cellStyle name="Comma [0] 2 2 11 31" xfId="2453" xr:uid="{00000000-0005-0000-0000-0000FE0C0000}"/>
    <cellStyle name="Comma [0] 2 2 11 31 2" xfId="2762" xr:uid="{00000000-0005-0000-0000-0000FF0C0000}"/>
    <cellStyle name="Comma [0] 2 2 11 31 2 2" xfId="3770" xr:uid="{00000000-0005-0000-0000-0000000D0000}"/>
    <cellStyle name="Comma [0] 2 2 11 31 2 2 2" xfId="5709" xr:uid="{00000000-0005-0000-0000-0000010D0000}"/>
    <cellStyle name="Comma [0] 2 2 11 31 2 2 2 2" xfId="9580" xr:uid="{00000000-0005-0000-0000-0000020D0000}"/>
    <cellStyle name="Comma [0] 2 2 11 31 2 2 2 2 2" xfId="17325" xr:uid="{00000000-0005-0000-0000-0000030D0000}"/>
    <cellStyle name="Comma [0] 2 2 11 31 2 2 2 2 2 2" xfId="32917" xr:uid="{00000000-0005-0000-0000-0000040D0000}"/>
    <cellStyle name="Comma [0] 2 2 11 31 2 2 2 2 2 3" xfId="48409" xr:uid="{00000000-0005-0000-0000-0000050D0000}"/>
    <cellStyle name="Comma [0] 2 2 11 31 2 2 2 2 3" xfId="25177" xr:uid="{00000000-0005-0000-0000-0000060D0000}"/>
    <cellStyle name="Comma [0] 2 2 11 31 2 2 2 2 4" xfId="40669" xr:uid="{00000000-0005-0000-0000-0000070D0000}"/>
    <cellStyle name="Comma [0] 2 2 11 31 2 2 2 3" xfId="13455" xr:uid="{00000000-0005-0000-0000-0000080D0000}"/>
    <cellStyle name="Comma [0] 2 2 11 31 2 2 2 3 2" xfId="29047" xr:uid="{00000000-0005-0000-0000-0000090D0000}"/>
    <cellStyle name="Comma [0] 2 2 11 31 2 2 2 3 3" xfId="44539" xr:uid="{00000000-0005-0000-0000-00000A0D0000}"/>
    <cellStyle name="Comma [0] 2 2 11 31 2 2 2 4" xfId="21307" xr:uid="{00000000-0005-0000-0000-00000B0D0000}"/>
    <cellStyle name="Comma [0] 2 2 11 31 2 2 2 5" xfId="36799" xr:uid="{00000000-0005-0000-0000-00000C0D0000}"/>
    <cellStyle name="Comma [0] 2 2 11 31 2 2 3" xfId="7653" xr:uid="{00000000-0005-0000-0000-00000D0D0000}"/>
    <cellStyle name="Comma [0] 2 2 11 31 2 2 3 2" xfId="15398" xr:uid="{00000000-0005-0000-0000-00000E0D0000}"/>
    <cellStyle name="Comma [0] 2 2 11 31 2 2 3 2 2" xfId="30990" xr:uid="{00000000-0005-0000-0000-00000F0D0000}"/>
    <cellStyle name="Comma [0] 2 2 11 31 2 2 3 2 3" xfId="46482" xr:uid="{00000000-0005-0000-0000-0000100D0000}"/>
    <cellStyle name="Comma [0] 2 2 11 31 2 2 3 3" xfId="23250" xr:uid="{00000000-0005-0000-0000-0000110D0000}"/>
    <cellStyle name="Comma [0] 2 2 11 31 2 2 3 4" xfId="38742" xr:uid="{00000000-0005-0000-0000-0000120D0000}"/>
    <cellStyle name="Comma [0] 2 2 11 31 2 2 4" xfId="11528" xr:uid="{00000000-0005-0000-0000-0000130D0000}"/>
    <cellStyle name="Comma [0] 2 2 11 31 2 2 4 2" xfId="27120" xr:uid="{00000000-0005-0000-0000-0000140D0000}"/>
    <cellStyle name="Comma [0] 2 2 11 31 2 2 4 3" xfId="42612" xr:uid="{00000000-0005-0000-0000-0000150D0000}"/>
    <cellStyle name="Comma [0] 2 2 11 31 2 2 5" xfId="19380" xr:uid="{00000000-0005-0000-0000-0000160D0000}"/>
    <cellStyle name="Comma [0] 2 2 11 31 2 2 6" xfId="34872" xr:uid="{00000000-0005-0000-0000-0000170D0000}"/>
    <cellStyle name="Comma [0] 2 2 11 31 2 3" xfId="4761" xr:uid="{00000000-0005-0000-0000-0000180D0000}"/>
    <cellStyle name="Comma [0] 2 2 11 31 2 3 2" xfId="8632" xr:uid="{00000000-0005-0000-0000-0000190D0000}"/>
    <cellStyle name="Comma [0] 2 2 11 31 2 3 2 2" xfId="16377" xr:uid="{00000000-0005-0000-0000-00001A0D0000}"/>
    <cellStyle name="Comma [0] 2 2 11 31 2 3 2 2 2" xfId="31969" xr:uid="{00000000-0005-0000-0000-00001B0D0000}"/>
    <cellStyle name="Comma [0] 2 2 11 31 2 3 2 2 3" xfId="47461" xr:uid="{00000000-0005-0000-0000-00001C0D0000}"/>
    <cellStyle name="Comma [0] 2 2 11 31 2 3 2 3" xfId="24229" xr:uid="{00000000-0005-0000-0000-00001D0D0000}"/>
    <cellStyle name="Comma [0] 2 2 11 31 2 3 2 4" xfId="39721" xr:uid="{00000000-0005-0000-0000-00001E0D0000}"/>
    <cellStyle name="Comma [0] 2 2 11 31 2 3 3" xfId="12507" xr:uid="{00000000-0005-0000-0000-00001F0D0000}"/>
    <cellStyle name="Comma [0] 2 2 11 31 2 3 3 2" xfId="28099" xr:uid="{00000000-0005-0000-0000-0000200D0000}"/>
    <cellStyle name="Comma [0] 2 2 11 31 2 3 3 3" xfId="43591" xr:uid="{00000000-0005-0000-0000-0000210D0000}"/>
    <cellStyle name="Comma [0] 2 2 11 31 2 3 4" xfId="20359" xr:uid="{00000000-0005-0000-0000-0000220D0000}"/>
    <cellStyle name="Comma [0] 2 2 11 31 2 3 5" xfId="35851" xr:uid="{00000000-0005-0000-0000-0000230D0000}"/>
    <cellStyle name="Comma [0] 2 2 11 31 2 4" xfId="6705" xr:uid="{00000000-0005-0000-0000-0000240D0000}"/>
    <cellStyle name="Comma [0] 2 2 11 31 2 4 2" xfId="14450" xr:uid="{00000000-0005-0000-0000-0000250D0000}"/>
    <cellStyle name="Comma [0] 2 2 11 31 2 4 2 2" xfId="30042" xr:uid="{00000000-0005-0000-0000-0000260D0000}"/>
    <cellStyle name="Comma [0] 2 2 11 31 2 4 2 3" xfId="45534" xr:uid="{00000000-0005-0000-0000-0000270D0000}"/>
    <cellStyle name="Comma [0] 2 2 11 31 2 4 3" xfId="22302" xr:uid="{00000000-0005-0000-0000-0000280D0000}"/>
    <cellStyle name="Comma [0] 2 2 11 31 2 4 4" xfId="37794" xr:uid="{00000000-0005-0000-0000-0000290D0000}"/>
    <cellStyle name="Comma [0] 2 2 11 31 2 5" xfId="10580" xr:uid="{00000000-0005-0000-0000-00002A0D0000}"/>
    <cellStyle name="Comma [0] 2 2 11 31 2 5 2" xfId="26172" xr:uid="{00000000-0005-0000-0000-00002B0D0000}"/>
    <cellStyle name="Comma [0] 2 2 11 31 2 5 3" xfId="41664" xr:uid="{00000000-0005-0000-0000-00002C0D0000}"/>
    <cellStyle name="Comma [0] 2 2 11 31 2 6" xfId="18432" xr:uid="{00000000-0005-0000-0000-00002D0D0000}"/>
    <cellStyle name="Comma [0] 2 2 11 31 2 7" xfId="33924" xr:uid="{00000000-0005-0000-0000-00002E0D0000}"/>
    <cellStyle name="Comma [0] 2 2 11 31 3" xfId="3461" xr:uid="{00000000-0005-0000-0000-00002F0D0000}"/>
    <cellStyle name="Comma [0] 2 2 11 31 3 2" xfId="5400" xr:uid="{00000000-0005-0000-0000-0000300D0000}"/>
    <cellStyle name="Comma [0] 2 2 11 31 3 2 2" xfId="9271" xr:uid="{00000000-0005-0000-0000-0000310D0000}"/>
    <cellStyle name="Comma [0] 2 2 11 31 3 2 2 2" xfId="17016" xr:uid="{00000000-0005-0000-0000-0000320D0000}"/>
    <cellStyle name="Comma [0] 2 2 11 31 3 2 2 2 2" xfId="32608" xr:uid="{00000000-0005-0000-0000-0000330D0000}"/>
    <cellStyle name="Comma [0] 2 2 11 31 3 2 2 2 3" xfId="48100" xr:uid="{00000000-0005-0000-0000-0000340D0000}"/>
    <cellStyle name="Comma [0] 2 2 11 31 3 2 2 3" xfId="24868" xr:uid="{00000000-0005-0000-0000-0000350D0000}"/>
    <cellStyle name="Comma [0] 2 2 11 31 3 2 2 4" xfId="40360" xr:uid="{00000000-0005-0000-0000-0000360D0000}"/>
    <cellStyle name="Comma [0] 2 2 11 31 3 2 3" xfId="13146" xr:uid="{00000000-0005-0000-0000-0000370D0000}"/>
    <cellStyle name="Comma [0] 2 2 11 31 3 2 3 2" xfId="28738" xr:uid="{00000000-0005-0000-0000-0000380D0000}"/>
    <cellStyle name="Comma [0] 2 2 11 31 3 2 3 3" xfId="44230" xr:uid="{00000000-0005-0000-0000-0000390D0000}"/>
    <cellStyle name="Comma [0] 2 2 11 31 3 2 4" xfId="20998" xr:uid="{00000000-0005-0000-0000-00003A0D0000}"/>
    <cellStyle name="Comma [0] 2 2 11 31 3 2 5" xfId="36490" xr:uid="{00000000-0005-0000-0000-00003B0D0000}"/>
    <cellStyle name="Comma [0] 2 2 11 31 3 3" xfId="7344" xr:uid="{00000000-0005-0000-0000-00003C0D0000}"/>
    <cellStyle name="Comma [0] 2 2 11 31 3 3 2" xfId="15089" xr:uid="{00000000-0005-0000-0000-00003D0D0000}"/>
    <cellStyle name="Comma [0] 2 2 11 31 3 3 2 2" xfId="30681" xr:uid="{00000000-0005-0000-0000-00003E0D0000}"/>
    <cellStyle name="Comma [0] 2 2 11 31 3 3 2 3" xfId="46173" xr:uid="{00000000-0005-0000-0000-00003F0D0000}"/>
    <cellStyle name="Comma [0] 2 2 11 31 3 3 3" xfId="22941" xr:uid="{00000000-0005-0000-0000-0000400D0000}"/>
    <cellStyle name="Comma [0] 2 2 11 31 3 3 4" xfId="38433" xr:uid="{00000000-0005-0000-0000-0000410D0000}"/>
    <cellStyle name="Comma [0] 2 2 11 31 3 4" xfId="11219" xr:uid="{00000000-0005-0000-0000-0000420D0000}"/>
    <cellStyle name="Comma [0] 2 2 11 31 3 4 2" xfId="26811" xr:uid="{00000000-0005-0000-0000-0000430D0000}"/>
    <cellStyle name="Comma [0] 2 2 11 31 3 4 3" xfId="42303" xr:uid="{00000000-0005-0000-0000-0000440D0000}"/>
    <cellStyle name="Comma [0] 2 2 11 31 3 5" xfId="19071" xr:uid="{00000000-0005-0000-0000-0000450D0000}"/>
    <cellStyle name="Comma [0] 2 2 11 31 3 6" xfId="34563" xr:uid="{00000000-0005-0000-0000-0000460D0000}"/>
    <cellStyle name="Comma [0] 2 2 11 31 4" xfId="4452" xr:uid="{00000000-0005-0000-0000-0000470D0000}"/>
    <cellStyle name="Comma [0] 2 2 11 31 4 2" xfId="8323" xr:uid="{00000000-0005-0000-0000-0000480D0000}"/>
    <cellStyle name="Comma [0] 2 2 11 31 4 2 2" xfId="16068" xr:uid="{00000000-0005-0000-0000-0000490D0000}"/>
    <cellStyle name="Comma [0] 2 2 11 31 4 2 2 2" xfId="31660" xr:uid="{00000000-0005-0000-0000-00004A0D0000}"/>
    <cellStyle name="Comma [0] 2 2 11 31 4 2 2 3" xfId="47152" xr:uid="{00000000-0005-0000-0000-00004B0D0000}"/>
    <cellStyle name="Comma [0] 2 2 11 31 4 2 3" xfId="23920" xr:uid="{00000000-0005-0000-0000-00004C0D0000}"/>
    <cellStyle name="Comma [0] 2 2 11 31 4 2 4" xfId="39412" xr:uid="{00000000-0005-0000-0000-00004D0D0000}"/>
    <cellStyle name="Comma [0] 2 2 11 31 4 3" xfId="12198" xr:uid="{00000000-0005-0000-0000-00004E0D0000}"/>
    <cellStyle name="Comma [0] 2 2 11 31 4 3 2" xfId="27790" xr:uid="{00000000-0005-0000-0000-00004F0D0000}"/>
    <cellStyle name="Comma [0] 2 2 11 31 4 3 3" xfId="43282" xr:uid="{00000000-0005-0000-0000-0000500D0000}"/>
    <cellStyle name="Comma [0] 2 2 11 31 4 4" xfId="20050" xr:uid="{00000000-0005-0000-0000-0000510D0000}"/>
    <cellStyle name="Comma [0] 2 2 11 31 4 5" xfId="35542" xr:uid="{00000000-0005-0000-0000-0000520D0000}"/>
    <cellStyle name="Comma [0] 2 2 11 31 5" xfId="6396" xr:uid="{00000000-0005-0000-0000-0000530D0000}"/>
    <cellStyle name="Comma [0] 2 2 11 31 5 2" xfId="14141" xr:uid="{00000000-0005-0000-0000-0000540D0000}"/>
    <cellStyle name="Comma [0] 2 2 11 31 5 2 2" xfId="29733" xr:uid="{00000000-0005-0000-0000-0000550D0000}"/>
    <cellStyle name="Comma [0] 2 2 11 31 5 2 3" xfId="45225" xr:uid="{00000000-0005-0000-0000-0000560D0000}"/>
    <cellStyle name="Comma [0] 2 2 11 31 5 3" xfId="21993" xr:uid="{00000000-0005-0000-0000-0000570D0000}"/>
    <cellStyle name="Comma [0] 2 2 11 31 5 4" xfId="37485" xr:uid="{00000000-0005-0000-0000-0000580D0000}"/>
    <cellStyle name="Comma [0] 2 2 11 31 6" xfId="10271" xr:uid="{00000000-0005-0000-0000-0000590D0000}"/>
    <cellStyle name="Comma [0] 2 2 11 31 6 2" xfId="25863" xr:uid="{00000000-0005-0000-0000-00005A0D0000}"/>
    <cellStyle name="Comma [0] 2 2 11 31 6 3" xfId="41355" xr:uid="{00000000-0005-0000-0000-00005B0D0000}"/>
    <cellStyle name="Comma [0] 2 2 11 31 7" xfId="18123" xr:uid="{00000000-0005-0000-0000-00005C0D0000}"/>
    <cellStyle name="Comma [0] 2 2 11 31 8" xfId="33615" xr:uid="{00000000-0005-0000-0000-00005D0D0000}"/>
    <cellStyle name="Comma [0] 2 2 11 32" xfId="2799" xr:uid="{00000000-0005-0000-0000-00005E0D0000}"/>
    <cellStyle name="Comma [0] 2 2 11 32 2" xfId="3806" xr:uid="{00000000-0005-0000-0000-00005F0D0000}"/>
    <cellStyle name="Comma [0] 2 2 11 32 2 2" xfId="5745" xr:uid="{00000000-0005-0000-0000-0000600D0000}"/>
    <cellStyle name="Comma [0] 2 2 11 32 2 2 2" xfId="9616" xr:uid="{00000000-0005-0000-0000-0000610D0000}"/>
    <cellStyle name="Comma [0] 2 2 11 32 2 2 2 2" xfId="17361" xr:uid="{00000000-0005-0000-0000-0000620D0000}"/>
    <cellStyle name="Comma [0] 2 2 11 32 2 2 2 2 2" xfId="32953" xr:uid="{00000000-0005-0000-0000-0000630D0000}"/>
    <cellStyle name="Comma [0] 2 2 11 32 2 2 2 2 3" xfId="48445" xr:uid="{00000000-0005-0000-0000-0000640D0000}"/>
    <cellStyle name="Comma [0] 2 2 11 32 2 2 2 3" xfId="25213" xr:uid="{00000000-0005-0000-0000-0000650D0000}"/>
    <cellStyle name="Comma [0] 2 2 11 32 2 2 2 4" xfId="40705" xr:uid="{00000000-0005-0000-0000-0000660D0000}"/>
    <cellStyle name="Comma [0] 2 2 11 32 2 2 3" xfId="13491" xr:uid="{00000000-0005-0000-0000-0000670D0000}"/>
    <cellStyle name="Comma [0] 2 2 11 32 2 2 3 2" xfId="29083" xr:uid="{00000000-0005-0000-0000-0000680D0000}"/>
    <cellStyle name="Comma [0] 2 2 11 32 2 2 3 3" xfId="44575" xr:uid="{00000000-0005-0000-0000-0000690D0000}"/>
    <cellStyle name="Comma [0] 2 2 11 32 2 2 4" xfId="21343" xr:uid="{00000000-0005-0000-0000-00006A0D0000}"/>
    <cellStyle name="Comma [0] 2 2 11 32 2 2 5" xfId="36835" xr:uid="{00000000-0005-0000-0000-00006B0D0000}"/>
    <cellStyle name="Comma [0] 2 2 11 32 2 3" xfId="7689" xr:uid="{00000000-0005-0000-0000-00006C0D0000}"/>
    <cellStyle name="Comma [0] 2 2 11 32 2 3 2" xfId="15434" xr:uid="{00000000-0005-0000-0000-00006D0D0000}"/>
    <cellStyle name="Comma [0] 2 2 11 32 2 3 2 2" xfId="31026" xr:uid="{00000000-0005-0000-0000-00006E0D0000}"/>
    <cellStyle name="Comma [0] 2 2 11 32 2 3 2 3" xfId="46518" xr:uid="{00000000-0005-0000-0000-00006F0D0000}"/>
    <cellStyle name="Comma [0] 2 2 11 32 2 3 3" xfId="23286" xr:uid="{00000000-0005-0000-0000-0000700D0000}"/>
    <cellStyle name="Comma [0] 2 2 11 32 2 3 4" xfId="38778" xr:uid="{00000000-0005-0000-0000-0000710D0000}"/>
    <cellStyle name="Comma [0] 2 2 11 32 2 4" xfId="11564" xr:uid="{00000000-0005-0000-0000-0000720D0000}"/>
    <cellStyle name="Comma [0] 2 2 11 32 2 4 2" xfId="27156" xr:uid="{00000000-0005-0000-0000-0000730D0000}"/>
    <cellStyle name="Comma [0] 2 2 11 32 2 4 3" xfId="42648" xr:uid="{00000000-0005-0000-0000-0000740D0000}"/>
    <cellStyle name="Comma [0] 2 2 11 32 2 5" xfId="19416" xr:uid="{00000000-0005-0000-0000-0000750D0000}"/>
    <cellStyle name="Comma [0] 2 2 11 32 2 6" xfId="34908" xr:uid="{00000000-0005-0000-0000-0000760D0000}"/>
    <cellStyle name="Comma [0] 2 2 11 32 3" xfId="4797" xr:uid="{00000000-0005-0000-0000-0000770D0000}"/>
    <cellStyle name="Comma [0] 2 2 11 32 3 2" xfId="8668" xr:uid="{00000000-0005-0000-0000-0000780D0000}"/>
    <cellStyle name="Comma [0] 2 2 11 32 3 2 2" xfId="16413" xr:uid="{00000000-0005-0000-0000-0000790D0000}"/>
    <cellStyle name="Comma [0] 2 2 11 32 3 2 2 2" xfId="32005" xr:uid="{00000000-0005-0000-0000-00007A0D0000}"/>
    <cellStyle name="Comma [0] 2 2 11 32 3 2 2 3" xfId="47497" xr:uid="{00000000-0005-0000-0000-00007B0D0000}"/>
    <cellStyle name="Comma [0] 2 2 11 32 3 2 3" xfId="24265" xr:uid="{00000000-0005-0000-0000-00007C0D0000}"/>
    <cellStyle name="Comma [0] 2 2 11 32 3 2 4" xfId="39757" xr:uid="{00000000-0005-0000-0000-00007D0D0000}"/>
    <cellStyle name="Comma [0] 2 2 11 32 3 3" xfId="12543" xr:uid="{00000000-0005-0000-0000-00007E0D0000}"/>
    <cellStyle name="Comma [0] 2 2 11 32 3 3 2" xfId="28135" xr:uid="{00000000-0005-0000-0000-00007F0D0000}"/>
    <cellStyle name="Comma [0] 2 2 11 32 3 3 3" xfId="43627" xr:uid="{00000000-0005-0000-0000-0000800D0000}"/>
    <cellStyle name="Comma [0] 2 2 11 32 3 4" xfId="20395" xr:uid="{00000000-0005-0000-0000-0000810D0000}"/>
    <cellStyle name="Comma [0] 2 2 11 32 3 5" xfId="35887" xr:uid="{00000000-0005-0000-0000-0000820D0000}"/>
    <cellStyle name="Comma [0] 2 2 11 32 4" xfId="6741" xr:uid="{00000000-0005-0000-0000-0000830D0000}"/>
    <cellStyle name="Comma [0] 2 2 11 32 4 2" xfId="14486" xr:uid="{00000000-0005-0000-0000-0000840D0000}"/>
    <cellStyle name="Comma [0] 2 2 11 32 4 2 2" xfId="30078" xr:uid="{00000000-0005-0000-0000-0000850D0000}"/>
    <cellStyle name="Comma [0] 2 2 11 32 4 2 3" xfId="45570" xr:uid="{00000000-0005-0000-0000-0000860D0000}"/>
    <cellStyle name="Comma [0] 2 2 11 32 4 3" xfId="22338" xr:uid="{00000000-0005-0000-0000-0000870D0000}"/>
    <cellStyle name="Comma [0] 2 2 11 32 4 4" xfId="37830" xr:uid="{00000000-0005-0000-0000-0000880D0000}"/>
    <cellStyle name="Comma [0] 2 2 11 32 5" xfId="10616" xr:uid="{00000000-0005-0000-0000-0000890D0000}"/>
    <cellStyle name="Comma [0] 2 2 11 32 5 2" xfId="26208" xr:uid="{00000000-0005-0000-0000-00008A0D0000}"/>
    <cellStyle name="Comma [0] 2 2 11 32 5 3" xfId="41700" xr:uid="{00000000-0005-0000-0000-00008B0D0000}"/>
    <cellStyle name="Comma [0] 2 2 11 32 6" xfId="18468" xr:uid="{00000000-0005-0000-0000-00008C0D0000}"/>
    <cellStyle name="Comma [0] 2 2 11 32 7" xfId="33960" xr:uid="{00000000-0005-0000-0000-00008D0D0000}"/>
    <cellStyle name="Comma [0] 2 2 11 33" xfId="2838" xr:uid="{00000000-0005-0000-0000-00008E0D0000}"/>
    <cellStyle name="Comma [0] 2 2 11 33 2" xfId="3844" xr:uid="{00000000-0005-0000-0000-00008F0D0000}"/>
    <cellStyle name="Comma [0] 2 2 11 33 2 2" xfId="5783" xr:uid="{00000000-0005-0000-0000-0000900D0000}"/>
    <cellStyle name="Comma [0] 2 2 11 33 2 2 2" xfId="9654" xr:uid="{00000000-0005-0000-0000-0000910D0000}"/>
    <cellStyle name="Comma [0] 2 2 11 33 2 2 2 2" xfId="17399" xr:uid="{00000000-0005-0000-0000-0000920D0000}"/>
    <cellStyle name="Comma [0] 2 2 11 33 2 2 2 2 2" xfId="32991" xr:uid="{00000000-0005-0000-0000-0000930D0000}"/>
    <cellStyle name="Comma [0] 2 2 11 33 2 2 2 2 3" xfId="48483" xr:uid="{00000000-0005-0000-0000-0000940D0000}"/>
    <cellStyle name="Comma [0] 2 2 11 33 2 2 2 3" xfId="25251" xr:uid="{00000000-0005-0000-0000-0000950D0000}"/>
    <cellStyle name="Comma [0] 2 2 11 33 2 2 2 4" xfId="40743" xr:uid="{00000000-0005-0000-0000-0000960D0000}"/>
    <cellStyle name="Comma [0] 2 2 11 33 2 2 3" xfId="13529" xr:uid="{00000000-0005-0000-0000-0000970D0000}"/>
    <cellStyle name="Comma [0] 2 2 11 33 2 2 3 2" xfId="29121" xr:uid="{00000000-0005-0000-0000-0000980D0000}"/>
    <cellStyle name="Comma [0] 2 2 11 33 2 2 3 3" xfId="44613" xr:uid="{00000000-0005-0000-0000-0000990D0000}"/>
    <cellStyle name="Comma [0] 2 2 11 33 2 2 4" xfId="21381" xr:uid="{00000000-0005-0000-0000-00009A0D0000}"/>
    <cellStyle name="Comma [0] 2 2 11 33 2 2 5" xfId="36873" xr:uid="{00000000-0005-0000-0000-00009B0D0000}"/>
    <cellStyle name="Comma [0] 2 2 11 33 2 3" xfId="7727" xr:uid="{00000000-0005-0000-0000-00009C0D0000}"/>
    <cellStyle name="Comma [0] 2 2 11 33 2 3 2" xfId="15472" xr:uid="{00000000-0005-0000-0000-00009D0D0000}"/>
    <cellStyle name="Comma [0] 2 2 11 33 2 3 2 2" xfId="31064" xr:uid="{00000000-0005-0000-0000-00009E0D0000}"/>
    <cellStyle name="Comma [0] 2 2 11 33 2 3 2 3" xfId="46556" xr:uid="{00000000-0005-0000-0000-00009F0D0000}"/>
    <cellStyle name="Comma [0] 2 2 11 33 2 3 3" xfId="23324" xr:uid="{00000000-0005-0000-0000-0000A00D0000}"/>
    <cellStyle name="Comma [0] 2 2 11 33 2 3 4" xfId="38816" xr:uid="{00000000-0005-0000-0000-0000A10D0000}"/>
    <cellStyle name="Comma [0] 2 2 11 33 2 4" xfId="11602" xr:uid="{00000000-0005-0000-0000-0000A20D0000}"/>
    <cellStyle name="Comma [0] 2 2 11 33 2 4 2" xfId="27194" xr:uid="{00000000-0005-0000-0000-0000A30D0000}"/>
    <cellStyle name="Comma [0] 2 2 11 33 2 4 3" xfId="42686" xr:uid="{00000000-0005-0000-0000-0000A40D0000}"/>
    <cellStyle name="Comma [0] 2 2 11 33 2 5" xfId="19454" xr:uid="{00000000-0005-0000-0000-0000A50D0000}"/>
    <cellStyle name="Comma [0] 2 2 11 33 2 6" xfId="34946" xr:uid="{00000000-0005-0000-0000-0000A60D0000}"/>
    <cellStyle name="Comma [0] 2 2 11 33 3" xfId="4835" xr:uid="{00000000-0005-0000-0000-0000A70D0000}"/>
    <cellStyle name="Comma [0] 2 2 11 33 3 2" xfId="8706" xr:uid="{00000000-0005-0000-0000-0000A80D0000}"/>
    <cellStyle name="Comma [0] 2 2 11 33 3 2 2" xfId="16451" xr:uid="{00000000-0005-0000-0000-0000A90D0000}"/>
    <cellStyle name="Comma [0] 2 2 11 33 3 2 2 2" xfId="32043" xr:uid="{00000000-0005-0000-0000-0000AA0D0000}"/>
    <cellStyle name="Comma [0] 2 2 11 33 3 2 2 3" xfId="47535" xr:uid="{00000000-0005-0000-0000-0000AB0D0000}"/>
    <cellStyle name="Comma [0] 2 2 11 33 3 2 3" xfId="24303" xr:uid="{00000000-0005-0000-0000-0000AC0D0000}"/>
    <cellStyle name="Comma [0] 2 2 11 33 3 2 4" xfId="39795" xr:uid="{00000000-0005-0000-0000-0000AD0D0000}"/>
    <cellStyle name="Comma [0] 2 2 11 33 3 3" xfId="12581" xr:uid="{00000000-0005-0000-0000-0000AE0D0000}"/>
    <cellStyle name="Comma [0] 2 2 11 33 3 3 2" xfId="28173" xr:uid="{00000000-0005-0000-0000-0000AF0D0000}"/>
    <cellStyle name="Comma [0] 2 2 11 33 3 3 3" xfId="43665" xr:uid="{00000000-0005-0000-0000-0000B00D0000}"/>
    <cellStyle name="Comma [0] 2 2 11 33 3 4" xfId="20433" xr:uid="{00000000-0005-0000-0000-0000B10D0000}"/>
    <cellStyle name="Comma [0] 2 2 11 33 3 5" xfId="35925" xr:uid="{00000000-0005-0000-0000-0000B20D0000}"/>
    <cellStyle name="Comma [0] 2 2 11 33 4" xfId="6779" xr:uid="{00000000-0005-0000-0000-0000B30D0000}"/>
    <cellStyle name="Comma [0] 2 2 11 33 4 2" xfId="14524" xr:uid="{00000000-0005-0000-0000-0000B40D0000}"/>
    <cellStyle name="Comma [0] 2 2 11 33 4 2 2" xfId="30116" xr:uid="{00000000-0005-0000-0000-0000B50D0000}"/>
    <cellStyle name="Comma [0] 2 2 11 33 4 2 3" xfId="45608" xr:uid="{00000000-0005-0000-0000-0000B60D0000}"/>
    <cellStyle name="Comma [0] 2 2 11 33 4 3" xfId="22376" xr:uid="{00000000-0005-0000-0000-0000B70D0000}"/>
    <cellStyle name="Comma [0] 2 2 11 33 4 4" xfId="37868" xr:uid="{00000000-0005-0000-0000-0000B80D0000}"/>
    <cellStyle name="Comma [0] 2 2 11 33 5" xfId="10654" xr:uid="{00000000-0005-0000-0000-0000B90D0000}"/>
    <cellStyle name="Comma [0] 2 2 11 33 5 2" xfId="26246" xr:uid="{00000000-0005-0000-0000-0000BA0D0000}"/>
    <cellStyle name="Comma [0] 2 2 11 33 5 3" xfId="41738" xr:uid="{00000000-0005-0000-0000-0000BB0D0000}"/>
    <cellStyle name="Comma [0] 2 2 11 33 6" xfId="18506" xr:uid="{00000000-0005-0000-0000-0000BC0D0000}"/>
    <cellStyle name="Comma [0] 2 2 11 33 7" xfId="33998" xr:uid="{00000000-0005-0000-0000-0000BD0D0000}"/>
    <cellStyle name="Comma [0] 2 2 11 34" xfId="2875" xr:uid="{00000000-0005-0000-0000-0000BE0D0000}"/>
    <cellStyle name="Comma [0] 2 2 11 34 2" xfId="3880" xr:uid="{00000000-0005-0000-0000-0000BF0D0000}"/>
    <cellStyle name="Comma [0] 2 2 11 34 2 2" xfId="5819" xr:uid="{00000000-0005-0000-0000-0000C00D0000}"/>
    <cellStyle name="Comma [0] 2 2 11 34 2 2 2" xfId="9690" xr:uid="{00000000-0005-0000-0000-0000C10D0000}"/>
    <cellStyle name="Comma [0] 2 2 11 34 2 2 2 2" xfId="17435" xr:uid="{00000000-0005-0000-0000-0000C20D0000}"/>
    <cellStyle name="Comma [0] 2 2 11 34 2 2 2 2 2" xfId="33027" xr:uid="{00000000-0005-0000-0000-0000C30D0000}"/>
    <cellStyle name="Comma [0] 2 2 11 34 2 2 2 2 3" xfId="48519" xr:uid="{00000000-0005-0000-0000-0000C40D0000}"/>
    <cellStyle name="Comma [0] 2 2 11 34 2 2 2 3" xfId="25287" xr:uid="{00000000-0005-0000-0000-0000C50D0000}"/>
    <cellStyle name="Comma [0] 2 2 11 34 2 2 2 4" xfId="40779" xr:uid="{00000000-0005-0000-0000-0000C60D0000}"/>
    <cellStyle name="Comma [0] 2 2 11 34 2 2 3" xfId="13565" xr:uid="{00000000-0005-0000-0000-0000C70D0000}"/>
    <cellStyle name="Comma [0] 2 2 11 34 2 2 3 2" xfId="29157" xr:uid="{00000000-0005-0000-0000-0000C80D0000}"/>
    <cellStyle name="Comma [0] 2 2 11 34 2 2 3 3" xfId="44649" xr:uid="{00000000-0005-0000-0000-0000C90D0000}"/>
    <cellStyle name="Comma [0] 2 2 11 34 2 2 4" xfId="21417" xr:uid="{00000000-0005-0000-0000-0000CA0D0000}"/>
    <cellStyle name="Comma [0] 2 2 11 34 2 2 5" xfId="36909" xr:uid="{00000000-0005-0000-0000-0000CB0D0000}"/>
    <cellStyle name="Comma [0] 2 2 11 34 2 3" xfId="7763" xr:uid="{00000000-0005-0000-0000-0000CC0D0000}"/>
    <cellStyle name="Comma [0] 2 2 11 34 2 3 2" xfId="15508" xr:uid="{00000000-0005-0000-0000-0000CD0D0000}"/>
    <cellStyle name="Comma [0] 2 2 11 34 2 3 2 2" xfId="31100" xr:uid="{00000000-0005-0000-0000-0000CE0D0000}"/>
    <cellStyle name="Comma [0] 2 2 11 34 2 3 2 3" xfId="46592" xr:uid="{00000000-0005-0000-0000-0000CF0D0000}"/>
    <cellStyle name="Comma [0] 2 2 11 34 2 3 3" xfId="23360" xr:uid="{00000000-0005-0000-0000-0000D00D0000}"/>
    <cellStyle name="Comma [0] 2 2 11 34 2 3 4" xfId="38852" xr:uid="{00000000-0005-0000-0000-0000D10D0000}"/>
    <cellStyle name="Comma [0] 2 2 11 34 2 4" xfId="11638" xr:uid="{00000000-0005-0000-0000-0000D20D0000}"/>
    <cellStyle name="Comma [0] 2 2 11 34 2 4 2" xfId="27230" xr:uid="{00000000-0005-0000-0000-0000D30D0000}"/>
    <cellStyle name="Comma [0] 2 2 11 34 2 4 3" xfId="42722" xr:uid="{00000000-0005-0000-0000-0000D40D0000}"/>
    <cellStyle name="Comma [0] 2 2 11 34 2 5" xfId="19490" xr:uid="{00000000-0005-0000-0000-0000D50D0000}"/>
    <cellStyle name="Comma [0] 2 2 11 34 2 6" xfId="34982" xr:uid="{00000000-0005-0000-0000-0000D60D0000}"/>
    <cellStyle name="Comma [0] 2 2 11 34 3" xfId="4871" xr:uid="{00000000-0005-0000-0000-0000D70D0000}"/>
    <cellStyle name="Comma [0] 2 2 11 34 3 2" xfId="8742" xr:uid="{00000000-0005-0000-0000-0000D80D0000}"/>
    <cellStyle name="Comma [0] 2 2 11 34 3 2 2" xfId="16487" xr:uid="{00000000-0005-0000-0000-0000D90D0000}"/>
    <cellStyle name="Comma [0] 2 2 11 34 3 2 2 2" xfId="32079" xr:uid="{00000000-0005-0000-0000-0000DA0D0000}"/>
    <cellStyle name="Comma [0] 2 2 11 34 3 2 2 3" xfId="47571" xr:uid="{00000000-0005-0000-0000-0000DB0D0000}"/>
    <cellStyle name="Comma [0] 2 2 11 34 3 2 3" xfId="24339" xr:uid="{00000000-0005-0000-0000-0000DC0D0000}"/>
    <cellStyle name="Comma [0] 2 2 11 34 3 2 4" xfId="39831" xr:uid="{00000000-0005-0000-0000-0000DD0D0000}"/>
    <cellStyle name="Comma [0] 2 2 11 34 3 3" xfId="12617" xr:uid="{00000000-0005-0000-0000-0000DE0D0000}"/>
    <cellStyle name="Comma [0] 2 2 11 34 3 3 2" xfId="28209" xr:uid="{00000000-0005-0000-0000-0000DF0D0000}"/>
    <cellStyle name="Comma [0] 2 2 11 34 3 3 3" xfId="43701" xr:uid="{00000000-0005-0000-0000-0000E00D0000}"/>
    <cellStyle name="Comma [0] 2 2 11 34 3 4" xfId="20469" xr:uid="{00000000-0005-0000-0000-0000E10D0000}"/>
    <cellStyle name="Comma [0] 2 2 11 34 3 5" xfId="35961" xr:uid="{00000000-0005-0000-0000-0000E20D0000}"/>
    <cellStyle name="Comma [0] 2 2 11 34 4" xfId="6815" xr:uid="{00000000-0005-0000-0000-0000E30D0000}"/>
    <cellStyle name="Comma [0] 2 2 11 34 4 2" xfId="14560" xr:uid="{00000000-0005-0000-0000-0000E40D0000}"/>
    <cellStyle name="Comma [0] 2 2 11 34 4 2 2" xfId="30152" xr:uid="{00000000-0005-0000-0000-0000E50D0000}"/>
    <cellStyle name="Comma [0] 2 2 11 34 4 2 3" xfId="45644" xr:uid="{00000000-0005-0000-0000-0000E60D0000}"/>
    <cellStyle name="Comma [0] 2 2 11 34 4 3" xfId="22412" xr:uid="{00000000-0005-0000-0000-0000E70D0000}"/>
    <cellStyle name="Comma [0] 2 2 11 34 4 4" xfId="37904" xr:uid="{00000000-0005-0000-0000-0000E80D0000}"/>
    <cellStyle name="Comma [0] 2 2 11 34 5" xfId="10690" xr:uid="{00000000-0005-0000-0000-0000E90D0000}"/>
    <cellStyle name="Comma [0] 2 2 11 34 5 2" xfId="26282" xr:uid="{00000000-0005-0000-0000-0000EA0D0000}"/>
    <cellStyle name="Comma [0] 2 2 11 34 5 3" xfId="41774" xr:uid="{00000000-0005-0000-0000-0000EB0D0000}"/>
    <cellStyle name="Comma [0] 2 2 11 34 6" xfId="18542" xr:uid="{00000000-0005-0000-0000-0000EC0D0000}"/>
    <cellStyle name="Comma [0] 2 2 11 34 7" xfId="34034" xr:uid="{00000000-0005-0000-0000-0000ED0D0000}"/>
    <cellStyle name="Comma [0] 2 2 11 35" xfId="2912" xr:uid="{00000000-0005-0000-0000-0000EE0D0000}"/>
    <cellStyle name="Comma [0] 2 2 11 35 2" xfId="3916" xr:uid="{00000000-0005-0000-0000-0000EF0D0000}"/>
    <cellStyle name="Comma [0] 2 2 11 35 2 2" xfId="5855" xr:uid="{00000000-0005-0000-0000-0000F00D0000}"/>
    <cellStyle name="Comma [0] 2 2 11 35 2 2 2" xfId="9726" xr:uid="{00000000-0005-0000-0000-0000F10D0000}"/>
    <cellStyle name="Comma [0] 2 2 11 35 2 2 2 2" xfId="17471" xr:uid="{00000000-0005-0000-0000-0000F20D0000}"/>
    <cellStyle name="Comma [0] 2 2 11 35 2 2 2 2 2" xfId="33063" xr:uid="{00000000-0005-0000-0000-0000F30D0000}"/>
    <cellStyle name="Comma [0] 2 2 11 35 2 2 2 2 3" xfId="48555" xr:uid="{00000000-0005-0000-0000-0000F40D0000}"/>
    <cellStyle name="Comma [0] 2 2 11 35 2 2 2 3" xfId="25323" xr:uid="{00000000-0005-0000-0000-0000F50D0000}"/>
    <cellStyle name="Comma [0] 2 2 11 35 2 2 2 4" xfId="40815" xr:uid="{00000000-0005-0000-0000-0000F60D0000}"/>
    <cellStyle name="Comma [0] 2 2 11 35 2 2 3" xfId="13601" xr:uid="{00000000-0005-0000-0000-0000F70D0000}"/>
    <cellStyle name="Comma [0] 2 2 11 35 2 2 3 2" xfId="29193" xr:uid="{00000000-0005-0000-0000-0000F80D0000}"/>
    <cellStyle name="Comma [0] 2 2 11 35 2 2 3 3" xfId="44685" xr:uid="{00000000-0005-0000-0000-0000F90D0000}"/>
    <cellStyle name="Comma [0] 2 2 11 35 2 2 4" xfId="21453" xr:uid="{00000000-0005-0000-0000-0000FA0D0000}"/>
    <cellStyle name="Comma [0] 2 2 11 35 2 2 5" xfId="36945" xr:uid="{00000000-0005-0000-0000-0000FB0D0000}"/>
    <cellStyle name="Comma [0] 2 2 11 35 2 3" xfId="7799" xr:uid="{00000000-0005-0000-0000-0000FC0D0000}"/>
    <cellStyle name="Comma [0] 2 2 11 35 2 3 2" xfId="15544" xr:uid="{00000000-0005-0000-0000-0000FD0D0000}"/>
    <cellStyle name="Comma [0] 2 2 11 35 2 3 2 2" xfId="31136" xr:uid="{00000000-0005-0000-0000-0000FE0D0000}"/>
    <cellStyle name="Comma [0] 2 2 11 35 2 3 2 3" xfId="46628" xr:uid="{00000000-0005-0000-0000-0000FF0D0000}"/>
    <cellStyle name="Comma [0] 2 2 11 35 2 3 3" xfId="23396" xr:uid="{00000000-0005-0000-0000-0000000E0000}"/>
    <cellStyle name="Comma [0] 2 2 11 35 2 3 4" xfId="38888" xr:uid="{00000000-0005-0000-0000-0000010E0000}"/>
    <cellStyle name="Comma [0] 2 2 11 35 2 4" xfId="11674" xr:uid="{00000000-0005-0000-0000-0000020E0000}"/>
    <cellStyle name="Comma [0] 2 2 11 35 2 4 2" xfId="27266" xr:uid="{00000000-0005-0000-0000-0000030E0000}"/>
    <cellStyle name="Comma [0] 2 2 11 35 2 4 3" xfId="42758" xr:uid="{00000000-0005-0000-0000-0000040E0000}"/>
    <cellStyle name="Comma [0] 2 2 11 35 2 5" xfId="19526" xr:uid="{00000000-0005-0000-0000-0000050E0000}"/>
    <cellStyle name="Comma [0] 2 2 11 35 2 6" xfId="35018" xr:uid="{00000000-0005-0000-0000-0000060E0000}"/>
    <cellStyle name="Comma [0] 2 2 11 35 3" xfId="4907" xr:uid="{00000000-0005-0000-0000-0000070E0000}"/>
    <cellStyle name="Comma [0] 2 2 11 35 3 2" xfId="8778" xr:uid="{00000000-0005-0000-0000-0000080E0000}"/>
    <cellStyle name="Comma [0] 2 2 11 35 3 2 2" xfId="16523" xr:uid="{00000000-0005-0000-0000-0000090E0000}"/>
    <cellStyle name="Comma [0] 2 2 11 35 3 2 2 2" xfId="32115" xr:uid="{00000000-0005-0000-0000-00000A0E0000}"/>
    <cellStyle name="Comma [0] 2 2 11 35 3 2 2 3" xfId="47607" xr:uid="{00000000-0005-0000-0000-00000B0E0000}"/>
    <cellStyle name="Comma [0] 2 2 11 35 3 2 3" xfId="24375" xr:uid="{00000000-0005-0000-0000-00000C0E0000}"/>
    <cellStyle name="Comma [0] 2 2 11 35 3 2 4" xfId="39867" xr:uid="{00000000-0005-0000-0000-00000D0E0000}"/>
    <cellStyle name="Comma [0] 2 2 11 35 3 3" xfId="12653" xr:uid="{00000000-0005-0000-0000-00000E0E0000}"/>
    <cellStyle name="Comma [0] 2 2 11 35 3 3 2" xfId="28245" xr:uid="{00000000-0005-0000-0000-00000F0E0000}"/>
    <cellStyle name="Comma [0] 2 2 11 35 3 3 3" xfId="43737" xr:uid="{00000000-0005-0000-0000-0000100E0000}"/>
    <cellStyle name="Comma [0] 2 2 11 35 3 4" xfId="20505" xr:uid="{00000000-0005-0000-0000-0000110E0000}"/>
    <cellStyle name="Comma [0] 2 2 11 35 3 5" xfId="35997" xr:uid="{00000000-0005-0000-0000-0000120E0000}"/>
    <cellStyle name="Comma [0] 2 2 11 35 4" xfId="6851" xr:uid="{00000000-0005-0000-0000-0000130E0000}"/>
    <cellStyle name="Comma [0] 2 2 11 35 4 2" xfId="14596" xr:uid="{00000000-0005-0000-0000-0000140E0000}"/>
    <cellStyle name="Comma [0] 2 2 11 35 4 2 2" xfId="30188" xr:uid="{00000000-0005-0000-0000-0000150E0000}"/>
    <cellStyle name="Comma [0] 2 2 11 35 4 2 3" xfId="45680" xr:uid="{00000000-0005-0000-0000-0000160E0000}"/>
    <cellStyle name="Comma [0] 2 2 11 35 4 3" xfId="22448" xr:uid="{00000000-0005-0000-0000-0000170E0000}"/>
    <cellStyle name="Comma [0] 2 2 11 35 4 4" xfId="37940" xr:uid="{00000000-0005-0000-0000-0000180E0000}"/>
    <cellStyle name="Comma [0] 2 2 11 35 5" xfId="10726" xr:uid="{00000000-0005-0000-0000-0000190E0000}"/>
    <cellStyle name="Comma [0] 2 2 11 35 5 2" xfId="26318" xr:uid="{00000000-0005-0000-0000-00001A0E0000}"/>
    <cellStyle name="Comma [0] 2 2 11 35 5 3" xfId="41810" xr:uid="{00000000-0005-0000-0000-00001B0E0000}"/>
    <cellStyle name="Comma [0] 2 2 11 35 6" xfId="18578" xr:uid="{00000000-0005-0000-0000-00001C0E0000}"/>
    <cellStyle name="Comma [0] 2 2 11 35 7" xfId="34070" xr:uid="{00000000-0005-0000-0000-00001D0E0000}"/>
    <cellStyle name="Comma [0] 2 2 11 36" xfId="2951" xr:uid="{00000000-0005-0000-0000-00001E0E0000}"/>
    <cellStyle name="Comma [0] 2 2 11 36 2" xfId="3952" xr:uid="{00000000-0005-0000-0000-00001F0E0000}"/>
    <cellStyle name="Comma [0] 2 2 11 36 2 2" xfId="5891" xr:uid="{00000000-0005-0000-0000-0000200E0000}"/>
    <cellStyle name="Comma [0] 2 2 11 36 2 2 2" xfId="9762" xr:uid="{00000000-0005-0000-0000-0000210E0000}"/>
    <cellStyle name="Comma [0] 2 2 11 36 2 2 2 2" xfId="17507" xr:uid="{00000000-0005-0000-0000-0000220E0000}"/>
    <cellStyle name="Comma [0] 2 2 11 36 2 2 2 2 2" xfId="33099" xr:uid="{00000000-0005-0000-0000-0000230E0000}"/>
    <cellStyle name="Comma [0] 2 2 11 36 2 2 2 2 3" xfId="48591" xr:uid="{00000000-0005-0000-0000-0000240E0000}"/>
    <cellStyle name="Comma [0] 2 2 11 36 2 2 2 3" xfId="25359" xr:uid="{00000000-0005-0000-0000-0000250E0000}"/>
    <cellStyle name="Comma [0] 2 2 11 36 2 2 2 4" xfId="40851" xr:uid="{00000000-0005-0000-0000-0000260E0000}"/>
    <cellStyle name="Comma [0] 2 2 11 36 2 2 3" xfId="13637" xr:uid="{00000000-0005-0000-0000-0000270E0000}"/>
    <cellStyle name="Comma [0] 2 2 11 36 2 2 3 2" xfId="29229" xr:uid="{00000000-0005-0000-0000-0000280E0000}"/>
    <cellStyle name="Comma [0] 2 2 11 36 2 2 3 3" xfId="44721" xr:uid="{00000000-0005-0000-0000-0000290E0000}"/>
    <cellStyle name="Comma [0] 2 2 11 36 2 2 4" xfId="21489" xr:uid="{00000000-0005-0000-0000-00002A0E0000}"/>
    <cellStyle name="Comma [0] 2 2 11 36 2 2 5" xfId="36981" xr:uid="{00000000-0005-0000-0000-00002B0E0000}"/>
    <cellStyle name="Comma [0] 2 2 11 36 2 3" xfId="7835" xr:uid="{00000000-0005-0000-0000-00002C0E0000}"/>
    <cellStyle name="Comma [0] 2 2 11 36 2 3 2" xfId="15580" xr:uid="{00000000-0005-0000-0000-00002D0E0000}"/>
    <cellStyle name="Comma [0] 2 2 11 36 2 3 2 2" xfId="31172" xr:uid="{00000000-0005-0000-0000-00002E0E0000}"/>
    <cellStyle name="Comma [0] 2 2 11 36 2 3 2 3" xfId="46664" xr:uid="{00000000-0005-0000-0000-00002F0E0000}"/>
    <cellStyle name="Comma [0] 2 2 11 36 2 3 3" xfId="23432" xr:uid="{00000000-0005-0000-0000-0000300E0000}"/>
    <cellStyle name="Comma [0] 2 2 11 36 2 3 4" xfId="38924" xr:uid="{00000000-0005-0000-0000-0000310E0000}"/>
    <cellStyle name="Comma [0] 2 2 11 36 2 4" xfId="11710" xr:uid="{00000000-0005-0000-0000-0000320E0000}"/>
    <cellStyle name="Comma [0] 2 2 11 36 2 4 2" xfId="27302" xr:uid="{00000000-0005-0000-0000-0000330E0000}"/>
    <cellStyle name="Comma [0] 2 2 11 36 2 4 3" xfId="42794" xr:uid="{00000000-0005-0000-0000-0000340E0000}"/>
    <cellStyle name="Comma [0] 2 2 11 36 2 5" xfId="19562" xr:uid="{00000000-0005-0000-0000-0000350E0000}"/>
    <cellStyle name="Comma [0] 2 2 11 36 2 6" xfId="35054" xr:uid="{00000000-0005-0000-0000-0000360E0000}"/>
    <cellStyle name="Comma [0] 2 2 11 36 3" xfId="4943" xr:uid="{00000000-0005-0000-0000-0000370E0000}"/>
    <cellStyle name="Comma [0] 2 2 11 36 3 2" xfId="8814" xr:uid="{00000000-0005-0000-0000-0000380E0000}"/>
    <cellStyle name="Comma [0] 2 2 11 36 3 2 2" xfId="16559" xr:uid="{00000000-0005-0000-0000-0000390E0000}"/>
    <cellStyle name="Comma [0] 2 2 11 36 3 2 2 2" xfId="32151" xr:uid="{00000000-0005-0000-0000-00003A0E0000}"/>
    <cellStyle name="Comma [0] 2 2 11 36 3 2 2 3" xfId="47643" xr:uid="{00000000-0005-0000-0000-00003B0E0000}"/>
    <cellStyle name="Comma [0] 2 2 11 36 3 2 3" xfId="24411" xr:uid="{00000000-0005-0000-0000-00003C0E0000}"/>
    <cellStyle name="Comma [0] 2 2 11 36 3 2 4" xfId="39903" xr:uid="{00000000-0005-0000-0000-00003D0E0000}"/>
    <cellStyle name="Comma [0] 2 2 11 36 3 3" xfId="12689" xr:uid="{00000000-0005-0000-0000-00003E0E0000}"/>
    <cellStyle name="Comma [0] 2 2 11 36 3 3 2" xfId="28281" xr:uid="{00000000-0005-0000-0000-00003F0E0000}"/>
    <cellStyle name="Comma [0] 2 2 11 36 3 3 3" xfId="43773" xr:uid="{00000000-0005-0000-0000-0000400E0000}"/>
    <cellStyle name="Comma [0] 2 2 11 36 3 4" xfId="20541" xr:uid="{00000000-0005-0000-0000-0000410E0000}"/>
    <cellStyle name="Comma [0] 2 2 11 36 3 5" xfId="36033" xr:uid="{00000000-0005-0000-0000-0000420E0000}"/>
    <cellStyle name="Comma [0] 2 2 11 36 4" xfId="6887" xr:uid="{00000000-0005-0000-0000-0000430E0000}"/>
    <cellStyle name="Comma [0] 2 2 11 36 4 2" xfId="14632" xr:uid="{00000000-0005-0000-0000-0000440E0000}"/>
    <cellStyle name="Comma [0] 2 2 11 36 4 2 2" xfId="30224" xr:uid="{00000000-0005-0000-0000-0000450E0000}"/>
    <cellStyle name="Comma [0] 2 2 11 36 4 2 3" xfId="45716" xr:uid="{00000000-0005-0000-0000-0000460E0000}"/>
    <cellStyle name="Comma [0] 2 2 11 36 4 3" xfId="22484" xr:uid="{00000000-0005-0000-0000-0000470E0000}"/>
    <cellStyle name="Comma [0] 2 2 11 36 4 4" xfId="37976" xr:uid="{00000000-0005-0000-0000-0000480E0000}"/>
    <cellStyle name="Comma [0] 2 2 11 36 5" xfId="10762" xr:uid="{00000000-0005-0000-0000-0000490E0000}"/>
    <cellStyle name="Comma [0] 2 2 11 36 5 2" xfId="26354" xr:uid="{00000000-0005-0000-0000-00004A0E0000}"/>
    <cellStyle name="Comma [0] 2 2 11 36 5 3" xfId="41846" xr:uid="{00000000-0005-0000-0000-00004B0E0000}"/>
    <cellStyle name="Comma [0] 2 2 11 36 6" xfId="18614" xr:uid="{00000000-0005-0000-0000-00004C0E0000}"/>
    <cellStyle name="Comma [0] 2 2 11 36 7" xfId="34106" xr:uid="{00000000-0005-0000-0000-00004D0E0000}"/>
    <cellStyle name="Comma [0] 2 2 11 37" xfId="2991" xr:uid="{00000000-0005-0000-0000-00004E0E0000}"/>
    <cellStyle name="Comma [0] 2 2 11 37 2" xfId="3988" xr:uid="{00000000-0005-0000-0000-00004F0E0000}"/>
    <cellStyle name="Comma [0] 2 2 11 37 2 2" xfId="5927" xr:uid="{00000000-0005-0000-0000-0000500E0000}"/>
    <cellStyle name="Comma [0] 2 2 11 37 2 2 2" xfId="9798" xr:uid="{00000000-0005-0000-0000-0000510E0000}"/>
    <cellStyle name="Comma [0] 2 2 11 37 2 2 2 2" xfId="17543" xr:uid="{00000000-0005-0000-0000-0000520E0000}"/>
    <cellStyle name="Comma [0] 2 2 11 37 2 2 2 2 2" xfId="33135" xr:uid="{00000000-0005-0000-0000-0000530E0000}"/>
    <cellStyle name="Comma [0] 2 2 11 37 2 2 2 2 3" xfId="48627" xr:uid="{00000000-0005-0000-0000-0000540E0000}"/>
    <cellStyle name="Comma [0] 2 2 11 37 2 2 2 3" xfId="25395" xr:uid="{00000000-0005-0000-0000-0000550E0000}"/>
    <cellStyle name="Comma [0] 2 2 11 37 2 2 2 4" xfId="40887" xr:uid="{00000000-0005-0000-0000-0000560E0000}"/>
    <cellStyle name="Comma [0] 2 2 11 37 2 2 3" xfId="13673" xr:uid="{00000000-0005-0000-0000-0000570E0000}"/>
    <cellStyle name="Comma [0] 2 2 11 37 2 2 3 2" xfId="29265" xr:uid="{00000000-0005-0000-0000-0000580E0000}"/>
    <cellStyle name="Comma [0] 2 2 11 37 2 2 3 3" xfId="44757" xr:uid="{00000000-0005-0000-0000-0000590E0000}"/>
    <cellStyle name="Comma [0] 2 2 11 37 2 2 4" xfId="21525" xr:uid="{00000000-0005-0000-0000-00005A0E0000}"/>
    <cellStyle name="Comma [0] 2 2 11 37 2 2 5" xfId="37017" xr:uid="{00000000-0005-0000-0000-00005B0E0000}"/>
    <cellStyle name="Comma [0] 2 2 11 37 2 3" xfId="7871" xr:uid="{00000000-0005-0000-0000-00005C0E0000}"/>
    <cellStyle name="Comma [0] 2 2 11 37 2 3 2" xfId="15616" xr:uid="{00000000-0005-0000-0000-00005D0E0000}"/>
    <cellStyle name="Comma [0] 2 2 11 37 2 3 2 2" xfId="31208" xr:uid="{00000000-0005-0000-0000-00005E0E0000}"/>
    <cellStyle name="Comma [0] 2 2 11 37 2 3 2 3" xfId="46700" xr:uid="{00000000-0005-0000-0000-00005F0E0000}"/>
    <cellStyle name="Comma [0] 2 2 11 37 2 3 3" xfId="23468" xr:uid="{00000000-0005-0000-0000-0000600E0000}"/>
    <cellStyle name="Comma [0] 2 2 11 37 2 3 4" xfId="38960" xr:uid="{00000000-0005-0000-0000-0000610E0000}"/>
    <cellStyle name="Comma [0] 2 2 11 37 2 4" xfId="11746" xr:uid="{00000000-0005-0000-0000-0000620E0000}"/>
    <cellStyle name="Comma [0] 2 2 11 37 2 4 2" xfId="27338" xr:uid="{00000000-0005-0000-0000-0000630E0000}"/>
    <cellStyle name="Comma [0] 2 2 11 37 2 4 3" xfId="42830" xr:uid="{00000000-0005-0000-0000-0000640E0000}"/>
    <cellStyle name="Comma [0] 2 2 11 37 2 5" xfId="19598" xr:uid="{00000000-0005-0000-0000-0000650E0000}"/>
    <cellStyle name="Comma [0] 2 2 11 37 2 6" xfId="35090" xr:uid="{00000000-0005-0000-0000-0000660E0000}"/>
    <cellStyle name="Comma [0] 2 2 11 37 3" xfId="4979" xr:uid="{00000000-0005-0000-0000-0000670E0000}"/>
    <cellStyle name="Comma [0] 2 2 11 37 3 2" xfId="8850" xr:uid="{00000000-0005-0000-0000-0000680E0000}"/>
    <cellStyle name="Comma [0] 2 2 11 37 3 2 2" xfId="16595" xr:uid="{00000000-0005-0000-0000-0000690E0000}"/>
    <cellStyle name="Comma [0] 2 2 11 37 3 2 2 2" xfId="32187" xr:uid="{00000000-0005-0000-0000-00006A0E0000}"/>
    <cellStyle name="Comma [0] 2 2 11 37 3 2 2 3" xfId="47679" xr:uid="{00000000-0005-0000-0000-00006B0E0000}"/>
    <cellStyle name="Comma [0] 2 2 11 37 3 2 3" xfId="24447" xr:uid="{00000000-0005-0000-0000-00006C0E0000}"/>
    <cellStyle name="Comma [0] 2 2 11 37 3 2 4" xfId="39939" xr:uid="{00000000-0005-0000-0000-00006D0E0000}"/>
    <cellStyle name="Comma [0] 2 2 11 37 3 3" xfId="12725" xr:uid="{00000000-0005-0000-0000-00006E0E0000}"/>
    <cellStyle name="Comma [0] 2 2 11 37 3 3 2" xfId="28317" xr:uid="{00000000-0005-0000-0000-00006F0E0000}"/>
    <cellStyle name="Comma [0] 2 2 11 37 3 3 3" xfId="43809" xr:uid="{00000000-0005-0000-0000-0000700E0000}"/>
    <cellStyle name="Comma [0] 2 2 11 37 3 4" xfId="20577" xr:uid="{00000000-0005-0000-0000-0000710E0000}"/>
    <cellStyle name="Comma [0] 2 2 11 37 3 5" xfId="36069" xr:uid="{00000000-0005-0000-0000-0000720E0000}"/>
    <cellStyle name="Comma [0] 2 2 11 37 4" xfId="6923" xr:uid="{00000000-0005-0000-0000-0000730E0000}"/>
    <cellStyle name="Comma [0] 2 2 11 37 4 2" xfId="14668" xr:uid="{00000000-0005-0000-0000-0000740E0000}"/>
    <cellStyle name="Comma [0] 2 2 11 37 4 2 2" xfId="30260" xr:uid="{00000000-0005-0000-0000-0000750E0000}"/>
    <cellStyle name="Comma [0] 2 2 11 37 4 2 3" xfId="45752" xr:uid="{00000000-0005-0000-0000-0000760E0000}"/>
    <cellStyle name="Comma [0] 2 2 11 37 4 3" xfId="22520" xr:uid="{00000000-0005-0000-0000-0000770E0000}"/>
    <cellStyle name="Comma [0] 2 2 11 37 4 4" xfId="38012" xr:uid="{00000000-0005-0000-0000-0000780E0000}"/>
    <cellStyle name="Comma [0] 2 2 11 37 5" xfId="10798" xr:uid="{00000000-0005-0000-0000-0000790E0000}"/>
    <cellStyle name="Comma [0] 2 2 11 37 5 2" xfId="26390" xr:uid="{00000000-0005-0000-0000-00007A0E0000}"/>
    <cellStyle name="Comma [0] 2 2 11 37 5 3" xfId="41882" xr:uid="{00000000-0005-0000-0000-00007B0E0000}"/>
    <cellStyle name="Comma [0] 2 2 11 37 6" xfId="18650" xr:uid="{00000000-0005-0000-0000-00007C0E0000}"/>
    <cellStyle name="Comma [0] 2 2 11 37 7" xfId="34142" xr:uid="{00000000-0005-0000-0000-00007D0E0000}"/>
    <cellStyle name="Comma [0] 2 2 11 38" xfId="3029" xr:uid="{00000000-0005-0000-0000-00007E0E0000}"/>
    <cellStyle name="Comma [0] 2 2 11 38 2" xfId="4024" xr:uid="{00000000-0005-0000-0000-00007F0E0000}"/>
    <cellStyle name="Comma [0] 2 2 11 38 2 2" xfId="5963" xr:uid="{00000000-0005-0000-0000-0000800E0000}"/>
    <cellStyle name="Comma [0] 2 2 11 38 2 2 2" xfId="9834" xr:uid="{00000000-0005-0000-0000-0000810E0000}"/>
    <cellStyle name="Comma [0] 2 2 11 38 2 2 2 2" xfId="17579" xr:uid="{00000000-0005-0000-0000-0000820E0000}"/>
    <cellStyle name="Comma [0] 2 2 11 38 2 2 2 2 2" xfId="33171" xr:uid="{00000000-0005-0000-0000-0000830E0000}"/>
    <cellStyle name="Comma [0] 2 2 11 38 2 2 2 2 3" xfId="48663" xr:uid="{00000000-0005-0000-0000-0000840E0000}"/>
    <cellStyle name="Comma [0] 2 2 11 38 2 2 2 3" xfId="25431" xr:uid="{00000000-0005-0000-0000-0000850E0000}"/>
    <cellStyle name="Comma [0] 2 2 11 38 2 2 2 4" xfId="40923" xr:uid="{00000000-0005-0000-0000-0000860E0000}"/>
    <cellStyle name="Comma [0] 2 2 11 38 2 2 3" xfId="13709" xr:uid="{00000000-0005-0000-0000-0000870E0000}"/>
    <cellStyle name="Comma [0] 2 2 11 38 2 2 3 2" xfId="29301" xr:uid="{00000000-0005-0000-0000-0000880E0000}"/>
    <cellStyle name="Comma [0] 2 2 11 38 2 2 3 3" xfId="44793" xr:uid="{00000000-0005-0000-0000-0000890E0000}"/>
    <cellStyle name="Comma [0] 2 2 11 38 2 2 4" xfId="21561" xr:uid="{00000000-0005-0000-0000-00008A0E0000}"/>
    <cellStyle name="Comma [0] 2 2 11 38 2 2 5" xfId="37053" xr:uid="{00000000-0005-0000-0000-00008B0E0000}"/>
    <cellStyle name="Comma [0] 2 2 11 38 2 3" xfId="7907" xr:uid="{00000000-0005-0000-0000-00008C0E0000}"/>
    <cellStyle name="Comma [0] 2 2 11 38 2 3 2" xfId="15652" xr:uid="{00000000-0005-0000-0000-00008D0E0000}"/>
    <cellStyle name="Comma [0] 2 2 11 38 2 3 2 2" xfId="31244" xr:uid="{00000000-0005-0000-0000-00008E0E0000}"/>
    <cellStyle name="Comma [0] 2 2 11 38 2 3 2 3" xfId="46736" xr:uid="{00000000-0005-0000-0000-00008F0E0000}"/>
    <cellStyle name="Comma [0] 2 2 11 38 2 3 3" xfId="23504" xr:uid="{00000000-0005-0000-0000-0000900E0000}"/>
    <cellStyle name="Comma [0] 2 2 11 38 2 3 4" xfId="38996" xr:uid="{00000000-0005-0000-0000-0000910E0000}"/>
    <cellStyle name="Comma [0] 2 2 11 38 2 4" xfId="11782" xr:uid="{00000000-0005-0000-0000-0000920E0000}"/>
    <cellStyle name="Comma [0] 2 2 11 38 2 4 2" xfId="27374" xr:uid="{00000000-0005-0000-0000-0000930E0000}"/>
    <cellStyle name="Comma [0] 2 2 11 38 2 4 3" xfId="42866" xr:uid="{00000000-0005-0000-0000-0000940E0000}"/>
    <cellStyle name="Comma [0] 2 2 11 38 2 5" xfId="19634" xr:uid="{00000000-0005-0000-0000-0000950E0000}"/>
    <cellStyle name="Comma [0] 2 2 11 38 2 6" xfId="35126" xr:uid="{00000000-0005-0000-0000-0000960E0000}"/>
    <cellStyle name="Comma [0] 2 2 11 38 3" xfId="5015" xr:uid="{00000000-0005-0000-0000-0000970E0000}"/>
    <cellStyle name="Comma [0] 2 2 11 38 3 2" xfId="8886" xr:uid="{00000000-0005-0000-0000-0000980E0000}"/>
    <cellStyle name="Comma [0] 2 2 11 38 3 2 2" xfId="16631" xr:uid="{00000000-0005-0000-0000-0000990E0000}"/>
    <cellStyle name="Comma [0] 2 2 11 38 3 2 2 2" xfId="32223" xr:uid="{00000000-0005-0000-0000-00009A0E0000}"/>
    <cellStyle name="Comma [0] 2 2 11 38 3 2 2 3" xfId="47715" xr:uid="{00000000-0005-0000-0000-00009B0E0000}"/>
    <cellStyle name="Comma [0] 2 2 11 38 3 2 3" xfId="24483" xr:uid="{00000000-0005-0000-0000-00009C0E0000}"/>
    <cellStyle name="Comma [0] 2 2 11 38 3 2 4" xfId="39975" xr:uid="{00000000-0005-0000-0000-00009D0E0000}"/>
    <cellStyle name="Comma [0] 2 2 11 38 3 3" xfId="12761" xr:uid="{00000000-0005-0000-0000-00009E0E0000}"/>
    <cellStyle name="Comma [0] 2 2 11 38 3 3 2" xfId="28353" xr:uid="{00000000-0005-0000-0000-00009F0E0000}"/>
    <cellStyle name="Comma [0] 2 2 11 38 3 3 3" xfId="43845" xr:uid="{00000000-0005-0000-0000-0000A00E0000}"/>
    <cellStyle name="Comma [0] 2 2 11 38 3 4" xfId="20613" xr:uid="{00000000-0005-0000-0000-0000A10E0000}"/>
    <cellStyle name="Comma [0] 2 2 11 38 3 5" xfId="36105" xr:uid="{00000000-0005-0000-0000-0000A20E0000}"/>
    <cellStyle name="Comma [0] 2 2 11 38 4" xfId="6959" xr:uid="{00000000-0005-0000-0000-0000A30E0000}"/>
    <cellStyle name="Comma [0] 2 2 11 38 4 2" xfId="14704" xr:uid="{00000000-0005-0000-0000-0000A40E0000}"/>
    <cellStyle name="Comma [0] 2 2 11 38 4 2 2" xfId="30296" xr:uid="{00000000-0005-0000-0000-0000A50E0000}"/>
    <cellStyle name="Comma [0] 2 2 11 38 4 2 3" xfId="45788" xr:uid="{00000000-0005-0000-0000-0000A60E0000}"/>
    <cellStyle name="Comma [0] 2 2 11 38 4 3" xfId="22556" xr:uid="{00000000-0005-0000-0000-0000A70E0000}"/>
    <cellStyle name="Comma [0] 2 2 11 38 4 4" xfId="38048" xr:uid="{00000000-0005-0000-0000-0000A80E0000}"/>
    <cellStyle name="Comma [0] 2 2 11 38 5" xfId="10834" xr:uid="{00000000-0005-0000-0000-0000A90E0000}"/>
    <cellStyle name="Comma [0] 2 2 11 38 5 2" xfId="26426" xr:uid="{00000000-0005-0000-0000-0000AA0E0000}"/>
    <cellStyle name="Comma [0] 2 2 11 38 5 3" xfId="41918" xr:uid="{00000000-0005-0000-0000-0000AB0E0000}"/>
    <cellStyle name="Comma [0] 2 2 11 38 6" xfId="18686" xr:uid="{00000000-0005-0000-0000-0000AC0E0000}"/>
    <cellStyle name="Comma [0] 2 2 11 38 7" xfId="34178" xr:uid="{00000000-0005-0000-0000-0000AD0E0000}"/>
    <cellStyle name="Comma [0] 2 2 11 39" xfId="3066" xr:uid="{00000000-0005-0000-0000-0000AE0E0000}"/>
    <cellStyle name="Comma [0] 2 2 11 39 2" xfId="4060" xr:uid="{00000000-0005-0000-0000-0000AF0E0000}"/>
    <cellStyle name="Comma [0] 2 2 11 39 2 2" xfId="5999" xr:uid="{00000000-0005-0000-0000-0000B00E0000}"/>
    <cellStyle name="Comma [0] 2 2 11 39 2 2 2" xfId="9870" xr:uid="{00000000-0005-0000-0000-0000B10E0000}"/>
    <cellStyle name="Comma [0] 2 2 11 39 2 2 2 2" xfId="17615" xr:uid="{00000000-0005-0000-0000-0000B20E0000}"/>
    <cellStyle name="Comma [0] 2 2 11 39 2 2 2 2 2" xfId="33207" xr:uid="{00000000-0005-0000-0000-0000B30E0000}"/>
    <cellStyle name="Comma [0] 2 2 11 39 2 2 2 2 3" xfId="48699" xr:uid="{00000000-0005-0000-0000-0000B40E0000}"/>
    <cellStyle name="Comma [0] 2 2 11 39 2 2 2 3" xfId="25467" xr:uid="{00000000-0005-0000-0000-0000B50E0000}"/>
    <cellStyle name="Comma [0] 2 2 11 39 2 2 2 4" xfId="40959" xr:uid="{00000000-0005-0000-0000-0000B60E0000}"/>
    <cellStyle name="Comma [0] 2 2 11 39 2 2 3" xfId="13745" xr:uid="{00000000-0005-0000-0000-0000B70E0000}"/>
    <cellStyle name="Comma [0] 2 2 11 39 2 2 3 2" xfId="29337" xr:uid="{00000000-0005-0000-0000-0000B80E0000}"/>
    <cellStyle name="Comma [0] 2 2 11 39 2 2 3 3" xfId="44829" xr:uid="{00000000-0005-0000-0000-0000B90E0000}"/>
    <cellStyle name="Comma [0] 2 2 11 39 2 2 4" xfId="21597" xr:uid="{00000000-0005-0000-0000-0000BA0E0000}"/>
    <cellStyle name="Comma [0] 2 2 11 39 2 2 5" xfId="37089" xr:uid="{00000000-0005-0000-0000-0000BB0E0000}"/>
    <cellStyle name="Comma [0] 2 2 11 39 2 3" xfId="7943" xr:uid="{00000000-0005-0000-0000-0000BC0E0000}"/>
    <cellStyle name="Comma [0] 2 2 11 39 2 3 2" xfId="15688" xr:uid="{00000000-0005-0000-0000-0000BD0E0000}"/>
    <cellStyle name="Comma [0] 2 2 11 39 2 3 2 2" xfId="31280" xr:uid="{00000000-0005-0000-0000-0000BE0E0000}"/>
    <cellStyle name="Comma [0] 2 2 11 39 2 3 2 3" xfId="46772" xr:uid="{00000000-0005-0000-0000-0000BF0E0000}"/>
    <cellStyle name="Comma [0] 2 2 11 39 2 3 3" xfId="23540" xr:uid="{00000000-0005-0000-0000-0000C00E0000}"/>
    <cellStyle name="Comma [0] 2 2 11 39 2 3 4" xfId="39032" xr:uid="{00000000-0005-0000-0000-0000C10E0000}"/>
    <cellStyle name="Comma [0] 2 2 11 39 2 4" xfId="11818" xr:uid="{00000000-0005-0000-0000-0000C20E0000}"/>
    <cellStyle name="Comma [0] 2 2 11 39 2 4 2" xfId="27410" xr:uid="{00000000-0005-0000-0000-0000C30E0000}"/>
    <cellStyle name="Comma [0] 2 2 11 39 2 4 3" xfId="42902" xr:uid="{00000000-0005-0000-0000-0000C40E0000}"/>
    <cellStyle name="Comma [0] 2 2 11 39 2 5" xfId="19670" xr:uid="{00000000-0005-0000-0000-0000C50E0000}"/>
    <cellStyle name="Comma [0] 2 2 11 39 2 6" xfId="35162" xr:uid="{00000000-0005-0000-0000-0000C60E0000}"/>
    <cellStyle name="Comma [0] 2 2 11 39 3" xfId="5051" xr:uid="{00000000-0005-0000-0000-0000C70E0000}"/>
    <cellStyle name="Comma [0] 2 2 11 39 3 2" xfId="8922" xr:uid="{00000000-0005-0000-0000-0000C80E0000}"/>
    <cellStyle name="Comma [0] 2 2 11 39 3 2 2" xfId="16667" xr:uid="{00000000-0005-0000-0000-0000C90E0000}"/>
    <cellStyle name="Comma [0] 2 2 11 39 3 2 2 2" xfId="32259" xr:uid="{00000000-0005-0000-0000-0000CA0E0000}"/>
    <cellStyle name="Comma [0] 2 2 11 39 3 2 2 3" xfId="47751" xr:uid="{00000000-0005-0000-0000-0000CB0E0000}"/>
    <cellStyle name="Comma [0] 2 2 11 39 3 2 3" xfId="24519" xr:uid="{00000000-0005-0000-0000-0000CC0E0000}"/>
    <cellStyle name="Comma [0] 2 2 11 39 3 2 4" xfId="40011" xr:uid="{00000000-0005-0000-0000-0000CD0E0000}"/>
    <cellStyle name="Comma [0] 2 2 11 39 3 3" xfId="12797" xr:uid="{00000000-0005-0000-0000-0000CE0E0000}"/>
    <cellStyle name="Comma [0] 2 2 11 39 3 3 2" xfId="28389" xr:uid="{00000000-0005-0000-0000-0000CF0E0000}"/>
    <cellStyle name="Comma [0] 2 2 11 39 3 3 3" xfId="43881" xr:uid="{00000000-0005-0000-0000-0000D00E0000}"/>
    <cellStyle name="Comma [0] 2 2 11 39 3 4" xfId="20649" xr:uid="{00000000-0005-0000-0000-0000D10E0000}"/>
    <cellStyle name="Comma [0] 2 2 11 39 3 5" xfId="36141" xr:uid="{00000000-0005-0000-0000-0000D20E0000}"/>
    <cellStyle name="Comma [0] 2 2 11 39 4" xfId="6995" xr:uid="{00000000-0005-0000-0000-0000D30E0000}"/>
    <cellStyle name="Comma [0] 2 2 11 39 4 2" xfId="14740" xr:uid="{00000000-0005-0000-0000-0000D40E0000}"/>
    <cellStyle name="Comma [0] 2 2 11 39 4 2 2" xfId="30332" xr:uid="{00000000-0005-0000-0000-0000D50E0000}"/>
    <cellStyle name="Comma [0] 2 2 11 39 4 2 3" xfId="45824" xr:uid="{00000000-0005-0000-0000-0000D60E0000}"/>
    <cellStyle name="Comma [0] 2 2 11 39 4 3" xfId="22592" xr:uid="{00000000-0005-0000-0000-0000D70E0000}"/>
    <cellStyle name="Comma [0] 2 2 11 39 4 4" xfId="38084" xr:uid="{00000000-0005-0000-0000-0000D80E0000}"/>
    <cellStyle name="Comma [0] 2 2 11 39 5" xfId="10870" xr:uid="{00000000-0005-0000-0000-0000D90E0000}"/>
    <cellStyle name="Comma [0] 2 2 11 39 5 2" xfId="26462" xr:uid="{00000000-0005-0000-0000-0000DA0E0000}"/>
    <cellStyle name="Comma [0] 2 2 11 39 5 3" xfId="41954" xr:uid="{00000000-0005-0000-0000-0000DB0E0000}"/>
    <cellStyle name="Comma [0] 2 2 11 39 6" xfId="18722" xr:uid="{00000000-0005-0000-0000-0000DC0E0000}"/>
    <cellStyle name="Comma [0] 2 2 11 39 7" xfId="34214" xr:uid="{00000000-0005-0000-0000-0000DD0E0000}"/>
    <cellStyle name="Comma [0] 2 2 11 4" xfId="129" xr:uid="{00000000-0005-0000-0000-0000DE0E0000}"/>
    <cellStyle name="Comma [0] 2 2 11 40" xfId="3113" xr:uid="{00000000-0005-0000-0000-0000DF0E0000}"/>
    <cellStyle name="Comma [0] 2 2 11 40 2" xfId="4096" xr:uid="{00000000-0005-0000-0000-0000E00E0000}"/>
    <cellStyle name="Comma [0] 2 2 11 40 2 2" xfId="6035" xr:uid="{00000000-0005-0000-0000-0000E10E0000}"/>
    <cellStyle name="Comma [0] 2 2 11 40 2 2 2" xfId="9906" xr:uid="{00000000-0005-0000-0000-0000E20E0000}"/>
    <cellStyle name="Comma [0] 2 2 11 40 2 2 2 2" xfId="17651" xr:uid="{00000000-0005-0000-0000-0000E30E0000}"/>
    <cellStyle name="Comma [0] 2 2 11 40 2 2 2 2 2" xfId="33243" xr:uid="{00000000-0005-0000-0000-0000E40E0000}"/>
    <cellStyle name="Comma [0] 2 2 11 40 2 2 2 2 3" xfId="48735" xr:uid="{00000000-0005-0000-0000-0000E50E0000}"/>
    <cellStyle name="Comma [0] 2 2 11 40 2 2 2 3" xfId="25503" xr:uid="{00000000-0005-0000-0000-0000E60E0000}"/>
    <cellStyle name="Comma [0] 2 2 11 40 2 2 2 4" xfId="40995" xr:uid="{00000000-0005-0000-0000-0000E70E0000}"/>
    <cellStyle name="Comma [0] 2 2 11 40 2 2 3" xfId="13781" xr:uid="{00000000-0005-0000-0000-0000E80E0000}"/>
    <cellStyle name="Comma [0] 2 2 11 40 2 2 3 2" xfId="29373" xr:uid="{00000000-0005-0000-0000-0000E90E0000}"/>
    <cellStyle name="Comma [0] 2 2 11 40 2 2 3 3" xfId="44865" xr:uid="{00000000-0005-0000-0000-0000EA0E0000}"/>
    <cellStyle name="Comma [0] 2 2 11 40 2 2 4" xfId="21633" xr:uid="{00000000-0005-0000-0000-0000EB0E0000}"/>
    <cellStyle name="Comma [0] 2 2 11 40 2 2 5" xfId="37125" xr:uid="{00000000-0005-0000-0000-0000EC0E0000}"/>
    <cellStyle name="Comma [0] 2 2 11 40 2 3" xfId="7979" xr:uid="{00000000-0005-0000-0000-0000ED0E0000}"/>
    <cellStyle name="Comma [0] 2 2 11 40 2 3 2" xfId="15724" xr:uid="{00000000-0005-0000-0000-0000EE0E0000}"/>
    <cellStyle name="Comma [0] 2 2 11 40 2 3 2 2" xfId="31316" xr:uid="{00000000-0005-0000-0000-0000EF0E0000}"/>
    <cellStyle name="Comma [0] 2 2 11 40 2 3 2 3" xfId="46808" xr:uid="{00000000-0005-0000-0000-0000F00E0000}"/>
    <cellStyle name="Comma [0] 2 2 11 40 2 3 3" xfId="23576" xr:uid="{00000000-0005-0000-0000-0000F10E0000}"/>
    <cellStyle name="Comma [0] 2 2 11 40 2 3 4" xfId="39068" xr:uid="{00000000-0005-0000-0000-0000F20E0000}"/>
    <cellStyle name="Comma [0] 2 2 11 40 2 4" xfId="11854" xr:uid="{00000000-0005-0000-0000-0000F30E0000}"/>
    <cellStyle name="Comma [0] 2 2 11 40 2 4 2" xfId="27446" xr:uid="{00000000-0005-0000-0000-0000F40E0000}"/>
    <cellStyle name="Comma [0] 2 2 11 40 2 4 3" xfId="42938" xr:uid="{00000000-0005-0000-0000-0000F50E0000}"/>
    <cellStyle name="Comma [0] 2 2 11 40 2 5" xfId="19706" xr:uid="{00000000-0005-0000-0000-0000F60E0000}"/>
    <cellStyle name="Comma [0] 2 2 11 40 2 6" xfId="35198" xr:uid="{00000000-0005-0000-0000-0000F70E0000}"/>
    <cellStyle name="Comma [0] 2 2 11 40 3" xfId="5087" xr:uid="{00000000-0005-0000-0000-0000F80E0000}"/>
    <cellStyle name="Comma [0] 2 2 11 40 3 2" xfId="8958" xr:uid="{00000000-0005-0000-0000-0000F90E0000}"/>
    <cellStyle name="Comma [0] 2 2 11 40 3 2 2" xfId="16703" xr:uid="{00000000-0005-0000-0000-0000FA0E0000}"/>
    <cellStyle name="Comma [0] 2 2 11 40 3 2 2 2" xfId="32295" xr:uid="{00000000-0005-0000-0000-0000FB0E0000}"/>
    <cellStyle name="Comma [0] 2 2 11 40 3 2 2 3" xfId="47787" xr:uid="{00000000-0005-0000-0000-0000FC0E0000}"/>
    <cellStyle name="Comma [0] 2 2 11 40 3 2 3" xfId="24555" xr:uid="{00000000-0005-0000-0000-0000FD0E0000}"/>
    <cellStyle name="Comma [0] 2 2 11 40 3 2 4" xfId="40047" xr:uid="{00000000-0005-0000-0000-0000FE0E0000}"/>
    <cellStyle name="Comma [0] 2 2 11 40 3 3" xfId="12833" xr:uid="{00000000-0005-0000-0000-0000FF0E0000}"/>
    <cellStyle name="Comma [0] 2 2 11 40 3 3 2" xfId="28425" xr:uid="{00000000-0005-0000-0000-0000000F0000}"/>
    <cellStyle name="Comma [0] 2 2 11 40 3 3 3" xfId="43917" xr:uid="{00000000-0005-0000-0000-0000010F0000}"/>
    <cellStyle name="Comma [0] 2 2 11 40 3 4" xfId="20685" xr:uid="{00000000-0005-0000-0000-0000020F0000}"/>
    <cellStyle name="Comma [0] 2 2 11 40 3 5" xfId="36177" xr:uid="{00000000-0005-0000-0000-0000030F0000}"/>
    <cellStyle name="Comma [0] 2 2 11 40 4" xfId="7031" xr:uid="{00000000-0005-0000-0000-0000040F0000}"/>
    <cellStyle name="Comma [0] 2 2 11 40 4 2" xfId="14776" xr:uid="{00000000-0005-0000-0000-0000050F0000}"/>
    <cellStyle name="Comma [0] 2 2 11 40 4 2 2" xfId="30368" xr:uid="{00000000-0005-0000-0000-0000060F0000}"/>
    <cellStyle name="Comma [0] 2 2 11 40 4 2 3" xfId="45860" xr:uid="{00000000-0005-0000-0000-0000070F0000}"/>
    <cellStyle name="Comma [0] 2 2 11 40 4 3" xfId="22628" xr:uid="{00000000-0005-0000-0000-0000080F0000}"/>
    <cellStyle name="Comma [0] 2 2 11 40 4 4" xfId="38120" xr:uid="{00000000-0005-0000-0000-0000090F0000}"/>
    <cellStyle name="Comma [0] 2 2 11 40 5" xfId="10906" xr:uid="{00000000-0005-0000-0000-00000A0F0000}"/>
    <cellStyle name="Comma [0] 2 2 11 40 5 2" xfId="26498" xr:uid="{00000000-0005-0000-0000-00000B0F0000}"/>
    <cellStyle name="Comma [0] 2 2 11 40 5 3" xfId="41990" xr:uid="{00000000-0005-0000-0000-00000C0F0000}"/>
    <cellStyle name="Comma [0] 2 2 11 40 6" xfId="18758" xr:uid="{00000000-0005-0000-0000-00000D0F0000}"/>
    <cellStyle name="Comma [0] 2 2 11 40 7" xfId="34250" xr:uid="{00000000-0005-0000-0000-00000E0F0000}"/>
    <cellStyle name="Comma [0] 2 2 11 41" xfId="48846" xr:uid="{00000000-0005-0000-0000-00000F0F0000}"/>
    <cellStyle name="Comma [0] 2 2 11 5" xfId="130" xr:uid="{00000000-0005-0000-0000-0000100F0000}"/>
    <cellStyle name="Comma [0] 2 2 11 6" xfId="131" xr:uid="{00000000-0005-0000-0000-0000110F0000}"/>
    <cellStyle name="Comma [0] 2 2 11 7" xfId="132" xr:uid="{00000000-0005-0000-0000-0000120F0000}"/>
    <cellStyle name="Comma [0] 2 2 11 8" xfId="133" xr:uid="{00000000-0005-0000-0000-0000130F0000}"/>
    <cellStyle name="Comma [0] 2 2 11 9" xfId="134" xr:uid="{00000000-0005-0000-0000-0000140F0000}"/>
    <cellStyle name="Comma [0] 2 2 12" xfId="135" xr:uid="{00000000-0005-0000-0000-0000150F0000}"/>
    <cellStyle name="Comma [0] 2 2 12 10" xfId="136" xr:uid="{00000000-0005-0000-0000-0000160F0000}"/>
    <cellStyle name="Comma [0] 2 2 12 11" xfId="137" xr:uid="{00000000-0005-0000-0000-0000170F0000}"/>
    <cellStyle name="Comma [0] 2 2 12 12" xfId="138" xr:uid="{00000000-0005-0000-0000-0000180F0000}"/>
    <cellStyle name="Comma [0] 2 2 12 13" xfId="139" xr:uid="{00000000-0005-0000-0000-0000190F0000}"/>
    <cellStyle name="Comma [0] 2 2 12 14" xfId="140" xr:uid="{00000000-0005-0000-0000-00001A0F0000}"/>
    <cellStyle name="Comma [0] 2 2 12 15" xfId="141" xr:uid="{00000000-0005-0000-0000-00001B0F0000}"/>
    <cellStyle name="Comma [0] 2 2 12 16" xfId="142" xr:uid="{00000000-0005-0000-0000-00001C0F0000}"/>
    <cellStyle name="Comma [0] 2 2 12 17" xfId="143" xr:uid="{00000000-0005-0000-0000-00001D0F0000}"/>
    <cellStyle name="Comma [0] 2 2 12 18" xfId="144" xr:uid="{00000000-0005-0000-0000-00001E0F0000}"/>
    <cellStyle name="Comma [0] 2 2 12 19" xfId="145" xr:uid="{00000000-0005-0000-0000-00001F0F0000}"/>
    <cellStyle name="Comma [0] 2 2 12 2" xfId="146" xr:uid="{00000000-0005-0000-0000-0000200F0000}"/>
    <cellStyle name="Comma [0] 2 2 12 20" xfId="147" xr:uid="{00000000-0005-0000-0000-0000210F0000}"/>
    <cellStyle name="Comma [0] 2 2 12 21" xfId="148" xr:uid="{00000000-0005-0000-0000-0000220F0000}"/>
    <cellStyle name="Comma [0] 2 2 12 22" xfId="149" xr:uid="{00000000-0005-0000-0000-0000230F0000}"/>
    <cellStyle name="Comma [0] 2 2 12 23" xfId="150" xr:uid="{00000000-0005-0000-0000-0000240F0000}"/>
    <cellStyle name="Comma [0] 2 2 12 24" xfId="2161" xr:uid="{00000000-0005-0000-0000-0000250F0000}"/>
    <cellStyle name="Comma [0] 2 2 12 24 2" xfId="2509" xr:uid="{00000000-0005-0000-0000-0000260F0000}"/>
    <cellStyle name="Comma [0] 2 2 12 24 2 2" xfId="3517" xr:uid="{00000000-0005-0000-0000-0000270F0000}"/>
    <cellStyle name="Comma [0] 2 2 12 24 2 2 2" xfId="5456" xr:uid="{00000000-0005-0000-0000-0000280F0000}"/>
    <cellStyle name="Comma [0] 2 2 12 24 2 2 2 2" xfId="9327" xr:uid="{00000000-0005-0000-0000-0000290F0000}"/>
    <cellStyle name="Comma [0] 2 2 12 24 2 2 2 2 2" xfId="17072" xr:uid="{00000000-0005-0000-0000-00002A0F0000}"/>
    <cellStyle name="Comma [0] 2 2 12 24 2 2 2 2 2 2" xfId="32664" xr:uid="{00000000-0005-0000-0000-00002B0F0000}"/>
    <cellStyle name="Comma [0] 2 2 12 24 2 2 2 2 2 3" xfId="48156" xr:uid="{00000000-0005-0000-0000-00002C0F0000}"/>
    <cellStyle name="Comma [0] 2 2 12 24 2 2 2 2 3" xfId="24924" xr:uid="{00000000-0005-0000-0000-00002D0F0000}"/>
    <cellStyle name="Comma [0] 2 2 12 24 2 2 2 2 4" xfId="40416" xr:uid="{00000000-0005-0000-0000-00002E0F0000}"/>
    <cellStyle name="Comma [0] 2 2 12 24 2 2 2 3" xfId="13202" xr:uid="{00000000-0005-0000-0000-00002F0F0000}"/>
    <cellStyle name="Comma [0] 2 2 12 24 2 2 2 3 2" xfId="28794" xr:uid="{00000000-0005-0000-0000-0000300F0000}"/>
    <cellStyle name="Comma [0] 2 2 12 24 2 2 2 3 3" xfId="44286" xr:uid="{00000000-0005-0000-0000-0000310F0000}"/>
    <cellStyle name="Comma [0] 2 2 12 24 2 2 2 4" xfId="21054" xr:uid="{00000000-0005-0000-0000-0000320F0000}"/>
    <cellStyle name="Comma [0] 2 2 12 24 2 2 2 5" xfId="36546" xr:uid="{00000000-0005-0000-0000-0000330F0000}"/>
    <cellStyle name="Comma [0] 2 2 12 24 2 2 3" xfId="7400" xr:uid="{00000000-0005-0000-0000-0000340F0000}"/>
    <cellStyle name="Comma [0] 2 2 12 24 2 2 3 2" xfId="15145" xr:uid="{00000000-0005-0000-0000-0000350F0000}"/>
    <cellStyle name="Comma [0] 2 2 12 24 2 2 3 2 2" xfId="30737" xr:uid="{00000000-0005-0000-0000-0000360F0000}"/>
    <cellStyle name="Comma [0] 2 2 12 24 2 2 3 2 3" xfId="46229" xr:uid="{00000000-0005-0000-0000-0000370F0000}"/>
    <cellStyle name="Comma [0] 2 2 12 24 2 2 3 3" xfId="22997" xr:uid="{00000000-0005-0000-0000-0000380F0000}"/>
    <cellStyle name="Comma [0] 2 2 12 24 2 2 3 4" xfId="38489" xr:uid="{00000000-0005-0000-0000-0000390F0000}"/>
    <cellStyle name="Comma [0] 2 2 12 24 2 2 4" xfId="11275" xr:uid="{00000000-0005-0000-0000-00003A0F0000}"/>
    <cellStyle name="Comma [0] 2 2 12 24 2 2 4 2" xfId="26867" xr:uid="{00000000-0005-0000-0000-00003B0F0000}"/>
    <cellStyle name="Comma [0] 2 2 12 24 2 2 4 3" xfId="42359" xr:uid="{00000000-0005-0000-0000-00003C0F0000}"/>
    <cellStyle name="Comma [0] 2 2 12 24 2 2 5" xfId="19127" xr:uid="{00000000-0005-0000-0000-00003D0F0000}"/>
    <cellStyle name="Comma [0] 2 2 12 24 2 2 6" xfId="34619" xr:uid="{00000000-0005-0000-0000-00003E0F0000}"/>
    <cellStyle name="Comma [0] 2 2 12 24 2 3" xfId="4508" xr:uid="{00000000-0005-0000-0000-00003F0F0000}"/>
    <cellStyle name="Comma [0] 2 2 12 24 2 3 2" xfId="8379" xr:uid="{00000000-0005-0000-0000-0000400F0000}"/>
    <cellStyle name="Comma [0] 2 2 12 24 2 3 2 2" xfId="16124" xr:uid="{00000000-0005-0000-0000-0000410F0000}"/>
    <cellStyle name="Comma [0] 2 2 12 24 2 3 2 2 2" xfId="31716" xr:uid="{00000000-0005-0000-0000-0000420F0000}"/>
    <cellStyle name="Comma [0] 2 2 12 24 2 3 2 2 3" xfId="47208" xr:uid="{00000000-0005-0000-0000-0000430F0000}"/>
    <cellStyle name="Comma [0] 2 2 12 24 2 3 2 3" xfId="23976" xr:uid="{00000000-0005-0000-0000-0000440F0000}"/>
    <cellStyle name="Comma [0] 2 2 12 24 2 3 2 4" xfId="39468" xr:uid="{00000000-0005-0000-0000-0000450F0000}"/>
    <cellStyle name="Comma [0] 2 2 12 24 2 3 3" xfId="12254" xr:uid="{00000000-0005-0000-0000-0000460F0000}"/>
    <cellStyle name="Comma [0] 2 2 12 24 2 3 3 2" xfId="27846" xr:uid="{00000000-0005-0000-0000-0000470F0000}"/>
    <cellStyle name="Comma [0] 2 2 12 24 2 3 3 3" xfId="43338" xr:uid="{00000000-0005-0000-0000-0000480F0000}"/>
    <cellStyle name="Comma [0] 2 2 12 24 2 3 4" xfId="20106" xr:uid="{00000000-0005-0000-0000-0000490F0000}"/>
    <cellStyle name="Comma [0] 2 2 12 24 2 3 5" xfId="35598" xr:uid="{00000000-0005-0000-0000-00004A0F0000}"/>
    <cellStyle name="Comma [0] 2 2 12 24 2 4" xfId="6452" xr:uid="{00000000-0005-0000-0000-00004B0F0000}"/>
    <cellStyle name="Comma [0] 2 2 12 24 2 4 2" xfId="14197" xr:uid="{00000000-0005-0000-0000-00004C0F0000}"/>
    <cellStyle name="Comma [0] 2 2 12 24 2 4 2 2" xfId="29789" xr:uid="{00000000-0005-0000-0000-00004D0F0000}"/>
    <cellStyle name="Comma [0] 2 2 12 24 2 4 2 3" xfId="45281" xr:uid="{00000000-0005-0000-0000-00004E0F0000}"/>
    <cellStyle name="Comma [0] 2 2 12 24 2 4 3" xfId="22049" xr:uid="{00000000-0005-0000-0000-00004F0F0000}"/>
    <cellStyle name="Comma [0] 2 2 12 24 2 4 4" xfId="37541" xr:uid="{00000000-0005-0000-0000-0000500F0000}"/>
    <cellStyle name="Comma [0] 2 2 12 24 2 5" xfId="10327" xr:uid="{00000000-0005-0000-0000-0000510F0000}"/>
    <cellStyle name="Comma [0] 2 2 12 24 2 5 2" xfId="25919" xr:uid="{00000000-0005-0000-0000-0000520F0000}"/>
    <cellStyle name="Comma [0] 2 2 12 24 2 5 3" xfId="41411" xr:uid="{00000000-0005-0000-0000-0000530F0000}"/>
    <cellStyle name="Comma [0] 2 2 12 24 2 6" xfId="18179" xr:uid="{00000000-0005-0000-0000-0000540F0000}"/>
    <cellStyle name="Comma [0] 2 2 12 24 2 7" xfId="33671" xr:uid="{00000000-0005-0000-0000-0000550F0000}"/>
    <cellStyle name="Comma [0] 2 2 12 24 3" xfId="3208" xr:uid="{00000000-0005-0000-0000-0000560F0000}"/>
    <cellStyle name="Comma [0] 2 2 12 24 3 2" xfId="5147" xr:uid="{00000000-0005-0000-0000-0000570F0000}"/>
    <cellStyle name="Comma [0] 2 2 12 24 3 2 2" xfId="9018" xr:uid="{00000000-0005-0000-0000-0000580F0000}"/>
    <cellStyle name="Comma [0] 2 2 12 24 3 2 2 2" xfId="16763" xr:uid="{00000000-0005-0000-0000-0000590F0000}"/>
    <cellStyle name="Comma [0] 2 2 12 24 3 2 2 2 2" xfId="32355" xr:uid="{00000000-0005-0000-0000-00005A0F0000}"/>
    <cellStyle name="Comma [0] 2 2 12 24 3 2 2 2 3" xfId="47847" xr:uid="{00000000-0005-0000-0000-00005B0F0000}"/>
    <cellStyle name="Comma [0] 2 2 12 24 3 2 2 3" xfId="24615" xr:uid="{00000000-0005-0000-0000-00005C0F0000}"/>
    <cellStyle name="Comma [0] 2 2 12 24 3 2 2 4" xfId="40107" xr:uid="{00000000-0005-0000-0000-00005D0F0000}"/>
    <cellStyle name="Comma [0] 2 2 12 24 3 2 3" xfId="12893" xr:uid="{00000000-0005-0000-0000-00005E0F0000}"/>
    <cellStyle name="Comma [0] 2 2 12 24 3 2 3 2" xfId="28485" xr:uid="{00000000-0005-0000-0000-00005F0F0000}"/>
    <cellStyle name="Comma [0] 2 2 12 24 3 2 3 3" xfId="43977" xr:uid="{00000000-0005-0000-0000-0000600F0000}"/>
    <cellStyle name="Comma [0] 2 2 12 24 3 2 4" xfId="20745" xr:uid="{00000000-0005-0000-0000-0000610F0000}"/>
    <cellStyle name="Comma [0] 2 2 12 24 3 2 5" xfId="36237" xr:uid="{00000000-0005-0000-0000-0000620F0000}"/>
    <cellStyle name="Comma [0] 2 2 12 24 3 3" xfId="7091" xr:uid="{00000000-0005-0000-0000-0000630F0000}"/>
    <cellStyle name="Comma [0] 2 2 12 24 3 3 2" xfId="14836" xr:uid="{00000000-0005-0000-0000-0000640F0000}"/>
    <cellStyle name="Comma [0] 2 2 12 24 3 3 2 2" xfId="30428" xr:uid="{00000000-0005-0000-0000-0000650F0000}"/>
    <cellStyle name="Comma [0] 2 2 12 24 3 3 2 3" xfId="45920" xr:uid="{00000000-0005-0000-0000-0000660F0000}"/>
    <cellStyle name="Comma [0] 2 2 12 24 3 3 3" xfId="22688" xr:uid="{00000000-0005-0000-0000-0000670F0000}"/>
    <cellStyle name="Comma [0] 2 2 12 24 3 3 4" xfId="38180" xr:uid="{00000000-0005-0000-0000-0000680F0000}"/>
    <cellStyle name="Comma [0] 2 2 12 24 3 4" xfId="10966" xr:uid="{00000000-0005-0000-0000-0000690F0000}"/>
    <cellStyle name="Comma [0] 2 2 12 24 3 4 2" xfId="26558" xr:uid="{00000000-0005-0000-0000-00006A0F0000}"/>
    <cellStyle name="Comma [0] 2 2 12 24 3 4 3" xfId="42050" xr:uid="{00000000-0005-0000-0000-00006B0F0000}"/>
    <cellStyle name="Comma [0] 2 2 12 24 3 5" xfId="18818" xr:uid="{00000000-0005-0000-0000-00006C0F0000}"/>
    <cellStyle name="Comma [0] 2 2 12 24 3 6" xfId="34310" xr:uid="{00000000-0005-0000-0000-00006D0F0000}"/>
    <cellStyle name="Comma [0] 2 2 12 24 4" xfId="4199" xr:uid="{00000000-0005-0000-0000-00006E0F0000}"/>
    <cellStyle name="Comma [0] 2 2 12 24 4 2" xfId="8070" xr:uid="{00000000-0005-0000-0000-00006F0F0000}"/>
    <cellStyle name="Comma [0] 2 2 12 24 4 2 2" xfId="15815" xr:uid="{00000000-0005-0000-0000-0000700F0000}"/>
    <cellStyle name="Comma [0] 2 2 12 24 4 2 2 2" xfId="31407" xr:uid="{00000000-0005-0000-0000-0000710F0000}"/>
    <cellStyle name="Comma [0] 2 2 12 24 4 2 2 3" xfId="46899" xr:uid="{00000000-0005-0000-0000-0000720F0000}"/>
    <cellStyle name="Comma [0] 2 2 12 24 4 2 3" xfId="23667" xr:uid="{00000000-0005-0000-0000-0000730F0000}"/>
    <cellStyle name="Comma [0] 2 2 12 24 4 2 4" xfId="39159" xr:uid="{00000000-0005-0000-0000-0000740F0000}"/>
    <cellStyle name="Comma [0] 2 2 12 24 4 3" xfId="11945" xr:uid="{00000000-0005-0000-0000-0000750F0000}"/>
    <cellStyle name="Comma [0] 2 2 12 24 4 3 2" xfId="27537" xr:uid="{00000000-0005-0000-0000-0000760F0000}"/>
    <cellStyle name="Comma [0] 2 2 12 24 4 3 3" xfId="43029" xr:uid="{00000000-0005-0000-0000-0000770F0000}"/>
    <cellStyle name="Comma [0] 2 2 12 24 4 4" xfId="19797" xr:uid="{00000000-0005-0000-0000-0000780F0000}"/>
    <cellStyle name="Comma [0] 2 2 12 24 4 5" xfId="35289" xr:uid="{00000000-0005-0000-0000-0000790F0000}"/>
    <cellStyle name="Comma [0] 2 2 12 24 5" xfId="6143" xr:uid="{00000000-0005-0000-0000-00007A0F0000}"/>
    <cellStyle name="Comma [0] 2 2 12 24 5 2" xfId="13888" xr:uid="{00000000-0005-0000-0000-00007B0F0000}"/>
    <cellStyle name="Comma [0] 2 2 12 24 5 2 2" xfId="29480" xr:uid="{00000000-0005-0000-0000-00007C0F0000}"/>
    <cellStyle name="Comma [0] 2 2 12 24 5 2 3" xfId="44972" xr:uid="{00000000-0005-0000-0000-00007D0F0000}"/>
    <cellStyle name="Comma [0] 2 2 12 24 5 3" xfId="21740" xr:uid="{00000000-0005-0000-0000-00007E0F0000}"/>
    <cellStyle name="Comma [0] 2 2 12 24 5 4" xfId="37232" xr:uid="{00000000-0005-0000-0000-00007F0F0000}"/>
    <cellStyle name="Comma [0] 2 2 12 24 6" xfId="10018" xr:uid="{00000000-0005-0000-0000-0000800F0000}"/>
    <cellStyle name="Comma [0] 2 2 12 24 6 2" xfId="25610" xr:uid="{00000000-0005-0000-0000-0000810F0000}"/>
    <cellStyle name="Comma [0] 2 2 12 24 6 3" xfId="41102" xr:uid="{00000000-0005-0000-0000-0000820F0000}"/>
    <cellStyle name="Comma [0] 2 2 12 24 7" xfId="17870" xr:uid="{00000000-0005-0000-0000-0000830F0000}"/>
    <cellStyle name="Comma [0] 2 2 12 24 8" xfId="33362" xr:uid="{00000000-0005-0000-0000-0000840F0000}"/>
    <cellStyle name="Comma [0] 2 2 12 25" xfId="2230" xr:uid="{00000000-0005-0000-0000-0000850F0000}"/>
    <cellStyle name="Comma [0] 2 2 12 25 2" xfId="2547" xr:uid="{00000000-0005-0000-0000-0000860F0000}"/>
    <cellStyle name="Comma [0] 2 2 12 25 2 2" xfId="3555" xr:uid="{00000000-0005-0000-0000-0000870F0000}"/>
    <cellStyle name="Comma [0] 2 2 12 25 2 2 2" xfId="5494" xr:uid="{00000000-0005-0000-0000-0000880F0000}"/>
    <cellStyle name="Comma [0] 2 2 12 25 2 2 2 2" xfId="9365" xr:uid="{00000000-0005-0000-0000-0000890F0000}"/>
    <cellStyle name="Comma [0] 2 2 12 25 2 2 2 2 2" xfId="17110" xr:uid="{00000000-0005-0000-0000-00008A0F0000}"/>
    <cellStyle name="Comma [0] 2 2 12 25 2 2 2 2 2 2" xfId="32702" xr:uid="{00000000-0005-0000-0000-00008B0F0000}"/>
    <cellStyle name="Comma [0] 2 2 12 25 2 2 2 2 2 3" xfId="48194" xr:uid="{00000000-0005-0000-0000-00008C0F0000}"/>
    <cellStyle name="Comma [0] 2 2 12 25 2 2 2 2 3" xfId="24962" xr:uid="{00000000-0005-0000-0000-00008D0F0000}"/>
    <cellStyle name="Comma [0] 2 2 12 25 2 2 2 2 4" xfId="40454" xr:uid="{00000000-0005-0000-0000-00008E0F0000}"/>
    <cellStyle name="Comma [0] 2 2 12 25 2 2 2 3" xfId="13240" xr:uid="{00000000-0005-0000-0000-00008F0F0000}"/>
    <cellStyle name="Comma [0] 2 2 12 25 2 2 2 3 2" xfId="28832" xr:uid="{00000000-0005-0000-0000-0000900F0000}"/>
    <cellStyle name="Comma [0] 2 2 12 25 2 2 2 3 3" xfId="44324" xr:uid="{00000000-0005-0000-0000-0000910F0000}"/>
    <cellStyle name="Comma [0] 2 2 12 25 2 2 2 4" xfId="21092" xr:uid="{00000000-0005-0000-0000-0000920F0000}"/>
    <cellStyle name="Comma [0] 2 2 12 25 2 2 2 5" xfId="36584" xr:uid="{00000000-0005-0000-0000-0000930F0000}"/>
    <cellStyle name="Comma [0] 2 2 12 25 2 2 3" xfId="7438" xr:uid="{00000000-0005-0000-0000-0000940F0000}"/>
    <cellStyle name="Comma [0] 2 2 12 25 2 2 3 2" xfId="15183" xr:uid="{00000000-0005-0000-0000-0000950F0000}"/>
    <cellStyle name="Comma [0] 2 2 12 25 2 2 3 2 2" xfId="30775" xr:uid="{00000000-0005-0000-0000-0000960F0000}"/>
    <cellStyle name="Comma [0] 2 2 12 25 2 2 3 2 3" xfId="46267" xr:uid="{00000000-0005-0000-0000-0000970F0000}"/>
    <cellStyle name="Comma [0] 2 2 12 25 2 2 3 3" xfId="23035" xr:uid="{00000000-0005-0000-0000-0000980F0000}"/>
    <cellStyle name="Comma [0] 2 2 12 25 2 2 3 4" xfId="38527" xr:uid="{00000000-0005-0000-0000-0000990F0000}"/>
    <cellStyle name="Comma [0] 2 2 12 25 2 2 4" xfId="11313" xr:uid="{00000000-0005-0000-0000-00009A0F0000}"/>
    <cellStyle name="Comma [0] 2 2 12 25 2 2 4 2" xfId="26905" xr:uid="{00000000-0005-0000-0000-00009B0F0000}"/>
    <cellStyle name="Comma [0] 2 2 12 25 2 2 4 3" xfId="42397" xr:uid="{00000000-0005-0000-0000-00009C0F0000}"/>
    <cellStyle name="Comma [0] 2 2 12 25 2 2 5" xfId="19165" xr:uid="{00000000-0005-0000-0000-00009D0F0000}"/>
    <cellStyle name="Comma [0] 2 2 12 25 2 2 6" xfId="34657" xr:uid="{00000000-0005-0000-0000-00009E0F0000}"/>
    <cellStyle name="Comma [0] 2 2 12 25 2 3" xfId="4546" xr:uid="{00000000-0005-0000-0000-00009F0F0000}"/>
    <cellStyle name="Comma [0] 2 2 12 25 2 3 2" xfId="8417" xr:uid="{00000000-0005-0000-0000-0000A00F0000}"/>
    <cellStyle name="Comma [0] 2 2 12 25 2 3 2 2" xfId="16162" xr:uid="{00000000-0005-0000-0000-0000A10F0000}"/>
    <cellStyle name="Comma [0] 2 2 12 25 2 3 2 2 2" xfId="31754" xr:uid="{00000000-0005-0000-0000-0000A20F0000}"/>
    <cellStyle name="Comma [0] 2 2 12 25 2 3 2 2 3" xfId="47246" xr:uid="{00000000-0005-0000-0000-0000A30F0000}"/>
    <cellStyle name="Comma [0] 2 2 12 25 2 3 2 3" xfId="24014" xr:uid="{00000000-0005-0000-0000-0000A40F0000}"/>
    <cellStyle name="Comma [0] 2 2 12 25 2 3 2 4" xfId="39506" xr:uid="{00000000-0005-0000-0000-0000A50F0000}"/>
    <cellStyle name="Comma [0] 2 2 12 25 2 3 3" xfId="12292" xr:uid="{00000000-0005-0000-0000-0000A60F0000}"/>
    <cellStyle name="Comma [0] 2 2 12 25 2 3 3 2" xfId="27884" xr:uid="{00000000-0005-0000-0000-0000A70F0000}"/>
    <cellStyle name="Comma [0] 2 2 12 25 2 3 3 3" xfId="43376" xr:uid="{00000000-0005-0000-0000-0000A80F0000}"/>
    <cellStyle name="Comma [0] 2 2 12 25 2 3 4" xfId="20144" xr:uid="{00000000-0005-0000-0000-0000A90F0000}"/>
    <cellStyle name="Comma [0] 2 2 12 25 2 3 5" xfId="35636" xr:uid="{00000000-0005-0000-0000-0000AA0F0000}"/>
    <cellStyle name="Comma [0] 2 2 12 25 2 4" xfId="6490" xr:uid="{00000000-0005-0000-0000-0000AB0F0000}"/>
    <cellStyle name="Comma [0] 2 2 12 25 2 4 2" xfId="14235" xr:uid="{00000000-0005-0000-0000-0000AC0F0000}"/>
    <cellStyle name="Comma [0] 2 2 12 25 2 4 2 2" xfId="29827" xr:uid="{00000000-0005-0000-0000-0000AD0F0000}"/>
    <cellStyle name="Comma [0] 2 2 12 25 2 4 2 3" xfId="45319" xr:uid="{00000000-0005-0000-0000-0000AE0F0000}"/>
    <cellStyle name="Comma [0] 2 2 12 25 2 4 3" xfId="22087" xr:uid="{00000000-0005-0000-0000-0000AF0F0000}"/>
    <cellStyle name="Comma [0] 2 2 12 25 2 4 4" xfId="37579" xr:uid="{00000000-0005-0000-0000-0000B00F0000}"/>
    <cellStyle name="Comma [0] 2 2 12 25 2 5" xfId="10365" xr:uid="{00000000-0005-0000-0000-0000B10F0000}"/>
    <cellStyle name="Comma [0] 2 2 12 25 2 5 2" xfId="25957" xr:uid="{00000000-0005-0000-0000-0000B20F0000}"/>
    <cellStyle name="Comma [0] 2 2 12 25 2 5 3" xfId="41449" xr:uid="{00000000-0005-0000-0000-0000B30F0000}"/>
    <cellStyle name="Comma [0] 2 2 12 25 2 6" xfId="18217" xr:uid="{00000000-0005-0000-0000-0000B40F0000}"/>
    <cellStyle name="Comma [0] 2 2 12 25 2 7" xfId="33709" xr:uid="{00000000-0005-0000-0000-0000B50F0000}"/>
    <cellStyle name="Comma [0] 2 2 12 25 3" xfId="3246" xr:uid="{00000000-0005-0000-0000-0000B60F0000}"/>
    <cellStyle name="Comma [0] 2 2 12 25 3 2" xfId="5185" xr:uid="{00000000-0005-0000-0000-0000B70F0000}"/>
    <cellStyle name="Comma [0] 2 2 12 25 3 2 2" xfId="9056" xr:uid="{00000000-0005-0000-0000-0000B80F0000}"/>
    <cellStyle name="Comma [0] 2 2 12 25 3 2 2 2" xfId="16801" xr:uid="{00000000-0005-0000-0000-0000B90F0000}"/>
    <cellStyle name="Comma [0] 2 2 12 25 3 2 2 2 2" xfId="32393" xr:uid="{00000000-0005-0000-0000-0000BA0F0000}"/>
    <cellStyle name="Comma [0] 2 2 12 25 3 2 2 2 3" xfId="47885" xr:uid="{00000000-0005-0000-0000-0000BB0F0000}"/>
    <cellStyle name="Comma [0] 2 2 12 25 3 2 2 3" xfId="24653" xr:uid="{00000000-0005-0000-0000-0000BC0F0000}"/>
    <cellStyle name="Comma [0] 2 2 12 25 3 2 2 4" xfId="40145" xr:uid="{00000000-0005-0000-0000-0000BD0F0000}"/>
    <cellStyle name="Comma [0] 2 2 12 25 3 2 3" xfId="12931" xr:uid="{00000000-0005-0000-0000-0000BE0F0000}"/>
    <cellStyle name="Comma [0] 2 2 12 25 3 2 3 2" xfId="28523" xr:uid="{00000000-0005-0000-0000-0000BF0F0000}"/>
    <cellStyle name="Comma [0] 2 2 12 25 3 2 3 3" xfId="44015" xr:uid="{00000000-0005-0000-0000-0000C00F0000}"/>
    <cellStyle name="Comma [0] 2 2 12 25 3 2 4" xfId="20783" xr:uid="{00000000-0005-0000-0000-0000C10F0000}"/>
    <cellStyle name="Comma [0] 2 2 12 25 3 2 5" xfId="36275" xr:uid="{00000000-0005-0000-0000-0000C20F0000}"/>
    <cellStyle name="Comma [0] 2 2 12 25 3 3" xfId="7129" xr:uid="{00000000-0005-0000-0000-0000C30F0000}"/>
    <cellStyle name="Comma [0] 2 2 12 25 3 3 2" xfId="14874" xr:uid="{00000000-0005-0000-0000-0000C40F0000}"/>
    <cellStyle name="Comma [0] 2 2 12 25 3 3 2 2" xfId="30466" xr:uid="{00000000-0005-0000-0000-0000C50F0000}"/>
    <cellStyle name="Comma [0] 2 2 12 25 3 3 2 3" xfId="45958" xr:uid="{00000000-0005-0000-0000-0000C60F0000}"/>
    <cellStyle name="Comma [0] 2 2 12 25 3 3 3" xfId="22726" xr:uid="{00000000-0005-0000-0000-0000C70F0000}"/>
    <cellStyle name="Comma [0] 2 2 12 25 3 3 4" xfId="38218" xr:uid="{00000000-0005-0000-0000-0000C80F0000}"/>
    <cellStyle name="Comma [0] 2 2 12 25 3 4" xfId="11004" xr:uid="{00000000-0005-0000-0000-0000C90F0000}"/>
    <cellStyle name="Comma [0] 2 2 12 25 3 4 2" xfId="26596" xr:uid="{00000000-0005-0000-0000-0000CA0F0000}"/>
    <cellStyle name="Comma [0] 2 2 12 25 3 4 3" xfId="42088" xr:uid="{00000000-0005-0000-0000-0000CB0F0000}"/>
    <cellStyle name="Comma [0] 2 2 12 25 3 5" xfId="18856" xr:uid="{00000000-0005-0000-0000-0000CC0F0000}"/>
    <cellStyle name="Comma [0] 2 2 12 25 3 6" xfId="34348" xr:uid="{00000000-0005-0000-0000-0000CD0F0000}"/>
    <cellStyle name="Comma [0] 2 2 12 25 4" xfId="4237" xr:uid="{00000000-0005-0000-0000-0000CE0F0000}"/>
    <cellStyle name="Comma [0] 2 2 12 25 4 2" xfId="8108" xr:uid="{00000000-0005-0000-0000-0000CF0F0000}"/>
    <cellStyle name="Comma [0] 2 2 12 25 4 2 2" xfId="15853" xr:uid="{00000000-0005-0000-0000-0000D00F0000}"/>
    <cellStyle name="Comma [0] 2 2 12 25 4 2 2 2" xfId="31445" xr:uid="{00000000-0005-0000-0000-0000D10F0000}"/>
    <cellStyle name="Comma [0] 2 2 12 25 4 2 2 3" xfId="46937" xr:uid="{00000000-0005-0000-0000-0000D20F0000}"/>
    <cellStyle name="Comma [0] 2 2 12 25 4 2 3" xfId="23705" xr:uid="{00000000-0005-0000-0000-0000D30F0000}"/>
    <cellStyle name="Comma [0] 2 2 12 25 4 2 4" xfId="39197" xr:uid="{00000000-0005-0000-0000-0000D40F0000}"/>
    <cellStyle name="Comma [0] 2 2 12 25 4 3" xfId="11983" xr:uid="{00000000-0005-0000-0000-0000D50F0000}"/>
    <cellStyle name="Comma [0] 2 2 12 25 4 3 2" xfId="27575" xr:uid="{00000000-0005-0000-0000-0000D60F0000}"/>
    <cellStyle name="Comma [0] 2 2 12 25 4 3 3" xfId="43067" xr:uid="{00000000-0005-0000-0000-0000D70F0000}"/>
    <cellStyle name="Comma [0] 2 2 12 25 4 4" xfId="19835" xr:uid="{00000000-0005-0000-0000-0000D80F0000}"/>
    <cellStyle name="Comma [0] 2 2 12 25 4 5" xfId="35327" xr:uid="{00000000-0005-0000-0000-0000D90F0000}"/>
    <cellStyle name="Comma [0] 2 2 12 25 5" xfId="6181" xr:uid="{00000000-0005-0000-0000-0000DA0F0000}"/>
    <cellStyle name="Comma [0] 2 2 12 25 5 2" xfId="13926" xr:uid="{00000000-0005-0000-0000-0000DB0F0000}"/>
    <cellStyle name="Comma [0] 2 2 12 25 5 2 2" xfId="29518" xr:uid="{00000000-0005-0000-0000-0000DC0F0000}"/>
    <cellStyle name="Comma [0] 2 2 12 25 5 2 3" xfId="45010" xr:uid="{00000000-0005-0000-0000-0000DD0F0000}"/>
    <cellStyle name="Comma [0] 2 2 12 25 5 3" xfId="21778" xr:uid="{00000000-0005-0000-0000-0000DE0F0000}"/>
    <cellStyle name="Comma [0] 2 2 12 25 5 4" xfId="37270" xr:uid="{00000000-0005-0000-0000-0000DF0F0000}"/>
    <cellStyle name="Comma [0] 2 2 12 25 6" xfId="10056" xr:uid="{00000000-0005-0000-0000-0000E00F0000}"/>
    <cellStyle name="Comma [0] 2 2 12 25 6 2" xfId="25648" xr:uid="{00000000-0005-0000-0000-0000E10F0000}"/>
    <cellStyle name="Comma [0] 2 2 12 25 6 3" xfId="41140" xr:uid="{00000000-0005-0000-0000-0000E20F0000}"/>
    <cellStyle name="Comma [0] 2 2 12 25 7" xfId="17908" xr:uid="{00000000-0005-0000-0000-0000E30F0000}"/>
    <cellStyle name="Comma [0] 2 2 12 25 8" xfId="33400" xr:uid="{00000000-0005-0000-0000-0000E40F0000}"/>
    <cellStyle name="Comma [0] 2 2 12 26" xfId="2267" xr:uid="{00000000-0005-0000-0000-0000E50F0000}"/>
    <cellStyle name="Comma [0] 2 2 12 26 2" xfId="2583" xr:uid="{00000000-0005-0000-0000-0000E60F0000}"/>
    <cellStyle name="Comma [0] 2 2 12 26 2 2" xfId="3591" xr:uid="{00000000-0005-0000-0000-0000E70F0000}"/>
    <cellStyle name="Comma [0] 2 2 12 26 2 2 2" xfId="5530" xr:uid="{00000000-0005-0000-0000-0000E80F0000}"/>
    <cellStyle name="Comma [0] 2 2 12 26 2 2 2 2" xfId="9401" xr:uid="{00000000-0005-0000-0000-0000E90F0000}"/>
    <cellStyle name="Comma [0] 2 2 12 26 2 2 2 2 2" xfId="17146" xr:uid="{00000000-0005-0000-0000-0000EA0F0000}"/>
    <cellStyle name="Comma [0] 2 2 12 26 2 2 2 2 2 2" xfId="32738" xr:uid="{00000000-0005-0000-0000-0000EB0F0000}"/>
    <cellStyle name="Comma [0] 2 2 12 26 2 2 2 2 2 3" xfId="48230" xr:uid="{00000000-0005-0000-0000-0000EC0F0000}"/>
    <cellStyle name="Comma [0] 2 2 12 26 2 2 2 2 3" xfId="24998" xr:uid="{00000000-0005-0000-0000-0000ED0F0000}"/>
    <cellStyle name="Comma [0] 2 2 12 26 2 2 2 2 4" xfId="40490" xr:uid="{00000000-0005-0000-0000-0000EE0F0000}"/>
    <cellStyle name="Comma [0] 2 2 12 26 2 2 2 3" xfId="13276" xr:uid="{00000000-0005-0000-0000-0000EF0F0000}"/>
    <cellStyle name="Comma [0] 2 2 12 26 2 2 2 3 2" xfId="28868" xr:uid="{00000000-0005-0000-0000-0000F00F0000}"/>
    <cellStyle name="Comma [0] 2 2 12 26 2 2 2 3 3" xfId="44360" xr:uid="{00000000-0005-0000-0000-0000F10F0000}"/>
    <cellStyle name="Comma [0] 2 2 12 26 2 2 2 4" xfId="21128" xr:uid="{00000000-0005-0000-0000-0000F20F0000}"/>
    <cellStyle name="Comma [0] 2 2 12 26 2 2 2 5" xfId="36620" xr:uid="{00000000-0005-0000-0000-0000F30F0000}"/>
    <cellStyle name="Comma [0] 2 2 12 26 2 2 3" xfId="7474" xr:uid="{00000000-0005-0000-0000-0000F40F0000}"/>
    <cellStyle name="Comma [0] 2 2 12 26 2 2 3 2" xfId="15219" xr:uid="{00000000-0005-0000-0000-0000F50F0000}"/>
    <cellStyle name="Comma [0] 2 2 12 26 2 2 3 2 2" xfId="30811" xr:uid="{00000000-0005-0000-0000-0000F60F0000}"/>
    <cellStyle name="Comma [0] 2 2 12 26 2 2 3 2 3" xfId="46303" xr:uid="{00000000-0005-0000-0000-0000F70F0000}"/>
    <cellStyle name="Comma [0] 2 2 12 26 2 2 3 3" xfId="23071" xr:uid="{00000000-0005-0000-0000-0000F80F0000}"/>
    <cellStyle name="Comma [0] 2 2 12 26 2 2 3 4" xfId="38563" xr:uid="{00000000-0005-0000-0000-0000F90F0000}"/>
    <cellStyle name="Comma [0] 2 2 12 26 2 2 4" xfId="11349" xr:uid="{00000000-0005-0000-0000-0000FA0F0000}"/>
    <cellStyle name="Comma [0] 2 2 12 26 2 2 4 2" xfId="26941" xr:uid="{00000000-0005-0000-0000-0000FB0F0000}"/>
    <cellStyle name="Comma [0] 2 2 12 26 2 2 4 3" xfId="42433" xr:uid="{00000000-0005-0000-0000-0000FC0F0000}"/>
    <cellStyle name="Comma [0] 2 2 12 26 2 2 5" xfId="19201" xr:uid="{00000000-0005-0000-0000-0000FD0F0000}"/>
    <cellStyle name="Comma [0] 2 2 12 26 2 2 6" xfId="34693" xr:uid="{00000000-0005-0000-0000-0000FE0F0000}"/>
    <cellStyle name="Comma [0] 2 2 12 26 2 3" xfId="4582" xr:uid="{00000000-0005-0000-0000-0000FF0F0000}"/>
    <cellStyle name="Comma [0] 2 2 12 26 2 3 2" xfId="8453" xr:uid="{00000000-0005-0000-0000-000000100000}"/>
    <cellStyle name="Comma [0] 2 2 12 26 2 3 2 2" xfId="16198" xr:uid="{00000000-0005-0000-0000-000001100000}"/>
    <cellStyle name="Comma [0] 2 2 12 26 2 3 2 2 2" xfId="31790" xr:uid="{00000000-0005-0000-0000-000002100000}"/>
    <cellStyle name="Comma [0] 2 2 12 26 2 3 2 2 3" xfId="47282" xr:uid="{00000000-0005-0000-0000-000003100000}"/>
    <cellStyle name="Comma [0] 2 2 12 26 2 3 2 3" xfId="24050" xr:uid="{00000000-0005-0000-0000-000004100000}"/>
    <cellStyle name="Comma [0] 2 2 12 26 2 3 2 4" xfId="39542" xr:uid="{00000000-0005-0000-0000-000005100000}"/>
    <cellStyle name="Comma [0] 2 2 12 26 2 3 3" xfId="12328" xr:uid="{00000000-0005-0000-0000-000006100000}"/>
    <cellStyle name="Comma [0] 2 2 12 26 2 3 3 2" xfId="27920" xr:uid="{00000000-0005-0000-0000-000007100000}"/>
    <cellStyle name="Comma [0] 2 2 12 26 2 3 3 3" xfId="43412" xr:uid="{00000000-0005-0000-0000-000008100000}"/>
    <cellStyle name="Comma [0] 2 2 12 26 2 3 4" xfId="20180" xr:uid="{00000000-0005-0000-0000-000009100000}"/>
    <cellStyle name="Comma [0] 2 2 12 26 2 3 5" xfId="35672" xr:uid="{00000000-0005-0000-0000-00000A100000}"/>
    <cellStyle name="Comma [0] 2 2 12 26 2 4" xfId="6526" xr:uid="{00000000-0005-0000-0000-00000B100000}"/>
    <cellStyle name="Comma [0] 2 2 12 26 2 4 2" xfId="14271" xr:uid="{00000000-0005-0000-0000-00000C100000}"/>
    <cellStyle name="Comma [0] 2 2 12 26 2 4 2 2" xfId="29863" xr:uid="{00000000-0005-0000-0000-00000D100000}"/>
    <cellStyle name="Comma [0] 2 2 12 26 2 4 2 3" xfId="45355" xr:uid="{00000000-0005-0000-0000-00000E100000}"/>
    <cellStyle name="Comma [0] 2 2 12 26 2 4 3" xfId="22123" xr:uid="{00000000-0005-0000-0000-00000F100000}"/>
    <cellStyle name="Comma [0] 2 2 12 26 2 4 4" xfId="37615" xr:uid="{00000000-0005-0000-0000-000010100000}"/>
    <cellStyle name="Comma [0] 2 2 12 26 2 5" xfId="10401" xr:uid="{00000000-0005-0000-0000-000011100000}"/>
    <cellStyle name="Comma [0] 2 2 12 26 2 5 2" xfId="25993" xr:uid="{00000000-0005-0000-0000-000012100000}"/>
    <cellStyle name="Comma [0] 2 2 12 26 2 5 3" xfId="41485" xr:uid="{00000000-0005-0000-0000-000013100000}"/>
    <cellStyle name="Comma [0] 2 2 12 26 2 6" xfId="18253" xr:uid="{00000000-0005-0000-0000-000014100000}"/>
    <cellStyle name="Comma [0] 2 2 12 26 2 7" xfId="33745" xr:uid="{00000000-0005-0000-0000-000015100000}"/>
    <cellStyle name="Comma [0] 2 2 12 26 3" xfId="3282" xr:uid="{00000000-0005-0000-0000-000016100000}"/>
    <cellStyle name="Comma [0] 2 2 12 26 3 2" xfId="5221" xr:uid="{00000000-0005-0000-0000-000017100000}"/>
    <cellStyle name="Comma [0] 2 2 12 26 3 2 2" xfId="9092" xr:uid="{00000000-0005-0000-0000-000018100000}"/>
    <cellStyle name="Comma [0] 2 2 12 26 3 2 2 2" xfId="16837" xr:uid="{00000000-0005-0000-0000-000019100000}"/>
    <cellStyle name="Comma [0] 2 2 12 26 3 2 2 2 2" xfId="32429" xr:uid="{00000000-0005-0000-0000-00001A100000}"/>
    <cellStyle name="Comma [0] 2 2 12 26 3 2 2 2 3" xfId="47921" xr:uid="{00000000-0005-0000-0000-00001B100000}"/>
    <cellStyle name="Comma [0] 2 2 12 26 3 2 2 3" xfId="24689" xr:uid="{00000000-0005-0000-0000-00001C100000}"/>
    <cellStyle name="Comma [0] 2 2 12 26 3 2 2 4" xfId="40181" xr:uid="{00000000-0005-0000-0000-00001D100000}"/>
    <cellStyle name="Comma [0] 2 2 12 26 3 2 3" xfId="12967" xr:uid="{00000000-0005-0000-0000-00001E100000}"/>
    <cellStyle name="Comma [0] 2 2 12 26 3 2 3 2" xfId="28559" xr:uid="{00000000-0005-0000-0000-00001F100000}"/>
    <cellStyle name="Comma [0] 2 2 12 26 3 2 3 3" xfId="44051" xr:uid="{00000000-0005-0000-0000-000020100000}"/>
    <cellStyle name="Comma [0] 2 2 12 26 3 2 4" xfId="20819" xr:uid="{00000000-0005-0000-0000-000021100000}"/>
    <cellStyle name="Comma [0] 2 2 12 26 3 2 5" xfId="36311" xr:uid="{00000000-0005-0000-0000-000022100000}"/>
    <cellStyle name="Comma [0] 2 2 12 26 3 3" xfId="7165" xr:uid="{00000000-0005-0000-0000-000023100000}"/>
    <cellStyle name="Comma [0] 2 2 12 26 3 3 2" xfId="14910" xr:uid="{00000000-0005-0000-0000-000024100000}"/>
    <cellStyle name="Comma [0] 2 2 12 26 3 3 2 2" xfId="30502" xr:uid="{00000000-0005-0000-0000-000025100000}"/>
    <cellStyle name="Comma [0] 2 2 12 26 3 3 2 3" xfId="45994" xr:uid="{00000000-0005-0000-0000-000026100000}"/>
    <cellStyle name="Comma [0] 2 2 12 26 3 3 3" xfId="22762" xr:uid="{00000000-0005-0000-0000-000027100000}"/>
    <cellStyle name="Comma [0] 2 2 12 26 3 3 4" xfId="38254" xr:uid="{00000000-0005-0000-0000-000028100000}"/>
    <cellStyle name="Comma [0] 2 2 12 26 3 4" xfId="11040" xr:uid="{00000000-0005-0000-0000-000029100000}"/>
    <cellStyle name="Comma [0] 2 2 12 26 3 4 2" xfId="26632" xr:uid="{00000000-0005-0000-0000-00002A100000}"/>
    <cellStyle name="Comma [0] 2 2 12 26 3 4 3" xfId="42124" xr:uid="{00000000-0005-0000-0000-00002B100000}"/>
    <cellStyle name="Comma [0] 2 2 12 26 3 5" xfId="18892" xr:uid="{00000000-0005-0000-0000-00002C100000}"/>
    <cellStyle name="Comma [0] 2 2 12 26 3 6" xfId="34384" xr:uid="{00000000-0005-0000-0000-00002D100000}"/>
    <cellStyle name="Comma [0] 2 2 12 26 4" xfId="4273" xr:uid="{00000000-0005-0000-0000-00002E100000}"/>
    <cellStyle name="Comma [0] 2 2 12 26 4 2" xfId="8144" xr:uid="{00000000-0005-0000-0000-00002F100000}"/>
    <cellStyle name="Comma [0] 2 2 12 26 4 2 2" xfId="15889" xr:uid="{00000000-0005-0000-0000-000030100000}"/>
    <cellStyle name="Comma [0] 2 2 12 26 4 2 2 2" xfId="31481" xr:uid="{00000000-0005-0000-0000-000031100000}"/>
    <cellStyle name="Comma [0] 2 2 12 26 4 2 2 3" xfId="46973" xr:uid="{00000000-0005-0000-0000-000032100000}"/>
    <cellStyle name="Comma [0] 2 2 12 26 4 2 3" xfId="23741" xr:uid="{00000000-0005-0000-0000-000033100000}"/>
    <cellStyle name="Comma [0] 2 2 12 26 4 2 4" xfId="39233" xr:uid="{00000000-0005-0000-0000-000034100000}"/>
    <cellStyle name="Comma [0] 2 2 12 26 4 3" xfId="12019" xr:uid="{00000000-0005-0000-0000-000035100000}"/>
    <cellStyle name="Comma [0] 2 2 12 26 4 3 2" xfId="27611" xr:uid="{00000000-0005-0000-0000-000036100000}"/>
    <cellStyle name="Comma [0] 2 2 12 26 4 3 3" xfId="43103" xr:uid="{00000000-0005-0000-0000-000037100000}"/>
    <cellStyle name="Comma [0] 2 2 12 26 4 4" xfId="19871" xr:uid="{00000000-0005-0000-0000-000038100000}"/>
    <cellStyle name="Comma [0] 2 2 12 26 4 5" xfId="35363" xr:uid="{00000000-0005-0000-0000-000039100000}"/>
    <cellStyle name="Comma [0] 2 2 12 26 5" xfId="6217" xr:uid="{00000000-0005-0000-0000-00003A100000}"/>
    <cellStyle name="Comma [0] 2 2 12 26 5 2" xfId="13962" xr:uid="{00000000-0005-0000-0000-00003B100000}"/>
    <cellStyle name="Comma [0] 2 2 12 26 5 2 2" xfId="29554" xr:uid="{00000000-0005-0000-0000-00003C100000}"/>
    <cellStyle name="Comma [0] 2 2 12 26 5 2 3" xfId="45046" xr:uid="{00000000-0005-0000-0000-00003D100000}"/>
    <cellStyle name="Comma [0] 2 2 12 26 5 3" xfId="21814" xr:uid="{00000000-0005-0000-0000-00003E100000}"/>
    <cellStyle name="Comma [0] 2 2 12 26 5 4" xfId="37306" xr:uid="{00000000-0005-0000-0000-00003F100000}"/>
    <cellStyle name="Comma [0] 2 2 12 26 6" xfId="10092" xr:uid="{00000000-0005-0000-0000-000040100000}"/>
    <cellStyle name="Comma [0] 2 2 12 26 6 2" xfId="25684" xr:uid="{00000000-0005-0000-0000-000041100000}"/>
    <cellStyle name="Comma [0] 2 2 12 26 6 3" xfId="41176" xr:uid="{00000000-0005-0000-0000-000042100000}"/>
    <cellStyle name="Comma [0] 2 2 12 26 7" xfId="17944" xr:uid="{00000000-0005-0000-0000-000043100000}"/>
    <cellStyle name="Comma [0] 2 2 12 26 8" xfId="33436" xr:uid="{00000000-0005-0000-0000-000044100000}"/>
    <cellStyle name="Comma [0] 2 2 12 27" xfId="2304" xr:uid="{00000000-0005-0000-0000-000045100000}"/>
    <cellStyle name="Comma [0] 2 2 12 27 2" xfId="2619" xr:uid="{00000000-0005-0000-0000-000046100000}"/>
    <cellStyle name="Comma [0] 2 2 12 27 2 2" xfId="3627" xr:uid="{00000000-0005-0000-0000-000047100000}"/>
    <cellStyle name="Comma [0] 2 2 12 27 2 2 2" xfId="5566" xr:uid="{00000000-0005-0000-0000-000048100000}"/>
    <cellStyle name="Comma [0] 2 2 12 27 2 2 2 2" xfId="9437" xr:uid="{00000000-0005-0000-0000-000049100000}"/>
    <cellStyle name="Comma [0] 2 2 12 27 2 2 2 2 2" xfId="17182" xr:uid="{00000000-0005-0000-0000-00004A100000}"/>
    <cellStyle name="Comma [0] 2 2 12 27 2 2 2 2 2 2" xfId="32774" xr:uid="{00000000-0005-0000-0000-00004B100000}"/>
    <cellStyle name="Comma [0] 2 2 12 27 2 2 2 2 2 3" xfId="48266" xr:uid="{00000000-0005-0000-0000-00004C100000}"/>
    <cellStyle name="Comma [0] 2 2 12 27 2 2 2 2 3" xfId="25034" xr:uid="{00000000-0005-0000-0000-00004D100000}"/>
    <cellStyle name="Comma [0] 2 2 12 27 2 2 2 2 4" xfId="40526" xr:uid="{00000000-0005-0000-0000-00004E100000}"/>
    <cellStyle name="Comma [0] 2 2 12 27 2 2 2 3" xfId="13312" xr:uid="{00000000-0005-0000-0000-00004F100000}"/>
    <cellStyle name="Comma [0] 2 2 12 27 2 2 2 3 2" xfId="28904" xr:uid="{00000000-0005-0000-0000-000050100000}"/>
    <cellStyle name="Comma [0] 2 2 12 27 2 2 2 3 3" xfId="44396" xr:uid="{00000000-0005-0000-0000-000051100000}"/>
    <cellStyle name="Comma [0] 2 2 12 27 2 2 2 4" xfId="21164" xr:uid="{00000000-0005-0000-0000-000052100000}"/>
    <cellStyle name="Comma [0] 2 2 12 27 2 2 2 5" xfId="36656" xr:uid="{00000000-0005-0000-0000-000053100000}"/>
    <cellStyle name="Comma [0] 2 2 12 27 2 2 3" xfId="7510" xr:uid="{00000000-0005-0000-0000-000054100000}"/>
    <cellStyle name="Comma [0] 2 2 12 27 2 2 3 2" xfId="15255" xr:uid="{00000000-0005-0000-0000-000055100000}"/>
    <cellStyle name="Comma [0] 2 2 12 27 2 2 3 2 2" xfId="30847" xr:uid="{00000000-0005-0000-0000-000056100000}"/>
    <cellStyle name="Comma [0] 2 2 12 27 2 2 3 2 3" xfId="46339" xr:uid="{00000000-0005-0000-0000-000057100000}"/>
    <cellStyle name="Comma [0] 2 2 12 27 2 2 3 3" xfId="23107" xr:uid="{00000000-0005-0000-0000-000058100000}"/>
    <cellStyle name="Comma [0] 2 2 12 27 2 2 3 4" xfId="38599" xr:uid="{00000000-0005-0000-0000-000059100000}"/>
    <cellStyle name="Comma [0] 2 2 12 27 2 2 4" xfId="11385" xr:uid="{00000000-0005-0000-0000-00005A100000}"/>
    <cellStyle name="Comma [0] 2 2 12 27 2 2 4 2" xfId="26977" xr:uid="{00000000-0005-0000-0000-00005B100000}"/>
    <cellStyle name="Comma [0] 2 2 12 27 2 2 4 3" xfId="42469" xr:uid="{00000000-0005-0000-0000-00005C100000}"/>
    <cellStyle name="Comma [0] 2 2 12 27 2 2 5" xfId="19237" xr:uid="{00000000-0005-0000-0000-00005D100000}"/>
    <cellStyle name="Comma [0] 2 2 12 27 2 2 6" xfId="34729" xr:uid="{00000000-0005-0000-0000-00005E100000}"/>
    <cellStyle name="Comma [0] 2 2 12 27 2 3" xfId="4618" xr:uid="{00000000-0005-0000-0000-00005F100000}"/>
    <cellStyle name="Comma [0] 2 2 12 27 2 3 2" xfId="8489" xr:uid="{00000000-0005-0000-0000-000060100000}"/>
    <cellStyle name="Comma [0] 2 2 12 27 2 3 2 2" xfId="16234" xr:uid="{00000000-0005-0000-0000-000061100000}"/>
    <cellStyle name="Comma [0] 2 2 12 27 2 3 2 2 2" xfId="31826" xr:uid="{00000000-0005-0000-0000-000062100000}"/>
    <cellStyle name="Comma [0] 2 2 12 27 2 3 2 2 3" xfId="47318" xr:uid="{00000000-0005-0000-0000-000063100000}"/>
    <cellStyle name="Comma [0] 2 2 12 27 2 3 2 3" xfId="24086" xr:uid="{00000000-0005-0000-0000-000064100000}"/>
    <cellStyle name="Comma [0] 2 2 12 27 2 3 2 4" xfId="39578" xr:uid="{00000000-0005-0000-0000-000065100000}"/>
    <cellStyle name="Comma [0] 2 2 12 27 2 3 3" xfId="12364" xr:uid="{00000000-0005-0000-0000-000066100000}"/>
    <cellStyle name="Comma [0] 2 2 12 27 2 3 3 2" xfId="27956" xr:uid="{00000000-0005-0000-0000-000067100000}"/>
    <cellStyle name="Comma [0] 2 2 12 27 2 3 3 3" xfId="43448" xr:uid="{00000000-0005-0000-0000-000068100000}"/>
    <cellStyle name="Comma [0] 2 2 12 27 2 3 4" xfId="20216" xr:uid="{00000000-0005-0000-0000-000069100000}"/>
    <cellStyle name="Comma [0] 2 2 12 27 2 3 5" xfId="35708" xr:uid="{00000000-0005-0000-0000-00006A100000}"/>
    <cellStyle name="Comma [0] 2 2 12 27 2 4" xfId="6562" xr:uid="{00000000-0005-0000-0000-00006B100000}"/>
    <cellStyle name="Comma [0] 2 2 12 27 2 4 2" xfId="14307" xr:uid="{00000000-0005-0000-0000-00006C100000}"/>
    <cellStyle name="Comma [0] 2 2 12 27 2 4 2 2" xfId="29899" xr:uid="{00000000-0005-0000-0000-00006D100000}"/>
    <cellStyle name="Comma [0] 2 2 12 27 2 4 2 3" xfId="45391" xr:uid="{00000000-0005-0000-0000-00006E100000}"/>
    <cellStyle name="Comma [0] 2 2 12 27 2 4 3" xfId="22159" xr:uid="{00000000-0005-0000-0000-00006F100000}"/>
    <cellStyle name="Comma [0] 2 2 12 27 2 4 4" xfId="37651" xr:uid="{00000000-0005-0000-0000-000070100000}"/>
    <cellStyle name="Comma [0] 2 2 12 27 2 5" xfId="10437" xr:uid="{00000000-0005-0000-0000-000071100000}"/>
    <cellStyle name="Comma [0] 2 2 12 27 2 5 2" xfId="26029" xr:uid="{00000000-0005-0000-0000-000072100000}"/>
    <cellStyle name="Comma [0] 2 2 12 27 2 5 3" xfId="41521" xr:uid="{00000000-0005-0000-0000-000073100000}"/>
    <cellStyle name="Comma [0] 2 2 12 27 2 6" xfId="18289" xr:uid="{00000000-0005-0000-0000-000074100000}"/>
    <cellStyle name="Comma [0] 2 2 12 27 2 7" xfId="33781" xr:uid="{00000000-0005-0000-0000-000075100000}"/>
    <cellStyle name="Comma [0] 2 2 12 27 3" xfId="3318" xr:uid="{00000000-0005-0000-0000-000076100000}"/>
    <cellStyle name="Comma [0] 2 2 12 27 3 2" xfId="5257" xr:uid="{00000000-0005-0000-0000-000077100000}"/>
    <cellStyle name="Comma [0] 2 2 12 27 3 2 2" xfId="9128" xr:uid="{00000000-0005-0000-0000-000078100000}"/>
    <cellStyle name="Comma [0] 2 2 12 27 3 2 2 2" xfId="16873" xr:uid="{00000000-0005-0000-0000-000079100000}"/>
    <cellStyle name="Comma [0] 2 2 12 27 3 2 2 2 2" xfId="32465" xr:uid="{00000000-0005-0000-0000-00007A100000}"/>
    <cellStyle name="Comma [0] 2 2 12 27 3 2 2 2 3" xfId="47957" xr:uid="{00000000-0005-0000-0000-00007B100000}"/>
    <cellStyle name="Comma [0] 2 2 12 27 3 2 2 3" xfId="24725" xr:uid="{00000000-0005-0000-0000-00007C100000}"/>
    <cellStyle name="Comma [0] 2 2 12 27 3 2 2 4" xfId="40217" xr:uid="{00000000-0005-0000-0000-00007D100000}"/>
    <cellStyle name="Comma [0] 2 2 12 27 3 2 3" xfId="13003" xr:uid="{00000000-0005-0000-0000-00007E100000}"/>
    <cellStyle name="Comma [0] 2 2 12 27 3 2 3 2" xfId="28595" xr:uid="{00000000-0005-0000-0000-00007F100000}"/>
    <cellStyle name="Comma [0] 2 2 12 27 3 2 3 3" xfId="44087" xr:uid="{00000000-0005-0000-0000-000080100000}"/>
    <cellStyle name="Comma [0] 2 2 12 27 3 2 4" xfId="20855" xr:uid="{00000000-0005-0000-0000-000081100000}"/>
    <cellStyle name="Comma [0] 2 2 12 27 3 2 5" xfId="36347" xr:uid="{00000000-0005-0000-0000-000082100000}"/>
    <cellStyle name="Comma [0] 2 2 12 27 3 3" xfId="7201" xr:uid="{00000000-0005-0000-0000-000083100000}"/>
    <cellStyle name="Comma [0] 2 2 12 27 3 3 2" xfId="14946" xr:uid="{00000000-0005-0000-0000-000084100000}"/>
    <cellStyle name="Comma [0] 2 2 12 27 3 3 2 2" xfId="30538" xr:uid="{00000000-0005-0000-0000-000085100000}"/>
    <cellStyle name="Comma [0] 2 2 12 27 3 3 2 3" xfId="46030" xr:uid="{00000000-0005-0000-0000-000086100000}"/>
    <cellStyle name="Comma [0] 2 2 12 27 3 3 3" xfId="22798" xr:uid="{00000000-0005-0000-0000-000087100000}"/>
    <cellStyle name="Comma [0] 2 2 12 27 3 3 4" xfId="38290" xr:uid="{00000000-0005-0000-0000-000088100000}"/>
    <cellStyle name="Comma [0] 2 2 12 27 3 4" xfId="11076" xr:uid="{00000000-0005-0000-0000-000089100000}"/>
    <cellStyle name="Comma [0] 2 2 12 27 3 4 2" xfId="26668" xr:uid="{00000000-0005-0000-0000-00008A100000}"/>
    <cellStyle name="Comma [0] 2 2 12 27 3 4 3" xfId="42160" xr:uid="{00000000-0005-0000-0000-00008B100000}"/>
    <cellStyle name="Comma [0] 2 2 12 27 3 5" xfId="18928" xr:uid="{00000000-0005-0000-0000-00008C100000}"/>
    <cellStyle name="Comma [0] 2 2 12 27 3 6" xfId="34420" xr:uid="{00000000-0005-0000-0000-00008D100000}"/>
    <cellStyle name="Comma [0] 2 2 12 27 4" xfId="4309" xr:uid="{00000000-0005-0000-0000-00008E100000}"/>
    <cellStyle name="Comma [0] 2 2 12 27 4 2" xfId="8180" xr:uid="{00000000-0005-0000-0000-00008F100000}"/>
    <cellStyle name="Comma [0] 2 2 12 27 4 2 2" xfId="15925" xr:uid="{00000000-0005-0000-0000-000090100000}"/>
    <cellStyle name="Comma [0] 2 2 12 27 4 2 2 2" xfId="31517" xr:uid="{00000000-0005-0000-0000-000091100000}"/>
    <cellStyle name="Comma [0] 2 2 12 27 4 2 2 3" xfId="47009" xr:uid="{00000000-0005-0000-0000-000092100000}"/>
    <cellStyle name="Comma [0] 2 2 12 27 4 2 3" xfId="23777" xr:uid="{00000000-0005-0000-0000-000093100000}"/>
    <cellStyle name="Comma [0] 2 2 12 27 4 2 4" xfId="39269" xr:uid="{00000000-0005-0000-0000-000094100000}"/>
    <cellStyle name="Comma [0] 2 2 12 27 4 3" xfId="12055" xr:uid="{00000000-0005-0000-0000-000095100000}"/>
    <cellStyle name="Comma [0] 2 2 12 27 4 3 2" xfId="27647" xr:uid="{00000000-0005-0000-0000-000096100000}"/>
    <cellStyle name="Comma [0] 2 2 12 27 4 3 3" xfId="43139" xr:uid="{00000000-0005-0000-0000-000097100000}"/>
    <cellStyle name="Comma [0] 2 2 12 27 4 4" xfId="19907" xr:uid="{00000000-0005-0000-0000-000098100000}"/>
    <cellStyle name="Comma [0] 2 2 12 27 4 5" xfId="35399" xr:uid="{00000000-0005-0000-0000-000099100000}"/>
    <cellStyle name="Comma [0] 2 2 12 27 5" xfId="6253" xr:uid="{00000000-0005-0000-0000-00009A100000}"/>
    <cellStyle name="Comma [0] 2 2 12 27 5 2" xfId="13998" xr:uid="{00000000-0005-0000-0000-00009B100000}"/>
    <cellStyle name="Comma [0] 2 2 12 27 5 2 2" xfId="29590" xr:uid="{00000000-0005-0000-0000-00009C100000}"/>
    <cellStyle name="Comma [0] 2 2 12 27 5 2 3" xfId="45082" xr:uid="{00000000-0005-0000-0000-00009D100000}"/>
    <cellStyle name="Comma [0] 2 2 12 27 5 3" xfId="21850" xr:uid="{00000000-0005-0000-0000-00009E100000}"/>
    <cellStyle name="Comma [0] 2 2 12 27 5 4" xfId="37342" xr:uid="{00000000-0005-0000-0000-00009F100000}"/>
    <cellStyle name="Comma [0] 2 2 12 27 6" xfId="10128" xr:uid="{00000000-0005-0000-0000-0000A0100000}"/>
    <cellStyle name="Comma [0] 2 2 12 27 6 2" xfId="25720" xr:uid="{00000000-0005-0000-0000-0000A1100000}"/>
    <cellStyle name="Comma [0] 2 2 12 27 6 3" xfId="41212" xr:uid="{00000000-0005-0000-0000-0000A2100000}"/>
    <cellStyle name="Comma [0] 2 2 12 27 7" xfId="17980" xr:uid="{00000000-0005-0000-0000-0000A3100000}"/>
    <cellStyle name="Comma [0] 2 2 12 27 8" xfId="33472" xr:uid="{00000000-0005-0000-0000-0000A4100000}"/>
    <cellStyle name="Comma [0] 2 2 12 28" xfId="2342" xr:uid="{00000000-0005-0000-0000-0000A5100000}"/>
    <cellStyle name="Comma [0] 2 2 12 28 2" xfId="2655" xr:uid="{00000000-0005-0000-0000-0000A6100000}"/>
    <cellStyle name="Comma [0] 2 2 12 28 2 2" xfId="3663" xr:uid="{00000000-0005-0000-0000-0000A7100000}"/>
    <cellStyle name="Comma [0] 2 2 12 28 2 2 2" xfId="5602" xr:uid="{00000000-0005-0000-0000-0000A8100000}"/>
    <cellStyle name="Comma [0] 2 2 12 28 2 2 2 2" xfId="9473" xr:uid="{00000000-0005-0000-0000-0000A9100000}"/>
    <cellStyle name="Comma [0] 2 2 12 28 2 2 2 2 2" xfId="17218" xr:uid="{00000000-0005-0000-0000-0000AA100000}"/>
    <cellStyle name="Comma [0] 2 2 12 28 2 2 2 2 2 2" xfId="32810" xr:uid="{00000000-0005-0000-0000-0000AB100000}"/>
    <cellStyle name="Comma [0] 2 2 12 28 2 2 2 2 2 3" xfId="48302" xr:uid="{00000000-0005-0000-0000-0000AC100000}"/>
    <cellStyle name="Comma [0] 2 2 12 28 2 2 2 2 3" xfId="25070" xr:uid="{00000000-0005-0000-0000-0000AD100000}"/>
    <cellStyle name="Comma [0] 2 2 12 28 2 2 2 2 4" xfId="40562" xr:uid="{00000000-0005-0000-0000-0000AE100000}"/>
    <cellStyle name="Comma [0] 2 2 12 28 2 2 2 3" xfId="13348" xr:uid="{00000000-0005-0000-0000-0000AF100000}"/>
    <cellStyle name="Comma [0] 2 2 12 28 2 2 2 3 2" xfId="28940" xr:uid="{00000000-0005-0000-0000-0000B0100000}"/>
    <cellStyle name="Comma [0] 2 2 12 28 2 2 2 3 3" xfId="44432" xr:uid="{00000000-0005-0000-0000-0000B1100000}"/>
    <cellStyle name="Comma [0] 2 2 12 28 2 2 2 4" xfId="21200" xr:uid="{00000000-0005-0000-0000-0000B2100000}"/>
    <cellStyle name="Comma [0] 2 2 12 28 2 2 2 5" xfId="36692" xr:uid="{00000000-0005-0000-0000-0000B3100000}"/>
    <cellStyle name="Comma [0] 2 2 12 28 2 2 3" xfId="7546" xr:uid="{00000000-0005-0000-0000-0000B4100000}"/>
    <cellStyle name="Comma [0] 2 2 12 28 2 2 3 2" xfId="15291" xr:uid="{00000000-0005-0000-0000-0000B5100000}"/>
    <cellStyle name="Comma [0] 2 2 12 28 2 2 3 2 2" xfId="30883" xr:uid="{00000000-0005-0000-0000-0000B6100000}"/>
    <cellStyle name="Comma [0] 2 2 12 28 2 2 3 2 3" xfId="46375" xr:uid="{00000000-0005-0000-0000-0000B7100000}"/>
    <cellStyle name="Comma [0] 2 2 12 28 2 2 3 3" xfId="23143" xr:uid="{00000000-0005-0000-0000-0000B8100000}"/>
    <cellStyle name="Comma [0] 2 2 12 28 2 2 3 4" xfId="38635" xr:uid="{00000000-0005-0000-0000-0000B9100000}"/>
    <cellStyle name="Comma [0] 2 2 12 28 2 2 4" xfId="11421" xr:uid="{00000000-0005-0000-0000-0000BA100000}"/>
    <cellStyle name="Comma [0] 2 2 12 28 2 2 4 2" xfId="27013" xr:uid="{00000000-0005-0000-0000-0000BB100000}"/>
    <cellStyle name="Comma [0] 2 2 12 28 2 2 4 3" xfId="42505" xr:uid="{00000000-0005-0000-0000-0000BC100000}"/>
    <cellStyle name="Comma [0] 2 2 12 28 2 2 5" xfId="19273" xr:uid="{00000000-0005-0000-0000-0000BD100000}"/>
    <cellStyle name="Comma [0] 2 2 12 28 2 2 6" xfId="34765" xr:uid="{00000000-0005-0000-0000-0000BE100000}"/>
    <cellStyle name="Comma [0] 2 2 12 28 2 3" xfId="4654" xr:uid="{00000000-0005-0000-0000-0000BF100000}"/>
    <cellStyle name="Comma [0] 2 2 12 28 2 3 2" xfId="8525" xr:uid="{00000000-0005-0000-0000-0000C0100000}"/>
    <cellStyle name="Comma [0] 2 2 12 28 2 3 2 2" xfId="16270" xr:uid="{00000000-0005-0000-0000-0000C1100000}"/>
    <cellStyle name="Comma [0] 2 2 12 28 2 3 2 2 2" xfId="31862" xr:uid="{00000000-0005-0000-0000-0000C2100000}"/>
    <cellStyle name="Comma [0] 2 2 12 28 2 3 2 2 3" xfId="47354" xr:uid="{00000000-0005-0000-0000-0000C3100000}"/>
    <cellStyle name="Comma [0] 2 2 12 28 2 3 2 3" xfId="24122" xr:uid="{00000000-0005-0000-0000-0000C4100000}"/>
    <cellStyle name="Comma [0] 2 2 12 28 2 3 2 4" xfId="39614" xr:uid="{00000000-0005-0000-0000-0000C5100000}"/>
    <cellStyle name="Comma [0] 2 2 12 28 2 3 3" xfId="12400" xr:uid="{00000000-0005-0000-0000-0000C6100000}"/>
    <cellStyle name="Comma [0] 2 2 12 28 2 3 3 2" xfId="27992" xr:uid="{00000000-0005-0000-0000-0000C7100000}"/>
    <cellStyle name="Comma [0] 2 2 12 28 2 3 3 3" xfId="43484" xr:uid="{00000000-0005-0000-0000-0000C8100000}"/>
    <cellStyle name="Comma [0] 2 2 12 28 2 3 4" xfId="20252" xr:uid="{00000000-0005-0000-0000-0000C9100000}"/>
    <cellStyle name="Comma [0] 2 2 12 28 2 3 5" xfId="35744" xr:uid="{00000000-0005-0000-0000-0000CA100000}"/>
    <cellStyle name="Comma [0] 2 2 12 28 2 4" xfId="6598" xr:uid="{00000000-0005-0000-0000-0000CB100000}"/>
    <cellStyle name="Comma [0] 2 2 12 28 2 4 2" xfId="14343" xr:uid="{00000000-0005-0000-0000-0000CC100000}"/>
    <cellStyle name="Comma [0] 2 2 12 28 2 4 2 2" xfId="29935" xr:uid="{00000000-0005-0000-0000-0000CD100000}"/>
    <cellStyle name="Comma [0] 2 2 12 28 2 4 2 3" xfId="45427" xr:uid="{00000000-0005-0000-0000-0000CE100000}"/>
    <cellStyle name="Comma [0] 2 2 12 28 2 4 3" xfId="22195" xr:uid="{00000000-0005-0000-0000-0000CF100000}"/>
    <cellStyle name="Comma [0] 2 2 12 28 2 4 4" xfId="37687" xr:uid="{00000000-0005-0000-0000-0000D0100000}"/>
    <cellStyle name="Comma [0] 2 2 12 28 2 5" xfId="10473" xr:uid="{00000000-0005-0000-0000-0000D1100000}"/>
    <cellStyle name="Comma [0] 2 2 12 28 2 5 2" xfId="26065" xr:uid="{00000000-0005-0000-0000-0000D2100000}"/>
    <cellStyle name="Comma [0] 2 2 12 28 2 5 3" xfId="41557" xr:uid="{00000000-0005-0000-0000-0000D3100000}"/>
    <cellStyle name="Comma [0] 2 2 12 28 2 6" xfId="18325" xr:uid="{00000000-0005-0000-0000-0000D4100000}"/>
    <cellStyle name="Comma [0] 2 2 12 28 2 7" xfId="33817" xr:uid="{00000000-0005-0000-0000-0000D5100000}"/>
    <cellStyle name="Comma [0] 2 2 12 28 3" xfId="3354" xr:uid="{00000000-0005-0000-0000-0000D6100000}"/>
    <cellStyle name="Comma [0] 2 2 12 28 3 2" xfId="5293" xr:uid="{00000000-0005-0000-0000-0000D7100000}"/>
    <cellStyle name="Comma [0] 2 2 12 28 3 2 2" xfId="9164" xr:uid="{00000000-0005-0000-0000-0000D8100000}"/>
    <cellStyle name="Comma [0] 2 2 12 28 3 2 2 2" xfId="16909" xr:uid="{00000000-0005-0000-0000-0000D9100000}"/>
    <cellStyle name="Comma [0] 2 2 12 28 3 2 2 2 2" xfId="32501" xr:uid="{00000000-0005-0000-0000-0000DA100000}"/>
    <cellStyle name="Comma [0] 2 2 12 28 3 2 2 2 3" xfId="47993" xr:uid="{00000000-0005-0000-0000-0000DB100000}"/>
    <cellStyle name="Comma [0] 2 2 12 28 3 2 2 3" xfId="24761" xr:uid="{00000000-0005-0000-0000-0000DC100000}"/>
    <cellStyle name="Comma [0] 2 2 12 28 3 2 2 4" xfId="40253" xr:uid="{00000000-0005-0000-0000-0000DD100000}"/>
    <cellStyle name="Comma [0] 2 2 12 28 3 2 3" xfId="13039" xr:uid="{00000000-0005-0000-0000-0000DE100000}"/>
    <cellStyle name="Comma [0] 2 2 12 28 3 2 3 2" xfId="28631" xr:uid="{00000000-0005-0000-0000-0000DF100000}"/>
    <cellStyle name="Comma [0] 2 2 12 28 3 2 3 3" xfId="44123" xr:uid="{00000000-0005-0000-0000-0000E0100000}"/>
    <cellStyle name="Comma [0] 2 2 12 28 3 2 4" xfId="20891" xr:uid="{00000000-0005-0000-0000-0000E1100000}"/>
    <cellStyle name="Comma [0] 2 2 12 28 3 2 5" xfId="36383" xr:uid="{00000000-0005-0000-0000-0000E2100000}"/>
    <cellStyle name="Comma [0] 2 2 12 28 3 3" xfId="7237" xr:uid="{00000000-0005-0000-0000-0000E3100000}"/>
    <cellStyle name="Comma [0] 2 2 12 28 3 3 2" xfId="14982" xr:uid="{00000000-0005-0000-0000-0000E4100000}"/>
    <cellStyle name="Comma [0] 2 2 12 28 3 3 2 2" xfId="30574" xr:uid="{00000000-0005-0000-0000-0000E5100000}"/>
    <cellStyle name="Comma [0] 2 2 12 28 3 3 2 3" xfId="46066" xr:uid="{00000000-0005-0000-0000-0000E6100000}"/>
    <cellStyle name="Comma [0] 2 2 12 28 3 3 3" xfId="22834" xr:uid="{00000000-0005-0000-0000-0000E7100000}"/>
    <cellStyle name="Comma [0] 2 2 12 28 3 3 4" xfId="38326" xr:uid="{00000000-0005-0000-0000-0000E8100000}"/>
    <cellStyle name="Comma [0] 2 2 12 28 3 4" xfId="11112" xr:uid="{00000000-0005-0000-0000-0000E9100000}"/>
    <cellStyle name="Comma [0] 2 2 12 28 3 4 2" xfId="26704" xr:uid="{00000000-0005-0000-0000-0000EA100000}"/>
    <cellStyle name="Comma [0] 2 2 12 28 3 4 3" xfId="42196" xr:uid="{00000000-0005-0000-0000-0000EB100000}"/>
    <cellStyle name="Comma [0] 2 2 12 28 3 5" xfId="18964" xr:uid="{00000000-0005-0000-0000-0000EC100000}"/>
    <cellStyle name="Comma [0] 2 2 12 28 3 6" xfId="34456" xr:uid="{00000000-0005-0000-0000-0000ED100000}"/>
    <cellStyle name="Comma [0] 2 2 12 28 4" xfId="4345" xr:uid="{00000000-0005-0000-0000-0000EE100000}"/>
    <cellStyle name="Comma [0] 2 2 12 28 4 2" xfId="8216" xr:uid="{00000000-0005-0000-0000-0000EF100000}"/>
    <cellStyle name="Comma [0] 2 2 12 28 4 2 2" xfId="15961" xr:uid="{00000000-0005-0000-0000-0000F0100000}"/>
    <cellStyle name="Comma [0] 2 2 12 28 4 2 2 2" xfId="31553" xr:uid="{00000000-0005-0000-0000-0000F1100000}"/>
    <cellStyle name="Comma [0] 2 2 12 28 4 2 2 3" xfId="47045" xr:uid="{00000000-0005-0000-0000-0000F2100000}"/>
    <cellStyle name="Comma [0] 2 2 12 28 4 2 3" xfId="23813" xr:uid="{00000000-0005-0000-0000-0000F3100000}"/>
    <cellStyle name="Comma [0] 2 2 12 28 4 2 4" xfId="39305" xr:uid="{00000000-0005-0000-0000-0000F4100000}"/>
    <cellStyle name="Comma [0] 2 2 12 28 4 3" xfId="12091" xr:uid="{00000000-0005-0000-0000-0000F5100000}"/>
    <cellStyle name="Comma [0] 2 2 12 28 4 3 2" xfId="27683" xr:uid="{00000000-0005-0000-0000-0000F6100000}"/>
    <cellStyle name="Comma [0] 2 2 12 28 4 3 3" xfId="43175" xr:uid="{00000000-0005-0000-0000-0000F7100000}"/>
    <cellStyle name="Comma [0] 2 2 12 28 4 4" xfId="19943" xr:uid="{00000000-0005-0000-0000-0000F8100000}"/>
    <cellStyle name="Comma [0] 2 2 12 28 4 5" xfId="35435" xr:uid="{00000000-0005-0000-0000-0000F9100000}"/>
    <cellStyle name="Comma [0] 2 2 12 28 5" xfId="6289" xr:uid="{00000000-0005-0000-0000-0000FA100000}"/>
    <cellStyle name="Comma [0] 2 2 12 28 5 2" xfId="14034" xr:uid="{00000000-0005-0000-0000-0000FB100000}"/>
    <cellStyle name="Comma [0] 2 2 12 28 5 2 2" xfId="29626" xr:uid="{00000000-0005-0000-0000-0000FC100000}"/>
    <cellStyle name="Comma [0] 2 2 12 28 5 2 3" xfId="45118" xr:uid="{00000000-0005-0000-0000-0000FD100000}"/>
    <cellStyle name="Comma [0] 2 2 12 28 5 3" xfId="21886" xr:uid="{00000000-0005-0000-0000-0000FE100000}"/>
    <cellStyle name="Comma [0] 2 2 12 28 5 4" xfId="37378" xr:uid="{00000000-0005-0000-0000-0000FF100000}"/>
    <cellStyle name="Comma [0] 2 2 12 28 6" xfId="10164" xr:uid="{00000000-0005-0000-0000-000000110000}"/>
    <cellStyle name="Comma [0] 2 2 12 28 6 2" xfId="25756" xr:uid="{00000000-0005-0000-0000-000001110000}"/>
    <cellStyle name="Comma [0] 2 2 12 28 6 3" xfId="41248" xr:uid="{00000000-0005-0000-0000-000002110000}"/>
    <cellStyle name="Comma [0] 2 2 12 28 7" xfId="18016" xr:uid="{00000000-0005-0000-0000-000003110000}"/>
    <cellStyle name="Comma [0] 2 2 12 28 8" xfId="33508" xr:uid="{00000000-0005-0000-0000-000004110000}"/>
    <cellStyle name="Comma [0] 2 2 12 29" xfId="2379" xr:uid="{00000000-0005-0000-0000-000005110000}"/>
    <cellStyle name="Comma [0] 2 2 12 29 2" xfId="2691" xr:uid="{00000000-0005-0000-0000-000006110000}"/>
    <cellStyle name="Comma [0] 2 2 12 29 2 2" xfId="3699" xr:uid="{00000000-0005-0000-0000-000007110000}"/>
    <cellStyle name="Comma [0] 2 2 12 29 2 2 2" xfId="5638" xr:uid="{00000000-0005-0000-0000-000008110000}"/>
    <cellStyle name="Comma [0] 2 2 12 29 2 2 2 2" xfId="9509" xr:uid="{00000000-0005-0000-0000-000009110000}"/>
    <cellStyle name="Comma [0] 2 2 12 29 2 2 2 2 2" xfId="17254" xr:uid="{00000000-0005-0000-0000-00000A110000}"/>
    <cellStyle name="Comma [0] 2 2 12 29 2 2 2 2 2 2" xfId="32846" xr:uid="{00000000-0005-0000-0000-00000B110000}"/>
    <cellStyle name="Comma [0] 2 2 12 29 2 2 2 2 2 3" xfId="48338" xr:uid="{00000000-0005-0000-0000-00000C110000}"/>
    <cellStyle name="Comma [0] 2 2 12 29 2 2 2 2 3" xfId="25106" xr:uid="{00000000-0005-0000-0000-00000D110000}"/>
    <cellStyle name="Comma [0] 2 2 12 29 2 2 2 2 4" xfId="40598" xr:uid="{00000000-0005-0000-0000-00000E110000}"/>
    <cellStyle name="Comma [0] 2 2 12 29 2 2 2 3" xfId="13384" xr:uid="{00000000-0005-0000-0000-00000F110000}"/>
    <cellStyle name="Comma [0] 2 2 12 29 2 2 2 3 2" xfId="28976" xr:uid="{00000000-0005-0000-0000-000010110000}"/>
    <cellStyle name="Comma [0] 2 2 12 29 2 2 2 3 3" xfId="44468" xr:uid="{00000000-0005-0000-0000-000011110000}"/>
    <cellStyle name="Comma [0] 2 2 12 29 2 2 2 4" xfId="21236" xr:uid="{00000000-0005-0000-0000-000012110000}"/>
    <cellStyle name="Comma [0] 2 2 12 29 2 2 2 5" xfId="36728" xr:uid="{00000000-0005-0000-0000-000013110000}"/>
    <cellStyle name="Comma [0] 2 2 12 29 2 2 3" xfId="7582" xr:uid="{00000000-0005-0000-0000-000014110000}"/>
    <cellStyle name="Comma [0] 2 2 12 29 2 2 3 2" xfId="15327" xr:uid="{00000000-0005-0000-0000-000015110000}"/>
    <cellStyle name="Comma [0] 2 2 12 29 2 2 3 2 2" xfId="30919" xr:uid="{00000000-0005-0000-0000-000016110000}"/>
    <cellStyle name="Comma [0] 2 2 12 29 2 2 3 2 3" xfId="46411" xr:uid="{00000000-0005-0000-0000-000017110000}"/>
    <cellStyle name="Comma [0] 2 2 12 29 2 2 3 3" xfId="23179" xr:uid="{00000000-0005-0000-0000-000018110000}"/>
    <cellStyle name="Comma [0] 2 2 12 29 2 2 3 4" xfId="38671" xr:uid="{00000000-0005-0000-0000-000019110000}"/>
    <cellStyle name="Comma [0] 2 2 12 29 2 2 4" xfId="11457" xr:uid="{00000000-0005-0000-0000-00001A110000}"/>
    <cellStyle name="Comma [0] 2 2 12 29 2 2 4 2" xfId="27049" xr:uid="{00000000-0005-0000-0000-00001B110000}"/>
    <cellStyle name="Comma [0] 2 2 12 29 2 2 4 3" xfId="42541" xr:uid="{00000000-0005-0000-0000-00001C110000}"/>
    <cellStyle name="Comma [0] 2 2 12 29 2 2 5" xfId="19309" xr:uid="{00000000-0005-0000-0000-00001D110000}"/>
    <cellStyle name="Comma [0] 2 2 12 29 2 2 6" xfId="34801" xr:uid="{00000000-0005-0000-0000-00001E110000}"/>
    <cellStyle name="Comma [0] 2 2 12 29 2 3" xfId="4690" xr:uid="{00000000-0005-0000-0000-00001F110000}"/>
    <cellStyle name="Comma [0] 2 2 12 29 2 3 2" xfId="8561" xr:uid="{00000000-0005-0000-0000-000020110000}"/>
    <cellStyle name="Comma [0] 2 2 12 29 2 3 2 2" xfId="16306" xr:uid="{00000000-0005-0000-0000-000021110000}"/>
    <cellStyle name="Comma [0] 2 2 12 29 2 3 2 2 2" xfId="31898" xr:uid="{00000000-0005-0000-0000-000022110000}"/>
    <cellStyle name="Comma [0] 2 2 12 29 2 3 2 2 3" xfId="47390" xr:uid="{00000000-0005-0000-0000-000023110000}"/>
    <cellStyle name="Comma [0] 2 2 12 29 2 3 2 3" xfId="24158" xr:uid="{00000000-0005-0000-0000-000024110000}"/>
    <cellStyle name="Comma [0] 2 2 12 29 2 3 2 4" xfId="39650" xr:uid="{00000000-0005-0000-0000-000025110000}"/>
    <cellStyle name="Comma [0] 2 2 12 29 2 3 3" xfId="12436" xr:uid="{00000000-0005-0000-0000-000026110000}"/>
    <cellStyle name="Comma [0] 2 2 12 29 2 3 3 2" xfId="28028" xr:uid="{00000000-0005-0000-0000-000027110000}"/>
    <cellStyle name="Comma [0] 2 2 12 29 2 3 3 3" xfId="43520" xr:uid="{00000000-0005-0000-0000-000028110000}"/>
    <cellStyle name="Comma [0] 2 2 12 29 2 3 4" xfId="20288" xr:uid="{00000000-0005-0000-0000-000029110000}"/>
    <cellStyle name="Comma [0] 2 2 12 29 2 3 5" xfId="35780" xr:uid="{00000000-0005-0000-0000-00002A110000}"/>
    <cellStyle name="Comma [0] 2 2 12 29 2 4" xfId="6634" xr:uid="{00000000-0005-0000-0000-00002B110000}"/>
    <cellStyle name="Comma [0] 2 2 12 29 2 4 2" xfId="14379" xr:uid="{00000000-0005-0000-0000-00002C110000}"/>
    <cellStyle name="Comma [0] 2 2 12 29 2 4 2 2" xfId="29971" xr:uid="{00000000-0005-0000-0000-00002D110000}"/>
    <cellStyle name="Comma [0] 2 2 12 29 2 4 2 3" xfId="45463" xr:uid="{00000000-0005-0000-0000-00002E110000}"/>
    <cellStyle name="Comma [0] 2 2 12 29 2 4 3" xfId="22231" xr:uid="{00000000-0005-0000-0000-00002F110000}"/>
    <cellStyle name="Comma [0] 2 2 12 29 2 4 4" xfId="37723" xr:uid="{00000000-0005-0000-0000-000030110000}"/>
    <cellStyle name="Comma [0] 2 2 12 29 2 5" xfId="10509" xr:uid="{00000000-0005-0000-0000-000031110000}"/>
    <cellStyle name="Comma [0] 2 2 12 29 2 5 2" xfId="26101" xr:uid="{00000000-0005-0000-0000-000032110000}"/>
    <cellStyle name="Comma [0] 2 2 12 29 2 5 3" xfId="41593" xr:uid="{00000000-0005-0000-0000-000033110000}"/>
    <cellStyle name="Comma [0] 2 2 12 29 2 6" xfId="18361" xr:uid="{00000000-0005-0000-0000-000034110000}"/>
    <cellStyle name="Comma [0] 2 2 12 29 2 7" xfId="33853" xr:uid="{00000000-0005-0000-0000-000035110000}"/>
    <cellStyle name="Comma [0] 2 2 12 29 3" xfId="3390" xr:uid="{00000000-0005-0000-0000-000036110000}"/>
    <cellStyle name="Comma [0] 2 2 12 29 3 2" xfId="5329" xr:uid="{00000000-0005-0000-0000-000037110000}"/>
    <cellStyle name="Comma [0] 2 2 12 29 3 2 2" xfId="9200" xr:uid="{00000000-0005-0000-0000-000038110000}"/>
    <cellStyle name="Comma [0] 2 2 12 29 3 2 2 2" xfId="16945" xr:uid="{00000000-0005-0000-0000-000039110000}"/>
    <cellStyle name="Comma [0] 2 2 12 29 3 2 2 2 2" xfId="32537" xr:uid="{00000000-0005-0000-0000-00003A110000}"/>
    <cellStyle name="Comma [0] 2 2 12 29 3 2 2 2 3" xfId="48029" xr:uid="{00000000-0005-0000-0000-00003B110000}"/>
    <cellStyle name="Comma [0] 2 2 12 29 3 2 2 3" xfId="24797" xr:uid="{00000000-0005-0000-0000-00003C110000}"/>
    <cellStyle name="Comma [0] 2 2 12 29 3 2 2 4" xfId="40289" xr:uid="{00000000-0005-0000-0000-00003D110000}"/>
    <cellStyle name="Comma [0] 2 2 12 29 3 2 3" xfId="13075" xr:uid="{00000000-0005-0000-0000-00003E110000}"/>
    <cellStyle name="Comma [0] 2 2 12 29 3 2 3 2" xfId="28667" xr:uid="{00000000-0005-0000-0000-00003F110000}"/>
    <cellStyle name="Comma [0] 2 2 12 29 3 2 3 3" xfId="44159" xr:uid="{00000000-0005-0000-0000-000040110000}"/>
    <cellStyle name="Comma [0] 2 2 12 29 3 2 4" xfId="20927" xr:uid="{00000000-0005-0000-0000-000041110000}"/>
    <cellStyle name="Comma [0] 2 2 12 29 3 2 5" xfId="36419" xr:uid="{00000000-0005-0000-0000-000042110000}"/>
    <cellStyle name="Comma [0] 2 2 12 29 3 3" xfId="7273" xr:uid="{00000000-0005-0000-0000-000043110000}"/>
    <cellStyle name="Comma [0] 2 2 12 29 3 3 2" xfId="15018" xr:uid="{00000000-0005-0000-0000-000044110000}"/>
    <cellStyle name="Comma [0] 2 2 12 29 3 3 2 2" xfId="30610" xr:uid="{00000000-0005-0000-0000-000045110000}"/>
    <cellStyle name="Comma [0] 2 2 12 29 3 3 2 3" xfId="46102" xr:uid="{00000000-0005-0000-0000-000046110000}"/>
    <cellStyle name="Comma [0] 2 2 12 29 3 3 3" xfId="22870" xr:uid="{00000000-0005-0000-0000-000047110000}"/>
    <cellStyle name="Comma [0] 2 2 12 29 3 3 4" xfId="38362" xr:uid="{00000000-0005-0000-0000-000048110000}"/>
    <cellStyle name="Comma [0] 2 2 12 29 3 4" xfId="11148" xr:uid="{00000000-0005-0000-0000-000049110000}"/>
    <cellStyle name="Comma [0] 2 2 12 29 3 4 2" xfId="26740" xr:uid="{00000000-0005-0000-0000-00004A110000}"/>
    <cellStyle name="Comma [0] 2 2 12 29 3 4 3" xfId="42232" xr:uid="{00000000-0005-0000-0000-00004B110000}"/>
    <cellStyle name="Comma [0] 2 2 12 29 3 5" xfId="19000" xr:uid="{00000000-0005-0000-0000-00004C110000}"/>
    <cellStyle name="Comma [0] 2 2 12 29 3 6" xfId="34492" xr:uid="{00000000-0005-0000-0000-00004D110000}"/>
    <cellStyle name="Comma [0] 2 2 12 29 4" xfId="4381" xr:uid="{00000000-0005-0000-0000-00004E110000}"/>
    <cellStyle name="Comma [0] 2 2 12 29 4 2" xfId="8252" xr:uid="{00000000-0005-0000-0000-00004F110000}"/>
    <cellStyle name="Comma [0] 2 2 12 29 4 2 2" xfId="15997" xr:uid="{00000000-0005-0000-0000-000050110000}"/>
    <cellStyle name="Comma [0] 2 2 12 29 4 2 2 2" xfId="31589" xr:uid="{00000000-0005-0000-0000-000051110000}"/>
    <cellStyle name="Comma [0] 2 2 12 29 4 2 2 3" xfId="47081" xr:uid="{00000000-0005-0000-0000-000052110000}"/>
    <cellStyle name="Comma [0] 2 2 12 29 4 2 3" xfId="23849" xr:uid="{00000000-0005-0000-0000-000053110000}"/>
    <cellStyle name="Comma [0] 2 2 12 29 4 2 4" xfId="39341" xr:uid="{00000000-0005-0000-0000-000054110000}"/>
    <cellStyle name="Comma [0] 2 2 12 29 4 3" xfId="12127" xr:uid="{00000000-0005-0000-0000-000055110000}"/>
    <cellStyle name="Comma [0] 2 2 12 29 4 3 2" xfId="27719" xr:uid="{00000000-0005-0000-0000-000056110000}"/>
    <cellStyle name="Comma [0] 2 2 12 29 4 3 3" xfId="43211" xr:uid="{00000000-0005-0000-0000-000057110000}"/>
    <cellStyle name="Comma [0] 2 2 12 29 4 4" xfId="19979" xr:uid="{00000000-0005-0000-0000-000058110000}"/>
    <cellStyle name="Comma [0] 2 2 12 29 4 5" xfId="35471" xr:uid="{00000000-0005-0000-0000-000059110000}"/>
    <cellStyle name="Comma [0] 2 2 12 29 5" xfId="6325" xr:uid="{00000000-0005-0000-0000-00005A110000}"/>
    <cellStyle name="Comma [0] 2 2 12 29 5 2" xfId="14070" xr:uid="{00000000-0005-0000-0000-00005B110000}"/>
    <cellStyle name="Comma [0] 2 2 12 29 5 2 2" xfId="29662" xr:uid="{00000000-0005-0000-0000-00005C110000}"/>
    <cellStyle name="Comma [0] 2 2 12 29 5 2 3" xfId="45154" xr:uid="{00000000-0005-0000-0000-00005D110000}"/>
    <cellStyle name="Comma [0] 2 2 12 29 5 3" xfId="21922" xr:uid="{00000000-0005-0000-0000-00005E110000}"/>
    <cellStyle name="Comma [0] 2 2 12 29 5 4" xfId="37414" xr:uid="{00000000-0005-0000-0000-00005F110000}"/>
    <cellStyle name="Comma [0] 2 2 12 29 6" xfId="10200" xr:uid="{00000000-0005-0000-0000-000060110000}"/>
    <cellStyle name="Comma [0] 2 2 12 29 6 2" xfId="25792" xr:uid="{00000000-0005-0000-0000-000061110000}"/>
    <cellStyle name="Comma [0] 2 2 12 29 6 3" xfId="41284" xr:uid="{00000000-0005-0000-0000-000062110000}"/>
    <cellStyle name="Comma [0] 2 2 12 29 7" xfId="18052" xr:uid="{00000000-0005-0000-0000-000063110000}"/>
    <cellStyle name="Comma [0] 2 2 12 29 8" xfId="33544" xr:uid="{00000000-0005-0000-0000-000064110000}"/>
    <cellStyle name="Comma [0] 2 2 12 3" xfId="151" xr:uid="{00000000-0005-0000-0000-000065110000}"/>
    <cellStyle name="Comma [0] 2 2 12 30" xfId="2417" xr:uid="{00000000-0005-0000-0000-000066110000}"/>
    <cellStyle name="Comma [0] 2 2 12 30 2" xfId="2727" xr:uid="{00000000-0005-0000-0000-000067110000}"/>
    <cellStyle name="Comma [0] 2 2 12 30 2 2" xfId="3735" xr:uid="{00000000-0005-0000-0000-000068110000}"/>
    <cellStyle name="Comma [0] 2 2 12 30 2 2 2" xfId="5674" xr:uid="{00000000-0005-0000-0000-000069110000}"/>
    <cellStyle name="Comma [0] 2 2 12 30 2 2 2 2" xfId="9545" xr:uid="{00000000-0005-0000-0000-00006A110000}"/>
    <cellStyle name="Comma [0] 2 2 12 30 2 2 2 2 2" xfId="17290" xr:uid="{00000000-0005-0000-0000-00006B110000}"/>
    <cellStyle name="Comma [0] 2 2 12 30 2 2 2 2 2 2" xfId="32882" xr:uid="{00000000-0005-0000-0000-00006C110000}"/>
    <cellStyle name="Comma [0] 2 2 12 30 2 2 2 2 2 3" xfId="48374" xr:uid="{00000000-0005-0000-0000-00006D110000}"/>
    <cellStyle name="Comma [0] 2 2 12 30 2 2 2 2 3" xfId="25142" xr:uid="{00000000-0005-0000-0000-00006E110000}"/>
    <cellStyle name="Comma [0] 2 2 12 30 2 2 2 2 4" xfId="40634" xr:uid="{00000000-0005-0000-0000-00006F110000}"/>
    <cellStyle name="Comma [0] 2 2 12 30 2 2 2 3" xfId="13420" xr:uid="{00000000-0005-0000-0000-000070110000}"/>
    <cellStyle name="Comma [0] 2 2 12 30 2 2 2 3 2" xfId="29012" xr:uid="{00000000-0005-0000-0000-000071110000}"/>
    <cellStyle name="Comma [0] 2 2 12 30 2 2 2 3 3" xfId="44504" xr:uid="{00000000-0005-0000-0000-000072110000}"/>
    <cellStyle name="Comma [0] 2 2 12 30 2 2 2 4" xfId="21272" xr:uid="{00000000-0005-0000-0000-000073110000}"/>
    <cellStyle name="Comma [0] 2 2 12 30 2 2 2 5" xfId="36764" xr:uid="{00000000-0005-0000-0000-000074110000}"/>
    <cellStyle name="Comma [0] 2 2 12 30 2 2 3" xfId="7618" xr:uid="{00000000-0005-0000-0000-000075110000}"/>
    <cellStyle name="Comma [0] 2 2 12 30 2 2 3 2" xfId="15363" xr:uid="{00000000-0005-0000-0000-000076110000}"/>
    <cellStyle name="Comma [0] 2 2 12 30 2 2 3 2 2" xfId="30955" xr:uid="{00000000-0005-0000-0000-000077110000}"/>
    <cellStyle name="Comma [0] 2 2 12 30 2 2 3 2 3" xfId="46447" xr:uid="{00000000-0005-0000-0000-000078110000}"/>
    <cellStyle name="Comma [0] 2 2 12 30 2 2 3 3" xfId="23215" xr:uid="{00000000-0005-0000-0000-000079110000}"/>
    <cellStyle name="Comma [0] 2 2 12 30 2 2 3 4" xfId="38707" xr:uid="{00000000-0005-0000-0000-00007A110000}"/>
    <cellStyle name="Comma [0] 2 2 12 30 2 2 4" xfId="11493" xr:uid="{00000000-0005-0000-0000-00007B110000}"/>
    <cellStyle name="Comma [0] 2 2 12 30 2 2 4 2" xfId="27085" xr:uid="{00000000-0005-0000-0000-00007C110000}"/>
    <cellStyle name="Comma [0] 2 2 12 30 2 2 4 3" xfId="42577" xr:uid="{00000000-0005-0000-0000-00007D110000}"/>
    <cellStyle name="Comma [0] 2 2 12 30 2 2 5" xfId="19345" xr:uid="{00000000-0005-0000-0000-00007E110000}"/>
    <cellStyle name="Comma [0] 2 2 12 30 2 2 6" xfId="34837" xr:uid="{00000000-0005-0000-0000-00007F110000}"/>
    <cellStyle name="Comma [0] 2 2 12 30 2 3" xfId="4726" xr:uid="{00000000-0005-0000-0000-000080110000}"/>
    <cellStyle name="Comma [0] 2 2 12 30 2 3 2" xfId="8597" xr:uid="{00000000-0005-0000-0000-000081110000}"/>
    <cellStyle name="Comma [0] 2 2 12 30 2 3 2 2" xfId="16342" xr:uid="{00000000-0005-0000-0000-000082110000}"/>
    <cellStyle name="Comma [0] 2 2 12 30 2 3 2 2 2" xfId="31934" xr:uid="{00000000-0005-0000-0000-000083110000}"/>
    <cellStyle name="Comma [0] 2 2 12 30 2 3 2 2 3" xfId="47426" xr:uid="{00000000-0005-0000-0000-000084110000}"/>
    <cellStyle name="Comma [0] 2 2 12 30 2 3 2 3" xfId="24194" xr:uid="{00000000-0005-0000-0000-000085110000}"/>
    <cellStyle name="Comma [0] 2 2 12 30 2 3 2 4" xfId="39686" xr:uid="{00000000-0005-0000-0000-000086110000}"/>
    <cellStyle name="Comma [0] 2 2 12 30 2 3 3" xfId="12472" xr:uid="{00000000-0005-0000-0000-000087110000}"/>
    <cellStyle name="Comma [0] 2 2 12 30 2 3 3 2" xfId="28064" xr:uid="{00000000-0005-0000-0000-000088110000}"/>
    <cellStyle name="Comma [0] 2 2 12 30 2 3 3 3" xfId="43556" xr:uid="{00000000-0005-0000-0000-000089110000}"/>
    <cellStyle name="Comma [0] 2 2 12 30 2 3 4" xfId="20324" xr:uid="{00000000-0005-0000-0000-00008A110000}"/>
    <cellStyle name="Comma [0] 2 2 12 30 2 3 5" xfId="35816" xr:uid="{00000000-0005-0000-0000-00008B110000}"/>
    <cellStyle name="Comma [0] 2 2 12 30 2 4" xfId="6670" xr:uid="{00000000-0005-0000-0000-00008C110000}"/>
    <cellStyle name="Comma [0] 2 2 12 30 2 4 2" xfId="14415" xr:uid="{00000000-0005-0000-0000-00008D110000}"/>
    <cellStyle name="Comma [0] 2 2 12 30 2 4 2 2" xfId="30007" xr:uid="{00000000-0005-0000-0000-00008E110000}"/>
    <cellStyle name="Comma [0] 2 2 12 30 2 4 2 3" xfId="45499" xr:uid="{00000000-0005-0000-0000-00008F110000}"/>
    <cellStyle name="Comma [0] 2 2 12 30 2 4 3" xfId="22267" xr:uid="{00000000-0005-0000-0000-000090110000}"/>
    <cellStyle name="Comma [0] 2 2 12 30 2 4 4" xfId="37759" xr:uid="{00000000-0005-0000-0000-000091110000}"/>
    <cellStyle name="Comma [0] 2 2 12 30 2 5" xfId="10545" xr:uid="{00000000-0005-0000-0000-000092110000}"/>
    <cellStyle name="Comma [0] 2 2 12 30 2 5 2" xfId="26137" xr:uid="{00000000-0005-0000-0000-000093110000}"/>
    <cellStyle name="Comma [0] 2 2 12 30 2 5 3" xfId="41629" xr:uid="{00000000-0005-0000-0000-000094110000}"/>
    <cellStyle name="Comma [0] 2 2 12 30 2 6" xfId="18397" xr:uid="{00000000-0005-0000-0000-000095110000}"/>
    <cellStyle name="Comma [0] 2 2 12 30 2 7" xfId="33889" xr:uid="{00000000-0005-0000-0000-000096110000}"/>
    <cellStyle name="Comma [0] 2 2 12 30 3" xfId="3426" xr:uid="{00000000-0005-0000-0000-000097110000}"/>
    <cellStyle name="Comma [0] 2 2 12 30 3 2" xfId="5365" xr:uid="{00000000-0005-0000-0000-000098110000}"/>
    <cellStyle name="Comma [0] 2 2 12 30 3 2 2" xfId="9236" xr:uid="{00000000-0005-0000-0000-000099110000}"/>
    <cellStyle name="Comma [0] 2 2 12 30 3 2 2 2" xfId="16981" xr:uid="{00000000-0005-0000-0000-00009A110000}"/>
    <cellStyle name="Comma [0] 2 2 12 30 3 2 2 2 2" xfId="32573" xr:uid="{00000000-0005-0000-0000-00009B110000}"/>
    <cellStyle name="Comma [0] 2 2 12 30 3 2 2 2 3" xfId="48065" xr:uid="{00000000-0005-0000-0000-00009C110000}"/>
    <cellStyle name="Comma [0] 2 2 12 30 3 2 2 3" xfId="24833" xr:uid="{00000000-0005-0000-0000-00009D110000}"/>
    <cellStyle name="Comma [0] 2 2 12 30 3 2 2 4" xfId="40325" xr:uid="{00000000-0005-0000-0000-00009E110000}"/>
    <cellStyle name="Comma [0] 2 2 12 30 3 2 3" xfId="13111" xr:uid="{00000000-0005-0000-0000-00009F110000}"/>
    <cellStyle name="Comma [0] 2 2 12 30 3 2 3 2" xfId="28703" xr:uid="{00000000-0005-0000-0000-0000A0110000}"/>
    <cellStyle name="Comma [0] 2 2 12 30 3 2 3 3" xfId="44195" xr:uid="{00000000-0005-0000-0000-0000A1110000}"/>
    <cellStyle name="Comma [0] 2 2 12 30 3 2 4" xfId="20963" xr:uid="{00000000-0005-0000-0000-0000A2110000}"/>
    <cellStyle name="Comma [0] 2 2 12 30 3 2 5" xfId="36455" xr:uid="{00000000-0005-0000-0000-0000A3110000}"/>
    <cellStyle name="Comma [0] 2 2 12 30 3 3" xfId="7309" xr:uid="{00000000-0005-0000-0000-0000A4110000}"/>
    <cellStyle name="Comma [0] 2 2 12 30 3 3 2" xfId="15054" xr:uid="{00000000-0005-0000-0000-0000A5110000}"/>
    <cellStyle name="Comma [0] 2 2 12 30 3 3 2 2" xfId="30646" xr:uid="{00000000-0005-0000-0000-0000A6110000}"/>
    <cellStyle name="Comma [0] 2 2 12 30 3 3 2 3" xfId="46138" xr:uid="{00000000-0005-0000-0000-0000A7110000}"/>
    <cellStyle name="Comma [0] 2 2 12 30 3 3 3" xfId="22906" xr:uid="{00000000-0005-0000-0000-0000A8110000}"/>
    <cellStyle name="Comma [0] 2 2 12 30 3 3 4" xfId="38398" xr:uid="{00000000-0005-0000-0000-0000A9110000}"/>
    <cellStyle name="Comma [0] 2 2 12 30 3 4" xfId="11184" xr:uid="{00000000-0005-0000-0000-0000AA110000}"/>
    <cellStyle name="Comma [0] 2 2 12 30 3 4 2" xfId="26776" xr:uid="{00000000-0005-0000-0000-0000AB110000}"/>
    <cellStyle name="Comma [0] 2 2 12 30 3 4 3" xfId="42268" xr:uid="{00000000-0005-0000-0000-0000AC110000}"/>
    <cellStyle name="Comma [0] 2 2 12 30 3 5" xfId="19036" xr:uid="{00000000-0005-0000-0000-0000AD110000}"/>
    <cellStyle name="Comma [0] 2 2 12 30 3 6" xfId="34528" xr:uid="{00000000-0005-0000-0000-0000AE110000}"/>
    <cellStyle name="Comma [0] 2 2 12 30 4" xfId="4417" xr:uid="{00000000-0005-0000-0000-0000AF110000}"/>
    <cellStyle name="Comma [0] 2 2 12 30 4 2" xfId="8288" xr:uid="{00000000-0005-0000-0000-0000B0110000}"/>
    <cellStyle name="Comma [0] 2 2 12 30 4 2 2" xfId="16033" xr:uid="{00000000-0005-0000-0000-0000B1110000}"/>
    <cellStyle name="Comma [0] 2 2 12 30 4 2 2 2" xfId="31625" xr:uid="{00000000-0005-0000-0000-0000B2110000}"/>
    <cellStyle name="Comma [0] 2 2 12 30 4 2 2 3" xfId="47117" xr:uid="{00000000-0005-0000-0000-0000B3110000}"/>
    <cellStyle name="Comma [0] 2 2 12 30 4 2 3" xfId="23885" xr:uid="{00000000-0005-0000-0000-0000B4110000}"/>
    <cellStyle name="Comma [0] 2 2 12 30 4 2 4" xfId="39377" xr:uid="{00000000-0005-0000-0000-0000B5110000}"/>
    <cellStyle name="Comma [0] 2 2 12 30 4 3" xfId="12163" xr:uid="{00000000-0005-0000-0000-0000B6110000}"/>
    <cellStyle name="Comma [0] 2 2 12 30 4 3 2" xfId="27755" xr:uid="{00000000-0005-0000-0000-0000B7110000}"/>
    <cellStyle name="Comma [0] 2 2 12 30 4 3 3" xfId="43247" xr:uid="{00000000-0005-0000-0000-0000B8110000}"/>
    <cellStyle name="Comma [0] 2 2 12 30 4 4" xfId="20015" xr:uid="{00000000-0005-0000-0000-0000B9110000}"/>
    <cellStyle name="Comma [0] 2 2 12 30 4 5" xfId="35507" xr:uid="{00000000-0005-0000-0000-0000BA110000}"/>
    <cellStyle name="Comma [0] 2 2 12 30 5" xfId="6361" xr:uid="{00000000-0005-0000-0000-0000BB110000}"/>
    <cellStyle name="Comma [0] 2 2 12 30 5 2" xfId="14106" xr:uid="{00000000-0005-0000-0000-0000BC110000}"/>
    <cellStyle name="Comma [0] 2 2 12 30 5 2 2" xfId="29698" xr:uid="{00000000-0005-0000-0000-0000BD110000}"/>
    <cellStyle name="Comma [0] 2 2 12 30 5 2 3" xfId="45190" xr:uid="{00000000-0005-0000-0000-0000BE110000}"/>
    <cellStyle name="Comma [0] 2 2 12 30 5 3" xfId="21958" xr:uid="{00000000-0005-0000-0000-0000BF110000}"/>
    <cellStyle name="Comma [0] 2 2 12 30 5 4" xfId="37450" xr:uid="{00000000-0005-0000-0000-0000C0110000}"/>
    <cellStyle name="Comma [0] 2 2 12 30 6" xfId="10236" xr:uid="{00000000-0005-0000-0000-0000C1110000}"/>
    <cellStyle name="Comma [0] 2 2 12 30 6 2" xfId="25828" xr:uid="{00000000-0005-0000-0000-0000C2110000}"/>
    <cellStyle name="Comma [0] 2 2 12 30 6 3" xfId="41320" xr:uid="{00000000-0005-0000-0000-0000C3110000}"/>
    <cellStyle name="Comma [0] 2 2 12 30 7" xfId="18088" xr:uid="{00000000-0005-0000-0000-0000C4110000}"/>
    <cellStyle name="Comma [0] 2 2 12 30 8" xfId="33580" xr:uid="{00000000-0005-0000-0000-0000C5110000}"/>
    <cellStyle name="Comma [0] 2 2 12 31" xfId="2454" xr:uid="{00000000-0005-0000-0000-0000C6110000}"/>
    <cellStyle name="Comma [0] 2 2 12 31 2" xfId="2763" xr:uid="{00000000-0005-0000-0000-0000C7110000}"/>
    <cellStyle name="Comma [0] 2 2 12 31 2 2" xfId="3771" xr:uid="{00000000-0005-0000-0000-0000C8110000}"/>
    <cellStyle name="Comma [0] 2 2 12 31 2 2 2" xfId="5710" xr:uid="{00000000-0005-0000-0000-0000C9110000}"/>
    <cellStyle name="Comma [0] 2 2 12 31 2 2 2 2" xfId="9581" xr:uid="{00000000-0005-0000-0000-0000CA110000}"/>
    <cellStyle name="Comma [0] 2 2 12 31 2 2 2 2 2" xfId="17326" xr:uid="{00000000-0005-0000-0000-0000CB110000}"/>
    <cellStyle name="Comma [0] 2 2 12 31 2 2 2 2 2 2" xfId="32918" xr:uid="{00000000-0005-0000-0000-0000CC110000}"/>
    <cellStyle name="Comma [0] 2 2 12 31 2 2 2 2 2 3" xfId="48410" xr:uid="{00000000-0005-0000-0000-0000CD110000}"/>
    <cellStyle name="Comma [0] 2 2 12 31 2 2 2 2 3" xfId="25178" xr:uid="{00000000-0005-0000-0000-0000CE110000}"/>
    <cellStyle name="Comma [0] 2 2 12 31 2 2 2 2 4" xfId="40670" xr:uid="{00000000-0005-0000-0000-0000CF110000}"/>
    <cellStyle name="Comma [0] 2 2 12 31 2 2 2 3" xfId="13456" xr:uid="{00000000-0005-0000-0000-0000D0110000}"/>
    <cellStyle name="Comma [0] 2 2 12 31 2 2 2 3 2" xfId="29048" xr:uid="{00000000-0005-0000-0000-0000D1110000}"/>
    <cellStyle name="Comma [0] 2 2 12 31 2 2 2 3 3" xfId="44540" xr:uid="{00000000-0005-0000-0000-0000D2110000}"/>
    <cellStyle name="Comma [0] 2 2 12 31 2 2 2 4" xfId="21308" xr:uid="{00000000-0005-0000-0000-0000D3110000}"/>
    <cellStyle name="Comma [0] 2 2 12 31 2 2 2 5" xfId="36800" xr:uid="{00000000-0005-0000-0000-0000D4110000}"/>
    <cellStyle name="Comma [0] 2 2 12 31 2 2 3" xfId="7654" xr:uid="{00000000-0005-0000-0000-0000D5110000}"/>
    <cellStyle name="Comma [0] 2 2 12 31 2 2 3 2" xfId="15399" xr:uid="{00000000-0005-0000-0000-0000D6110000}"/>
    <cellStyle name="Comma [0] 2 2 12 31 2 2 3 2 2" xfId="30991" xr:uid="{00000000-0005-0000-0000-0000D7110000}"/>
    <cellStyle name="Comma [0] 2 2 12 31 2 2 3 2 3" xfId="46483" xr:uid="{00000000-0005-0000-0000-0000D8110000}"/>
    <cellStyle name="Comma [0] 2 2 12 31 2 2 3 3" xfId="23251" xr:uid="{00000000-0005-0000-0000-0000D9110000}"/>
    <cellStyle name="Comma [0] 2 2 12 31 2 2 3 4" xfId="38743" xr:uid="{00000000-0005-0000-0000-0000DA110000}"/>
    <cellStyle name="Comma [0] 2 2 12 31 2 2 4" xfId="11529" xr:uid="{00000000-0005-0000-0000-0000DB110000}"/>
    <cellStyle name="Comma [0] 2 2 12 31 2 2 4 2" xfId="27121" xr:uid="{00000000-0005-0000-0000-0000DC110000}"/>
    <cellStyle name="Comma [0] 2 2 12 31 2 2 4 3" xfId="42613" xr:uid="{00000000-0005-0000-0000-0000DD110000}"/>
    <cellStyle name="Comma [0] 2 2 12 31 2 2 5" xfId="19381" xr:uid="{00000000-0005-0000-0000-0000DE110000}"/>
    <cellStyle name="Comma [0] 2 2 12 31 2 2 6" xfId="34873" xr:uid="{00000000-0005-0000-0000-0000DF110000}"/>
    <cellStyle name="Comma [0] 2 2 12 31 2 3" xfId="4762" xr:uid="{00000000-0005-0000-0000-0000E0110000}"/>
    <cellStyle name="Comma [0] 2 2 12 31 2 3 2" xfId="8633" xr:uid="{00000000-0005-0000-0000-0000E1110000}"/>
    <cellStyle name="Comma [0] 2 2 12 31 2 3 2 2" xfId="16378" xr:uid="{00000000-0005-0000-0000-0000E2110000}"/>
    <cellStyle name="Comma [0] 2 2 12 31 2 3 2 2 2" xfId="31970" xr:uid="{00000000-0005-0000-0000-0000E3110000}"/>
    <cellStyle name="Comma [0] 2 2 12 31 2 3 2 2 3" xfId="47462" xr:uid="{00000000-0005-0000-0000-0000E4110000}"/>
    <cellStyle name="Comma [0] 2 2 12 31 2 3 2 3" xfId="24230" xr:uid="{00000000-0005-0000-0000-0000E5110000}"/>
    <cellStyle name="Comma [0] 2 2 12 31 2 3 2 4" xfId="39722" xr:uid="{00000000-0005-0000-0000-0000E6110000}"/>
    <cellStyle name="Comma [0] 2 2 12 31 2 3 3" xfId="12508" xr:uid="{00000000-0005-0000-0000-0000E7110000}"/>
    <cellStyle name="Comma [0] 2 2 12 31 2 3 3 2" xfId="28100" xr:uid="{00000000-0005-0000-0000-0000E8110000}"/>
    <cellStyle name="Comma [0] 2 2 12 31 2 3 3 3" xfId="43592" xr:uid="{00000000-0005-0000-0000-0000E9110000}"/>
    <cellStyle name="Comma [0] 2 2 12 31 2 3 4" xfId="20360" xr:uid="{00000000-0005-0000-0000-0000EA110000}"/>
    <cellStyle name="Comma [0] 2 2 12 31 2 3 5" xfId="35852" xr:uid="{00000000-0005-0000-0000-0000EB110000}"/>
    <cellStyle name="Comma [0] 2 2 12 31 2 4" xfId="6706" xr:uid="{00000000-0005-0000-0000-0000EC110000}"/>
    <cellStyle name="Comma [0] 2 2 12 31 2 4 2" xfId="14451" xr:uid="{00000000-0005-0000-0000-0000ED110000}"/>
    <cellStyle name="Comma [0] 2 2 12 31 2 4 2 2" xfId="30043" xr:uid="{00000000-0005-0000-0000-0000EE110000}"/>
    <cellStyle name="Comma [0] 2 2 12 31 2 4 2 3" xfId="45535" xr:uid="{00000000-0005-0000-0000-0000EF110000}"/>
    <cellStyle name="Comma [0] 2 2 12 31 2 4 3" xfId="22303" xr:uid="{00000000-0005-0000-0000-0000F0110000}"/>
    <cellStyle name="Comma [0] 2 2 12 31 2 4 4" xfId="37795" xr:uid="{00000000-0005-0000-0000-0000F1110000}"/>
    <cellStyle name="Comma [0] 2 2 12 31 2 5" xfId="10581" xr:uid="{00000000-0005-0000-0000-0000F2110000}"/>
    <cellStyle name="Comma [0] 2 2 12 31 2 5 2" xfId="26173" xr:uid="{00000000-0005-0000-0000-0000F3110000}"/>
    <cellStyle name="Comma [0] 2 2 12 31 2 5 3" xfId="41665" xr:uid="{00000000-0005-0000-0000-0000F4110000}"/>
    <cellStyle name="Comma [0] 2 2 12 31 2 6" xfId="18433" xr:uid="{00000000-0005-0000-0000-0000F5110000}"/>
    <cellStyle name="Comma [0] 2 2 12 31 2 7" xfId="33925" xr:uid="{00000000-0005-0000-0000-0000F6110000}"/>
    <cellStyle name="Comma [0] 2 2 12 31 3" xfId="3462" xr:uid="{00000000-0005-0000-0000-0000F7110000}"/>
    <cellStyle name="Comma [0] 2 2 12 31 3 2" xfId="5401" xr:uid="{00000000-0005-0000-0000-0000F8110000}"/>
    <cellStyle name="Comma [0] 2 2 12 31 3 2 2" xfId="9272" xr:uid="{00000000-0005-0000-0000-0000F9110000}"/>
    <cellStyle name="Comma [0] 2 2 12 31 3 2 2 2" xfId="17017" xr:uid="{00000000-0005-0000-0000-0000FA110000}"/>
    <cellStyle name="Comma [0] 2 2 12 31 3 2 2 2 2" xfId="32609" xr:uid="{00000000-0005-0000-0000-0000FB110000}"/>
    <cellStyle name="Comma [0] 2 2 12 31 3 2 2 2 3" xfId="48101" xr:uid="{00000000-0005-0000-0000-0000FC110000}"/>
    <cellStyle name="Comma [0] 2 2 12 31 3 2 2 3" xfId="24869" xr:uid="{00000000-0005-0000-0000-0000FD110000}"/>
    <cellStyle name="Comma [0] 2 2 12 31 3 2 2 4" xfId="40361" xr:uid="{00000000-0005-0000-0000-0000FE110000}"/>
    <cellStyle name="Comma [0] 2 2 12 31 3 2 3" xfId="13147" xr:uid="{00000000-0005-0000-0000-0000FF110000}"/>
    <cellStyle name="Comma [0] 2 2 12 31 3 2 3 2" xfId="28739" xr:uid="{00000000-0005-0000-0000-000000120000}"/>
    <cellStyle name="Comma [0] 2 2 12 31 3 2 3 3" xfId="44231" xr:uid="{00000000-0005-0000-0000-000001120000}"/>
    <cellStyle name="Comma [0] 2 2 12 31 3 2 4" xfId="20999" xr:uid="{00000000-0005-0000-0000-000002120000}"/>
    <cellStyle name="Comma [0] 2 2 12 31 3 2 5" xfId="36491" xr:uid="{00000000-0005-0000-0000-000003120000}"/>
    <cellStyle name="Comma [0] 2 2 12 31 3 3" xfId="7345" xr:uid="{00000000-0005-0000-0000-000004120000}"/>
    <cellStyle name="Comma [0] 2 2 12 31 3 3 2" xfId="15090" xr:uid="{00000000-0005-0000-0000-000005120000}"/>
    <cellStyle name="Comma [0] 2 2 12 31 3 3 2 2" xfId="30682" xr:uid="{00000000-0005-0000-0000-000006120000}"/>
    <cellStyle name="Comma [0] 2 2 12 31 3 3 2 3" xfId="46174" xr:uid="{00000000-0005-0000-0000-000007120000}"/>
    <cellStyle name="Comma [0] 2 2 12 31 3 3 3" xfId="22942" xr:uid="{00000000-0005-0000-0000-000008120000}"/>
    <cellStyle name="Comma [0] 2 2 12 31 3 3 4" xfId="38434" xr:uid="{00000000-0005-0000-0000-000009120000}"/>
    <cellStyle name="Comma [0] 2 2 12 31 3 4" xfId="11220" xr:uid="{00000000-0005-0000-0000-00000A120000}"/>
    <cellStyle name="Comma [0] 2 2 12 31 3 4 2" xfId="26812" xr:uid="{00000000-0005-0000-0000-00000B120000}"/>
    <cellStyle name="Comma [0] 2 2 12 31 3 4 3" xfId="42304" xr:uid="{00000000-0005-0000-0000-00000C120000}"/>
    <cellStyle name="Comma [0] 2 2 12 31 3 5" xfId="19072" xr:uid="{00000000-0005-0000-0000-00000D120000}"/>
    <cellStyle name="Comma [0] 2 2 12 31 3 6" xfId="34564" xr:uid="{00000000-0005-0000-0000-00000E120000}"/>
    <cellStyle name="Comma [0] 2 2 12 31 4" xfId="4453" xr:uid="{00000000-0005-0000-0000-00000F120000}"/>
    <cellStyle name="Comma [0] 2 2 12 31 4 2" xfId="8324" xr:uid="{00000000-0005-0000-0000-000010120000}"/>
    <cellStyle name="Comma [0] 2 2 12 31 4 2 2" xfId="16069" xr:uid="{00000000-0005-0000-0000-000011120000}"/>
    <cellStyle name="Comma [0] 2 2 12 31 4 2 2 2" xfId="31661" xr:uid="{00000000-0005-0000-0000-000012120000}"/>
    <cellStyle name="Comma [0] 2 2 12 31 4 2 2 3" xfId="47153" xr:uid="{00000000-0005-0000-0000-000013120000}"/>
    <cellStyle name="Comma [0] 2 2 12 31 4 2 3" xfId="23921" xr:uid="{00000000-0005-0000-0000-000014120000}"/>
    <cellStyle name="Comma [0] 2 2 12 31 4 2 4" xfId="39413" xr:uid="{00000000-0005-0000-0000-000015120000}"/>
    <cellStyle name="Comma [0] 2 2 12 31 4 3" xfId="12199" xr:uid="{00000000-0005-0000-0000-000016120000}"/>
    <cellStyle name="Comma [0] 2 2 12 31 4 3 2" xfId="27791" xr:uid="{00000000-0005-0000-0000-000017120000}"/>
    <cellStyle name="Comma [0] 2 2 12 31 4 3 3" xfId="43283" xr:uid="{00000000-0005-0000-0000-000018120000}"/>
    <cellStyle name="Comma [0] 2 2 12 31 4 4" xfId="20051" xr:uid="{00000000-0005-0000-0000-000019120000}"/>
    <cellStyle name="Comma [0] 2 2 12 31 4 5" xfId="35543" xr:uid="{00000000-0005-0000-0000-00001A120000}"/>
    <cellStyle name="Comma [0] 2 2 12 31 5" xfId="6397" xr:uid="{00000000-0005-0000-0000-00001B120000}"/>
    <cellStyle name="Comma [0] 2 2 12 31 5 2" xfId="14142" xr:uid="{00000000-0005-0000-0000-00001C120000}"/>
    <cellStyle name="Comma [0] 2 2 12 31 5 2 2" xfId="29734" xr:uid="{00000000-0005-0000-0000-00001D120000}"/>
    <cellStyle name="Comma [0] 2 2 12 31 5 2 3" xfId="45226" xr:uid="{00000000-0005-0000-0000-00001E120000}"/>
    <cellStyle name="Comma [0] 2 2 12 31 5 3" xfId="21994" xr:uid="{00000000-0005-0000-0000-00001F120000}"/>
    <cellStyle name="Comma [0] 2 2 12 31 5 4" xfId="37486" xr:uid="{00000000-0005-0000-0000-000020120000}"/>
    <cellStyle name="Comma [0] 2 2 12 31 6" xfId="10272" xr:uid="{00000000-0005-0000-0000-000021120000}"/>
    <cellStyle name="Comma [0] 2 2 12 31 6 2" xfId="25864" xr:uid="{00000000-0005-0000-0000-000022120000}"/>
    <cellStyle name="Comma [0] 2 2 12 31 6 3" xfId="41356" xr:uid="{00000000-0005-0000-0000-000023120000}"/>
    <cellStyle name="Comma [0] 2 2 12 31 7" xfId="18124" xr:uid="{00000000-0005-0000-0000-000024120000}"/>
    <cellStyle name="Comma [0] 2 2 12 31 8" xfId="33616" xr:uid="{00000000-0005-0000-0000-000025120000}"/>
    <cellStyle name="Comma [0] 2 2 12 32" xfId="2800" xr:uid="{00000000-0005-0000-0000-000026120000}"/>
    <cellStyle name="Comma [0] 2 2 12 32 2" xfId="3807" xr:uid="{00000000-0005-0000-0000-000027120000}"/>
    <cellStyle name="Comma [0] 2 2 12 32 2 2" xfId="5746" xr:uid="{00000000-0005-0000-0000-000028120000}"/>
    <cellStyle name="Comma [0] 2 2 12 32 2 2 2" xfId="9617" xr:uid="{00000000-0005-0000-0000-000029120000}"/>
    <cellStyle name="Comma [0] 2 2 12 32 2 2 2 2" xfId="17362" xr:uid="{00000000-0005-0000-0000-00002A120000}"/>
    <cellStyle name="Comma [0] 2 2 12 32 2 2 2 2 2" xfId="32954" xr:uid="{00000000-0005-0000-0000-00002B120000}"/>
    <cellStyle name="Comma [0] 2 2 12 32 2 2 2 2 3" xfId="48446" xr:uid="{00000000-0005-0000-0000-00002C120000}"/>
    <cellStyle name="Comma [0] 2 2 12 32 2 2 2 3" xfId="25214" xr:uid="{00000000-0005-0000-0000-00002D120000}"/>
    <cellStyle name="Comma [0] 2 2 12 32 2 2 2 4" xfId="40706" xr:uid="{00000000-0005-0000-0000-00002E120000}"/>
    <cellStyle name="Comma [0] 2 2 12 32 2 2 3" xfId="13492" xr:uid="{00000000-0005-0000-0000-00002F120000}"/>
    <cellStyle name="Comma [0] 2 2 12 32 2 2 3 2" xfId="29084" xr:uid="{00000000-0005-0000-0000-000030120000}"/>
    <cellStyle name="Comma [0] 2 2 12 32 2 2 3 3" xfId="44576" xr:uid="{00000000-0005-0000-0000-000031120000}"/>
    <cellStyle name="Comma [0] 2 2 12 32 2 2 4" xfId="21344" xr:uid="{00000000-0005-0000-0000-000032120000}"/>
    <cellStyle name="Comma [0] 2 2 12 32 2 2 5" xfId="36836" xr:uid="{00000000-0005-0000-0000-000033120000}"/>
    <cellStyle name="Comma [0] 2 2 12 32 2 3" xfId="7690" xr:uid="{00000000-0005-0000-0000-000034120000}"/>
    <cellStyle name="Comma [0] 2 2 12 32 2 3 2" xfId="15435" xr:uid="{00000000-0005-0000-0000-000035120000}"/>
    <cellStyle name="Comma [0] 2 2 12 32 2 3 2 2" xfId="31027" xr:uid="{00000000-0005-0000-0000-000036120000}"/>
    <cellStyle name="Comma [0] 2 2 12 32 2 3 2 3" xfId="46519" xr:uid="{00000000-0005-0000-0000-000037120000}"/>
    <cellStyle name="Comma [0] 2 2 12 32 2 3 3" xfId="23287" xr:uid="{00000000-0005-0000-0000-000038120000}"/>
    <cellStyle name="Comma [0] 2 2 12 32 2 3 4" xfId="38779" xr:uid="{00000000-0005-0000-0000-000039120000}"/>
    <cellStyle name="Comma [0] 2 2 12 32 2 4" xfId="11565" xr:uid="{00000000-0005-0000-0000-00003A120000}"/>
    <cellStyle name="Comma [0] 2 2 12 32 2 4 2" xfId="27157" xr:uid="{00000000-0005-0000-0000-00003B120000}"/>
    <cellStyle name="Comma [0] 2 2 12 32 2 4 3" xfId="42649" xr:uid="{00000000-0005-0000-0000-00003C120000}"/>
    <cellStyle name="Comma [0] 2 2 12 32 2 5" xfId="19417" xr:uid="{00000000-0005-0000-0000-00003D120000}"/>
    <cellStyle name="Comma [0] 2 2 12 32 2 6" xfId="34909" xr:uid="{00000000-0005-0000-0000-00003E120000}"/>
    <cellStyle name="Comma [0] 2 2 12 32 3" xfId="4798" xr:uid="{00000000-0005-0000-0000-00003F120000}"/>
    <cellStyle name="Comma [0] 2 2 12 32 3 2" xfId="8669" xr:uid="{00000000-0005-0000-0000-000040120000}"/>
    <cellStyle name="Comma [0] 2 2 12 32 3 2 2" xfId="16414" xr:uid="{00000000-0005-0000-0000-000041120000}"/>
    <cellStyle name="Comma [0] 2 2 12 32 3 2 2 2" xfId="32006" xr:uid="{00000000-0005-0000-0000-000042120000}"/>
    <cellStyle name="Comma [0] 2 2 12 32 3 2 2 3" xfId="47498" xr:uid="{00000000-0005-0000-0000-000043120000}"/>
    <cellStyle name="Comma [0] 2 2 12 32 3 2 3" xfId="24266" xr:uid="{00000000-0005-0000-0000-000044120000}"/>
    <cellStyle name="Comma [0] 2 2 12 32 3 2 4" xfId="39758" xr:uid="{00000000-0005-0000-0000-000045120000}"/>
    <cellStyle name="Comma [0] 2 2 12 32 3 3" xfId="12544" xr:uid="{00000000-0005-0000-0000-000046120000}"/>
    <cellStyle name="Comma [0] 2 2 12 32 3 3 2" xfId="28136" xr:uid="{00000000-0005-0000-0000-000047120000}"/>
    <cellStyle name="Comma [0] 2 2 12 32 3 3 3" xfId="43628" xr:uid="{00000000-0005-0000-0000-000048120000}"/>
    <cellStyle name="Comma [0] 2 2 12 32 3 4" xfId="20396" xr:uid="{00000000-0005-0000-0000-000049120000}"/>
    <cellStyle name="Comma [0] 2 2 12 32 3 5" xfId="35888" xr:uid="{00000000-0005-0000-0000-00004A120000}"/>
    <cellStyle name="Comma [0] 2 2 12 32 4" xfId="6742" xr:uid="{00000000-0005-0000-0000-00004B120000}"/>
    <cellStyle name="Comma [0] 2 2 12 32 4 2" xfId="14487" xr:uid="{00000000-0005-0000-0000-00004C120000}"/>
    <cellStyle name="Comma [0] 2 2 12 32 4 2 2" xfId="30079" xr:uid="{00000000-0005-0000-0000-00004D120000}"/>
    <cellStyle name="Comma [0] 2 2 12 32 4 2 3" xfId="45571" xr:uid="{00000000-0005-0000-0000-00004E120000}"/>
    <cellStyle name="Comma [0] 2 2 12 32 4 3" xfId="22339" xr:uid="{00000000-0005-0000-0000-00004F120000}"/>
    <cellStyle name="Comma [0] 2 2 12 32 4 4" xfId="37831" xr:uid="{00000000-0005-0000-0000-000050120000}"/>
    <cellStyle name="Comma [0] 2 2 12 32 5" xfId="10617" xr:uid="{00000000-0005-0000-0000-000051120000}"/>
    <cellStyle name="Comma [0] 2 2 12 32 5 2" xfId="26209" xr:uid="{00000000-0005-0000-0000-000052120000}"/>
    <cellStyle name="Comma [0] 2 2 12 32 5 3" xfId="41701" xr:uid="{00000000-0005-0000-0000-000053120000}"/>
    <cellStyle name="Comma [0] 2 2 12 32 6" xfId="18469" xr:uid="{00000000-0005-0000-0000-000054120000}"/>
    <cellStyle name="Comma [0] 2 2 12 32 7" xfId="33961" xr:uid="{00000000-0005-0000-0000-000055120000}"/>
    <cellStyle name="Comma [0] 2 2 12 33" xfId="2839" xr:uid="{00000000-0005-0000-0000-000056120000}"/>
    <cellStyle name="Comma [0] 2 2 12 33 2" xfId="3845" xr:uid="{00000000-0005-0000-0000-000057120000}"/>
    <cellStyle name="Comma [0] 2 2 12 33 2 2" xfId="5784" xr:uid="{00000000-0005-0000-0000-000058120000}"/>
    <cellStyle name="Comma [0] 2 2 12 33 2 2 2" xfId="9655" xr:uid="{00000000-0005-0000-0000-000059120000}"/>
    <cellStyle name="Comma [0] 2 2 12 33 2 2 2 2" xfId="17400" xr:uid="{00000000-0005-0000-0000-00005A120000}"/>
    <cellStyle name="Comma [0] 2 2 12 33 2 2 2 2 2" xfId="32992" xr:uid="{00000000-0005-0000-0000-00005B120000}"/>
    <cellStyle name="Comma [0] 2 2 12 33 2 2 2 2 3" xfId="48484" xr:uid="{00000000-0005-0000-0000-00005C120000}"/>
    <cellStyle name="Comma [0] 2 2 12 33 2 2 2 3" xfId="25252" xr:uid="{00000000-0005-0000-0000-00005D120000}"/>
    <cellStyle name="Comma [0] 2 2 12 33 2 2 2 4" xfId="40744" xr:uid="{00000000-0005-0000-0000-00005E120000}"/>
    <cellStyle name="Comma [0] 2 2 12 33 2 2 3" xfId="13530" xr:uid="{00000000-0005-0000-0000-00005F120000}"/>
    <cellStyle name="Comma [0] 2 2 12 33 2 2 3 2" xfId="29122" xr:uid="{00000000-0005-0000-0000-000060120000}"/>
    <cellStyle name="Comma [0] 2 2 12 33 2 2 3 3" xfId="44614" xr:uid="{00000000-0005-0000-0000-000061120000}"/>
    <cellStyle name="Comma [0] 2 2 12 33 2 2 4" xfId="21382" xr:uid="{00000000-0005-0000-0000-000062120000}"/>
    <cellStyle name="Comma [0] 2 2 12 33 2 2 5" xfId="36874" xr:uid="{00000000-0005-0000-0000-000063120000}"/>
    <cellStyle name="Comma [0] 2 2 12 33 2 3" xfId="7728" xr:uid="{00000000-0005-0000-0000-000064120000}"/>
    <cellStyle name="Comma [0] 2 2 12 33 2 3 2" xfId="15473" xr:uid="{00000000-0005-0000-0000-000065120000}"/>
    <cellStyle name="Comma [0] 2 2 12 33 2 3 2 2" xfId="31065" xr:uid="{00000000-0005-0000-0000-000066120000}"/>
    <cellStyle name="Comma [0] 2 2 12 33 2 3 2 3" xfId="46557" xr:uid="{00000000-0005-0000-0000-000067120000}"/>
    <cellStyle name="Comma [0] 2 2 12 33 2 3 3" xfId="23325" xr:uid="{00000000-0005-0000-0000-000068120000}"/>
    <cellStyle name="Comma [0] 2 2 12 33 2 3 4" xfId="38817" xr:uid="{00000000-0005-0000-0000-000069120000}"/>
    <cellStyle name="Comma [0] 2 2 12 33 2 4" xfId="11603" xr:uid="{00000000-0005-0000-0000-00006A120000}"/>
    <cellStyle name="Comma [0] 2 2 12 33 2 4 2" xfId="27195" xr:uid="{00000000-0005-0000-0000-00006B120000}"/>
    <cellStyle name="Comma [0] 2 2 12 33 2 4 3" xfId="42687" xr:uid="{00000000-0005-0000-0000-00006C120000}"/>
    <cellStyle name="Comma [0] 2 2 12 33 2 5" xfId="19455" xr:uid="{00000000-0005-0000-0000-00006D120000}"/>
    <cellStyle name="Comma [0] 2 2 12 33 2 6" xfId="34947" xr:uid="{00000000-0005-0000-0000-00006E120000}"/>
    <cellStyle name="Comma [0] 2 2 12 33 3" xfId="4836" xr:uid="{00000000-0005-0000-0000-00006F120000}"/>
    <cellStyle name="Comma [0] 2 2 12 33 3 2" xfId="8707" xr:uid="{00000000-0005-0000-0000-000070120000}"/>
    <cellStyle name="Comma [0] 2 2 12 33 3 2 2" xfId="16452" xr:uid="{00000000-0005-0000-0000-000071120000}"/>
    <cellStyle name="Comma [0] 2 2 12 33 3 2 2 2" xfId="32044" xr:uid="{00000000-0005-0000-0000-000072120000}"/>
    <cellStyle name="Comma [0] 2 2 12 33 3 2 2 3" xfId="47536" xr:uid="{00000000-0005-0000-0000-000073120000}"/>
    <cellStyle name="Comma [0] 2 2 12 33 3 2 3" xfId="24304" xr:uid="{00000000-0005-0000-0000-000074120000}"/>
    <cellStyle name="Comma [0] 2 2 12 33 3 2 4" xfId="39796" xr:uid="{00000000-0005-0000-0000-000075120000}"/>
    <cellStyle name="Comma [0] 2 2 12 33 3 3" xfId="12582" xr:uid="{00000000-0005-0000-0000-000076120000}"/>
    <cellStyle name="Comma [0] 2 2 12 33 3 3 2" xfId="28174" xr:uid="{00000000-0005-0000-0000-000077120000}"/>
    <cellStyle name="Comma [0] 2 2 12 33 3 3 3" xfId="43666" xr:uid="{00000000-0005-0000-0000-000078120000}"/>
    <cellStyle name="Comma [0] 2 2 12 33 3 4" xfId="20434" xr:uid="{00000000-0005-0000-0000-000079120000}"/>
    <cellStyle name="Comma [0] 2 2 12 33 3 5" xfId="35926" xr:uid="{00000000-0005-0000-0000-00007A120000}"/>
    <cellStyle name="Comma [0] 2 2 12 33 4" xfId="6780" xr:uid="{00000000-0005-0000-0000-00007B120000}"/>
    <cellStyle name="Comma [0] 2 2 12 33 4 2" xfId="14525" xr:uid="{00000000-0005-0000-0000-00007C120000}"/>
    <cellStyle name="Comma [0] 2 2 12 33 4 2 2" xfId="30117" xr:uid="{00000000-0005-0000-0000-00007D120000}"/>
    <cellStyle name="Comma [0] 2 2 12 33 4 2 3" xfId="45609" xr:uid="{00000000-0005-0000-0000-00007E120000}"/>
    <cellStyle name="Comma [0] 2 2 12 33 4 3" xfId="22377" xr:uid="{00000000-0005-0000-0000-00007F120000}"/>
    <cellStyle name="Comma [0] 2 2 12 33 4 4" xfId="37869" xr:uid="{00000000-0005-0000-0000-000080120000}"/>
    <cellStyle name="Comma [0] 2 2 12 33 5" xfId="10655" xr:uid="{00000000-0005-0000-0000-000081120000}"/>
    <cellStyle name="Comma [0] 2 2 12 33 5 2" xfId="26247" xr:uid="{00000000-0005-0000-0000-000082120000}"/>
    <cellStyle name="Comma [0] 2 2 12 33 5 3" xfId="41739" xr:uid="{00000000-0005-0000-0000-000083120000}"/>
    <cellStyle name="Comma [0] 2 2 12 33 6" xfId="18507" xr:uid="{00000000-0005-0000-0000-000084120000}"/>
    <cellStyle name="Comma [0] 2 2 12 33 7" xfId="33999" xr:uid="{00000000-0005-0000-0000-000085120000}"/>
    <cellStyle name="Comma [0] 2 2 12 34" xfId="2876" xr:uid="{00000000-0005-0000-0000-000086120000}"/>
    <cellStyle name="Comma [0] 2 2 12 34 2" xfId="3881" xr:uid="{00000000-0005-0000-0000-000087120000}"/>
    <cellStyle name="Comma [0] 2 2 12 34 2 2" xfId="5820" xr:uid="{00000000-0005-0000-0000-000088120000}"/>
    <cellStyle name="Comma [0] 2 2 12 34 2 2 2" xfId="9691" xr:uid="{00000000-0005-0000-0000-000089120000}"/>
    <cellStyle name="Comma [0] 2 2 12 34 2 2 2 2" xfId="17436" xr:uid="{00000000-0005-0000-0000-00008A120000}"/>
    <cellStyle name="Comma [0] 2 2 12 34 2 2 2 2 2" xfId="33028" xr:uid="{00000000-0005-0000-0000-00008B120000}"/>
    <cellStyle name="Comma [0] 2 2 12 34 2 2 2 2 3" xfId="48520" xr:uid="{00000000-0005-0000-0000-00008C120000}"/>
    <cellStyle name="Comma [0] 2 2 12 34 2 2 2 3" xfId="25288" xr:uid="{00000000-0005-0000-0000-00008D120000}"/>
    <cellStyle name="Comma [0] 2 2 12 34 2 2 2 4" xfId="40780" xr:uid="{00000000-0005-0000-0000-00008E120000}"/>
    <cellStyle name="Comma [0] 2 2 12 34 2 2 3" xfId="13566" xr:uid="{00000000-0005-0000-0000-00008F120000}"/>
    <cellStyle name="Comma [0] 2 2 12 34 2 2 3 2" xfId="29158" xr:uid="{00000000-0005-0000-0000-000090120000}"/>
    <cellStyle name="Comma [0] 2 2 12 34 2 2 3 3" xfId="44650" xr:uid="{00000000-0005-0000-0000-000091120000}"/>
    <cellStyle name="Comma [0] 2 2 12 34 2 2 4" xfId="21418" xr:uid="{00000000-0005-0000-0000-000092120000}"/>
    <cellStyle name="Comma [0] 2 2 12 34 2 2 5" xfId="36910" xr:uid="{00000000-0005-0000-0000-000093120000}"/>
    <cellStyle name="Comma [0] 2 2 12 34 2 3" xfId="7764" xr:uid="{00000000-0005-0000-0000-000094120000}"/>
    <cellStyle name="Comma [0] 2 2 12 34 2 3 2" xfId="15509" xr:uid="{00000000-0005-0000-0000-000095120000}"/>
    <cellStyle name="Comma [0] 2 2 12 34 2 3 2 2" xfId="31101" xr:uid="{00000000-0005-0000-0000-000096120000}"/>
    <cellStyle name="Comma [0] 2 2 12 34 2 3 2 3" xfId="46593" xr:uid="{00000000-0005-0000-0000-000097120000}"/>
    <cellStyle name="Comma [0] 2 2 12 34 2 3 3" xfId="23361" xr:uid="{00000000-0005-0000-0000-000098120000}"/>
    <cellStyle name="Comma [0] 2 2 12 34 2 3 4" xfId="38853" xr:uid="{00000000-0005-0000-0000-000099120000}"/>
    <cellStyle name="Comma [0] 2 2 12 34 2 4" xfId="11639" xr:uid="{00000000-0005-0000-0000-00009A120000}"/>
    <cellStyle name="Comma [0] 2 2 12 34 2 4 2" xfId="27231" xr:uid="{00000000-0005-0000-0000-00009B120000}"/>
    <cellStyle name="Comma [0] 2 2 12 34 2 4 3" xfId="42723" xr:uid="{00000000-0005-0000-0000-00009C120000}"/>
    <cellStyle name="Comma [0] 2 2 12 34 2 5" xfId="19491" xr:uid="{00000000-0005-0000-0000-00009D120000}"/>
    <cellStyle name="Comma [0] 2 2 12 34 2 6" xfId="34983" xr:uid="{00000000-0005-0000-0000-00009E120000}"/>
    <cellStyle name="Comma [0] 2 2 12 34 3" xfId="4872" xr:uid="{00000000-0005-0000-0000-00009F120000}"/>
    <cellStyle name="Comma [0] 2 2 12 34 3 2" xfId="8743" xr:uid="{00000000-0005-0000-0000-0000A0120000}"/>
    <cellStyle name="Comma [0] 2 2 12 34 3 2 2" xfId="16488" xr:uid="{00000000-0005-0000-0000-0000A1120000}"/>
    <cellStyle name="Comma [0] 2 2 12 34 3 2 2 2" xfId="32080" xr:uid="{00000000-0005-0000-0000-0000A2120000}"/>
    <cellStyle name="Comma [0] 2 2 12 34 3 2 2 3" xfId="47572" xr:uid="{00000000-0005-0000-0000-0000A3120000}"/>
    <cellStyle name="Comma [0] 2 2 12 34 3 2 3" xfId="24340" xr:uid="{00000000-0005-0000-0000-0000A4120000}"/>
    <cellStyle name="Comma [0] 2 2 12 34 3 2 4" xfId="39832" xr:uid="{00000000-0005-0000-0000-0000A5120000}"/>
    <cellStyle name="Comma [0] 2 2 12 34 3 3" xfId="12618" xr:uid="{00000000-0005-0000-0000-0000A6120000}"/>
    <cellStyle name="Comma [0] 2 2 12 34 3 3 2" xfId="28210" xr:uid="{00000000-0005-0000-0000-0000A7120000}"/>
    <cellStyle name="Comma [0] 2 2 12 34 3 3 3" xfId="43702" xr:uid="{00000000-0005-0000-0000-0000A8120000}"/>
    <cellStyle name="Comma [0] 2 2 12 34 3 4" xfId="20470" xr:uid="{00000000-0005-0000-0000-0000A9120000}"/>
    <cellStyle name="Comma [0] 2 2 12 34 3 5" xfId="35962" xr:uid="{00000000-0005-0000-0000-0000AA120000}"/>
    <cellStyle name="Comma [0] 2 2 12 34 4" xfId="6816" xr:uid="{00000000-0005-0000-0000-0000AB120000}"/>
    <cellStyle name="Comma [0] 2 2 12 34 4 2" xfId="14561" xr:uid="{00000000-0005-0000-0000-0000AC120000}"/>
    <cellStyle name="Comma [0] 2 2 12 34 4 2 2" xfId="30153" xr:uid="{00000000-0005-0000-0000-0000AD120000}"/>
    <cellStyle name="Comma [0] 2 2 12 34 4 2 3" xfId="45645" xr:uid="{00000000-0005-0000-0000-0000AE120000}"/>
    <cellStyle name="Comma [0] 2 2 12 34 4 3" xfId="22413" xr:uid="{00000000-0005-0000-0000-0000AF120000}"/>
    <cellStyle name="Comma [0] 2 2 12 34 4 4" xfId="37905" xr:uid="{00000000-0005-0000-0000-0000B0120000}"/>
    <cellStyle name="Comma [0] 2 2 12 34 5" xfId="10691" xr:uid="{00000000-0005-0000-0000-0000B1120000}"/>
    <cellStyle name="Comma [0] 2 2 12 34 5 2" xfId="26283" xr:uid="{00000000-0005-0000-0000-0000B2120000}"/>
    <cellStyle name="Comma [0] 2 2 12 34 5 3" xfId="41775" xr:uid="{00000000-0005-0000-0000-0000B3120000}"/>
    <cellStyle name="Comma [0] 2 2 12 34 6" xfId="18543" xr:uid="{00000000-0005-0000-0000-0000B4120000}"/>
    <cellStyle name="Comma [0] 2 2 12 34 7" xfId="34035" xr:uid="{00000000-0005-0000-0000-0000B5120000}"/>
    <cellStyle name="Comma [0] 2 2 12 35" xfId="2913" xr:uid="{00000000-0005-0000-0000-0000B6120000}"/>
    <cellStyle name="Comma [0] 2 2 12 35 2" xfId="3917" xr:uid="{00000000-0005-0000-0000-0000B7120000}"/>
    <cellStyle name="Comma [0] 2 2 12 35 2 2" xfId="5856" xr:uid="{00000000-0005-0000-0000-0000B8120000}"/>
    <cellStyle name="Comma [0] 2 2 12 35 2 2 2" xfId="9727" xr:uid="{00000000-0005-0000-0000-0000B9120000}"/>
    <cellStyle name="Comma [0] 2 2 12 35 2 2 2 2" xfId="17472" xr:uid="{00000000-0005-0000-0000-0000BA120000}"/>
    <cellStyle name="Comma [0] 2 2 12 35 2 2 2 2 2" xfId="33064" xr:uid="{00000000-0005-0000-0000-0000BB120000}"/>
    <cellStyle name="Comma [0] 2 2 12 35 2 2 2 2 3" xfId="48556" xr:uid="{00000000-0005-0000-0000-0000BC120000}"/>
    <cellStyle name="Comma [0] 2 2 12 35 2 2 2 3" xfId="25324" xr:uid="{00000000-0005-0000-0000-0000BD120000}"/>
    <cellStyle name="Comma [0] 2 2 12 35 2 2 2 4" xfId="40816" xr:uid="{00000000-0005-0000-0000-0000BE120000}"/>
    <cellStyle name="Comma [0] 2 2 12 35 2 2 3" xfId="13602" xr:uid="{00000000-0005-0000-0000-0000BF120000}"/>
    <cellStyle name="Comma [0] 2 2 12 35 2 2 3 2" xfId="29194" xr:uid="{00000000-0005-0000-0000-0000C0120000}"/>
    <cellStyle name="Comma [0] 2 2 12 35 2 2 3 3" xfId="44686" xr:uid="{00000000-0005-0000-0000-0000C1120000}"/>
    <cellStyle name="Comma [0] 2 2 12 35 2 2 4" xfId="21454" xr:uid="{00000000-0005-0000-0000-0000C2120000}"/>
    <cellStyle name="Comma [0] 2 2 12 35 2 2 5" xfId="36946" xr:uid="{00000000-0005-0000-0000-0000C3120000}"/>
    <cellStyle name="Comma [0] 2 2 12 35 2 3" xfId="7800" xr:uid="{00000000-0005-0000-0000-0000C4120000}"/>
    <cellStyle name="Comma [0] 2 2 12 35 2 3 2" xfId="15545" xr:uid="{00000000-0005-0000-0000-0000C5120000}"/>
    <cellStyle name="Comma [0] 2 2 12 35 2 3 2 2" xfId="31137" xr:uid="{00000000-0005-0000-0000-0000C6120000}"/>
    <cellStyle name="Comma [0] 2 2 12 35 2 3 2 3" xfId="46629" xr:uid="{00000000-0005-0000-0000-0000C7120000}"/>
    <cellStyle name="Comma [0] 2 2 12 35 2 3 3" xfId="23397" xr:uid="{00000000-0005-0000-0000-0000C8120000}"/>
    <cellStyle name="Comma [0] 2 2 12 35 2 3 4" xfId="38889" xr:uid="{00000000-0005-0000-0000-0000C9120000}"/>
    <cellStyle name="Comma [0] 2 2 12 35 2 4" xfId="11675" xr:uid="{00000000-0005-0000-0000-0000CA120000}"/>
    <cellStyle name="Comma [0] 2 2 12 35 2 4 2" xfId="27267" xr:uid="{00000000-0005-0000-0000-0000CB120000}"/>
    <cellStyle name="Comma [0] 2 2 12 35 2 4 3" xfId="42759" xr:uid="{00000000-0005-0000-0000-0000CC120000}"/>
    <cellStyle name="Comma [0] 2 2 12 35 2 5" xfId="19527" xr:uid="{00000000-0005-0000-0000-0000CD120000}"/>
    <cellStyle name="Comma [0] 2 2 12 35 2 6" xfId="35019" xr:uid="{00000000-0005-0000-0000-0000CE120000}"/>
    <cellStyle name="Comma [0] 2 2 12 35 3" xfId="4908" xr:uid="{00000000-0005-0000-0000-0000CF120000}"/>
    <cellStyle name="Comma [0] 2 2 12 35 3 2" xfId="8779" xr:uid="{00000000-0005-0000-0000-0000D0120000}"/>
    <cellStyle name="Comma [0] 2 2 12 35 3 2 2" xfId="16524" xr:uid="{00000000-0005-0000-0000-0000D1120000}"/>
    <cellStyle name="Comma [0] 2 2 12 35 3 2 2 2" xfId="32116" xr:uid="{00000000-0005-0000-0000-0000D2120000}"/>
    <cellStyle name="Comma [0] 2 2 12 35 3 2 2 3" xfId="47608" xr:uid="{00000000-0005-0000-0000-0000D3120000}"/>
    <cellStyle name="Comma [0] 2 2 12 35 3 2 3" xfId="24376" xr:uid="{00000000-0005-0000-0000-0000D4120000}"/>
    <cellStyle name="Comma [0] 2 2 12 35 3 2 4" xfId="39868" xr:uid="{00000000-0005-0000-0000-0000D5120000}"/>
    <cellStyle name="Comma [0] 2 2 12 35 3 3" xfId="12654" xr:uid="{00000000-0005-0000-0000-0000D6120000}"/>
    <cellStyle name="Comma [0] 2 2 12 35 3 3 2" xfId="28246" xr:uid="{00000000-0005-0000-0000-0000D7120000}"/>
    <cellStyle name="Comma [0] 2 2 12 35 3 3 3" xfId="43738" xr:uid="{00000000-0005-0000-0000-0000D8120000}"/>
    <cellStyle name="Comma [0] 2 2 12 35 3 4" xfId="20506" xr:uid="{00000000-0005-0000-0000-0000D9120000}"/>
    <cellStyle name="Comma [0] 2 2 12 35 3 5" xfId="35998" xr:uid="{00000000-0005-0000-0000-0000DA120000}"/>
    <cellStyle name="Comma [0] 2 2 12 35 4" xfId="6852" xr:uid="{00000000-0005-0000-0000-0000DB120000}"/>
    <cellStyle name="Comma [0] 2 2 12 35 4 2" xfId="14597" xr:uid="{00000000-0005-0000-0000-0000DC120000}"/>
    <cellStyle name="Comma [0] 2 2 12 35 4 2 2" xfId="30189" xr:uid="{00000000-0005-0000-0000-0000DD120000}"/>
    <cellStyle name="Comma [0] 2 2 12 35 4 2 3" xfId="45681" xr:uid="{00000000-0005-0000-0000-0000DE120000}"/>
    <cellStyle name="Comma [0] 2 2 12 35 4 3" xfId="22449" xr:uid="{00000000-0005-0000-0000-0000DF120000}"/>
    <cellStyle name="Comma [0] 2 2 12 35 4 4" xfId="37941" xr:uid="{00000000-0005-0000-0000-0000E0120000}"/>
    <cellStyle name="Comma [0] 2 2 12 35 5" xfId="10727" xr:uid="{00000000-0005-0000-0000-0000E1120000}"/>
    <cellStyle name="Comma [0] 2 2 12 35 5 2" xfId="26319" xr:uid="{00000000-0005-0000-0000-0000E2120000}"/>
    <cellStyle name="Comma [0] 2 2 12 35 5 3" xfId="41811" xr:uid="{00000000-0005-0000-0000-0000E3120000}"/>
    <cellStyle name="Comma [0] 2 2 12 35 6" xfId="18579" xr:uid="{00000000-0005-0000-0000-0000E4120000}"/>
    <cellStyle name="Comma [0] 2 2 12 35 7" xfId="34071" xr:uid="{00000000-0005-0000-0000-0000E5120000}"/>
    <cellStyle name="Comma [0] 2 2 12 36" xfId="2952" xr:uid="{00000000-0005-0000-0000-0000E6120000}"/>
    <cellStyle name="Comma [0] 2 2 12 36 2" xfId="3953" xr:uid="{00000000-0005-0000-0000-0000E7120000}"/>
    <cellStyle name="Comma [0] 2 2 12 36 2 2" xfId="5892" xr:uid="{00000000-0005-0000-0000-0000E8120000}"/>
    <cellStyle name="Comma [0] 2 2 12 36 2 2 2" xfId="9763" xr:uid="{00000000-0005-0000-0000-0000E9120000}"/>
    <cellStyle name="Comma [0] 2 2 12 36 2 2 2 2" xfId="17508" xr:uid="{00000000-0005-0000-0000-0000EA120000}"/>
    <cellStyle name="Comma [0] 2 2 12 36 2 2 2 2 2" xfId="33100" xr:uid="{00000000-0005-0000-0000-0000EB120000}"/>
    <cellStyle name="Comma [0] 2 2 12 36 2 2 2 2 3" xfId="48592" xr:uid="{00000000-0005-0000-0000-0000EC120000}"/>
    <cellStyle name="Comma [0] 2 2 12 36 2 2 2 3" xfId="25360" xr:uid="{00000000-0005-0000-0000-0000ED120000}"/>
    <cellStyle name="Comma [0] 2 2 12 36 2 2 2 4" xfId="40852" xr:uid="{00000000-0005-0000-0000-0000EE120000}"/>
    <cellStyle name="Comma [0] 2 2 12 36 2 2 3" xfId="13638" xr:uid="{00000000-0005-0000-0000-0000EF120000}"/>
    <cellStyle name="Comma [0] 2 2 12 36 2 2 3 2" xfId="29230" xr:uid="{00000000-0005-0000-0000-0000F0120000}"/>
    <cellStyle name="Comma [0] 2 2 12 36 2 2 3 3" xfId="44722" xr:uid="{00000000-0005-0000-0000-0000F1120000}"/>
    <cellStyle name="Comma [0] 2 2 12 36 2 2 4" xfId="21490" xr:uid="{00000000-0005-0000-0000-0000F2120000}"/>
    <cellStyle name="Comma [0] 2 2 12 36 2 2 5" xfId="36982" xr:uid="{00000000-0005-0000-0000-0000F3120000}"/>
    <cellStyle name="Comma [0] 2 2 12 36 2 3" xfId="7836" xr:uid="{00000000-0005-0000-0000-0000F4120000}"/>
    <cellStyle name="Comma [0] 2 2 12 36 2 3 2" xfId="15581" xr:uid="{00000000-0005-0000-0000-0000F5120000}"/>
    <cellStyle name="Comma [0] 2 2 12 36 2 3 2 2" xfId="31173" xr:uid="{00000000-0005-0000-0000-0000F6120000}"/>
    <cellStyle name="Comma [0] 2 2 12 36 2 3 2 3" xfId="46665" xr:uid="{00000000-0005-0000-0000-0000F7120000}"/>
    <cellStyle name="Comma [0] 2 2 12 36 2 3 3" xfId="23433" xr:uid="{00000000-0005-0000-0000-0000F8120000}"/>
    <cellStyle name="Comma [0] 2 2 12 36 2 3 4" xfId="38925" xr:uid="{00000000-0005-0000-0000-0000F9120000}"/>
    <cellStyle name="Comma [0] 2 2 12 36 2 4" xfId="11711" xr:uid="{00000000-0005-0000-0000-0000FA120000}"/>
    <cellStyle name="Comma [0] 2 2 12 36 2 4 2" xfId="27303" xr:uid="{00000000-0005-0000-0000-0000FB120000}"/>
    <cellStyle name="Comma [0] 2 2 12 36 2 4 3" xfId="42795" xr:uid="{00000000-0005-0000-0000-0000FC120000}"/>
    <cellStyle name="Comma [0] 2 2 12 36 2 5" xfId="19563" xr:uid="{00000000-0005-0000-0000-0000FD120000}"/>
    <cellStyle name="Comma [0] 2 2 12 36 2 6" xfId="35055" xr:uid="{00000000-0005-0000-0000-0000FE120000}"/>
    <cellStyle name="Comma [0] 2 2 12 36 3" xfId="4944" xr:uid="{00000000-0005-0000-0000-0000FF120000}"/>
    <cellStyle name="Comma [0] 2 2 12 36 3 2" xfId="8815" xr:uid="{00000000-0005-0000-0000-000000130000}"/>
    <cellStyle name="Comma [0] 2 2 12 36 3 2 2" xfId="16560" xr:uid="{00000000-0005-0000-0000-000001130000}"/>
    <cellStyle name="Comma [0] 2 2 12 36 3 2 2 2" xfId="32152" xr:uid="{00000000-0005-0000-0000-000002130000}"/>
    <cellStyle name="Comma [0] 2 2 12 36 3 2 2 3" xfId="47644" xr:uid="{00000000-0005-0000-0000-000003130000}"/>
    <cellStyle name="Comma [0] 2 2 12 36 3 2 3" xfId="24412" xr:uid="{00000000-0005-0000-0000-000004130000}"/>
    <cellStyle name="Comma [0] 2 2 12 36 3 2 4" xfId="39904" xr:uid="{00000000-0005-0000-0000-000005130000}"/>
    <cellStyle name="Comma [0] 2 2 12 36 3 3" xfId="12690" xr:uid="{00000000-0005-0000-0000-000006130000}"/>
    <cellStyle name="Comma [0] 2 2 12 36 3 3 2" xfId="28282" xr:uid="{00000000-0005-0000-0000-000007130000}"/>
    <cellStyle name="Comma [0] 2 2 12 36 3 3 3" xfId="43774" xr:uid="{00000000-0005-0000-0000-000008130000}"/>
    <cellStyle name="Comma [0] 2 2 12 36 3 4" xfId="20542" xr:uid="{00000000-0005-0000-0000-000009130000}"/>
    <cellStyle name="Comma [0] 2 2 12 36 3 5" xfId="36034" xr:uid="{00000000-0005-0000-0000-00000A130000}"/>
    <cellStyle name="Comma [0] 2 2 12 36 4" xfId="6888" xr:uid="{00000000-0005-0000-0000-00000B130000}"/>
    <cellStyle name="Comma [0] 2 2 12 36 4 2" xfId="14633" xr:uid="{00000000-0005-0000-0000-00000C130000}"/>
    <cellStyle name="Comma [0] 2 2 12 36 4 2 2" xfId="30225" xr:uid="{00000000-0005-0000-0000-00000D130000}"/>
    <cellStyle name="Comma [0] 2 2 12 36 4 2 3" xfId="45717" xr:uid="{00000000-0005-0000-0000-00000E130000}"/>
    <cellStyle name="Comma [0] 2 2 12 36 4 3" xfId="22485" xr:uid="{00000000-0005-0000-0000-00000F130000}"/>
    <cellStyle name="Comma [0] 2 2 12 36 4 4" xfId="37977" xr:uid="{00000000-0005-0000-0000-000010130000}"/>
    <cellStyle name="Comma [0] 2 2 12 36 5" xfId="10763" xr:uid="{00000000-0005-0000-0000-000011130000}"/>
    <cellStyle name="Comma [0] 2 2 12 36 5 2" xfId="26355" xr:uid="{00000000-0005-0000-0000-000012130000}"/>
    <cellStyle name="Comma [0] 2 2 12 36 5 3" xfId="41847" xr:uid="{00000000-0005-0000-0000-000013130000}"/>
    <cellStyle name="Comma [0] 2 2 12 36 6" xfId="18615" xr:uid="{00000000-0005-0000-0000-000014130000}"/>
    <cellStyle name="Comma [0] 2 2 12 36 7" xfId="34107" xr:uid="{00000000-0005-0000-0000-000015130000}"/>
    <cellStyle name="Comma [0] 2 2 12 37" xfId="2992" xr:uid="{00000000-0005-0000-0000-000016130000}"/>
    <cellStyle name="Comma [0] 2 2 12 37 2" xfId="3989" xr:uid="{00000000-0005-0000-0000-000017130000}"/>
    <cellStyle name="Comma [0] 2 2 12 37 2 2" xfId="5928" xr:uid="{00000000-0005-0000-0000-000018130000}"/>
    <cellStyle name="Comma [0] 2 2 12 37 2 2 2" xfId="9799" xr:uid="{00000000-0005-0000-0000-000019130000}"/>
    <cellStyle name="Comma [0] 2 2 12 37 2 2 2 2" xfId="17544" xr:uid="{00000000-0005-0000-0000-00001A130000}"/>
    <cellStyle name="Comma [0] 2 2 12 37 2 2 2 2 2" xfId="33136" xr:uid="{00000000-0005-0000-0000-00001B130000}"/>
    <cellStyle name="Comma [0] 2 2 12 37 2 2 2 2 3" xfId="48628" xr:uid="{00000000-0005-0000-0000-00001C130000}"/>
    <cellStyle name="Comma [0] 2 2 12 37 2 2 2 3" xfId="25396" xr:uid="{00000000-0005-0000-0000-00001D130000}"/>
    <cellStyle name="Comma [0] 2 2 12 37 2 2 2 4" xfId="40888" xr:uid="{00000000-0005-0000-0000-00001E130000}"/>
    <cellStyle name="Comma [0] 2 2 12 37 2 2 3" xfId="13674" xr:uid="{00000000-0005-0000-0000-00001F130000}"/>
    <cellStyle name="Comma [0] 2 2 12 37 2 2 3 2" xfId="29266" xr:uid="{00000000-0005-0000-0000-000020130000}"/>
    <cellStyle name="Comma [0] 2 2 12 37 2 2 3 3" xfId="44758" xr:uid="{00000000-0005-0000-0000-000021130000}"/>
    <cellStyle name="Comma [0] 2 2 12 37 2 2 4" xfId="21526" xr:uid="{00000000-0005-0000-0000-000022130000}"/>
    <cellStyle name="Comma [0] 2 2 12 37 2 2 5" xfId="37018" xr:uid="{00000000-0005-0000-0000-000023130000}"/>
    <cellStyle name="Comma [0] 2 2 12 37 2 3" xfId="7872" xr:uid="{00000000-0005-0000-0000-000024130000}"/>
    <cellStyle name="Comma [0] 2 2 12 37 2 3 2" xfId="15617" xr:uid="{00000000-0005-0000-0000-000025130000}"/>
    <cellStyle name="Comma [0] 2 2 12 37 2 3 2 2" xfId="31209" xr:uid="{00000000-0005-0000-0000-000026130000}"/>
    <cellStyle name="Comma [0] 2 2 12 37 2 3 2 3" xfId="46701" xr:uid="{00000000-0005-0000-0000-000027130000}"/>
    <cellStyle name="Comma [0] 2 2 12 37 2 3 3" xfId="23469" xr:uid="{00000000-0005-0000-0000-000028130000}"/>
    <cellStyle name="Comma [0] 2 2 12 37 2 3 4" xfId="38961" xr:uid="{00000000-0005-0000-0000-000029130000}"/>
    <cellStyle name="Comma [0] 2 2 12 37 2 4" xfId="11747" xr:uid="{00000000-0005-0000-0000-00002A130000}"/>
    <cellStyle name="Comma [0] 2 2 12 37 2 4 2" xfId="27339" xr:uid="{00000000-0005-0000-0000-00002B130000}"/>
    <cellStyle name="Comma [0] 2 2 12 37 2 4 3" xfId="42831" xr:uid="{00000000-0005-0000-0000-00002C130000}"/>
    <cellStyle name="Comma [0] 2 2 12 37 2 5" xfId="19599" xr:uid="{00000000-0005-0000-0000-00002D130000}"/>
    <cellStyle name="Comma [0] 2 2 12 37 2 6" xfId="35091" xr:uid="{00000000-0005-0000-0000-00002E130000}"/>
    <cellStyle name="Comma [0] 2 2 12 37 3" xfId="4980" xr:uid="{00000000-0005-0000-0000-00002F130000}"/>
    <cellStyle name="Comma [0] 2 2 12 37 3 2" xfId="8851" xr:uid="{00000000-0005-0000-0000-000030130000}"/>
    <cellStyle name="Comma [0] 2 2 12 37 3 2 2" xfId="16596" xr:uid="{00000000-0005-0000-0000-000031130000}"/>
    <cellStyle name="Comma [0] 2 2 12 37 3 2 2 2" xfId="32188" xr:uid="{00000000-0005-0000-0000-000032130000}"/>
    <cellStyle name="Comma [0] 2 2 12 37 3 2 2 3" xfId="47680" xr:uid="{00000000-0005-0000-0000-000033130000}"/>
    <cellStyle name="Comma [0] 2 2 12 37 3 2 3" xfId="24448" xr:uid="{00000000-0005-0000-0000-000034130000}"/>
    <cellStyle name="Comma [0] 2 2 12 37 3 2 4" xfId="39940" xr:uid="{00000000-0005-0000-0000-000035130000}"/>
    <cellStyle name="Comma [0] 2 2 12 37 3 3" xfId="12726" xr:uid="{00000000-0005-0000-0000-000036130000}"/>
    <cellStyle name="Comma [0] 2 2 12 37 3 3 2" xfId="28318" xr:uid="{00000000-0005-0000-0000-000037130000}"/>
    <cellStyle name="Comma [0] 2 2 12 37 3 3 3" xfId="43810" xr:uid="{00000000-0005-0000-0000-000038130000}"/>
    <cellStyle name="Comma [0] 2 2 12 37 3 4" xfId="20578" xr:uid="{00000000-0005-0000-0000-000039130000}"/>
    <cellStyle name="Comma [0] 2 2 12 37 3 5" xfId="36070" xr:uid="{00000000-0005-0000-0000-00003A130000}"/>
    <cellStyle name="Comma [0] 2 2 12 37 4" xfId="6924" xr:uid="{00000000-0005-0000-0000-00003B130000}"/>
    <cellStyle name="Comma [0] 2 2 12 37 4 2" xfId="14669" xr:uid="{00000000-0005-0000-0000-00003C130000}"/>
    <cellStyle name="Comma [0] 2 2 12 37 4 2 2" xfId="30261" xr:uid="{00000000-0005-0000-0000-00003D130000}"/>
    <cellStyle name="Comma [0] 2 2 12 37 4 2 3" xfId="45753" xr:uid="{00000000-0005-0000-0000-00003E130000}"/>
    <cellStyle name="Comma [0] 2 2 12 37 4 3" xfId="22521" xr:uid="{00000000-0005-0000-0000-00003F130000}"/>
    <cellStyle name="Comma [0] 2 2 12 37 4 4" xfId="38013" xr:uid="{00000000-0005-0000-0000-000040130000}"/>
    <cellStyle name="Comma [0] 2 2 12 37 5" xfId="10799" xr:uid="{00000000-0005-0000-0000-000041130000}"/>
    <cellStyle name="Comma [0] 2 2 12 37 5 2" xfId="26391" xr:uid="{00000000-0005-0000-0000-000042130000}"/>
    <cellStyle name="Comma [0] 2 2 12 37 5 3" xfId="41883" xr:uid="{00000000-0005-0000-0000-000043130000}"/>
    <cellStyle name="Comma [0] 2 2 12 37 6" xfId="18651" xr:uid="{00000000-0005-0000-0000-000044130000}"/>
    <cellStyle name="Comma [0] 2 2 12 37 7" xfId="34143" xr:uid="{00000000-0005-0000-0000-000045130000}"/>
    <cellStyle name="Comma [0] 2 2 12 38" xfId="3030" xr:uid="{00000000-0005-0000-0000-000046130000}"/>
    <cellStyle name="Comma [0] 2 2 12 38 2" xfId="4025" xr:uid="{00000000-0005-0000-0000-000047130000}"/>
    <cellStyle name="Comma [0] 2 2 12 38 2 2" xfId="5964" xr:uid="{00000000-0005-0000-0000-000048130000}"/>
    <cellStyle name="Comma [0] 2 2 12 38 2 2 2" xfId="9835" xr:uid="{00000000-0005-0000-0000-000049130000}"/>
    <cellStyle name="Comma [0] 2 2 12 38 2 2 2 2" xfId="17580" xr:uid="{00000000-0005-0000-0000-00004A130000}"/>
    <cellStyle name="Comma [0] 2 2 12 38 2 2 2 2 2" xfId="33172" xr:uid="{00000000-0005-0000-0000-00004B130000}"/>
    <cellStyle name="Comma [0] 2 2 12 38 2 2 2 2 3" xfId="48664" xr:uid="{00000000-0005-0000-0000-00004C130000}"/>
    <cellStyle name="Comma [0] 2 2 12 38 2 2 2 3" xfId="25432" xr:uid="{00000000-0005-0000-0000-00004D130000}"/>
    <cellStyle name="Comma [0] 2 2 12 38 2 2 2 4" xfId="40924" xr:uid="{00000000-0005-0000-0000-00004E130000}"/>
    <cellStyle name="Comma [0] 2 2 12 38 2 2 3" xfId="13710" xr:uid="{00000000-0005-0000-0000-00004F130000}"/>
    <cellStyle name="Comma [0] 2 2 12 38 2 2 3 2" xfId="29302" xr:uid="{00000000-0005-0000-0000-000050130000}"/>
    <cellStyle name="Comma [0] 2 2 12 38 2 2 3 3" xfId="44794" xr:uid="{00000000-0005-0000-0000-000051130000}"/>
    <cellStyle name="Comma [0] 2 2 12 38 2 2 4" xfId="21562" xr:uid="{00000000-0005-0000-0000-000052130000}"/>
    <cellStyle name="Comma [0] 2 2 12 38 2 2 5" xfId="37054" xr:uid="{00000000-0005-0000-0000-000053130000}"/>
    <cellStyle name="Comma [0] 2 2 12 38 2 3" xfId="7908" xr:uid="{00000000-0005-0000-0000-000054130000}"/>
    <cellStyle name="Comma [0] 2 2 12 38 2 3 2" xfId="15653" xr:uid="{00000000-0005-0000-0000-000055130000}"/>
    <cellStyle name="Comma [0] 2 2 12 38 2 3 2 2" xfId="31245" xr:uid="{00000000-0005-0000-0000-000056130000}"/>
    <cellStyle name="Comma [0] 2 2 12 38 2 3 2 3" xfId="46737" xr:uid="{00000000-0005-0000-0000-000057130000}"/>
    <cellStyle name="Comma [0] 2 2 12 38 2 3 3" xfId="23505" xr:uid="{00000000-0005-0000-0000-000058130000}"/>
    <cellStyle name="Comma [0] 2 2 12 38 2 3 4" xfId="38997" xr:uid="{00000000-0005-0000-0000-000059130000}"/>
    <cellStyle name="Comma [0] 2 2 12 38 2 4" xfId="11783" xr:uid="{00000000-0005-0000-0000-00005A130000}"/>
    <cellStyle name="Comma [0] 2 2 12 38 2 4 2" xfId="27375" xr:uid="{00000000-0005-0000-0000-00005B130000}"/>
    <cellStyle name="Comma [0] 2 2 12 38 2 4 3" xfId="42867" xr:uid="{00000000-0005-0000-0000-00005C130000}"/>
    <cellStyle name="Comma [0] 2 2 12 38 2 5" xfId="19635" xr:uid="{00000000-0005-0000-0000-00005D130000}"/>
    <cellStyle name="Comma [0] 2 2 12 38 2 6" xfId="35127" xr:uid="{00000000-0005-0000-0000-00005E130000}"/>
    <cellStyle name="Comma [0] 2 2 12 38 3" xfId="5016" xr:uid="{00000000-0005-0000-0000-00005F130000}"/>
    <cellStyle name="Comma [0] 2 2 12 38 3 2" xfId="8887" xr:uid="{00000000-0005-0000-0000-000060130000}"/>
    <cellStyle name="Comma [0] 2 2 12 38 3 2 2" xfId="16632" xr:uid="{00000000-0005-0000-0000-000061130000}"/>
    <cellStyle name="Comma [0] 2 2 12 38 3 2 2 2" xfId="32224" xr:uid="{00000000-0005-0000-0000-000062130000}"/>
    <cellStyle name="Comma [0] 2 2 12 38 3 2 2 3" xfId="47716" xr:uid="{00000000-0005-0000-0000-000063130000}"/>
    <cellStyle name="Comma [0] 2 2 12 38 3 2 3" xfId="24484" xr:uid="{00000000-0005-0000-0000-000064130000}"/>
    <cellStyle name="Comma [0] 2 2 12 38 3 2 4" xfId="39976" xr:uid="{00000000-0005-0000-0000-000065130000}"/>
    <cellStyle name="Comma [0] 2 2 12 38 3 3" xfId="12762" xr:uid="{00000000-0005-0000-0000-000066130000}"/>
    <cellStyle name="Comma [0] 2 2 12 38 3 3 2" xfId="28354" xr:uid="{00000000-0005-0000-0000-000067130000}"/>
    <cellStyle name="Comma [0] 2 2 12 38 3 3 3" xfId="43846" xr:uid="{00000000-0005-0000-0000-000068130000}"/>
    <cellStyle name="Comma [0] 2 2 12 38 3 4" xfId="20614" xr:uid="{00000000-0005-0000-0000-000069130000}"/>
    <cellStyle name="Comma [0] 2 2 12 38 3 5" xfId="36106" xr:uid="{00000000-0005-0000-0000-00006A130000}"/>
    <cellStyle name="Comma [0] 2 2 12 38 4" xfId="6960" xr:uid="{00000000-0005-0000-0000-00006B130000}"/>
    <cellStyle name="Comma [0] 2 2 12 38 4 2" xfId="14705" xr:uid="{00000000-0005-0000-0000-00006C130000}"/>
    <cellStyle name="Comma [0] 2 2 12 38 4 2 2" xfId="30297" xr:uid="{00000000-0005-0000-0000-00006D130000}"/>
    <cellStyle name="Comma [0] 2 2 12 38 4 2 3" xfId="45789" xr:uid="{00000000-0005-0000-0000-00006E130000}"/>
    <cellStyle name="Comma [0] 2 2 12 38 4 3" xfId="22557" xr:uid="{00000000-0005-0000-0000-00006F130000}"/>
    <cellStyle name="Comma [0] 2 2 12 38 4 4" xfId="38049" xr:uid="{00000000-0005-0000-0000-000070130000}"/>
    <cellStyle name="Comma [0] 2 2 12 38 5" xfId="10835" xr:uid="{00000000-0005-0000-0000-000071130000}"/>
    <cellStyle name="Comma [0] 2 2 12 38 5 2" xfId="26427" xr:uid="{00000000-0005-0000-0000-000072130000}"/>
    <cellStyle name="Comma [0] 2 2 12 38 5 3" xfId="41919" xr:uid="{00000000-0005-0000-0000-000073130000}"/>
    <cellStyle name="Comma [0] 2 2 12 38 6" xfId="18687" xr:uid="{00000000-0005-0000-0000-000074130000}"/>
    <cellStyle name="Comma [0] 2 2 12 38 7" xfId="34179" xr:uid="{00000000-0005-0000-0000-000075130000}"/>
    <cellStyle name="Comma [0] 2 2 12 39" xfId="3067" xr:uid="{00000000-0005-0000-0000-000076130000}"/>
    <cellStyle name="Comma [0] 2 2 12 39 2" xfId="4061" xr:uid="{00000000-0005-0000-0000-000077130000}"/>
    <cellStyle name="Comma [0] 2 2 12 39 2 2" xfId="6000" xr:uid="{00000000-0005-0000-0000-000078130000}"/>
    <cellStyle name="Comma [0] 2 2 12 39 2 2 2" xfId="9871" xr:uid="{00000000-0005-0000-0000-000079130000}"/>
    <cellStyle name="Comma [0] 2 2 12 39 2 2 2 2" xfId="17616" xr:uid="{00000000-0005-0000-0000-00007A130000}"/>
    <cellStyle name="Comma [0] 2 2 12 39 2 2 2 2 2" xfId="33208" xr:uid="{00000000-0005-0000-0000-00007B130000}"/>
    <cellStyle name="Comma [0] 2 2 12 39 2 2 2 2 3" xfId="48700" xr:uid="{00000000-0005-0000-0000-00007C130000}"/>
    <cellStyle name="Comma [0] 2 2 12 39 2 2 2 3" xfId="25468" xr:uid="{00000000-0005-0000-0000-00007D130000}"/>
    <cellStyle name="Comma [0] 2 2 12 39 2 2 2 4" xfId="40960" xr:uid="{00000000-0005-0000-0000-00007E130000}"/>
    <cellStyle name="Comma [0] 2 2 12 39 2 2 3" xfId="13746" xr:uid="{00000000-0005-0000-0000-00007F130000}"/>
    <cellStyle name="Comma [0] 2 2 12 39 2 2 3 2" xfId="29338" xr:uid="{00000000-0005-0000-0000-000080130000}"/>
    <cellStyle name="Comma [0] 2 2 12 39 2 2 3 3" xfId="44830" xr:uid="{00000000-0005-0000-0000-000081130000}"/>
    <cellStyle name="Comma [0] 2 2 12 39 2 2 4" xfId="21598" xr:uid="{00000000-0005-0000-0000-000082130000}"/>
    <cellStyle name="Comma [0] 2 2 12 39 2 2 5" xfId="37090" xr:uid="{00000000-0005-0000-0000-000083130000}"/>
    <cellStyle name="Comma [0] 2 2 12 39 2 3" xfId="7944" xr:uid="{00000000-0005-0000-0000-000084130000}"/>
    <cellStyle name="Comma [0] 2 2 12 39 2 3 2" xfId="15689" xr:uid="{00000000-0005-0000-0000-000085130000}"/>
    <cellStyle name="Comma [0] 2 2 12 39 2 3 2 2" xfId="31281" xr:uid="{00000000-0005-0000-0000-000086130000}"/>
    <cellStyle name="Comma [0] 2 2 12 39 2 3 2 3" xfId="46773" xr:uid="{00000000-0005-0000-0000-000087130000}"/>
    <cellStyle name="Comma [0] 2 2 12 39 2 3 3" xfId="23541" xr:uid="{00000000-0005-0000-0000-000088130000}"/>
    <cellStyle name="Comma [0] 2 2 12 39 2 3 4" xfId="39033" xr:uid="{00000000-0005-0000-0000-000089130000}"/>
    <cellStyle name="Comma [0] 2 2 12 39 2 4" xfId="11819" xr:uid="{00000000-0005-0000-0000-00008A130000}"/>
    <cellStyle name="Comma [0] 2 2 12 39 2 4 2" xfId="27411" xr:uid="{00000000-0005-0000-0000-00008B130000}"/>
    <cellStyle name="Comma [0] 2 2 12 39 2 4 3" xfId="42903" xr:uid="{00000000-0005-0000-0000-00008C130000}"/>
    <cellStyle name="Comma [0] 2 2 12 39 2 5" xfId="19671" xr:uid="{00000000-0005-0000-0000-00008D130000}"/>
    <cellStyle name="Comma [0] 2 2 12 39 2 6" xfId="35163" xr:uid="{00000000-0005-0000-0000-00008E130000}"/>
    <cellStyle name="Comma [0] 2 2 12 39 3" xfId="5052" xr:uid="{00000000-0005-0000-0000-00008F130000}"/>
    <cellStyle name="Comma [0] 2 2 12 39 3 2" xfId="8923" xr:uid="{00000000-0005-0000-0000-000090130000}"/>
    <cellStyle name="Comma [0] 2 2 12 39 3 2 2" xfId="16668" xr:uid="{00000000-0005-0000-0000-000091130000}"/>
    <cellStyle name="Comma [0] 2 2 12 39 3 2 2 2" xfId="32260" xr:uid="{00000000-0005-0000-0000-000092130000}"/>
    <cellStyle name="Comma [0] 2 2 12 39 3 2 2 3" xfId="47752" xr:uid="{00000000-0005-0000-0000-000093130000}"/>
    <cellStyle name="Comma [0] 2 2 12 39 3 2 3" xfId="24520" xr:uid="{00000000-0005-0000-0000-000094130000}"/>
    <cellStyle name="Comma [0] 2 2 12 39 3 2 4" xfId="40012" xr:uid="{00000000-0005-0000-0000-000095130000}"/>
    <cellStyle name="Comma [0] 2 2 12 39 3 3" xfId="12798" xr:uid="{00000000-0005-0000-0000-000096130000}"/>
    <cellStyle name="Comma [0] 2 2 12 39 3 3 2" xfId="28390" xr:uid="{00000000-0005-0000-0000-000097130000}"/>
    <cellStyle name="Comma [0] 2 2 12 39 3 3 3" xfId="43882" xr:uid="{00000000-0005-0000-0000-000098130000}"/>
    <cellStyle name="Comma [0] 2 2 12 39 3 4" xfId="20650" xr:uid="{00000000-0005-0000-0000-000099130000}"/>
    <cellStyle name="Comma [0] 2 2 12 39 3 5" xfId="36142" xr:uid="{00000000-0005-0000-0000-00009A130000}"/>
    <cellStyle name="Comma [0] 2 2 12 39 4" xfId="6996" xr:uid="{00000000-0005-0000-0000-00009B130000}"/>
    <cellStyle name="Comma [0] 2 2 12 39 4 2" xfId="14741" xr:uid="{00000000-0005-0000-0000-00009C130000}"/>
    <cellStyle name="Comma [0] 2 2 12 39 4 2 2" xfId="30333" xr:uid="{00000000-0005-0000-0000-00009D130000}"/>
    <cellStyle name="Comma [0] 2 2 12 39 4 2 3" xfId="45825" xr:uid="{00000000-0005-0000-0000-00009E130000}"/>
    <cellStyle name="Comma [0] 2 2 12 39 4 3" xfId="22593" xr:uid="{00000000-0005-0000-0000-00009F130000}"/>
    <cellStyle name="Comma [0] 2 2 12 39 4 4" xfId="38085" xr:uid="{00000000-0005-0000-0000-0000A0130000}"/>
    <cellStyle name="Comma [0] 2 2 12 39 5" xfId="10871" xr:uid="{00000000-0005-0000-0000-0000A1130000}"/>
    <cellStyle name="Comma [0] 2 2 12 39 5 2" xfId="26463" xr:uid="{00000000-0005-0000-0000-0000A2130000}"/>
    <cellStyle name="Comma [0] 2 2 12 39 5 3" xfId="41955" xr:uid="{00000000-0005-0000-0000-0000A3130000}"/>
    <cellStyle name="Comma [0] 2 2 12 39 6" xfId="18723" xr:uid="{00000000-0005-0000-0000-0000A4130000}"/>
    <cellStyle name="Comma [0] 2 2 12 39 7" xfId="34215" xr:uid="{00000000-0005-0000-0000-0000A5130000}"/>
    <cellStyle name="Comma [0] 2 2 12 4" xfId="152" xr:uid="{00000000-0005-0000-0000-0000A6130000}"/>
    <cellStyle name="Comma [0] 2 2 12 40" xfId="3114" xr:uid="{00000000-0005-0000-0000-0000A7130000}"/>
    <cellStyle name="Comma [0] 2 2 12 40 2" xfId="4097" xr:uid="{00000000-0005-0000-0000-0000A8130000}"/>
    <cellStyle name="Comma [0] 2 2 12 40 2 2" xfId="6036" xr:uid="{00000000-0005-0000-0000-0000A9130000}"/>
    <cellStyle name="Comma [0] 2 2 12 40 2 2 2" xfId="9907" xr:uid="{00000000-0005-0000-0000-0000AA130000}"/>
    <cellStyle name="Comma [0] 2 2 12 40 2 2 2 2" xfId="17652" xr:uid="{00000000-0005-0000-0000-0000AB130000}"/>
    <cellStyle name="Comma [0] 2 2 12 40 2 2 2 2 2" xfId="33244" xr:uid="{00000000-0005-0000-0000-0000AC130000}"/>
    <cellStyle name="Comma [0] 2 2 12 40 2 2 2 2 3" xfId="48736" xr:uid="{00000000-0005-0000-0000-0000AD130000}"/>
    <cellStyle name="Comma [0] 2 2 12 40 2 2 2 3" xfId="25504" xr:uid="{00000000-0005-0000-0000-0000AE130000}"/>
    <cellStyle name="Comma [0] 2 2 12 40 2 2 2 4" xfId="40996" xr:uid="{00000000-0005-0000-0000-0000AF130000}"/>
    <cellStyle name="Comma [0] 2 2 12 40 2 2 3" xfId="13782" xr:uid="{00000000-0005-0000-0000-0000B0130000}"/>
    <cellStyle name="Comma [0] 2 2 12 40 2 2 3 2" xfId="29374" xr:uid="{00000000-0005-0000-0000-0000B1130000}"/>
    <cellStyle name="Comma [0] 2 2 12 40 2 2 3 3" xfId="44866" xr:uid="{00000000-0005-0000-0000-0000B2130000}"/>
    <cellStyle name="Comma [0] 2 2 12 40 2 2 4" xfId="21634" xr:uid="{00000000-0005-0000-0000-0000B3130000}"/>
    <cellStyle name="Comma [0] 2 2 12 40 2 2 5" xfId="37126" xr:uid="{00000000-0005-0000-0000-0000B4130000}"/>
    <cellStyle name="Comma [0] 2 2 12 40 2 3" xfId="7980" xr:uid="{00000000-0005-0000-0000-0000B5130000}"/>
    <cellStyle name="Comma [0] 2 2 12 40 2 3 2" xfId="15725" xr:uid="{00000000-0005-0000-0000-0000B6130000}"/>
    <cellStyle name="Comma [0] 2 2 12 40 2 3 2 2" xfId="31317" xr:uid="{00000000-0005-0000-0000-0000B7130000}"/>
    <cellStyle name="Comma [0] 2 2 12 40 2 3 2 3" xfId="46809" xr:uid="{00000000-0005-0000-0000-0000B8130000}"/>
    <cellStyle name="Comma [0] 2 2 12 40 2 3 3" xfId="23577" xr:uid="{00000000-0005-0000-0000-0000B9130000}"/>
    <cellStyle name="Comma [0] 2 2 12 40 2 3 4" xfId="39069" xr:uid="{00000000-0005-0000-0000-0000BA130000}"/>
    <cellStyle name="Comma [0] 2 2 12 40 2 4" xfId="11855" xr:uid="{00000000-0005-0000-0000-0000BB130000}"/>
    <cellStyle name="Comma [0] 2 2 12 40 2 4 2" xfId="27447" xr:uid="{00000000-0005-0000-0000-0000BC130000}"/>
    <cellStyle name="Comma [0] 2 2 12 40 2 4 3" xfId="42939" xr:uid="{00000000-0005-0000-0000-0000BD130000}"/>
    <cellStyle name="Comma [0] 2 2 12 40 2 5" xfId="19707" xr:uid="{00000000-0005-0000-0000-0000BE130000}"/>
    <cellStyle name="Comma [0] 2 2 12 40 2 6" xfId="35199" xr:uid="{00000000-0005-0000-0000-0000BF130000}"/>
    <cellStyle name="Comma [0] 2 2 12 40 3" xfId="5088" xr:uid="{00000000-0005-0000-0000-0000C0130000}"/>
    <cellStyle name="Comma [0] 2 2 12 40 3 2" xfId="8959" xr:uid="{00000000-0005-0000-0000-0000C1130000}"/>
    <cellStyle name="Comma [0] 2 2 12 40 3 2 2" xfId="16704" xr:uid="{00000000-0005-0000-0000-0000C2130000}"/>
    <cellStyle name="Comma [0] 2 2 12 40 3 2 2 2" xfId="32296" xr:uid="{00000000-0005-0000-0000-0000C3130000}"/>
    <cellStyle name="Comma [0] 2 2 12 40 3 2 2 3" xfId="47788" xr:uid="{00000000-0005-0000-0000-0000C4130000}"/>
    <cellStyle name="Comma [0] 2 2 12 40 3 2 3" xfId="24556" xr:uid="{00000000-0005-0000-0000-0000C5130000}"/>
    <cellStyle name="Comma [0] 2 2 12 40 3 2 4" xfId="40048" xr:uid="{00000000-0005-0000-0000-0000C6130000}"/>
    <cellStyle name="Comma [0] 2 2 12 40 3 3" xfId="12834" xr:uid="{00000000-0005-0000-0000-0000C7130000}"/>
    <cellStyle name="Comma [0] 2 2 12 40 3 3 2" xfId="28426" xr:uid="{00000000-0005-0000-0000-0000C8130000}"/>
    <cellStyle name="Comma [0] 2 2 12 40 3 3 3" xfId="43918" xr:uid="{00000000-0005-0000-0000-0000C9130000}"/>
    <cellStyle name="Comma [0] 2 2 12 40 3 4" xfId="20686" xr:uid="{00000000-0005-0000-0000-0000CA130000}"/>
    <cellStyle name="Comma [0] 2 2 12 40 3 5" xfId="36178" xr:uid="{00000000-0005-0000-0000-0000CB130000}"/>
    <cellStyle name="Comma [0] 2 2 12 40 4" xfId="7032" xr:uid="{00000000-0005-0000-0000-0000CC130000}"/>
    <cellStyle name="Comma [0] 2 2 12 40 4 2" xfId="14777" xr:uid="{00000000-0005-0000-0000-0000CD130000}"/>
    <cellStyle name="Comma [0] 2 2 12 40 4 2 2" xfId="30369" xr:uid="{00000000-0005-0000-0000-0000CE130000}"/>
    <cellStyle name="Comma [0] 2 2 12 40 4 2 3" xfId="45861" xr:uid="{00000000-0005-0000-0000-0000CF130000}"/>
    <cellStyle name="Comma [0] 2 2 12 40 4 3" xfId="22629" xr:uid="{00000000-0005-0000-0000-0000D0130000}"/>
    <cellStyle name="Comma [0] 2 2 12 40 4 4" xfId="38121" xr:uid="{00000000-0005-0000-0000-0000D1130000}"/>
    <cellStyle name="Comma [0] 2 2 12 40 5" xfId="10907" xr:uid="{00000000-0005-0000-0000-0000D2130000}"/>
    <cellStyle name="Comma [0] 2 2 12 40 5 2" xfId="26499" xr:uid="{00000000-0005-0000-0000-0000D3130000}"/>
    <cellStyle name="Comma [0] 2 2 12 40 5 3" xfId="41991" xr:uid="{00000000-0005-0000-0000-0000D4130000}"/>
    <cellStyle name="Comma [0] 2 2 12 40 6" xfId="18759" xr:uid="{00000000-0005-0000-0000-0000D5130000}"/>
    <cellStyle name="Comma [0] 2 2 12 40 7" xfId="34251" xr:uid="{00000000-0005-0000-0000-0000D6130000}"/>
    <cellStyle name="Comma [0] 2 2 12 41" xfId="48847" xr:uid="{00000000-0005-0000-0000-0000D7130000}"/>
    <cellStyle name="Comma [0] 2 2 12 5" xfId="153" xr:uid="{00000000-0005-0000-0000-0000D8130000}"/>
    <cellStyle name="Comma [0] 2 2 12 6" xfId="154" xr:uid="{00000000-0005-0000-0000-0000D9130000}"/>
    <cellStyle name="Comma [0] 2 2 12 7" xfId="155" xr:uid="{00000000-0005-0000-0000-0000DA130000}"/>
    <cellStyle name="Comma [0] 2 2 12 8" xfId="156" xr:uid="{00000000-0005-0000-0000-0000DB130000}"/>
    <cellStyle name="Comma [0] 2 2 12 9" xfId="157" xr:uid="{00000000-0005-0000-0000-0000DC130000}"/>
    <cellStyle name="Comma [0] 2 2 13" xfId="158" xr:uid="{00000000-0005-0000-0000-0000DD130000}"/>
    <cellStyle name="Comma [0] 2 2 13 2" xfId="49037" xr:uid="{FB59D9AC-C19B-44D8-BC84-32147D6239BD}"/>
    <cellStyle name="Comma [0] 2 2 14" xfId="159" xr:uid="{00000000-0005-0000-0000-0000DE130000}"/>
    <cellStyle name="Comma [0] 2 2 15" xfId="160" xr:uid="{00000000-0005-0000-0000-0000DF130000}"/>
    <cellStyle name="Comma [0] 2 2 16" xfId="161" xr:uid="{00000000-0005-0000-0000-0000E0130000}"/>
    <cellStyle name="Comma [0] 2 2 17" xfId="162" xr:uid="{00000000-0005-0000-0000-0000E1130000}"/>
    <cellStyle name="Comma [0] 2 2 18" xfId="163" xr:uid="{00000000-0005-0000-0000-0000E2130000}"/>
    <cellStyle name="Comma [0] 2 2 19" xfId="164" xr:uid="{00000000-0005-0000-0000-0000E3130000}"/>
    <cellStyle name="Comma [0] 2 2 2" xfId="165" xr:uid="{00000000-0005-0000-0000-0000E4130000}"/>
    <cellStyle name="Comma [0] 2 2 2 2" xfId="166" xr:uid="{00000000-0005-0000-0000-0000E5130000}"/>
    <cellStyle name="Comma [0] 2 2 2 2 2" xfId="167" xr:uid="{00000000-0005-0000-0000-0000E6130000}"/>
    <cellStyle name="Comma [0] 2 2 2 2 2 2" xfId="168" xr:uid="{00000000-0005-0000-0000-0000E7130000}"/>
    <cellStyle name="Comma [0] 2 2 2 2 3" xfId="169" xr:uid="{00000000-0005-0000-0000-0000E8130000}"/>
    <cellStyle name="Comma [0] 2 2 2 2 4" xfId="170" xr:uid="{00000000-0005-0000-0000-0000E9130000}"/>
    <cellStyle name="Comma [0] 2 2 2 3" xfId="171" xr:uid="{00000000-0005-0000-0000-0000EA130000}"/>
    <cellStyle name="Comma [0] 2 2 2 3 2" xfId="172" xr:uid="{00000000-0005-0000-0000-0000EB130000}"/>
    <cellStyle name="Comma [0] 2 2 2 3 3" xfId="48949" xr:uid="{00000000-0005-0000-0000-0000EC130000}"/>
    <cellStyle name="Comma [0] 2 2 2 4" xfId="173" xr:uid="{00000000-0005-0000-0000-0000ED130000}"/>
    <cellStyle name="Comma [0] 2 2 20" xfId="174" xr:uid="{00000000-0005-0000-0000-0000EE130000}"/>
    <cellStyle name="Comma [0] 2 2 20 10" xfId="175" xr:uid="{00000000-0005-0000-0000-0000EF130000}"/>
    <cellStyle name="Comma [0] 2 2 20 11" xfId="176" xr:uid="{00000000-0005-0000-0000-0000F0130000}"/>
    <cellStyle name="Comma [0] 2 2 20 12" xfId="177" xr:uid="{00000000-0005-0000-0000-0000F1130000}"/>
    <cellStyle name="Comma [0] 2 2 20 13" xfId="178" xr:uid="{00000000-0005-0000-0000-0000F2130000}"/>
    <cellStyle name="Comma [0] 2 2 20 14" xfId="179" xr:uid="{00000000-0005-0000-0000-0000F3130000}"/>
    <cellStyle name="Comma [0] 2 2 20 15" xfId="17779" xr:uid="{00000000-0005-0000-0000-0000F4130000}"/>
    <cellStyle name="Comma [0] 2 2 20 2" xfId="180" xr:uid="{00000000-0005-0000-0000-0000F5130000}"/>
    <cellStyle name="Comma [0] 2 2 20 2 2" xfId="181" xr:uid="{00000000-0005-0000-0000-0000F6130000}"/>
    <cellStyle name="Comma [0] 2 2 20 3" xfId="182" xr:uid="{00000000-0005-0000-0000-0000F7130000}"/>
    <cellStyle name="Comma [0] 2 2 20 4" xfId="183" xr:uid="{00000000-0005-0000-0000-0000F8130000}"/>
    <cellStyle name="Comma [0] 2 2 20 5" xfId="184" xr:uid="{00000000-0005-0000-0000-0000F9130000}"/>
    <cellStyle name="Comma [0] 2 2 20 6" xfId="185" xr:uid="{00000000-0005-0000-0000-0000FA130000}"/>
    <cellStyle name="Comma [0] 2 2 20 7" xfId="186" xr:uid="{00000000-0005-0000-0000-0000FB130000}"/>
    <cellStyle name="Comma [0] 2 2 20 8" xfId="187" xr:uid="{00000000-0005-0000-0000-0000FC130000}"/>
    <cellStyle name="Comma [0] 2 2 20 9" xfId="188" xr:uid="{00000000-0005-0000-0000-0000FD130000}"/>
    <cellStyle name="Comma [0] 2 2 21" xfId="189" xr:uid="{00000000-0005-0000-0000-0000FE130000}"/>
    <cellStyle name="Comma [0] 2 2 21 10" xfId="190" xr:uid="{00000000-0005-0000-0000-0000FF130000}"/>
    <cellStyle name="Comma [0] 2 2 21 11" xfId="191" xr:uid="{00000000-0005-0000-0000-000000140000}"/>
    <cellStyle name="Comma [0] 2 2 21 12" xfId="192" xr:uid="{00000000-0005-0000-0000-000001140000}"/>
    <cellStyle name="Comma [0] 2 2 21 13" xfId="193" xr:uid="{00000000-0005-0000-0000-000002140000}"/>
    <cellStyle name="Comma [0] 2 2 21 2" xfId="194" xr:uid="{00000000-0005-0000-0000-000003140000}"/>
    <cellStyle name="Comma [0] 2 2 21 2 2" xfId="195" xr:uid="{00000000-0005-0000-0000-000004140000}"/>
    <cellStyle name="Comma [0] 2 2 21 3" xfId="196" xr:uid="{00000000-0005-0000-0000-000005140000}"/>
    <cellStyle name="Comma [0] 2 2 21 4" xfId="197" xr:uid="{00000000-0005-0000-0000-000006140000}"/>
    <cellStyle name="Comma [0] 2 2 21 5" xfId="198" xr:uid="{00000000-0005-0000-0000-000007140000}"/>
    <cellStyle name="Comma [0] 2 2 21 6" xfId="199" xr:uid="{00000000-0005-0000-0000-000008140000}"/>
    <cellStyle name="Comma [0] 2 2 21 7" xfId="200" xr:uid="{00000000-0005-0000-0000-000009140000}"/>
    <cellStyle name="Comma [0] 2 2 21 8" xfId="201" xr:uid="{00000000-0005-0000-0000-00000A140000}"/>
    <cellStyle name="Comma [0] 2 2 21 9" xfId="202" xr:uid="{00000000-0005-0000-0000-00000B140000}"/>
    <cellStyle name="Comma [0] 2 2 22" xfId="203" xr:uid="{00000000-0005-0000-0000-00000C140000}"/>
    <cellStyle name="Comma [0] 2 2 3" xfId="204" xr:uid="{00000000-0005-0000-0000-00000D140000}"/>
    <cellStyle name="Comma [0] 2 2 4" xfId="205" xr:uid="{00000000-0005-0000-0000-00000E140000}"/>
    <cellStyle name="Comma [0] 2 2 5" xfId="206" xr:uid="{00000000-0005-0000-0000-00000F140000}"/>
    <cellStyle name="Comma [0] 2 2 6" xfId="207" xr:uid="{00000000-0005-0000-0000-000010140000}"/>
    <cellStyle name="Comma [0] 2 2 7" xfId="208" xr:uid="{00000000-0005-0000-0000-000011140000}"/>
    <cellStyle name="Comma [0] 2 2 8" xfId="209" xr:uid="{00000000-0005-0000-0000-000012140000}"/>
    <cellStyle name="Comma [0] 2 2 9" xfId="210" xr:uid="{00000000-0005-0000-0000-000013140000}"/>
    <cellStyle name="Comma [0] 2 20" xfId="211" xr:uid="{00000000-0005-0000-0000-000014140000}"/>
    <cellStyle name="Comma [0] 2 20 2" xfId="212" xr:uid="{00000000-0005-0000-0000-000015140000}"/>
    <cellStyle name="Comma [0] 2 21" xfId="213" xr:uid="{00000000-0005-0000-0000-000016140000}"/>
    <cellStyle name="Comma [0] 2 22" xfId="214" xr:uid="{00000000-0005-0000-0000-000017140000}"/>
    <cellStyle name="Comma [0] 2 23" xfId="215" xr:uid="{00000000-0005-0000-0000-000018140000}"/>
    <cellStyle name="Comma [0] 2 24" xfId="216" xr:uid="{00000000-0005-0000-0000-000019140000}"/>
    <cellStyle name="Comma [0] 2 25" xfId="217" xr:uid="{00000000-0005-0000-0000-00001A140000}"/>
    <cellStyle name="Comma [0] 2 26" xfId="218" xr:uid="{00000000-0005-0000-0000-00001B140000}"/>
    <cellStyle name="Comma [0] 2 26 10" xfId="219" xr:uid="{00000000-0005-0000-0000-00001C140000}"/>
    <cellStyle name="Comma [0] 2 26 11" xfId="220" xr:uid="{00000000-0005-0000-0000-00001D140000}"/>
    <cellStyle name="Comma [0] 2 26 12" xfId="221" xr:uid="{00000000-0005-0000-0000-00001E140000}"/>
    <cellStyle name="Comma [0] 2 26 13" xfId="222" xr:uid="{00000000-0005-0000-0000-00001F140000}"/>
    <cellStyle name="Comma [0] 2 26 14" xfId="223" xr:uid="{00000000-0005-0000-0000-000020140000}"/>
    <cellStyle name="Comma [0] 2 26 15" xfId="4150" xr:uid="{00000000-0005-0000-0000-000021140000}"/>
    <cellStyle name="Comma [0] 2 26 16" xfId="17754" xr:uid="{00000000-0005-0000-0000-000022140000}"/>
    <cellStyle name="Comma [0] 2 26 16 2" xfId="49039" xr:uid="{D9987CEA-E116-4C82-A441-F2AD03337AE2}"/>
    <cellStyle name="Comma [0] 2 26 17" xfId="49038" xr:uid="{EC701946-6D33-40BD-B7AE-ACF6315AF330}"/>
    <cellStyle name="Comma [0] 2 26 2" xfId="224" xr:uid="{00000000-0005-0000-0000-000023140000}"/>
    <cellStyle name="Comma [0] 2 26 2 2" xfId="225" xr:uid="{00000000-0005-0000-0000-000024140000}"/>
    <cellStyle name="Comma [0] 2 26 3" xfId="226" xr:uid="{00000000-0005-0000-0000-000025140000}"/>
    <cellStyle name="Comma [0] 2 26 4" xfId="227" xr:uid="{00000000-0005-0000-0000-000026140000}"/>
    <cellStyle name="Comma [0] 2 26 5" xfId="228" xr:uid="{00000000-0005-0000-0000-000027140000}"/>
    <cellStyle name="Comma [0] 2 26 6" xfId="229" xr:uid="{00000000-0005-0000-0000-000028140000}"/>
    <cellStyle name="Comma [0] 2 26 7" xfId="230" xr:uid="{00000000-0005-0000-0000-000029140000}"/>
    <cellStyle name="Comma [0] 2 26 8" xfId="231" xr:uid="{00000000-0005-0000-0000-00002A140000}"/>
    <cellStyle name="Comma [0] 2 26 9" xfId="232" xr:uid="{00000000-0005-0000-0000-00002B140000}"/>
    <cellStyle name="Comma [0] 2 27" xfId="233" xr:uid="{00000000-0005-0000-0000-00002C140000}"/>
    <cellStyle name="Comma [0] 2 27 10" xfId="234" xr:uid="{00000000-0005-0000-0000-00002D140000}"/>
    <cellStyle name="Comma [0] 2 27 11" xfId="235" xr:uid="{00000000-0005-0000-0000-00002E140000}"/>
    <cellStyle name="Comma [0] 2 27 12" xfId="236" xr:uid="{00000000-0005-0000-0000-00002F140000}"/>
    <cellStyle name="Comma [0] 2 27 13" xfId="237" xr:uid="{00000000-0005-0000-0000-000030140000}"/>
    <cellStyle name="Comma [0] 2 27 14" xfId="17736" xr:uid="{00000000-0005-0000-0000-000031140000}"/>
    <cellStyle name="Comma [0] 2 27 15" xfId="48900" xr:uid="{00000000-0005-0000-0000-000032140000}"/>
    <cellStyle name="Comma [0] 2 27 15 2" xfId="49040" xr:uid="{10C4E3DC-2450-442D-860F-A84E07D1F09D}"/>
    <cellStyle name="Comma [0] 2 27 2" xfId="238" xr:uid="{00000000-0005-0000-0000-000033140000}"/>
    <cellStyle name="Comma [0] 2 27 2 2" xfId="239" xr:uid="{00000000-0005-0000-0000-000034140000}"/>
    <cellStyle name="Comma [0] 2 27 3" xfId="240" xr:uid="{00000000-0005-0000-0000-000035140000}"/>
    <cellStyle name="Comma [0] 2 27 4" xfId="241" xr:uid="{00000000-0005-0000-0000-000036140000}"/>
    <cellStyle name="Comma [0] 2 27 5" xfId="242" xr:uid="{00000000-0005-0000-0000-000037140000}"/>
    <cellStyle name="Comma [0] 2 27 6" xfId="243" xr:uid="{00000000-0005-0000-0000-000038140000}"/>
    <cellStyle name="Comma [0] 2 27 7" xfId="244" xr:uid="{00000000-0005-0000-0000-000039140000}"/>
    <cellStyle name="Comma [0] 2 27 8" xfId="245" xr:uid="{00000000-0005-0000-0000-00003A140000}"/>
    <cellStyle name="Comma [0] 2 27 9" xfId="246" xr:uid="{00000000-0005-0000-0000-00003B140000}"/>
    <cellStyle name="Comma [0] 2 28" xfId="247" xr:uid="{00000000-0005-0000-0000-00003C140000}"/>
    <cellStyle name="Comma [0] 2 28 2" xfId="248" xr:uid="{00000000-0005-0000-0000-00003D140000}"/>
    <cellStyle name="Comma [0] 2 28 3" xfId="48989" xr:uid="{00000000-0005-0000-0000-00003E140000}"/>
    <cellStyle name="Comma [0] 2 29" xfId="249" xr:uid="{00000000-0005-0000-0000-00003F140000}"/>
    <cellStyle name="Comma [0] 2 3" xfId="250" xr:uid="{00000000-0005-0000-0000-000040140000}"/>
    <cellStyle name="Comma [0] 2 3 2" xfId="251" xr:uid="{00000000-0005-0000-0000-000041140000}"/>
    <cellStyle name="Comma [0] 2 3 2 2" xfId="48950" xr:uid="{00000000-0005-0000-0000-000042140000}"/>
    <cellStyle name="Comma [0] 2 3 3" xfId="252" xr:uid="{00000000-0005-0000-0000-000043140000}"/>
    <cellStyle name="Comma [0] 2 3 3 2" xfId="48951" xr:uid="{00000000-0005-0000-0000-000044140000}"/>
    <cellStyle name="Comma [0] 2 3 3 2 2" xfId="49041" xr:uid="{E6E2A8F6-B65B-4032-9AD9-EE310E0785B5}"/>
    <cellStyle name="Comma [0] 2 30" xfId="253" xr:uid="{00000000-0005-0000-0000-000045140000}"/>
    <cellStyle name="Comma [0] 2 31" xfId="254" xr:uid="{00000000-0005-0000-0000-000046140000}"/>
    <cellStyle name="Comma [0] 2 32" xfId="255" xr:uid="{00000000-0005-0000-0000-000047140000}"/>
    <cellStyle name="Comma [0] 2 33" xfId="256" xr:uid="{00000000-0005-0000-0000-000048140000}"/>
    <cellStyle name="Comma [0] 2 34" xfId="257" xr:uid="{00000000-0005-0000-0000-000049140000}"/>
    <cellStyle name="Comma [0] 2 35" xfId="258" xr:uid="{00000000-0005-0000-0000-00004A140000}"/>
    <cellStyle name="Comma [0] 2 36" xfId="259" xr:uid="{00000000-0005-0000-0000-00004B140000}"/>
    <cellStyle name="Comma [0] 2 37" xfId="260" xr:uid="{00000000-0005-0000-0000-00004C140000}"/>
    <cellStyle name="Comma [0] 2 38" xfId="261" xr:uid="{00000000-0005-0000-0000-00004D140000}"/>
    <cellStyle name="Comma [0] 2 39" xfId="262" xr:uid="{00000000-0005-0000-0000-00004E140000}"/>
    <cellStyle name="Comma [0] 2 4" xfId="263" xr:uid="{00000000-0005-0000-0000-00004F140000}"/>
    <cellStyle name="Comma [0] 2 40" xfId="264" xr:uid="{00000000-0005-0000-0000-000050140000}"/>
    <cellStyle name="Comma [0] 2 41" xfId="265" xr:uid="{00000000-0005-0000-0000-000051140000}"/>
    <cellStyle name="Comma [0] 2 42" xfId="266" xr:uid="{00000000-0005-0000-0000-000052140000}"/>
    <cellStyle name="Comma [0] 2 43" xfId="267" xr:uid="{00000000-0005-0000-0000-000053140000}"/>
    <cellStyle name="Comma [0] 2 44" xfId="268" xr:uid="{00000000-0005-0000-0000-000054140000}"/>
    <cellStyle name="Comma [0] 2 45" xfId="269" xr:uid="{00000000-0005-0000-0000-000055140000}"/>
    <cellStyle name="Comma [0] 2 46" xfId="270" xr:uid="{00000000-0005-0000-0000-000056140000}"/>
    <cellStyle name="Comma [0] 2 47" xfId="271" xr:uid="{00000000-0005-0000-0000-000057140000}"/>
    <cellStyle name="Comma [0] 2 48" xfId="272" xr:uid="{00000000-0005-0000-0000-000058140000}"/>
    <cellStyle name="Comma [0] 2 49" xfId="273" xr:uid="{00000000-0005-0000-0000-000059140000}"/>
    <cellStyle name="Comma [0] 2 5" xfId="274" xr:uid="{00000000-0005-0000-0000-00005A140000}"/>
    <cellStyle name="Comma [0] 2 50" xfId="275" xr:uid="{00000000-0005-0000-0000-00005B140000}"/>
    <cellStyle name="Comma [0] 2 51" xfId="2157" xr:uid="{00000000-0005-0000-0000-00005C140000}"/>
    <cellStyle name="Comma [0] 2 51 2" xfId="2505" xr:uid="{00000000-0005-0000-0000-00005D140000}"/>
    <cellStyle name="Comma [0] 2 51 2 2" xfId="3513" xr:uid="{00000000-0005-0000-0000-00005E140000}"/>
    <cellStyle name="Comma [0] 2 51 2 2 2" xfId="5452" xr:uid="{00000000-0005-0000-0000-00005F140000}"/>
    <cellStyle name="Comma [0] 2 51 2 2 2 2" xfId="9323" xr:uid="{00000000-0005-0000-0000-000060140000}"/>
    <cellStyle name="Comma [0] 2 51 2 2 2 2 2" xfId="17068" xr:uid="{00000000-0005-0000-0000-000061140000}"/>
    <cellStyle name="Comma [0] 2 51 2 2 2 2 2 2" xfId="32660" xr:uid="{00000000-0005-0000-0000-000062140000}"/>
    <cellStyle name="Comma [0] 2 51 2 2 2 2 2 3" xfId="48152" xr:uid="{00000000-0005-0000-0000-000063140000}"/>
    <cellStyle name="Comma [0] 2 51 2 2 2 2 3" xfId="24920" xr:uid="{00000000-0005-0000-0000-000064140000}"/>
    <cellStyle name="Comma [0] 2 51 2 2 2 2 4" xfId="40412" xr:uid="{00000000-0005-0000-0000-000065140000}"/>
    <cellStyle name="Comma [0] 2 51 2 2 2 3" xfId="13198" xr:uid="{00000000-0005-0000-0000-000066140000}"/>
    <cellStyle name="Comma [0] 2 51 2 2 2 3 2" xfId="28790" xr:uid="{00000000-0005-0000-0000-000067140000}"/>
    <cellStyle name="Comma [0] 2 51 2 2 2 3 3" xfId="44282" xr:uid="{00000000-0005-0000-0000-000068140000}"/>
    <cellStyle name="Comma [0] 2 51 2 2 2 4" xfId="21050" xr:uid="{00000000-0005-0000-0000-000069140000}"/>
    <cellStyle name="Comma [0] 2 51 2 2 2 5" xfId="36542" xr:uid="{00000000-0005-0000-0000-00006A140000}"/>
    <cellStyle name="Comma [0] 2 51 2 2 3" xfId="7396" xr:uid="{00000000-0005-0000-0000-00006B140000}"/>
    <cellStyle name="Comma [0] 2 51 2 2 3 2" xfId="15141" xr:uid="{00000000-0005-0000-0000-00006C140000}"/>
    <cellStyle name="Comma [0] 2 51 2 2 3 2 2" xfId="30733" xr:uid="{00000000-0005-0000-0000-00006D140000}"/>
    <cellStyle name="Comma [0] 2 51 2 2 3 2 3" xfId="46225" xr:uid="{00000000-0005-0000-0000-00006E140000}"/>
    <cellStyle name="Comma [0] 2 51 2 2 3 3" xfId="22993" xr:uid="{00000000-0005-0000-0000-00006F140000}"/>
    <cellStyle name="Comma [0] 2 51 2 2 3 4" xfId="38485" xr:uid="{00000000-0005-0000-0000-000070140000}"/>
    <cellStyle name="Comma [0] 2 51 2 2 4" xfId="11271" xr:uid="{00000000-0005-0000-0000-000071140000}"/>
    <cellStyle name="Comma [0] 2 51 2 2 4 2" xfId="26863" xr:uid="{00000000-0005-0000-0000-000072140000}"/>
    <cellStyle name="Comma [0] 2 51 2 2 4 3" xfId="42355" xr:uid="{00000000-0005-0000-0000-000073140000}"/>
    <cellStyle name="Comma [0] 2 51 2 2 5" xfId="19123" xr:uid="{00000000-0005-0000-0000-000074140000}"/>
    <cellStyle name="Comma [0] 2 51 2 2 6" xfId="34615" xr:uid="{00000000-0005-0000-0000-000075140000}"/>
    <cellStyle name="Comma [0] 2 51 2 3" xfId="4504" xr:uid="{00000000-0005-0000-0000-000076140000}"/>
    <cellStyle name="Comma [0] 2 51 2 3 2" xfId="8375" xr:uid="{00000000-0005-0000-0000-000077140000}"/>
    <cellStyle name="Comma [0] 2 51 2 3 2 2" xfId="16120" xr:uid="{00000000-0005-0000-0000-000078140000}"/>
    <cellStyle name="Comma [0] 2 51 2 3 2 2 2" xfId="31712" xr:uid="{00000000-0005-0000-0000-000079140000}"/>
    <cellStyle name="Comma [0] 2 51 2 3 2 2 3" xfId="47204" xr:uid="{00000000-0005-0000-0000-00007A140000}"/>
    <cellStyle name="Comma [0] 2 51 2 3 2 3" xfId="23972" xr:uid="{00000000-0005-0000-0000-00007B140000}"/>
    <cellStyle name="Comma [0] 2 51 2 3 2 4" xfId="39464" xr:uid="{00000000-0005-0000-0000-00007C140000}"/>
    <cellStyle name="Comma [0] 2 51 2 3 3" xfId="12250" xr:uid="{00000000-0005-0000-0000-00007D140000}"/>
    <cellStyle name="Comma [0] 2 51 2 3 3 2" xfId="27842" xr:uid="{00000000-0005-0000-0000-00007E140000}"/>
    <cellStyle name="Comma [0] 2 51 2 3 3 3" xfId="43334" xr:uid="{00000000-0005-0000-0000-00007F140000}"/>
    <cellStyle name="Comma [0] 2 51 2 3 4" xfId="20102" xr:uid="{00000000-0005-0000-0000-000080140000}"/>
    <cellStyle name="Comma [0] 2 51 2 3 5" xfId="35594" xr:uid="{00000000-0005-0000-0000-000081140000}"/>
    <cellStyle name="Comma [0] 2 51 2 4" xfId="6448" xr:uid="{00000000-0005-0000-0000-000082140000}"/>
    <cellStyle name="Comma [0] 2 51 2 4 2" xfId="14193" xr:uid="{00000000-0005-0000-0000-000083140000}"/>
    <cellStyle name="Comma [0] 2 51 2 4 2 2" xfId="29785" xr:uid="{00000000-0005-0000-0000-000084140000}"/>
    <cellStyle name="Comma [0] 2 51 2 4 2 3" xfId="45277" xr:uid="{00000000-0005-0000-0000-000085140000}"/>
    <cellStyle name="Comma [0] 2 51 2 4 3" xfId="22045" xr:uid="{00000000-0005-0000-0000-000086140000}"/>
    <cellStyle name="Comma [0] 2 51 2 4 4" xfId="37537" xr:uid="{00000000-0005-0000-0000-000087140000}"/>
    <cellStyle name="Comma [0] 2 51 2 5" xfId="10323" xr:uid="{00000000-0005-0000-0000-000088140000}"/>
    <cellStyle name="Comma [0] 2 51 2 5 2" xfId="25915" xr:uid="{00000000-0005-0000-0000-000089140000}"/>
    <cellStyle name="Comma [0] 2 51 2 5 3" xfId="41407" xr:uid="{00000000-0005-0000-0000-00008A140000}"/>
    <cellStyle name="Comma [0] 2 51 2 6" xfId="18175" xr:uid="{00000000-0005-0000-0000-00008B140000}"/>
    <cellStyle name="Comma [0] 2 51 2 7" xfId="33667" xr:uid="{00000000-0005-0000-0000-00008C140000}"/>
    <cellStyle name="Comma [0] 2 51 3" xfId="3204" xr:uid="{00000000-0005-0000-0000-00008D140000}"/>
    <cellStyle name="Comma [0] 2 51 3 2" xfId="5143" xr:uid="{00000000-0005-0000-0000-00008E140000}"/>
    <cellStyle name="Comma [0] 2 51 3 2 2" xfId="9014" xr:uid="{00000000-0005-0000-0000-00008F140000}"/>
    <cellStyle name="Comma [0] 2 51 3 2 2 2" xfId="16759" xr:uid="{00000000-0005-0000-0000-000090140000}"/>
    <cellStyle name="Comma [0] 2 51 3 2 2 2 2" xfId="32351" xr:uid="{00000000-0005-0000-0000-000091140000}"/>
    <cellStyle name="Comma [0] 2 51 3 2 2 2 3" xfId="47843" xr:uid="{00000000-0005-0000-0000-000092140000}"/>
    <cellStyle name="Comma [0] 2 51 3 2 2 3" xfId="24611" xr:uid="{00000000-0005-0000-0000-000093140000}"/>
    <cellStyle name="Comma [0] 2 51 3 2 2 4" xfId="40103" xr:uid="{00000000-0005-0000-0000-000094140000}"/>
    <cellStyle name="Comma [0] 2 51 3 2 3" xfId="12889" xr:uid="{00000000-0005-0000-0000-000095140000}"/>
    <cellStyle name="Comma [0] 2 51 3 2 3 2" xfId="28481" xr:uid="{00000000-0005-0000-0000-000096140000}"/>
    <cellStyle name="Comma [0] 2 51 3 2 3 3" xfId="43973" xr:uid="{00000000-0005-0000-0000-000097140000}"/>
    <cellStyle name="Comma [0] 2 51 3 2 4" xfId="20741" xr:uid="{00000000-0005-0000-0000-000098140000}"/>
    <cellStyle name="Comma [0] 2 51 3 2 5" xfId="36233" xr:uid="{00000000-0005-0000-0000-000099140000}"/>
    <cellStyle name="Comma [0] 2 51 3 3" xfId="7087" xr:uid="{00000000-0005-0000-0000-00009A140000}"/>
    <cellStyle name="Comma [0] 2 51 3 3 2" xfId="14832" xr:uid="{00000000-0005-0000-0000-00009B140000}"/>
    <cellStyle name="Comma [0] 2 51 3 3 2 2" xfId="30424" xr:uid="{00000000-0005-0000-0000-00009C140000}"/>
    <cellStyle name="Comma [0] 2 51 3 3 2 3" xfId="45916" xr:uid="{00000000-0005-0000-0000-00009D140000}"/>
    <cellStyle name="Comma [0] 2 51 3 3 3" xfId="22684" xr:uid="{00000000-0005-0000-0000-00009E140000}"/>
    <cellStyle name="Comma [0] 2 51 3 3 4" xfId="38176" xr:uid="{00000000-0005-0000-0000-00009F140000}"/>
    <cellStyle name="Comma [0] 2 51 3 4" xfId="10962" xr:uid="{00000000-0005-0000-0000-0000A0140000}"/>
    <cellStyle name="Comma [0] 2 51 3 4 2" xfId="26554" xr:uid="{00000000-0005-0000-0000-0000A1140000}"/>
    <cellStyle name="Comma [0] 2 51 3 4 3" xfId="42046" xr:uid="{00000000-0005-0000-0000-0000A2140000}"/>
    <cellStyle name="Comma [0] 2 51 3 5" xfId="18814" xr:uid="{00000000-0005-0000-0000-0000A3140000}"/>
    <cellStyle name="Comma [0] 2 51 3 6" xfId="34306" xr:uid="{00000000-0005-0000-0000-0000A4140000}"/>
    <cellStyle name="Comma [0] 2 51 4" xfId="4195" xr:uid="{00000000-0005-0000-0000-0000A5140000}"/>
    <cellStyle name="Comma [0] 2 51 4 2" xfId="8066" xr:uid="{00000000-0005-0000-0000-0000A6140000}"/>
    <cellStyle name="Comma [0] 2 51 4 2 2" xfId="15811" xr:uid="{00000000-0005-0000-0000-0000A7140000}"/>
    <cellStyle name="Comma [0] 2 51 4 2 2 2" xfId="31403" xr:uid="{00000000-0005-0000-0000-0000A8140000}"/>
    <cellStyle name="Comma [0] 2 51 4 2 2 3" xfId="46895" xr:uid="{00000000-0005-0000-0000-0000A9140000}"/>
    <cellStyle name="Comma [0] 2 51 4 2 3" xfId="23663" xr:uid="{00000000-0005-0000-0000-0000AA140000}"/>
    <cellStyle name="Comma [0] 2 51 4 2 4" xfId="39155" xr:uid="{00000000-0005-0000-0000-0000AB140000}"/>
    <cellStyle name="Comma [0] 2 51 4 3" xfId="11941" xr:uid="{00000000-0005-0000-0000-0000AC140000}"/>
    <cellStyle name="Comma [0] 2 51 4 3 2" xfId="27533" xr:uid="{00000000-0005-0000-0000-0000AD140000}"/>
    <cellStyle name="Comma [0] 2 51 4 3 3" xfId="43025" xr:uid="{00000000-0005-0000-0000-0000AE140000}"/>
    <cellStyle name="Comma [0] 2 51 4 4" xfId="19793" xr:uid="{00000000-0005-0000-0000-0000AF140000}"/>
    <cellStyle name="Comma [0] 2 51 4 5" xfId="35285" xr:uid="{00000000-0005-0000-0000-0000B0140000}"/>
    <cellStyle name="Comma [0] 2 51 5" xfId="6139" xr:uid="{00000000-0005-0000-0000-0000B1140000}"/>
    <cellStyle name="Comma [0] 2 51 5 2" xfId="13884" xr:uid="{00000000-0005-0000-0000-0000B2140000}"/>
    <cellStyle name="Comma [0] 2 51 5 2 2" xfId="29476" xr:uid="{00000000-0005-0000-0000-0000B3140000}"/>
    <cellStyle name="Comma [0] 2 51 5 2 3" xfId="44968" xr:uid="{00000000-0005-0000-0000-0000B4140000}"/>
    <cellStyle name="Comma [0] 2 51 5 3" xfId="21736" xr:uid="{00000000-0005-0000-0000-0000B5140000}"/>
    <cellStyle name="Comma [0] 2 51 5 4" xfId="37228" xr:uid="{00000000-0005-0000-0000-0000B6140000}"/>
    <cellStyle name="Comma [0] 2 51 6" xfId="10014" xr:uid="{00000000-0005-0000-0000-0000B7140000}"/>
    <cellStyle name="Comma [0] 2 51 6 2" xfId="25606" xr:uid="{00000000-0005-0000-0000-0000B8140000}"/>
    <cellStyle name="Comma [0] 2 51 6 3" xfId="41098" xr:uid="{00000000-0005-0000-0000-0000B9140000}"/>
    <cellStyle name="Comma [0] 2 51 7" xfId="17866" xr:uid="{00000000-0005-0000-0000-0000BA140000}"/>
    <cellStyle name="Comma [0] 2 51 8" xfId="33358" xr:uid="{00000000-0005-0000-0000-0000BB140000}"/>
    <cellStyle name="Comma [0] 2 52" xfId="2226" xr:uid="{00000000-0005-0000-0000-0000BC140000}"/>
    <cellStyle name="Comma [0] 2 52 2" xfId="2543" xr:uid="{00000000-0005-0000-0000-0000BD140000}"/>
    <cellStyle name="Comma [0] 2 52 2 2" xfId="3551" xr:uid="{00000000-0005-0000-0000-0000BE140000}"/>
    <cellStyle name="Comma [0] 2 52 2 2 2" xfId="5490" xr:uid="{00000000-0005-0000-0000-0000BF140000}"/>
    <cellStyle name="Comma [0] 2 52 2 2 2 2" xfId="9361" xr:uid="{00000000-0005-0000-0000-0000C0140000}"/>
    <cellStyle name="Comma [0] 2 52 2 2 2 2 2" xfId="17106" xr:uid="{00000000-0005-0000-0000-0000C1140000}"/>
    <cellStyle name="Comma [0] 2 52 2 2 2 2 2 2" xfId="32698" xr:uid="{00000000-0005-0000-0000-0000C2140000}"/>
    <cellStyle name="Comma [0] 2 52 2 2 2 2 2 3" xfId="48190" xr:uid="{00000000-0005-0000-0000-0000C3140000}"/>
    <cellStyle name="Comma [0] 2 52 2 2 2 2 3" xfId="24958" xr:uid="{00000000-0005-0000-0000-0000C4140000}"/>
    <cellStyle name="Comma [0] 2 52 2 2 2 2 4" xfId="40450" xr:uid="{00000000-0005-0000-0000-0000C5140000}"/>
    <cellStyle name="Comma [0] 2 52 2 2 2 3" xfId="13236" xr:uid="{00000000-0005-0000-0000-0000C6140000}"/>
    <cellStyle name="Comma [0] 2 52 2 2 2 3 2" xfId="28828" xr:uid="{00000000-0005-0000-0000-0000C7140000}"/>
    <cellStyle name="Comma [0] 2 52 2 2 2 3 3" xfId="44320" xr:uid="{00000000-0005-0000-0000-0000C8140000}"/>
    <cellStyle name="Comma [0] 2 52 2 2 2 4" xfId="21088" xr:uid="{00000000-0005-0000-0000-0000C9140000}"/>
    <cellStyle name="Comma [0] 2 52 2 2 2 5" xfId="36580" xr:uid="{00000000-0005-0000-0000-0000CA140000}"/>
    <cellStyle name="Comma [0] 2 52 2 2 3" xfId="7434" xr:uid="{00000000-0005-0000-0000-0000CB140000}"/>
    <cellStyle name="Comma [0] 2 52 2 2 3 2" xfId="15179" xr:uid="{00000000-0005-0000-0000-0000CC140000}"/>
    <cellStyle name="Comma [0] 2 52 2 2 3 2 2" xfId="30771" xr:uid="{00000000-0005-0000-0000-0000CD140000}"/>
    <cellStyle name="Comma [0] 2 52 2 2 3 2 3" xfId="46263" xr:uid="{00000000-0005-0000-0000-0000CE140000}"/>
    <cellStyle name="Comma [0] 2 52 2 2 3 3" xfId="23031" xr:uid="{00000000-0005-0000-0000-0000CF140000}"/>
    <cellStyle name="Comma [0] 2 52 2 2 3 4" xfId="38523" xr:uid="{00000000-0005-0000-0000-0000D0140000}"/>
    <cellStyle name="Comma [0] 2 52 2 2 4" xfId="11309" xr:uid="{00000000-0005-0000-0000-0000D1140000}"/>
    <cellStyle name="Comma [0] 2 52 2 2 4 2" xfId="26901" xr:uid="{00000000-0005-0000-0000-0000D2140000}"/>
    <cellStyle name="Comma [0] 2 52 2 2 4 3" xfId="42393" xr:uid="{00000000-0005-0000-0000-0000D3140000}"/>
    <cellStyle name="Comma [0] 2 52 2 2 5" xfId="19161" xr:uid="{00000000-0005-0000-0000-0000D4140000}"/>
    <cellStyle name="Comma [0] 2 52 2 2 6" xfId="34653" xr:uid="{00000000-0005-0000-0000-0000D5140000}"/>
    <cellStyle name="Comma [0] 2 52 2 3" xfId="4542" xr:uid="{00000000-0005-0000-0000-0000D6140000}"/>
    <cellStyle name="Comma [0] 2 52 2 3 2" xfId="8413" xr:uid="{00000000-0005-0000-0000-0000D7140000}"/>
    <cellStyle name="Comma [0] 2 52 2 3 2 2" xfId="16158" xr:uid="{00000000-0005-0000-0000-0000D8140000}"/>
    <cellStyle name="Comma [0] 2 52 2 3 2 2 2" xfId="31750" xr:uid="{00000000-0005-0000-0000-0000D9140000}"/>
    <cellStyle name="Comma [0] 2 52 2 3 2 2 3" xfId="47242" xr:uid="{00000000-0005-0000-0000-0000DA140000}"/>
    <cellStyle name="Comma [0] 2 52 2 3 2 3" xfId="24010" xr:uid="{00000000-0005-0000-0000-0000DB140000}"/>
    <cellStyle name="Comma [0] 2 52 2 3 2 4" xfId="39502" xr:uid="{00000000-0005-0000-0000-0000DC140000}"/>
    <cellStyle name="Comma [0] 2 52 2 3 3" xfId="12288" xr:uid="{00000000-0005-0000-0000-0000DD140000}"/>
    <cellStyle name="Comma [0] 2 52 2 3 3 2" xfId="27880" xr:uid="{00000000-0005-0000-0000-0000DE140000}"/>
    <cellStyle name="Comma [0] 2 52 2 3 3 3" xfId="43372" xr:uid="{00000000-0005-0000-0000-0000DF140000}"/>
    <cellStyle name="Comma [0] 2 52 2 3 4" xfId="20140" xr:uid="{00000000-0005-0000-0000-0000E0140000}"/>
    <cellStyle name="Comma [0] 2 52 2 3 5" xfId="35632" xr:uid="{00000000-0005-0000-0000-0000E1140000}"/>
    <cellStyle name="Comma [0] 2 52 2 4" xfId="6486" xr:uid="{00000000-0005-0000-0000-0000E2140000}"/>
    <cellStyle name="Comma [0] 2 52 2 4 2" xfId="14231" xr:uid="{00000000-0005-0000-0000-0000E3140000}"/>
    <cellStyle name="Comma [0] 2 52 2 4 2 2" xfId="29823" xr:uid="{00000000-0005-0000-0000-0000E4140000}"/>
    <cellStyle name="Comma [0] 2 52 2 4 2 3" xfId="45315" xr:uid="{00000000-0005-0000-0000-0000E5140000}"/>
    <cellStyle name="Comma [0] 2 52 2 4 3" xfId="22083" xr:uid="{00000000-0005-0000-0000-0000E6140000}"/>
    <cellStyle name="Comma [0] 2 52 2 4 4" xfId="37575" xr:uid="{00000000-0005-0000-0000-0000E7140000}"/>
    <cellStyle name="Comma [0] 2 52 2 5" xfId="10361" xr:uid="{00000000-0005-0000-0000-0000E8140000}"/>
    <cellStyle name="Comma [0] 2 52 2 5 2" xfId="25953" xr:uid="{00000000-0005-0000-0000-0000E9140000}"/>
    <cellStyle name="Comma [0] 2 52 2 5 3" xfId="41445" xr:uid="{00000000-0005-0000-0000-0000EA140000}"/>
    <cellStyle name="Comma [0] 2 52 2 6" xfId="18213" xr:uid="{00000000-0005-0000-0000-0000EB140000}"/>
    <cellStyle name="Comma [0] 2 52 2 7" xfId="33705" xr:uid="{00000000-0005-0000-0000-0000EC140000}"/>
    <cellStyle name="Comma [0] 2 52 3" xfId="3242" xr:uid="{00000000-0005-0000-0000-0000ED140000}"/>
    <cellStyle name="Comma [0] 2 52 3 2" xfId="5181" xr:uid="{00000000-0005-0000-0000-0000EE140000}"/>
    <cellStyle name="Comma [0] 2 52 3 2 2" xfId="9052" xr:uid="{00000000-0005-0000-0000-0000EF140000}"/>
    <cellStyle name="Comma [0] 2 52 3 2 2 2" xfId="16797" xr:uid="{00000000-0005-0000-0000-0000F0140000}"/>
    <cellStyle name="Comma [0] 2 52 3 2 2 2 2" xfId="32389" xr:uid="{00000000-0005-0000-0000-0000F1140000}"/>
    <cellStyle name="Comma [0] 2 52 3 2 2 2 3" xfId="47881" xr:uid="{00000000-0005-0000-0000-0000F2140000}"/>
    <cellStyle name="Comma [0] 2 52 3 2 2 3" xfId="24649" xr:uid="{00000000-0005-0000-0000-0000F3140000}"/>
    <cellStyle name="Comma [0] 2 52 3 2 2 4" xfId="40141" xr:uid="{00000000-0005-0000-0000-0000F4140000}"/>
    <cellStyle name="Comma [0] 2 52 3 2 3" xfId="12927" xr:uid="{00000000-0005-0000-0000-0000F5140000}"/>
    <cellStyle name="Comma [0] 2 52 3 2 3 2" xfId="28519" xr:uid="{00000000-0005-0000-0000-0000F6140000}"/>
    <cellStyle name="Comma [0] 2 52 3 2 3 3" xfId="44011" xr:uid="{00000000-0005-0000-0000-0000F7140000}"/>
    <cellStyle name="Comma [0] 2 52 3 2 4" xfId="20779" xr:uid="{00000000-0005-0000-0000-0000F8140000}"/>
    <cellStyle name="Comma [0] 2 52 3 2 5" xfId="36271" xr:uid="{00000000-0005-0000-0000-0000F9140000}"/>
    <cellStyle name="Comma [0] 2 52 3 3" xfId="7125" xr:uid="{00000000-0005-0000-0000-0000FA140000}"/>
    <cellStyle name="Comma [0] 2 52 3 3 2" xfId="14870" xr:uid="{00000000-0005-0000-0000-0000FB140000}"/>
    <cellStyle name="Comma [0] 2 52 3 3 2 2" xfId="30462" xr:uid="{00000000-0005-0000-0000-0000FC140000}"/>
    <cellStyle name="Comma [0] 2 52 3 3 2 3" xfId="45954" xr:uid="{00000000-0005-0000-0000-0000FD140000}"/>
    <cellStyle name="Comma [0] 2 52 3 3 3" xfId="22722" xr:uid="{00000000-0005-0000-0000-0000FE140000}"/>
    <cellStyle name="Comma [0] 2 52 3 3 4" xfId="38214" xr:uid="{00000000-0005-0000-0000-0000FF140000}"/>
    <cellStyle name="Comma [0] 2 52 3 4" xfId="11000" xr:uid="{00000000-0005-0000-0000-000000150000}"/>
    <cellStyle name="Comma [0] 2 52 3 4 2" xfId="26592" xr:uid="{00000000-0005-0000-0000-000001150000}"/>
    <cellStyle name="Comma [0] 2 52 3 4 3" xfId="42084" xr:uid="{00000000-0005-0000-0000-000002150000}"/>
    <cellStyle name="Comma [0] 2 52 3 5" xfId="18852" xr:uid="{00000000-0005-0000-0000-000003150000}"/>
    <cellStyle name="Comma [0] 2 52 3 6" xfId="34344" xr:uid="{00000000-0005-0000-0000-000004150000}"/>
    <cellStyle name="Comma [0] 2 52 4" xfId="4233" xr:uid="{00000000-0005-0000-0000-000005150000}"/>
    <cellStyle name="Comma [0] 2 52 4 2" xfId="8104" xr:uid="{00000000-0005-0000-0000-000006150000}"/>
    <cellStyle name="Comma [0] 2 52 4 2 2" xfId="15849" xr:uid="{00000000-0005-0000-0000-000007150000}"/>
    <cellStyle name="Comma [0] 2 52 4 2 2 2" xfId="31441" xr:uid="{00000000-0005-0000-0000-000008150000}"/>
    <cellStyle name="Comma [0] 2 52 4 2 2 3" xfId="46933" xr:uid="{00000000-0005-0000-0000-000009150000}"/>
    <cellStyle name="Comma [0] 2 52 4 2 3" xfId="23701" xr:uid="{00000000-0005-0000-0000-00000A150000}"/>
    <cellStyle name="Comma [0] 2 52 4 2 4" xfId="39193" xr:uid="{00000000-0005-0000-0000-00000B150000}"/>
    <cellStyle name="Comma [0] 2 52 4 3" xfId="11979" xr:uid="{00000000-0005-0000-0000-00000C150000}"/>
    <cellStyle name="Comma [0] 2 52 4 3 2" xfId="27571" xr:uid="{00000000-0005-0000-0000-00000D150000}"/>
    <cellStyle name="Comma [0] 2 52 4 3 3" xfId="43063" xr:uid="{00000000-0005-0000-0000-00000E150000}"/>
    <cellStyle name="Comma [0] 2 52 4 4" xfId="19831" xr:uid="{00000000-0005-0000-0000-00000F150000}"/>
    <cellStyle name="Comma [0] 2 52 4 5" xfId="35323" xr:uid="{00000000-0005-0000-0000-000010150000}"/>
    <cellStyle name="Comma [0] 2 52 5" xfId="6177" xr:uid="{00000000-0005-0000-0000-000011150000}"/>
    <cellStyle name="Comma [0] 2 52 5 2" xfId="13922" xr:uid="{00000000-0005-0000-0000-000012150000}"/>
    <cellStyle name="Comma [0] 2 52 5 2 2" xfId="29514" xr:uid="{00000000-0005-0000-0000-000013150000}"/>
    <cellStyle name="Comma [0] 2 52 5 2 3" xfId="45006" xr:uid="{00000000-0005-0000-0000-000014150000}"/>
    <cellStyle name="Comma [0] 2 52 5 3" xfId="21774" xr:uid="{00000000-0005-0000-0000-000015150000}"/>
    <cellStyle name="Comma [0] 2 52 5 4" xfId="37266" xr:uid="{00000000-0005-0000-0000-000016150000}"/>
    <cellStyle name="Comma [0] 2 52 6" xfId="10052" xr:uid="{00000000-0005-0000-0000-000017150000}"/>
    <cellStyle name="Comma [0] 2 52 6 2" xfId="25644" xr:uid="{00000000-0005-0000-0000-000018150000}"/>
    <cellStyle name="Comma [0] 2 52 6 3" xfId="41136" xr:uid="{00000000-0005-0000-0000-000019150000}"/>
    <cellStyle name="Comma [0] 2 52 7" xfId="17904" xr:uid="{00000000-0005-0000-0000-00001A150000}"/>
    <cellStyle name="Comma [0] 2 52 8" xfId="33396" xr:uid="{00000000-0005-0000-0000-00001B150000}"/>
    <cellStyle name="Comma [0] 2 53" xfId="2263" xr:uid="{00000000-0005-0000-0000-00001C150000}"/>
    <cellStyle name="Comma [0] 2 53 2" xfId="2579" xr:uid="{00000000-0005-0000-0000-00001D150000}"/>
    <cellStyle name="Comma [0] 2 53 2 2" xfId="3587" xr:uid="{00000000-0005-0000-0000-00001E150000}"/>
    <cellStyle name="Comma [0] 2 53 2 2 2" xfId="5526" xr:uid="{00000000-0005-0000-0000-00001F150000}"/>
    <cellStyle name="Comma [0] 2 53 2 2 2 2" xfId="9397" xr:uid="{00000000-0005-0000-0000-000020150000}"/>
    <cellStyle name="Comma [0] 2 53 2 2 2 2 2" xfId="17142" xr:uid="{00000000-0005-0000-0000-000021150000}"/>
    <cellStyle name="Comma [0] 2 53 2 2 2 2 2 2" xfId="32734" xr:uid="{00000000-0005-0000-0000-000022150000}"/>
    <cellStyle name="Comma [0] 2 53 2 2 2 2 2 3" xfId="48226" xr:uid="{00000000-0005-0000-0000-000023150000}"/>
    <cellStyle name="Comma [0] 2 53 2 2 2 2 3" xfId="24994" xr:uid="{00000000-0005-0000-0000-000024150000}"/>
    <cellStyle name="Comma [0] 2 53 2 2 2 2 4" xfId="40486" xr:uid="{00000000-0005-0000-0000-000025150000}"/>
    <cellStyle name="Comma [0] 2 53 2 2 2 3" xfId="13272" xr:uid="{00000000-0005-0000-0000-000026150000}"/>
    <cellStyle name="Comma [0] 2 53 2 2 2 3 2" xfId="28864" xr:uid="{00000000-0005-0000-0000-000027150000}"/>
    <cellStyle name="Comma [0] 2 53 2 2 2 3 3" xfId="44356" xr:uid="{00000000-0005-0000-0000-000028150000}"/>
    <cellStyle name="Comma [0] 2 53 2 2 2 4" xfId="21124" xr:uid="{00000000-0005-0000-0000-000029150000}"/>
    <cellStyle name="Comma [0] 2 53 2 2 2 5" xfId="36616" xr:uid="{00000000-0005-0000-0000-00002A150000}"/>
    <cellStyle name="Comma [0] 2 53 2 2 3" xfId="7470" xr:uid="{00000000-0005-0000-0000-00002B150000}"/>
    <cellStyle name="Comma [0] 2 53 2 2 3 2" xfId="15215" xr:uid="{00000000-0005-0000-0000-00002C150000}"/>
    <cellStyle name="Comma [0] 2 53 2 2 3 2 2" xfId="30807" xr:uid="{00000000-0005-0000-0000-00002D150000}"/>
    <cellStyle name="Comma [0] 2 53 2 2 3 2 3" xfId="46299" xr:uid="{00000000-0005-0000-0000-00002E150000}"/>
    <cellStyle name="Comma [0] 2 53 2 2 3 3" xfId="23067" xr:uid="{00000000-0005-0000-0000-00002F150000}"/>
    <cellStyle name="Comma [0] 2 53 2 2 3 4" xfId="38559" xr:uid="{00000000-0005-0000-0000-000030150000}"/>
    <cellStyle name="Comma [0] 2 53 2 2 4" xfId="11345" xr:uid="{00000000-0005-0000-0000-000031150000}"/>
    <cellStyle name="Comma [0] 2 53 2 2 4 2" xfId="26937" xr:uid="{00000000-0005-0000-0000-000032150000}"/>
    <cellStyle name="Comma [0] 2 53 2 2 4 3" xfId="42429" xr:uid="{00000000-0005-0000-0000-000033150000}"/>
    <cellStyle name="Comma [0] 2 53 2 2 5" xfId="19197" xr:uid="{00000000-0005-0000-0000-000034150000}"/>
    <cellStyle name="Comma [0] 2 53 2 2 6" xfId="34689" xr:uid="{00000000-0005-0000-0000-000035150000}"/>
    <cellStyle name="Comma [0] 2 53 2 3" xfId="4578" xr:uid="{00000000-0005-0000-0000-000036150000}"/>
    <cellStyle name="Comma [0] 2 53 2 3 2" xfId="8449" xr:uid="{00000000-0005-0000-0000-000037150000}"/>
    <cellStyle name="Comma [0] 2 53 2 3 2 2" xfId="16194" xr:uid="{00000000-0005-0000-0000-000038150000}"/>
    <cellStyle name="Comma [0] 2 53 2 3 2 2 2" xfId="31786" xr:uid="{00000000-0005-0000-0000-000039150000}"/>
    <cellStyle name="Comma [0] 2 53 2 3 2 2 3" xfId="47278" xr:uid="{00000000-0005-0000-0000-00003A150000}"/>
    <cellStyle name="Comma [0] 2 53 2 3 2 3" xfId="24046" xr:uid="{00000000-0005-0000-0000-00003B150000}"/>
    <cellStyle name="Comma [0] 2 53 2 3 2 4" xfId="39538" xr:uid="{00000000-0005-0000-0000-00003C150000}"/>
    <cellStyle name="Comma [0] 2 53 2 3 3" xfId="12324" xr:uid="{00000000-0005-0000-0000-00003D150000}"/>
    <cellStyle name="Comma [0] 2 53 2 3 3 2" xfId="27916" xr:uid="{00000000-0005-0000-0000-00003E150000}"/>
    <cellStyle name="Comma [0] 2 53 2 3 3 3" xfId="43408" xr:uid="{00000000-0005-0000-0000-00003F150000}"/>
    <cellStyle name="Comma [0] 2 53 2 3 4" xfId="20176" xr:uid="{00000000-0005-0000-0000-000040150000}"/>
    <cellStyle name="Comma [0] 2 53 2 3 5" xfId="35668" xr:uid="{00000000-0005-0000-0000-000041150000}"/>
    <cellStyle name="Comma [0] 2 53 2 4" xfId="6522" xr:uid="{00000000-0005-0000-0000-000042150000}"/>
    <cellStyle name="Comma [0] 2 53 2 4 2" xfId="14267" xr:uid="{00000000-0005-0000-0000-000043150000}"/>
    <cellStyle name="Comma [0] 2 53 2 4 2 2" xfId="29859" xr:uid="{00000000-0005-0000-0000-000044150000}"/>
    <cellStyle name="Comma [0] 2 53 2 4 2 3" xfId="45351" xr:uid="{00000000-0005-0000-0000-000045150000}"/>
    <cellStyle name="Comma [0] 2 53 2 4 3" xfId="22119" xr:uid="{00000000-0005-0000-0000-000046150000}"/>
    <cellStyle name="Comma [0] 2 53 2 4 4" xfId="37611" xr:uid="{00000000-0005-0000-0000-000047150000}"/>
    <cellStyle name="Comma [0] 2 53 2 5" xfId="10397" xr:uid="{00000000-0005-0000-0000-000048150000}"/>
    <cellStyle name="Comma [0] 2 53 2 5 2" xfId="25989" xr:uid="{00000000-0005-0000-0000-000049150000}"/>
    <cellStyle name="Comma [0] 2 53 2 5 3" xfId="41481" xr:uid="{00000000-0005-0000-0000-00004A150000}"/>
    <cellStyle name="Comma [0] 2 53 2 6" xfId="18249" xr:uid="{00000000-0005-0000-0000-00004B150000}"/>
    <cellStyle name="Comma [0] 2 53 2 7" xfId="33741" xr:uid="{00000000-0005-0000-0000-00004C150000}"/>
    <cellStyle name="Comma [0] 2 53 3" xfId="3278" xr:uid="{00000000-0005-0000-0000-00004D150000}"/>
    <cellStyle name="Comma [0] 2 53 3 2" xfId="5217" xr:uid="{00000000-0005-0000-0000-00004E150000}"/>
    <cellStyle name="Comma [0] 2 53 3 2 2" xfId="9088" xr:uid="{00000000-0005-0000-0000-00004F150000}"/>
    <cellStyle name="Comma [0] 2 53 3 2 2 2" xfId="16833" xr:uid="{00000000-0005-0000-0000-000050150000}"/>
    <cellStyle name="Comma [0] 2 53 3 2 2 2 2" xfId="32425" xr:uid="{00000000-0005-0000-0000-000051150000}"/>
    <cellStyle name="Comma [0] 2 53 3 2 2 2 3" xfId="47917" xr:uid="{00000000-0005-0000-0000-000052150000}"/>
    <cellStyle name="Comma [0] 2 53 3 2 2 3" xfId="24685" xr:uid="{00000000-0005-0000-0000-000053150000}"/>
    <cellStyle name="Comma [0] 2 53 3 2 2 4" xfId="40177" xr:uid="{00000000-0005-0000-0000-000054150000}"/>
    <cellStyle name="Comma [0] 2 53 3 2 3" xfId="12963" xr:uid="{00000000-0005-0000-0000-000055150000}"/>
    <cellStyle name="Comma [0] 2 53 3 2 3 2" xfId="28555" xr:uid="{00000000-0005-0000-0000-000056150000}"/>
    <cellStyle name="Comma [0] 2 53 3 2 3 3" xfId="44047" xr:uid="{00000000-0005-0000-0000-000057150000}"/>
    <cellStyle name="Comma [0] 2 53 3 2 4" xfId="20815" xr:uid="{00000000-0005-0000-0000-000058150000}"/>
    <cellStyle name="Comma [0] 2 53 3 2 5" xfId="36307" xr:uid="{00000000-0005-0000-0000-000059150000}"/>
    <cellStyle name="Comma [0] 2 53 3 3" xfId="7161" xr:uid="{00000000-0005-0000-0000-00005A150000}"/>
    <cellStyle name="Comma [0] 2 53 3 3 2" xfId="14906" xr:uid="{00000000-0005-0000-0000-00005B150000}"/>
    <cellStyle name="Comma [0] 2 53 3 3 2 2" xfId="30498" xr:uid="{00000000-0005-0000-0000-00005C150000}"/>
    <cellStyle name="Comma [0] 2 53 3 3 2 3" xfId="45990" xr:uid="{00000000-0005-0000-0000-00005D150000}"/>
    <cellStyle name="Comma [0] 2 53 3 3 3" xfId="22758" xr:uid="{00000000-0005-0000-0000-00005E150000}"/>
    <cellStyle name="Comma [0] 2 53 3 3 4" xfId="38250" xr:uid="{00000000-0005-0000-0000-00005F150000}"/>
    <cellStyle name="Comma [0] 2 53 3 4" xfId="11036" xr:uid="{00000000-0005-0000-0000-000060150000}"/>
    <cellStyle name="Comma [0] 2 53 3 4 2" xfId="26628" xr:uid="{00000000-0005-0000-0000-000061150000}"/>
    <cellStyle name="Comma [0] 2 53 3 4 3" xfId="42120" xr:uid="{00000000-0005-0000-0000-000062150000}"/>
    <cellStyle name="Comma [0] 2 53 3 5" xfId="18888" xr:uid="{00000000-0005-0000-0000-000063150000}"/>
    <cellStyle name="Comma [0] 2 53 3 6" xfId="34380" xr:uid="{00000000-0005-0000-0000-000064150000}"/>
    <cellStyle name="Comma [0] 2 53 4" xfId="4269" xr:uid="{00000000-0005-0000-0000-000065150000}"/>
    <cellStyle name="Comma [0] 2 53 4 2" xfId="8140" xr:uid="{00000000-0005-0000-0000-000066150000}"/>
    <cellStyle name="Comma [0] 2 53 4 2 2" xfId="15885" xr:uid="{00000000-0005-0000-0000-000067150000}"/>
    <cellStyle name="Comma [0] 2 53 4 2 2 2" xfId="31477" xr:uid="{00000000-0005-0000-0000-000068150000}"/>
    <cellStyle name="Comma [0] 2 53 4 2 2 3" xfId="46969" xr:uid="{00000000-0005-0000-0000-000069150000}"/>
    <cellStyle name="Comma [0] 2 53 4 2 3" xfId="23737" xr:uid="{00000000-0005-0000-0000-00006A150000}"/>
    <cellStyle name="Comma [0] 2 53 4 2 4" xfId="39229" xr:uid="{00000000-0005-0000-0000-00006B150000}"/>
    <cellStyle name="Comma [0] 2 53 4 3" xfId="12015" xr:uid="{00000000-0005-0000-0000-00006C150000}"/>
    <cellStyle name="Comma [0] 2 53 4 3 2" xfId="27607" xr:uid="{00000000-0005-0000-0000-00006D150000}"/>
    <cellStyle name="Comma [0] 2 53 4 3 3" xfId="43099" xr:uid="{00000000-0005-0000-0000-00006E150000}"/>
    <cellStyle name="Comma [0] 2 53 4 4" xfId="19867" xr:uid="{00000000-0005-0000-0000-00006F150000}"/>
    <cellStyle name="Comma [0] 2 53 4 5" xfId="35359" xr:uid="{00000000-0005-0000-0000-000070150000}"/>
    <cellStyle name="Comma [0] 2 53 5" xfId="6213" xr:uid="{00000000-0005-0000-0000-000071150000}"/>
    <cellStyle name="Comma [0] 2 53 5 2" xfId="13958" xr:uid="{00000000-0005-0000-0000-000072150000}"/>
    <cellStyle name="Comma [0] 2 53 5 2 2" xfId="29550" xr:uid="{00000000-0005-0000-0000-000073150000}"/>
    <cellStyle name="Comma [0] 2 53 5 2 3" xfId="45042" xr:uid="{00000000-0005-0000-0000-000074150000}"/>
    <cellStyle name="Comma [0] 2 53 5 3" xfId="21810" xr:uid="{00000000-0005-0000-0000-000075150000}"/>
    <cellStyle name="Comma [0] 2 53 5 4" xfId="37302" xr:uid="{00000000-0005-0000-0000-000076150000}"/>
    <cellStyle name="Comma [0] 2 53 6" xfId="10088" xr:uid="{00000000-0005-0000-0000-000077150000}"/>
    <cellStyle name="Comma [0] 2 53 6 2" xfId="25680" xr:uid="{00000000-0005-0000-0000-000078150000}"/>
    <cellStyle name="Comma [0] 2 53 6 3" xfId="41172" xr:uid="{00000000-0005-0000-0000-000079150000}"/>
    <cellStyle name="Comma [0] 2 53 7" xfId="17940" xr:uid="{00000000-0005-0000-0000-00007A150000}"/>
    <cellStyle name="Comma [0] 2 53 8" xfId="33432" xr:uid="{00000000-0005-0000-0000-00007B150000}"/>
    <cellStyle name="Comma [0] 2 54" xfId="2300" xr:uid="{00000000-0005-0000-0000-00007C150000}"/>
    <cellStyle name="Comma [0] 2 54 2" xfId="2615" xr:uid="{00000000-0005-0000-0000-00007D150000}"/>
    <cellStyle name="Comma [0] 2 54 2 2" xfId="3623" xr:uid="{00000000-0005-0000-0000-00007E150000}"/>
    <cellStyle name="Comma [0] 2 54 2 2 2" xfId="5562" xr:uid="{00000000-0005-0000-0000-00007F150000}"/>
    <cellStyle name="Comma [0] 2 54 2 2 2 2" xfId="9433" xr:uid="{00000000-0005-0000-0000-000080150000}"/>
    <cellStyle name="Comma [0] 2 54 2 2 2 2 2" xfId="17178" xr:uid="{00000000-0005-0000-0000-000081150000}"/>
    <cellStyle name="Comma [0] 2 54 2 2 2 2 2 2" xfId="32770" xr:uid="{00000000-0005-0000-0000-000082150000}"/>
    <cellStyle name="Comma [0] 2 54 2 2 2 2 2 3" xfId="48262" xr:uid="{00000000-0005-0000-0000-000083150000}"/>
    <cellStyle name="Comma [0] 2 54 2 2 2 2 3" xfId="25030" xr:uid="{00000000-0005-0000-0000-000084150000}"/>
    <cellStyle name="Comma [0] 2 54 2 2 2 2 4" xfId="40522" xr:uid="{00000000-0005-0000-0000-000085150000}"/>
    <cellStyle name="Comma [0] 2 54 2 2 2 3" xfId="13308" xr:uid="{00000000-0005-0000-0000-000086150000}"/>
    <cellStyle name="Comma [0] 2 54 2 2 2 3 2" xfId="28900" xr:uid="{00000000-0005-0000-0000-000087150000}"/>
    <cellStyle name="Comma [0] 2 54 2 2 2 3 3" xfId="44392" xr:uid="{00000000-0005-0000-0000-000088150000}"/>
    <cellStyle name="Comma [0] 2 54 2 2 2 4" xfId="21160" xr:uid="{00000000-0005-0000-0000-000089150000}"/>
    <cellStyle name="Comma [0] 2 54 2 2 2 5" xfId="36652" xr:uid="{00000000-0005-0000-0000-00008A150000}"/>
    <cellStyle name="Comma [0] 2 54 2 2 3" xfId="7506" xr:uid="{00000000-0005-0000-0000-00008B150000}"/>
    <cellStyle name="Comma [0] 2 54 2 2 3 2" xfId="15251" xr:uid="{00000000-0005-0000-0000-00008C150000}"/>
    <cellStyle name="Comma [0] 2 54 2 2 3 2 2" xfId="30843" xr:uid="{00000000-0005-0000-0000-00008D150000}"/>
    <cellStyle name="Comma [0] 2 54 2 2 3 2 3" xfId="46335" xr:uid="{00000000-0005-0000-0000-00008E150000}"/>
    <cellStyle name="Comma [0] 2 54 2 2 3 3" xfId="23103" xr:uid="{00000000-0005-0000-0000-00008F150000}"/>
    <cellStyle name="Comma [0] 2 54 2 2 3 4" xfId="38595" xr:uid="{00000000-0005-0000-0000-000090150000}"/>
    <cellStyle name="Comma [0] 2 54 2 2 4" xfId="11381" xr:uid="{00000000-0005-0000-0000-000091150000}"/>
    <cellStyle name="Comma [0] 2 54 2 2 4 2" xfId="26973" xr:uid="{00000000-0005-0000-0000-000092150000}"/>
    <cellStyle name="Comma [0] 2 54 2 2 4 3" xfId="42465" xr:uid="{00000000-0005-0000-0000-000093150000}"/>
    <cellStyle name="Comma [0] 2 54 2 2 5" xfId="19233" xr:uid="{00000000-0005-0000-0000-000094150000}"/>
    <cellStyle name="Comma [0] 2 54 2 2 6" xfId="34725" xr:uid="{00000000-0005-0000-0000-000095150000}"/>
    <cellStyle name="Comma [0] 2 54 2 3" xfId="4614" xr:uid="{00000000-0005-0000-0000-000096150000}"/>
    <cellStyle name="Comma [0] 2 54 2 3 2" xfId="8485" xr:uid="{00000000-0005-0000-0000-000097150000}"/>
    <cellStyle name="Comma [0] 2 54 2 3 2 2" xfId="16230" xr:uid="{00000000-0005-0000-0000-000098150000}"/>
    <cellStyle name="Comma [0] 2 54 2 3 2 2 2" xfId="31822" xr:uid="{00000000-0005-0000-0000-000099150000}"/>
    <cellStyle name="Comma [0] 2 54 2 3 2 2 3" xfId="47314" xr:uid="{00000000-0005-0000-0000-00009A150000}"/>
    <cellStyle name="Comma [0] 2 54 2 3 2 3" xfId="24082" xr:uid="{00000000-0005-0000-0000-00009B150000}"/>
    <cellStyle name="Comma [0] 2 54 2 3 2 4" xfId="39574" xr:uid="{00000000-0005-0000-0000-00009C150000}"/>
    <cellStyle name="Comma [0] 2 54 2 3 3" xfId="12360" xr:uid="{00000000-0005-0000-0000-00009D150000}"/>
    <cellStyle name="Comma [0] 2 54 2 3 3 2" xfId="27952" xr:uid="{00000000-0005-0000-0000-00009E150000}"/>
    <cellStyle name="Comma [0] 2 54 2 3 3 3" xfId="43444" xr:uid="{00000000-0005-0000-0000-00009F150000}"/>
    <cellStyle name="Comma [0] 2 54 2 3 4" xfId="20212" xr:uid="{00000000-0005-0000-0000-0000A0150000}"/>
    <cellStyle name="Comma [0] 2 54 2 3 5" xfId="35704" xr:uid="{00000000-0005-0000-0000-0000A1150000}"/>
    <cellStyle name="Comma [0] 2 54 2 4" xfId="6558" xr:uid="{00000000-0005-0000-0000-0000A2150000}"/>
    <cellStyle name="Comma [0] 2 54 2 4 2" xfId="14303" xr:uid="{00000000-0005-0000-0000-0000A3150000}"/>
    <cellStyle name="Comma [0] 2 54 2 4 2 2" xfId="29895" xr:uid="{00000000-0005-0000-0000-0000A4150000}"/>
    <cellStyle name="Comma [0] 2 54 2 4 2 3" xfId="45387" xr:uid="{00000000-0005-0000-0000-0000A5150000}"/>
    <cellStyle name="Comma [0] 2 54 2 4 3" xfId="22155" xr:uid="{00000000-0005-0000-0000-0000A6150000}"/>
    <cellStyle name="Comma [0] 2 54 2 4 4" xfId="37647" xr:uid="{00000000-0005-0000-0000-0000A7150000}"/>
    <cellStyle name="Comma [0] 2 54 2 5" xfId="10433" xr:uid="{00000000-0005-0000-0000-0000A8150000}"/>
    <cellStyle name="Comma [0] 2 54 2 5 2" xfId="26025" xr:uid="{00000000-0005-0000-0000-0000A9150000}"/>
    <cellStyle name="Comma [0] 2 54 2 5 3" xfId="41517" xr:uid="{00000000-0005-0000-0000-0000AA150000}"/>
    <cellStyle name="Comma [0] 2 54 2 6" xfId="18285" xr:uid="{00000000-0005-0000-0000-0000AB150000}"/>
    <cellStyle name="Comma [0] 2 54 2 7" xfId="33777" xr:uid="{00000000-0005-0000-0000-0000AC150000}"/>
    <cellStyle name="Comma [0] 2 54 3" xfId="3314" xr:uid="{00000000-0005-0000-0000-0000AD150000}"/>
    <cellStyle name="Comma [0] 2 54 3 2" xfId="5253" xr:uid="{00000000-0005-0000-0000-0000AE150000}"/>
    <cellStyle name="Comma [0] 2 54 3 2 2" xfId="9124" xr:uid="{00000000-0005-0000-0000-0000AF150000}"/>
    <cellStyle name="Comma [0] 2 54 3 2 2 2" xfId="16869" xr:uid="{00000000-0005-0000-0000-0000B0150000}"/>
    <cellStyle name="Comma [0] 2 54 3 2 2 2 2" xfId="32461" xr:uid="{00000000-0005-0000-0000-0000B1150000}"/>
    <cellStyle name="Comma [0] 2 54 3 2 2 2 3" xfId="47953" xr:uid="{00000000-0005-0000-0000-0000B2150000}"/>
    <cellStyle name="Comma [0] 2 54 3 2 2 3" xfId="24721" xr:uid="{00000000-0005-0000-0000-0000B3150000}"/>
    <cellStyle name="Comma [0] 2 54 3 2 2 4" xfId="40213" xr:uid="{00000000-0005-0000-0000-0000B4150000}"/>
    <cellStyle name="Comma [0] 2 54 3 2 3" xfId="12999" xr:uid="{00000000-0005-0000-0000-0000B5150000}"/>
    <cellStyle name="Comma [0] 2 54 3 2 3 2" xfId="28591" xr:uid="{00000000-0005-0000-0000-0000B6150000}"/>
    <cellStyle name="Comma [0] 2 54 3 2 3 3" xfId="44083" xr:uid="{00000000-0005-0000-0000-0000B7150000}"/>
    <cellStyle name="Comma [0] 2 54 3 2 4" xfId="20851" xr:uid="{00000000-0005-0000-0000-0000B8150000}"/>
    <cellStyle name="Comma [0] 2 54 3 2 5" xfId="36343" xr:uid="{00000000-0005-0000-0000-0000B9150000}"/>
    <cellStyle name="Comma [0] 2 54 3 3" xfId="7197" xr:uid="{00000000-0005-0000-0000-0000BA150000}"/>
    <cellStyle name="Comma [0] 2 54 3 3 2" xfId="14942" xr:uid="{00000000-0005-0000-0000-0000BB150000}"/>
    <cellStyle name="Comma [0] 2 54 3 3 2 2" xfId="30534" xr:uid="{00000000-0005-0000-0000-0000BC150000}"/>
    <cellStyle name="Comma [0] 2 54 3 3 2 3" xfId="46026" xr:uid="{00000000-0005-0000-0000-0000BD150000}"/>
    <cellStyle name="Comma [0] 2 54 3 3 3" xfId="22794" xr:uid="{00000000-0005-0000-0000-0000BE150000}"/>
    <cellStyle name="Comma [0] 2 54 3 3 4" xfId="38286" xr:uid="{00000000-0005-0000-0000-0000BF150000}"/>
    <cellStyle name="Comma [0] 2 54 3 4" xfId="11072" xr:uid="{00000000-0005-0000-0000-0000C0150000}"/>
    <cellStyle name="Comma [0] 2 54 3 4 2" xfId="26664" xr:uid="{00000000-0005-0000-0000-0000C1150000}"/>
    <cellStyle name="Comma [0] 2 54 3 4 3" xfId="42156" xr:uid="{00000000-0005-0000-0000-0000C2150000}"/>
    <cellStyle name="Comma [0] 2 54 3 5" xfId="18924" xr:uid="{00000000-0005-0000-0000-0000C3150000}"/>
    <cellStyle name="Comma [0] 2 54 3 6" xfId="34416" xr:uid="{00000000-0005-0000-0000-0000C4150000}"/>
    <cellStyle name="Comma [0] 2 54 4" xfId="4305" xr:uid="{00000000-0005-0000-0000-0000C5150000}"/>
    <cellStyle name="Comma [0] 2 54 4 2" xfId="8176" xr:uid="{00000000-0005-0000-0000-0000C6150000}"/>
    <cellStyle name="Comma [0] 2 54 4 2 2" xfId="15921" xr:uid="{00000000-0005-0000-0000-0000C7150000}"/>
    <cellStyle name="Comma [0] 2 54 4 2 2 2" xfId="31513" xr:uid="{00000000-0005-0000-0000-0000C8150000}"/>
    <cellStyle name="Comma [0] 2 54 4 2 2 3" xfId="47005" xr:uid="{00000000-0005-0000-0000-0000C9150000}"/>
    <cellStyle name="Comma [0] 2 54 4 2 3" xfId="23773" xr:uid="{00000000-0005-0000-0000-0000CA150000}"/>
    <cellStyle name="Comma [0] 2 54 4 2 4" xfId="39265" xr:uid="{00000000-0005-0000-0000-0000CB150000}"/>
    <cellStyle name="Comma [0] 2 54 4 3" xfId="12051" xr:uid="{00000000-0005-0000-0000-0000CC150000}"/>
    <cellStyle name="Comma [0] 2 54 4 3 2" xfId="27643" xr:uid="{00000000-0005-0000-0000-0000CD150000}"/>
    <cellStyle name="Comma [0] 2 54 4 3 3" xfId="43135" xr:uid="{00000000-0005-0000-0000-0000CE150000}"/>
    <cellStyle name="Comma [0] 2 54 4 4" xfId="19903" xr:uid="{00000000-0005-0000-0000-0000CF150000}"/>
    <cellStyle name="Comma [0] 2 54 4 5" xfId="35395" xr:uid="{00000000-0005-0000-0000-0000D0150000}"/>
    <cellStyle name="Comma [0] 2 54 5" xfId="6249" xr:uid="{00000000-0005-0000-0000-0000D1150000}"/>
    <cellStyle name="Comma [0] 2 54 5 2" xfId="13994" xr:uid="{00000000-0005-0000-0000-0000D2150000}"/>
    <cellStyle name="Comma [0] 2 54 5 2 2" xfId="29586" xr:uid="{00000000-0005-0000-0000-0000D3150000}"/>
    <cellStyle name="Comma [0] 2 54 5 2 3" xfId="45078" xr:uid="{00000000-0005-0000-0000-0000D4150000}"/>
    <cellStyle name="Comma [0] 2 54 5 3" xfId="21846" xr:uid="{00000000-0005-0000-0000-0000D5150000}"/>
    <cellStyle name="Comma [0] 2 54 5 4" xfId="37338" xr:uid="{00000000-0005-0000-0000-0000D6150000}"/>
    <cellStyle name="Comma [0] 2 54 6" xfId="10124" xr:uid="{00000000-0005-0000-0000-0000D7150000}"/>
    <cellStyle name="Comma [0] 2 54 6 2" xfId="25716" xr:uid="{00000000-0005-0000-0000-0000D8150000}"/>
    <cellStyle name="Comma [0] 2 54 6 3" xfId="41208" xr:uid="{00000000-0005-0000-0000-0000D9150000}"/>
    <cellStyle name="Comma [0] 2 54 7" xfId="17976" xr:uid="{00000000-0005-0000-0000-0000DA150000}"/>
    <cellStyle name="Comma [0] 2 54 8" xfId="33468" xr:uid="{00000000-0005-0000-0000-0000DB150000}"/>
    <cellStyle name="Comma [0] 2 55" xfId="2338" xr:uid="{00000000-0005-0000-0000-0000DC150000}"/>
    <cellStyle name="Comma [0] 2 55 2" xfId="2651" xr:uid="{00000000-0005-0000-0000-0000DD150000}"/>
    <cellStyle name="Comma [0] 2 55 2 2" xfId="3659" xr:uid="{00000000-0005-0000-0000-0000DE150000}"/>
    <cellStyle name="Comma [0] 2 55 2 2 2" xfId="5598" xr:uid="{00000000-0005-0000-0000-0000DF150000}"/>
    <cellStyle name="Comma [0] 2 55 2 2 2 2" xfId="9469" xr:uid="{00000000-0005-0000-0000-0000E0150000}"/>
    <cellStyle name="Comma [0] 2 55 2 2 2 2 2" xfId="17214" xr:uid="{00000000-0005-0000-0000-0000E1150000}"/>
    <cellStyle name="Comma [0] 2 55 2 2 2 2 2 2" xfId="32806" xr:uid="{00000000-0005-0000-0000-0000E2150000}"/>
    <cellStyle name="Comma [0] 2 55 2 2 2 2 2 3" xfId="48298" xr:uid="{00000000-0005-0000-0000-0000E3150000}"/>
    <cellStyle name="Comma [0] 2 55 2 2 2 2 3" xfId="25066" xr:uid="{00000000-0005-0000-0000-0000E4150000}"/>
    <cellStyle name="Comma [0] 2 55 2 2 2 2 4" xfId="40558" xr:uid="{00000000-0005-0000-0000-0000E5150000}"/>
    <cellStyle name="Comma [0] 2 55 2 2 2 3" xfId="13344" xr:uid="{00000000-0005-0000-0000-0000E6150000}"/>
    <cellStyle name="Comma [0] 2 55 2 2 2 3 2" xfId="28936" xr:uid="{00000000-0005-0000-0000-0000E7150000}"/>
    <cellStyle name="Comma [0] 2 55 2 2 2 3 3" xfId="44428" xr:uid="{00000000-0005-0000-0000-0000E8150000}"/>
    <cellStyle name="Comma [0] 2 55 2 2 2 4" xfId="21196" xr:uid="{00000000-0005-0000-0000-0000E9150000}"/>
    <cellStyle name="Comma [0] 2 55 2 2 2 5" xfId="36688" xr:uid="{00000000-0005-0000-0000-0000EA150000}"/>
    <cellStyle name="Comma [0] 2 55 2 2 3" xfId="7542" xr:uid="{00000000-0005-0000-0000-0000EB150000}"/>
    <cellStyle name="Comma [0] 2 55 2 2 3 2" xfId="15287" xr:uid="{00000000-0005-0000-0000-0000EC150000}"/>
    <cellStyle name="Comma [0] 2 55 2 2 3 2 2" xfId="30879" xr:uid="{00000000-0005-0000-0000-0000ED150000}"/>
    <cellStyle name="Comma [0] 2 55 2 2 3 2 3" xfId="46371" xr:uid="{00000000-0005-0000-0000-0000EE150000}"/>
    <cellStyle name="Comma [0] 2 55 2 2 3 3" xfId="23139" xr:uid="{00000000-0005-0000-0000-0000EF150000}"/>
    <cellStyle name="Comma [0] 2 55 2 2 3 4" xfId="38631" xr:uid="{00000000-0005-0000-0000-0000F0150000}"/>
    <cellStyle name="Comma [0] 2 55 2 2 4" xfId="11417" xr:uid="{00000000-0005-0000-0000-0000F1150000}"/>
    <cellStyle name="Comma [0] 2 55 2 2 4 2" xfId="27009" xr:uid="{00000000-0005-0000-0000-0000F2150000}"/>
    <cellStyle name="Comma [0] 2 55 2 2 4 3" xfId="42501" xr:uid="{00000000-0005-0000-0000-0000F3150000}"/>
    <cellStyle name="Comma [0] 2 55 2 2 5" xfId="19269" xr:uid="{00000000-0005-0000-0000-0000F4150000}"/>
    <cellStyle name="Comma [0] 2 55 2 2 6" xfId="34761" xr:uid="{00000000-0005-0000-0000-0000F5150000}"/>
    <cellStyle name="Comma [0] 2 55 2 3" xfId="4650" xr:uid="{00000000-0005-0000-0000-0000F6150000}"/>
    <cellStyle name="Comma [0] 2 55 2 3 2" xfId="8521" xr:uid="{00000000-0005-0000-0000-0000F7150000}"/>
    <cellStyle name="Comma [0] 2 55 2 3 2 2" xfId="16266" xr:uid="{00000000-0005-0000-0000-0000F8150000}"/>
    <cellStyle name="Comma [0] 2 55 2 3 2 2 2" xfId="31858" xr:uid="{00000000-0005-0000-0000-0000F9150000}"/>
    <cellStyle name="Comma [0] 2 55 2 3 2 2 3" xfId="47350" xr:uid="{00000000-0005-0000-0000-0000FA150000}"/>
    <cellStyle name="Comma [0] 2 55 2 3 2 3" xfId="24118" xr:uid="{00000000-0005-0000-0000-0000FB150000}"/>
    <cellStyle name="Comma [0] 2 55 2 3 2 4" xfId="39610" xr:uid="{00000000-0005-0000-0000-0000FC150000}"/>
    <cellStyle name="Comma [0] 2 55 2 3 3" xfId="12396" xr:uid="{00000000-0005-0000-0000-0000FD150000}"/>
    <cellStyle name="Comma [0] 2 55 2 3 3 2" xfId="27988" xr:uid="{00000000-0005-0000-0000-0000FE150000}"/>
    <cellStyle name="Comma [0] 2 55 2 3 3 3" xfId="43480" xr:uid="{00000000-0005-0000-0000-0000FF150000}"/>
    <cellStyle name="Comma [0] 2 55 2 3 4" xfId="20248" xr:uid="{00000000-0005-0000-0000-000000160000}"/>
    <cellStyle name="Comma [0] 2 55 2 3 5" xfId="35740" xr:uid="{00000000-0005-0000-0000-000001160000}"/>
    <cellStyle name="Comma [0] 2 55 2 4" xfId="6594" xr:uid="{00000000-0005-0000-0000-000002160000}"/>
    <cellStyle name="Comma [0] 2 55 2 4 2" xfId="14339" xr:uid="{00000000-0005-0000-0000-000003160000}"/>
    <cellStyle name="Comma [0] 2 55 2 4 2 2" xfId="29931" xr:uid="{00000000-0005-0000-0000-000004160000}"/>
    <cellStyle name="Comma [0] 2 55 2 4 2 3" xfId="45423" xr:uid="{00000000-0005-0000-0000-000005160000}"/>
    <cellStyle name="Comma [0] 2 55 2 4 3" xfId="22191" xr:uid="{00000000-0005-0000-0000-000006160000}"/>
    <cellStyle name="Comma [0] 2 55 2 4 4" xfId="37683" xr:uid="{00000000-0005-0000-0000-000007160000}"/>
    <cellStyle name="Comma [0] 2 55 2 5" xfId="10469" xr:uid="{00000000-0005-0000-0000-000008160000}"/>
    <cellStyle name="Comma [0] 2 55 2 5 2" xfId="26061" xr:uid="{00000000-0005-0000-0000-000009160000}"/>
    <cellStyle name="Comma [0] 2 55 2 5 3" xfId="41553" xr:uid="{00000000-0005-0000-0000-00000A160000}"/>
    <cellStyle name="Comma [0] 2 55 2 6" xfId="18321" xr:uid="{00000000-0005-0000-0000-00000B160000}"/>
    <cellStyle name="Comma [0] 2 55 2 7" xfId="33813" xr:uid="{00000000-0005-0000-0000-00000C160000}"/>
    <cellStyle name="Comma [0] 2 55 3" xfId="3350" xr:uid="{00000000-0005-0000-0000-00000D160000}"/>
    <cellStyle name="Comma [0] 2 55 3 2" xfId="5289" xr:uid="{00000000-0005-0000-0000-00000E160000}"/>
    <cellStyle name="Comma [0] 2 55 3 2 2" xfId="9160" xr:uid="{00000000-0005-0000-0000-00000F160000}"/>
    <cellStyle name="Comma [0] 2 55 3 2 2 2" xfId="16905" xr:uid="{00000000-0005-0000-0000-000010160000}"/>
    <cellStyle name="Comma [0] 2 55 3 2 2 2 2" xfId="32497" xr:uid="{00000000-0005-0000-0000-000011160000}"/>
    <cellStyle name="Comma [0] 2 55 3 2 2 2 3" xfId="47989" xr:uid="{00000000-0005-0000-0000-000012160000}"/>
    <cellStyle name="Comma [0] 2 55 3 2 2 3" xfId="24757" xr:uid="{00000000-0005-0000-0000-000013160000}"/>
    <cellStyle name="Comma [0] 2 55 3 2 2 4" xfId="40249" xr:uid="{00000000-0005-0000-0000-000014160000}"/>
    <cellStyle name="Comma [0] 2 55 3 2 3" xfId="13035" xr:uid="{00000000-0005-0000-0000-000015160000}"/>
    <cellStyle name="Comma [0] 2 55 3 2 3 2" xfId="28627" xr:uid="{00000000-0005-0000-0000-000016160000}"/>
    <cellStyle name="Comma [0] 2 55 3 2 3 3" xfId="44119" xr:uid="{00000000-0005-0000-0000-000017160000}"/>
    <cellStyle name="Comma [0] 2 55 3 2 4" xfId="20887" xr:uid="{00000000-0005-0000-0000-000018160000}"/>
    <cellStyle name="Comma [0] 2 55 3 2 5" xfId="36379" xr:uid="{00000000-0005-0000-0000-000019160000}"/>
    <cellStyle name="Comma [0] 2 55 3 3" xfId="7233" xr:uid="{00000000-0005-0000-0000-00001A160000}"/>
    <cellStyle name="Comma [0] 2 55 3 3 2" xfId="14978" xr:uid="{00000000-0005-0000-0000-00001B160000}"/>
    <cellStyle name="Comma [0] 2 55 3 3 2 2" xfId="30570" xr:uid="{00000000-0005-0000-0000-00001C160000}"/>
    <cellStyle name="Comma [0] 2 55 3 3 2 3" xfId="46062" xr:uid="{00000000-0005-0000-0000-00001D160000}"/>
    <cellStyle name="Comma [0] 2 55 3 3 3" xfId="22830" xr:uid="{00000000-0005-0000-0000-00001E160000}"/>
    <cellStyle name="Comma [0] 2 55 3 3 4" xfId="38322" xr:uid="{00000000-0005-0000-0000-00001F160000}"/>
    <cellStyle name="Comma [0] 2 55 3 4" xfId="11108" xr:uid="{00000000-0005-0000-0000-000020160000}"/>
    <cellStyle name="Comma [0] 2 55 3 4 2" xfId="26700" xr:uid="{00000000-0005-0000-0000-000021160000}"/>
    <cellStyle name="Comma [0] 2 55 3 4 3" xfId="42192" xr:uid="{00000000-0005-0000-0000-000022160000}"/>
    <cellStyle name="Comma [0] 2 55 3 5" xfId="18960" xr:uid="{00000000-0005-0000-0000-000023160000}"/>
    <cellStyle name="Comma [0] 2 55 3 6" xfId="34452" xr:uid="{00000000-0005-0000-0000-000024160000}"/>
    <cellStyle name="Comma [0] 2 55 4" xfId="4341" xr:uid="{00000000-0005-0000-0000-000025160000}"/>
    <cellStyle name="Comma [0] 2 55 4 2" xfId="8212" xr:uid="{00000000-0005-0000-0000-000026160000}"/>
    <cellStyle name="Comma [0] 2 55 4 2 2" xfId="15957" xr:uid="{00000000-0005-0000-0000-000027160000}"/>
    <cellStyle name="Comma [0] 2 55 4 2 2 2" xfId="31549" xr:uid="{00000000-0005-0000-0000-000028160000}"/>
    <cellStyle name="Comma [0] 2 55 4 2 2 3" xfId="47041" xr:uid="{00000000-0005-0000-0000-000029160000}"/>
    <cellStyle name="Comma [0] 2 55 4 2 3" xfId="23809" xr:uid="{00000000-0005-0000-0000-00002A160000}"/>
    <cellStyle name="Comma [0] 2 55 4 2 4" xfId="39301" xr:uid="{00000000-0005-0000-0000-00002B160000}"/>
    <cellStyle name="Comma [0] 2 55 4 3" xfId="12087" xr:uid="{00000000-0005-0000-0000-00002C160000}"/>
    <cellStyle name="Comma [0] 2 55 4 3 2" xfId="27679" xr:uid="{00000000-0005-0000-0000-00002D160000}"/>
    <cellStyle name="Comma [0] 2 55 4 3 3" xfId="43171" xr:uid="{00000000-0005-0000-0000-00002E160000}"/>
    <cellStyle name="Comma [0] 2 55 4 4" xfId="19939" xr:uid="{00000000-0005-0000-0000-00002F160000}"/>
    <cellStyle name="Comma [0] 2 55 4 5" xfId="35431" xr:uid="{00000000-0005-0000-0000-000030160000}"/>
    <cellStyle name="Comma [0] 2 55 5" xfId="6285" xr:uid="{00000000-0005-0000-0000-000031160000}"/>
    <cellStyle name="Comma [0] 2 55 5 2" xfId="14030" xr:uid="{00000000-0005-0000-0000-000032160000}"/>
    <cellStyle name="Comma [0] 2 55 5 2 2" xfId="29622" xr:uid="{00000000-0005-0000-0000-000033160000}"/>
    <cellStyle name="Comma [0] 2 55 5 2 3" xfId="45114" xr:uid="{00000000-0005-0000-0000-000034160000}"/>
    <cellStyle name="Comma [0] 2 55 5 3" xfId="21882" xr:uid="{00000000-0005-0000-0000-000035160000}"/>
    <cellStyle name="Comma [0] 2 55 5 4" xfId="37374" xr:uid="{00000000-0005-0000-0000-000036160000}"/>
    <cellStyle name="Comma [0] 2 55 6" xfId="10160" xr:uid="{00000000-0005-0000-0000-000037160000}"/>
    <cellStyle name="Comma [0] 2 55 6 2" xfId="25752" xr:uid="{00000000-0005-0000-0000-000038160000}"/>
    <cellStyle name="Comma [0] 2 55 6 3" xfId="41244" xr:uid="{00000000-0005-0000-0000-000039160000}"/>
    <cellStyle name="Comma [0] 2 55 7" xfId="18012" xr:uid="{00000000-0005-0000-0000-00003A160000}"/>
    <cellStyle name="Comma [0] 2 55 8" xfId="33504" xr:uid="{00000000-0005-0000-0000-00003B160000}"/>
    <cellStyle name="Comma [0] 2 56" xfId="2375" xr:uid="{00000000-0005-0000-0000-00003C160000}"/>
    <cellStyle name="Comma [0] 2 56 2" xfId="2687" xr:uid="{00000000-0005-0000-0000-00003D160000}"/>
    <cellStyle name="Comma [0] 2 56 2 2" xfId="3695" xr:uid="{00000000-0005-0000-0000-00003E160000}"/>
    <cellStyle name="Comma [0] 2 56 2 2 2" xfId="5634" xr:uid="{00000000-0005-0000-0000-00003F160000}"/>
    <cellStyle name="Comma [0] 2 56 2 2 2 2" xfId="9505" xr:uid="{00000000-0005-0000-0000-000040160000}"/>
    <cellStyle name="Comma [0] 2 56 2 2 2 2 2" xfId="17250" xr:uid="{00000000-0005-0000-0000-000041160000}"/>
    <cellStyle name="Comma [0] 2 56 2 2 2 2 2 2" xfId="32842" xr:uid="{00000000-0005-0000-0000-000042160000}"/>
    <cellStyle name="Comma [0] 2 56 2 2 2 2 2 3" xfId="48334" xr:uid="{00000000-0005-0000-0000-000043160000}"/>
    <cellStyle name="Comma [0] 2 56 2 2 2 2 3" xfId="25102" xr:uid="{00000000-0005-0000-0000-000044160000}"/>
    <cellStyle name="Comma [0] 2 56 2 2 2 2 4" xfId="40594" xr:uid="{00000000-0005-0000-0000-000045160000}"/>
    <cellStyle name="Comma [0] 2 56 2 2 2 3" xfId="13380" xr:uid="{00000000-0005-0000-0000-000046160000}"/>
    <cellStyle name="Comma [0] 2 56 2 2 2 3 2" xfId="28972" xr:uid="{00000000-0005-0000-0000-000047160000}"/>
    <cellStyle name="Comma [0] 2 56 2 2 2 3 3" xfId="44464" xr:uid="{00000000-0005-0000-0000-000048160000}"/>
    <cellStyle name="Comma [0] 2 56 2 2 2 4" xfId="21232" xr:uid="{00000000-0005-0000-0000-000049160000}"/>
    <cellStyle name="Comma [0] 2 56 2 2 2 5" xfId="36724" xr:uid="{00000000-0005-0000-0000-00004A160000}"/>
    <cellStyle name="Comma [0] 2 56 2 2 3" xfId="7578" xr:uid="{00000000-0005-0000-0000-00004B160000}"/>
    <cellStyle name="Comma [0] 2 56 2 2 3 2" xfId="15323" xr:uid="{00000000-0005-0000-0000-00004C160000}"/>
    <cellStyle name="Comma [0] 2 56 2 2 3 2 2" xfId="30915" xr:uid="{00000000-0005-0000-0000-00004D160000}"/>
    <cellStyle name="Comma [0] 2 56 2 2 3 2 3" xfId="46407" xr:uid="{00000000-0005-0000-0000-00004E160000}"/>
    <cellStyle name="Comma [0] 2 56 2 2 3 3" xfId="23175" xr:uid="{00000000-0005-0000-0000-00004F160000}"/>
    <cellStyle name="Comma [0] 2 56 2 2 3 4" xfId="38667" xr:uid="{00000000-0005-0000-0000-000050160000}"/>
    <cellStyle name="Comma [0] 2 56 2 2 4" xfId="11453" xr:uid="{00000000-0005-0000-0000-000051160000}"/>
    <cellStyle name="Comma [0] 2 56 2 2 4 2" xfId="27045" xr:uid="{00000000-0005-0000-0000-000052160000}"/>
    <cellStyle name="Comma [0] 2 56 2 2 4 3" xfId="42537" xr:uid="{00000000-0005-0000-0000-000053160000}"/>
    <cellStyle name="Comma [0] 2 56 2 2 5" xfId="19305" xr:uid="{00000000-0005-0000-0000-000054160000}"/>
    <cellStyle name="Comma [0] 2 56 2 2 6" xfId="34797" xr:uid="{00000000-0005-0000-0000-000055160000}"/>
    <cellStyle name="Comma [0] 2 56 2 3" xfId="4686" xr:uid="{00000000-0005-0000-0000-000056160000}"/>
    <cellStyle name="Comma [0] 2 56 2 3 2" xfId="8557" xr:uid="{00000000-0005-0000-0000-000057160000}"/>
    <cellStyle name="Comma [0] 2 56 2 3 2 2" xfId="16302" xr:uid="{00000000-0005-0000-0000-000058160000}"/>
    <cellStyle name="Comma [0] 2 56 2 3 2 2 2" xfId="31894" xr:uid="{00000000-0005-0000-0000-000059160000}"/>
    <cellStyle name="Comma [0] 2 56 2 3 2 2 3" xfId="47386" xr:uid="{00000000-0005-0000-0000-00005A160000}"/>
    <cellStyle name="Comma [0] 2 56 2 3 2 3" xfId="24154" xr:uid="{00000000-0005-0000-0000-00005B160000}"/>
    <cellStyle name="Comma [0] 2 56 2 3 2 4" xfId="39646" xr:uid="{00000000-0005-0000-0000-00005C160000}"/>
    <cellStyle name="Comma [0] 2 56 2 3 3" xfId="12432" xr:uid="{00000000-0005-0000-0000-00005D160000}"/>
    <cellStyle name="Comma [0] 2 56 2 3 3 2" xfId="28024" xr:uid="{00000000-0005-0000-0000-00005E160000}"/>
    <cellStyle name="Comma [0] 2 56 2 3 3 3" xfId="43516" xr:uid="{00000000-0005-0000-0000-00005F160000}"/>
    <cellStyle name="Comma [0] 2 56 2 3 4" xfId="20284" xr:uid="{00000000-0005-0000-0000-000060160000}"/>
    <cellStyle name="Comma [0] 2 56 2 3 5" xfId="35776" xr:uid="{00000000-0005-0000-0000-000061160000}"/>
    <cellStyle name="Comma [0] 2 56 2 4" xfId="6630" xr:uid="{00000000-0005-0000-0000-000062160000}"/>
    <cellStyle name="Comma [0] 2 56 2 4 2" xfId="14375" xr:uid="{00000000-0005-0000-0000-000063160000}"/>
    <cellStyle name="Comma [0] 2 56 2 4 2 2" xfId="29967" xr:uid="{00000000-0005-0000-0000-000064160000}"/>
    <cellStyle name="Comma [0] 2 56 2 4 2 3" xfId="45459" xr:uid="{00000000-0005-0000-0000-000065160000}"/>
    <cellStyle name="Comma [0] 2 56 2 4 3" xfId="22227" xr:uid="{00000000-0005-0000-0000-000066160000}"/>
    <cellStyle name="Comma [0] 2 56 2 4 4" xfId="37719" xr:uid="{00000000-0005-0000-0000-000067160000}"/>
    <cellStyle name="Comma [0] 2 56 2 5" xfId="10505" xr:uid="{00000000-0005-0000-0000-000068160000}"/>
    <cellStyle name="Comma [0] 2 56 2 5 2" xfId="26097" xr:uid="{00000000-0005-0000-0000-000069160000}"/>
    <cellStyle name="Comma [0] 2 56 2 5 3" xfId="41589" xr:uid="{00000000-0005-0000-0000-00006A160000}"/>
    <cellStyle name="Comma [0] 2 56 2 6" xfId="18357" xr:uid="{00000000-0005-0000-0000-00006B160000}"/>
    <cellStyle name="Comma [0] 2 56 2 7" xfId="33849" xr:uid="{00000000-0005-0000-0000-00006C160000}"/>
    <cellStyle name="Comma [0] 2 56 3" xfId="3386" xr:uid="{00000000-0005-0000-0000-00006D160000}"/>
    <cellStyle name="Comma [0] 2 56 3 2" xfId="5325" xr:uid="{00000000-0005-0000-0000-00006E160000}"/>
    <cellStyle name="Comma [0] 2 56 3 2 2" xfId="9196" xr:uid="{00000000-0005-0000-0000-00006F160000}"/>
    <cellStyle name="Comma [0] 2 56 3 2 2 2" xfId="16941" xr:uid="{00000000-0005-0000-0000-000070160000}"/>
    <cellStyle name="Comma [0] 2 56 3 2 2 2 2" xfId="32533" xr:uid="{00000000-0005-0000-0000-000071160000}"/>
    <cellStyle name="Comma [0] 2 56 3 2 2 2 3" xfId="48025" xr:uid="{00000000-0005-0000-0000-000072160000}"/>
    <cellStyle name="Comma [0] 2 56 3 2 2 3" xfId="24793" xr:uid="{00000000-0005-0000-0000-000073160000}"/>
    <cellStyle name="Comma [0] 2 56 3 2 2 4" xfId="40285" xr:uid="{00000000-0005-0000-0000-000074160000}"/>
    <cellStyle name="Comma [0] 2 56 3 2 3" xfId="13071" xr:uid="{00000000-0005-0000-0000-000075160000}"/>
    <cellStyle name="Comma [0] 2 56 3 2 3 2" xfId="28663" xr:uid="{00000000-0005-0000-0000-000076160000}"/>
    <cellStyle name="Comma [0] 2 56 3 2 3 3" xfId="44155" xr:uid="{00000000-0005-0000-0000-000077160000}"/>
    <cellStyle name="Comma [0] 2 56 3 2 4" xfId="20923" xr:uid="{00000000-0005-0000-0000-000078160000}"/>
    <cellStyle name="Comma [0] 2 56 3 2 5" xfId="36415" xr:uid="{00000000-0005-0000-0000-000079160000}"/>
    <cellStyle name="Comma [0] 2 56 3 3" xfId="7269" xr:uid="{00000000-0005-0000-0000-00007A160000}"/>
    <cellStyle name="Comma [0] 2 56 3 3 2" xfId="15014" xr:uid="{00000000-0005-0000-0000-00007B160000}"/>
    <cellStyle name="Comma [0] 2 56 3 3 2 2" xfId="30606" xr:uid="{00000000-0005-0000-0000-00007C160000}"/>
    <cellStyle name="Comma [0] 2 56 3 3 2 3" xfId="46098" xr:uid="{00000000-0005-0000-0000-00007D160000}"/>
    <cellStyle name="Comma [0] 2 56 3 3 3" xfId="22866" xr:uid="{00000000-0005-0000-0000-00007E160000}"/>
    <cellStyle name="Comma [0] 2 56 3 3 4" xfId="38358" xr:uid="{00000000-0005-0000-0000-00007F160000}"/>
    <cellStyle name="Comma [0] 2 56 3 4" xfId="11144" xr:uid="{00000000-0005-0000-0000-000080160000}"/>
    <cellStyle name="Comma [0] 2 56 3 4 2" xfId="26736" xr:uid="{00000000-0005-0000-0000-000081160000}"/>
    <cellStyle name="Comma [0] 2 56 3 4 3" xfId="42228" xr:uid="{00000000-0005-0000-0000-000082160000}"/>
    <cellStyle name="Comma [0] 2 56 3 5" xfId="18996" xr:uid="{00000000-0005-0000-0000-000083160000}"/>
    <cellStyle name="Comma [0] 2 56 3 6" xfId="34488" xr:uid="{00000000-0005-0000-0000-000084160000}"/>
    <cellStyle name="Comma [0] 2 56 4" xfId="4377" xr:uid="{00000000-0005-0000-0000-000085160000}"/>
    <cellStyle name="Comma [0] 2 56 4 2" xfId="8248" xr:uid="{00000000-0005-0000-0000-000086160000}"/>
    <cellStyle name="Comma [0] 2 56 4 2 2" xfId="15993" xr:uid="{00000000-0005-0000-0000-000087160000}"/>
    <cellStyle name="Comma [0] 2 56 4 2 2 2" xfId="31585" xr:uid="{00000000-0005-0000-0000-000088160000}"/>
    <cellStyle name="Comma [0] 2 56 4 2 2 3" xfId="47077" xr:uid="{00000000-0005-0000-0000-000089160000}"/>
    <cellStyle name="Comma [0] 2 56 4 2 3" xfId="23845" xr:uid="{00000000-0005-0000-0000-00008A160000}"/>
    <cellStyle name="Comma [0] 2 56 4 2 4" xfId="39337" xr:uid="{00000000-0005-0000-0000-00008B160000}"/>
    <cellStyle name="Comma [0] 2 56 4 3" xfId="12123" xr:uid="{00000000-0005-0000-0000-00008C160000}"/>
    <cellStyle name="Comma [0] 2 56 4 3 2" xfId="27715" xr:uid="{00000000-0005-0000-0000-00008D160000}"/>
    <cellStyle name="Comma [0] 2 56 4 3 3" xfId="43207" xr:uid="{00000000-0005-0000-0000-00008E160000}"/>
    <cellStyle name="Comma [0] 2 56 4 4" xfId="19975" xr:uid="{00000000-0005-0000-0000-00008F160000}"/>
    <cellStyle name="Comma [0] 2 56 4 5" xfId="35467" xr:uid="{00000000-0005-0000-0000-000090160000}"/>
    <cellStyle name="Comma [0] 2 56 5" xfId="6321" xr:uid="{00000000-0005-0000-0000-000091160000}"/>
    <cellStyle name="Comma [0] 2 56 5 2" xfId="14066" xr:uid="{00000000-0005-0000-0000-000092160000}"/>
    <cellStyle name="Comma [0] 2 56 5 2 2" xfId="29658" xr:uid="{00000000-0005-0000-0000-000093160000}"/>
    <cellStyle name="Comma [0] 2 56 5 2 3" xfId="45150" xr:uid="{00000000-0005-0000-0000-000094160000}"/>
    <cellStyle name="Comma [0] 2 56 5 3" xfId="21918" xr:uid="{00000000-0005-0000-0000-000095160000}"/>
    <cellStyle name="Comma [0] 2 56 5 4" xfId="37410" xr:uid="{00000000-0005-0000-0000-000096160000}"/>
    <cellStyle name="Comma [0] 2 56 6" xfId="10196" xr:uid="{00000000-0005-0000-0000-000097160000}"/>
    <cellStyle name="Comma [0] 2 56 6 2" xfId="25788" xr:uid="{00000000-0005-0000-0000-000098160000}"/>
    <cellStyle name="Comma [0] 2 56 6 3" xfId="41280" xr:uid="{00000000-0005-0000-0000-000099160000}"/>
    <cellStyle name="Comma [0] 2 56 7" xfId="18048" xr:uid="{00000000-0005-0000-0000-00009A160000}"/>
    <cellStyle name="Comma [0] 2 56 8" xfId="33540" xr:uid="{00000000-0005-0000-0000-00009B160000}"/>
    <cellStyle name="Comma [0] 2 57" xfId="2413" xr:uid="{00000000-0005-0000-0000-00009C160000}"/>
    <cellStyle name="Comma [0] 2 57 2" xfId="2723" xr:uid="{00000000-0005-0000-0000-00009D160000}"/>
    <cellStyle name="Comma [0] 2 57 2 2" xfId="3731" xr:uid="{00000000-0005-0000-0000-00009E160000}"/>
    <cellStyle name="Comma [0] 2 57 2 2 2" xfId="5670" xr:uid="{00000000-0005-0000-0000-00009F160000}"/>
    <cellStyle name="Comma [0] 2 57 2 2 2 2" xfId="9541" xr:uid="{00000000-0005-0000-0000-0000A0160000}"/>
    <cellStyle name="Comma [0] 2 57 2 2 2 2 2" xfId="17286" xr:uid="{00000000-0005-0000-0000-0000A1160000}"/>
    <cellStyle name="Comma [0] 2 57 2 2 2 2 2 2" xfId="32878" xr:uid="{00000000-0005-0000-0000-0000A2160000}"/>
    <cellStyle name="Comma [0] 2 57 2 2 2 2 2 3" xfId="48370" xr:uid="{00000000-0005-0000-0000-0000A3160000}"/>
    <cellStyle name="Comma [0] 2 57 2 2 2 2 3" xfId="25138" xr:uid="{00000000-0005-0000-0000-0000A4160000}"/>
    <cellStyle name="Comma [0] 2 57 2 2 2 2 4" xfId="40630" xr:uid="{00000000-0005-0000-0000-0000A5160000}"/>
    <cellStyle name="Comma [0] 2 57 2 2 2 3" xfId="13416" xr:uid="{00000000-0005-0000-0000-0000A6160000}"/>
    <cellStyle name="Comma [0] 2 57 2 2 2 3 2" xfId="29008" xr:uid="{00000000-0005-0000-0000-0000A7160000}"/>
    <cellStyle name="Comma [0] 2 57 2 2 2 3 3" xfId="44500" xr:uid="{00000000-0005-0000-0000-0000A8160000}"/>
    <cellStyle name="Comma [0] 2 57 2 2 2 4" xfId="21268" xr:uid="{00000000-0005-0000-0000-0000A9160000}"/>
    <cellStyle name="Comma [0] 2 57 2 2 2 5" xfId="36760" xr:uid="{00000000-0005-0000-0000-0000AA160000}"/>
    <cellStyle name="Comma [0] 2 57 2 2 3" xfId="7614" xr:uid="{00000000-0005-0000-0000-0000AB160000}"/>
    <cellStyle name="Comma [0] 2 57 2 2 3 2" xfId="15359" xr:uid="{00000000-0005-0000-0000-0000AC160000}"/>
    <cellStyle name="Comma [0] 2 57 2 2 3 2 2" xfId="30951" xr:uid="{00000000-0005-0000-0000-0000AD160000}"/>
    <cellStyle name="Comma [0] 2 57 2 2 3 2 3" xfId="46443" xr:uid="{00000000-0005-0000-0000-0000AE160000}"/>
    <cellStyle name="Comma [0] 2 57 2 2 3 3" xfId="23211" xr:uid="{00000000-0005-0000-0000-0000AF160000}"/>
    <cellStyle name="Comma [0] 2 57 2 2 3 4" xfId="38703" xr:uid="{00000000-0005-0000-0000-0000B0160000}"/>
    <cellStyle name="Comma [0] 2 57 2 2 4" xfId="11489" xr:uid="{00000000-0005-0000-0000-0000B1160000}"/>
    <cellStyle name="Comma [0] 2 57 2 2 4 2" xfId="27081" xr:uid="{00000000-0005-0000-0000-0000B2160000}"/>
    <cellStyle name="Comma [0] 2 57 2 2 4 3" xfId="42573" xr:uid="{00000000-0005-0000-0000-0000B3160000}"/>
    <cellStyle name="Comma [0] 2 57 2 2 5" xfId="19341" xr:uid="{00000000-0005-0000-0000-0000B4160000}"/>
    <cellStyle name="Comma [0] 2 57 2 2 6" xfId="34833" xr:uid="{00000000-0005-0000-0000-0000B5160000}"/>
    <cellStyle name="Comma [0] 2 57 2 3" xfId="4722" xr:uid="{00000000-0005-0000-0000-0000B6160000}"/>
    <cellStyle name="Comma [0] 2 57 2 3 2" xfId="8593" xr:uid="{00000000-0005-0000-0000-0000B7160000}"/>
    <cellStyle name="Comma [0] 2 57 2 3 2 2" xfId="16338" xr:uid="{00000000-0005-0000-0000-0000B8160000}"/>
    <cellStyle name="Comma [0] 2 57 2 3 2 2 2" xfId="31930" xr:uid="{00000000-0005-0000-0000-0000B9160000}"/>
    <cellStyle name="Comma [0] 2 57 2 3 2 2 3" xfId="47422" xr:uid="{00000000-0005-0000-0000-0000BA160000}"/>
    <cellStyle name="Comma [0] 2 57 2 3 2 3" xfId="24190" xr:uid="{00000000-0005-0000-0000-0000BB160000}"/>
    <cellStyle name="Comma [0] 2 57 2 3 2 4" xfId="39682" xr:uid="{00000000-0005-0000-0000-0000BC160000}"/>
    <cellStyle name="Comma [0] 2 57 2 3 3" xfId="12468" xr:uid="{00000000-0005-0000-0000-0000BD160000}"/>
    <cellStyle name="Comma [0] 2 57 2 3 3 2" xfId="28060" xr:uid="{00000000-0005-0000-0000-0000BE160000}"/>
    <cellStyle name="Comma [0] 2 57 2 3 3 3" xfId="43552" xr:uid="{00000000-0005-0000-0000-0000BF160000}"/>
    <cellStyle name="Comma [0] 2 57 2 3 4" xfId="20320" xr:uid="{00000000-0005-0000-0000-0000C0160000}"/>
    <cellStyle name="Comma [0] 2 57 2 3 5" xfId="35812" xr:uid="{00000000-0005-0000-0000-0000C1160000}"/>
    <cellStyle name="Comma [0] 2 57 2 4" xfId="6666" xr:uid="{00000000-0005-0000-0000-0000C2160000}"/>
    <cellStyle name="Comma [0] 2 57 2 4 2" xfId="14411" xr:uid="{00000000-0005-0000-0000-0000C3160000}"/>
    <cellStyle name="Comma [0] 2 57 2 4 2 2" xfId="30003" xr:uid="{00000000-0005-0000-0000-0000C4160000}"/>
    <cellStyle name="Comma [0] 2 57 2 4 2 3" xfId="45495" xr:uid="{00000000-0005-0000-0000-0000C5160000}"/>
    <cellStyle name="Comma [0] 2 57 2 4 3" xfId="22263" xr:uid="{00000000-0005-0000-0000-0000C6160000}"/>
    <cellStyle name="Comma [0] 2 57 2 4 4" xfId="37755" xr:uid="{00000000-0005-0000-0000-0000C7160000}"/>
    <cellStyle name="Comma [0] 2 57 2 5" xfId="10541" xr:uid="{00000000-0005-0000-0000-0000C8160000}"/>
    <cellStyle name="Comma [0] 2 57 2 5 2" xfId="26133" xr:uid="{00000000-0005-0000-0000-0000C9160000}"/>
    <cellStyle name="Comma [0] 2 57 2 5 3" xfId="41625" xr:uid="{00000000-0005-0000-0000-0000CA160000}"/>
    <cellStyle name="Comma [0] 2 57 2 6" xfId="18393" xr:uid="{00000000-0005-0000-0000-0000CB160000}"/>
    <cellStyle name="Comma [0] 2 57 2 7" xfId="33885" xr:uid="{00000000-0005-0000-0000-0000CC160000}"/>
    <cellStyle name="Comma [0] 2 57 3" xfId="3422" xr:uid="{00000000-0005-0000-0000-0000CD160000}"/>
    <cellStyle name="Comma [0] 2 57 3 2" xfId="5361" xr:uid="{00000000-0005-0000-0000-0000CE160000}"/>
    <cellStyle name="Comma [0] 2 57 3 2 2" xfId="9232" xr:uid="{00000000-0005-0000-0000-0000CF160000}"/>
    <cellStyle name="Comma [0] 2 57 3 2 2 2" xfId="16977" xr:uid="{00000000-0005-0000-0000-0000D0160000}"/>
    <cellStyle name="Comma [0] 2 57 3 2 2 2 2" xfId="32569" xr:uid="{00000000-0005-0000-0000-0000D1160000}"/>
    <cellStyle name="Comma [0] 2 57 3 2 2 2 3" xfId="48061" xr:uid="{00000000-0005-0000-0000-0000D2160000}"/>
    <cellStyle name="Comma [0] 2 57 3 2 2 3" xfId="24829" xr:uid="{00000000-0005-0000-0000-0000D3160000}"/>
    <cellStyle name="Comma [0] 2 57 3 2 2 4" xfId="40321" xr:uid="{00000000-0005-0000-0000-0000D4160000}"/>
    <cellStyle name="Comma [0] 2 57 3 2 3" xfId="13107" xr:uid="{00000000-0005-0000-0000-0000D5160000}"/>
    <cellStyle name="Comma [0] 2 57 3 2 3 2" xfId="28699" xr:uid="{00000000-0005-0000-0000-0000D6160000}"/>
    <cellStyle name="Comma [0] 2 57 3 2 3 3" xfId="44191" xr:uid="{00000000-0005-0000-0000-0000D7160000}"/>
    <cellStyle name="Comma [0] 2 57 3 2 4" xfId="20959" xr:uid="{00000000-0005-0000-0000-0000D8160000}"/>
    <cellStyle name="Comma [0] 2 57 3 2 5" xfId="36451" xr:uid="{00000000-0005-0000-0000-0000D9160000}"/>
    <cellStyle name="Comma [0] 2 57 3 3" xfId="7305" xr:uid="{00000000-0005-0000-0000-0000DA160000}"/>
    <cellStyle name="Comma [0] 2 57 3 3 2" xfId="15050" xr:uid="{00000000-0005-0000-0000-0000DB160000}"/>
    <cellStyle name="Comma [0] 2 57 3 3 2 2" xfId="30642" xr:uid="{00000000-0005-0000-0000-0000DC160000}"/>
    <cellStyle name="Comma [0] 2 57 3 3 2 3" xfId="46134" xr:uid="{00000000-0005-0000-0000-0000DD160000}"/>
    <cellStyle name="Comma [0] 2 57 3 3 3" xfId="22902" xr:uid="{00000000-0005-0000-0000-0000DE160000}"/>
    <cellStyle name="Comma [0] 2 57 3 3 4" xfId="38394" xr:uid="{00000000-0005-0000-0000-0000DF160000}"/>
    <cellStyle name="Comma [0] 2 57 3 4" xfId="11180" xr:uid="{00000000-0005-0000-0000-0000E0160000}"/>
    <cellStyle name="Comma [0] 2 57 3 4 2" xfId="26772" xr:uid="{00000000-0005-0000-0000-0000E1160000}"/>
    <cellStyle name="Comma [0] 2 57 3 4 3" xfId="42264" xr:uid="{00000000-0005-0000-0000-0000E2160000}"/>
    <cellStyle name="Comma [0] 2 57 3 5" xfId="19032" xr:uid="{00000000-0005-0000-0000-0000E3160000}"/>
    <cellStyle name="Comma [0] 2 57 3 6" xfId="34524" xr:uid="{00000000-0005-0000-0000-0000E4160000}"/>
    <cellStyle name="Comma [0] 2 57 4" xfId="4413" xr:uid="{00000000-0005-0000-0000-0000E5160000}"/>
    <cellStyle name="Comma [0] 2 57 4 2" xfId="8284" xr:uid="{00000000-0005-0000-0000-0000E6160000}"/>
    <cellStyle name="Comma [0] 2 57 4 2 2" xfId="16029" xr:uid="{00000000-0005-0000-0000-0000E7160000}"/>
    <cellStyle name="Comma [0] 2 57 4 2 2 2" xfId="31621" xr:uid="{00000000-0005-0000-0000-0000E8160000}"/>
    <cellStyle name="Comma [0] 2 57 4 2 2 3" xfId="47113" xr:uid="{00000000-0005-0000-0000-0000E9160000}"/>
    <cellStyle name="Comma [0] 2 57 4 2 3" xfId="23881" xr:uid="{00000000-0005-0000-0000-0000EA160000}"/>
    <cellStyle name="Comma [0] 2 57 4 2 4" xfId="39373" xr:uid="{00000000-0005-0000-0000-0000EB160000}"/>
    <cellStyle name="Comma [0] 2 57 4 3" xfId="12159" xr:uid="{00000000-0005-0000-0000-0000EC160000}"/>
    <cellStyle name="Comma [0] 2 57 4 3 2" xfId="27751" xr:uid="{00000000-0005-0000-0000-0000ED160000}"/>
    <cellStyle name="Comma [0] 2 57 4 3 3" xfId="43243" xr:uid="{00000000-0005-0000-0000-0000EE160000}"/>
    <cellStyle name="Comma [0] 2 57 4 4" xfId="20011" xr:uid="{00000000-0005-0000-0000-0000EF160000}"/>
    <cellStyle name="Comma [0] 2 57 4 5" xfId="35503" xr:uid="{00000000-0005-0000-0000-0000F0160000}"/>
    <cellStyle name="Comma [0] 2 57 5" xfId="6357" xr:uid="{00000000-0005-0000-0000-0000F1160000}"/>
    <cellStyle name="Comma [0] 2 57 5 2" xfId="14102" xr:uid="{00000000-0005-0000-0000-0000F2160000}"/>
    <cellStyle name="Comma [0] 2 57 5 2 2" xfId="29694" xr:uid="{00000000-0005-0000-0000-0000F3160000}"/>
    <cellStyle name="Comma [0] 2 57 5 2 3" xfId="45186" xr:uid="{00000000-0005-0000-0000-0000F4160000}"/>
    <cellStyle name="Comma [0] 2 57 5 3" xfId="21954" xr:uid="{00000000-0005-0000-0000-0000F5160000}"/>
    <cellStyle name="Comma [0] 2 57 5 4" xfId="37446" xr:uid="{00000000-0005-0000-0000-0000F6160000}"/>
    <cellStyle name="Comma [0] 2 57 6" xfId="10232" xr:uid="{00000000-0005-0000-0000-0000F7160000}"/>
    <cellStyle name="Comma [0] 2 57 6 2" xfId="25824" xr:uid="{00000000-0005-0000-0000-0000F8160000}"/>
    <cellStyle name="Comma [0] 2 57 6 3" xfId="41316" xr:uid="{00000000-0005-0000-0000-0000F9160000}"/>
    <cellStyle name="Comma [0] 2 57 7" xfId="18084" xr:uid="{00000000-0005-0000-0000-0000FA160000}"/>
    <cellStyle name="Comma [0] 2 57 8" xfId="33576" xr:uid="{00000000-0005-0000-0000-0000FB160000}"/>
    <cellStyle name="Comma [0] 2 58" xfId="2450" xr:uid="{00000000-0005-0000-0000-0000FC160000}"/>
    <cellStyle name="Comma [0] 2 58 2" xfId="2759" xr:uid="{00000000-0005-0000-0000-0000FD160000}"/>
    <cellStyle name="Comma [0] 2 58 2 2" xfId="3767" xr:uid="{00000000-0005-0000-0000-0000FE160000}"/>
    <cellStyle name="Comma [0] 2 58 2 2 2" xfId="5706" xr:uid="{00000000-0005-0000-0000-0000FF160000}"/>
    <cellStyle name="Comma [0] 2 58 2 2 2 2" xfId="9577" xr:uid="{00000000-0005-0000-0000-000000170000}"/>
    <cellStyle name="Comma [0] 2 58 2 2 2 2 2" xfId="17322" xr:uid="{00000000-0005-0000-0000-000001170000}"/>
    <cellStyle name="Comma [0] 2 58 2 2 2 2 2 2" xfId="32914" xr:uid="{00000000-0005-0000-0000-000002170000}"/>
    <cellStyle name="Comma [0] 2 58 2 2 2 2 2 3" xfId="48406" xr:uid="{00000000-0005-0000-0000-000003170000}"/>
    <cellStyle name="Comma [0] 2 58 2 2 2 2 3" xfId="25174" xr:uid="{00000000-0005-0000-0000-000004170000}"/>
    <cellStyle name="Comma [0] 2 58 2 2 2 2 4" xfId="40666" xr:uid="{00000000-0005-0000-0000-000005170000}"/>
    <cellStyle name="Comma [0] 2 58 2 2 2 3" xfId="13452" xr:uid="{00000000-0005-0000-0000-000006170000}"/>
    <cellStyle name="Comma [0] 2 58 2 2 2 3 2" xfId="29044" xr:uid="{00000000-0005-0000-0000-000007170000}"/>
    <cellStyle name="Comma [0] 2 58 2 2 2 3 3" xfId="44536" xr:uid="{00000000-0005-0000-0000-000008170000}"/>
    <cellStyle name="Comma [0] 2 58 2 2 2 4" xfId="21304" xr:uid="{00000000-0005-0000-0000-000009170000}"/>
    <cellStyle name="Comma [0] 2 58 2 2 2 5" xfId="36796" xr:uid="{00000000-0005-0000-0000-00000A170000}"/>
    <cellStyle name="Comma [0] 2 58 2 2 3" xfId="7650" xr:uid="{00000000-0005-0000-0000-00000B170000}"/>
    <cellStyle name="Comma [0] 2 58 2 2 3 2" xfId="15395" xr:uid="{00000000-0005-0000-0000-00000C170000}"/>
    <cellStyle name="Comma [0] 2 58 2 2 3 2 2" xfId="30987" xr:uid="{00000000-0005-0000-0000-00000D170000}"/>
    <cellStyle name="Comma [0] 2 58 2 2 3 2 3" xfId="46479" xr:uid="{00000000-0005-0000-0000-00000E170000}"/>
    <cellStyle name="Comma [0] 2 58 2 2 3 3" xfId="23247" xr:uid="{00000000-0005-0000-0000-00000F170000}"/>
    <cellStyle name="Comma [0] 2 58 2 2 3 4" xfId="38739" xr:uid="{00000000-0005-0000-0000-000010170000}"/>
    <cellStyle name="Comma [0] 2 58 2 2 4" xfId="11525" xr:uid="{00000000-0005-0000-0000-000011170000}"/>
    <cellStyle name="Comma [0] 2 58 2 2 4 2" xfId="27117" xr:uid="{00000000-0005-0000-0000-000012170000}"/>
    <cellStyle name="Comma [0] 2 58 2 2 4 3" xfId="42609" xr:uid="{00000000-0005-0000-0000-000013170000}"/>
    <cellStyle name="Comma [0] 2 58 2 2 5" xfId="19377" xr:uid="{00000000-0005-0000-0000-000014170000}"/>
    <cellStyle name="Comma [0] 2 58 2 2 6" xfId="34869" xr:uid="{00000000-0005-0000-0000-000015170000}"/>
    <cellStyle name="Comma [0] 2 58 2 3" xfId="4758" xr:uid="{00000000-0005-0000-0000-000016170000}"/>
    <cellStyle name="Comma [0] 2 58 2 3 2" xfId="8629" xr:uid="{00000000-0005-0000-0000-000017170000}"/>
    <cellStyle name="Comma [0] 2 58 2 3 2 2" xfId="16374" xr:uid="{00000000-0005-0000-0000-000018170000}"/>
    <cellStyle name="Comma [0] 2 58 2 3 2 2 2" xfId="31966" xr:uid="{00000000-0005-0000-0000-000019170000}"/>
    <cellStyle name="Comma [0] 2 58 2 3 2 2 3" xfId="47458" xr:uid="{00000000-0005-0000-0000-00001A170000}"/>
    <cellStyle name="Comma [0] 2 58 2 3 2 3" xfId="24226" xr:uid="{00000000-0005-0000-0000-00001B170000}"/>
    <cellStyle name="Comma [0] 2 58 2 3 2 4" xfId="39718" xr:uid="{00000000-0005-0000-0000-00001C170000}"/>
    <cellStyle name="Comma [0] 2 58 2 3 3" xfId="12504" xr:uid="{00000000-0005-0000-0000-00001D170000}"/>
    <cellStyle name="Comma [0] 2 58 2 3 3 2" xfId="28096" xr:uid="{00000000-0005-0000-0000-00001E170000}"/>
    <cellStyle name="Comma [0] 2 58 2 3 3 3" xfId="43588" xr:uid="{00000000-0005-0000-0000-00001F170000}"/>
    <cellStyle name="Comma [0] 2 58 2 3 4" xfId="20356" xr:uid="{00000000-0005-0000-0000-000020170000}"/>
    <cellStyle name="Comma [0] 2 58 2 3 5" xfId="35848" xr:uid="{00000000-0005-0000-0000-000021170000}"/>
    <cellStyle name="Comma [0] 2 58 2 4" xfId="6702" xr:uid="{00000000-0005-0000-0000-000022170000}"/>
    <cellStyle name="Comma [0] 2 58 2 4 2" xfId="14447" xr:uid="{00000000-0005-0000-0000-000023170000}"/>
    <cellStyle name="Comma [0] 2 58 2 4 2 2" xfId="30039" xr:uid="{00000000-0005-0000-0000-000024170000}"/>
    <cellStyle name="Comma [0] 2 58 2 4 2 3" xfId="45531" xr:uid="{00000000-0005-0000-0000-000025170000}"/>
    <cellStyle name="Comma [0] 2 58 2 4 3" xfId="22299" xr:uid="{00000000-0005-0000-0000-000026170000}"/>
    <cellStyle name="Comma [0] 2 58 2 4 4" xfId="37791" xr:uid="{00000000-0005-0000-0000-000027170000}"/>
    <cellStyle name="Comma [0] 2 58 2 5" xfId="10577" xr:uid="{00000000-0005-0000-0000-000028170000}"/>
    <cellStyle name="Comma [0] 2 58 2 5 2" xfId="26169" xr:uid="{00000000-0005-0000-0000-000029170000}"/>
    <cellStyle name="Comma [0] 2 58 2 5 3" xfId="41661" xr:uid="{00000000-0005-0000-0000-00002A170000}"/>
    <cellStyle name="Comma [0] 2 58 2 6" xfId="18429" xr:uid="{00000000-0005-0000-0000-00002B170000}"/>
    <cellStyle name="Comma [0] 2 58 2 7" xfId="33921" xr:uid="{00000000-0005-0000-0000-00002C170000}"/>
    <cellStyle name="Comma [0] 2 58 3" xfId="3458" xr:uid="{00000000-0005-0000-0000-00002D170000}"/>
    <cellStyle name="Comma [0] 2 58 3 2" xfId="5397" xr:uid="{00000000-0005-0000-0000-00002E170000}"/>
    <cellStyle name="Comma [0] 2 58 3 2 2" xfId="9268" xr:uid="{00000000-0005-0000-0000-00002F170000}"/>
    <cellStyle name="Comma [0] 2 58 3 2 2 2" xfId="17013" xr:uid="{00000000-0005-0000-0000-000030170000}"/>
    <cellStyle name="Comma [0] 2 58 3 2 2 2 2" xfId="32605" xr:uid="{00000000-0005-0000-0000-000031170000}"/>
    <cellStyle name="Comma [0] 2 58 3 2 2 2 3" xfId="48097" xr:uid="{00000000-0005-0000-0000-000032170000}"/>
    <cellStyle name="Comma [0] 2 58 3 2 2 3" xfId="24865" xr:uid="{00000000-0005-0000-0000-000033170000}"/>
    <cellStyle name="Comma [0] 2 58 3 2 2 4" xfId="40357" xr:uid="{00000000-0005-0000-0000-000034170000}"/>
    <cellStyle name="Comma [0] 2 58 3 2 3" xfId="13143" xr:uid="{00000000-0005-0000-0000-000035170000}"/>
    <cellStyle name="Comma [0] 2 58 3 2 3 2" xfId="28735" xr:uid="{00000000-0005-0000-0000-000036170000}"/>
    <cellStyle name="Comma [0] 2 58 3 2 3 3" xfId="44227" xr:uid="{00000000-0005-0000-0000-000037170000}"/>
    <cellStyle name="Comma [0] 2 58 3 2 4" xfId="20995" xr:uid="{00000000-0005-0000-0000-000038170000}"/>
    <cellStyle name="Comma [0] 2 58 3 2 5" xfId="36487" xr:uid="{00000000-0005-0000-0000-000039170000}"/>
    <cellStyle name="Comma [0] 2 58 3 3" xfId="7341" xr:uid="{00000000-0005-0000-0000-00003A170000}"/>
    <cellStyle name="Comma [0] 2 58 3 3 2" xfId="15086" xr:uid="{00000000-0005-0000-0000-00003B170000}"/>
    <cellStyle name="Comma [0] 2 58 3 3 2 2" xfId="30678" xr:uid="{00000000-0005-0000-0000-00003C170000}"/>
    <cellStyle name="Comma [0] 2 58 3 3 2 3" xfId="46170" xr:uid="{00000000-0005-0000-0000-00003D170000}"/>
    <cellStyle name="Comma [0] 2 58 3 3 3" xfId="22938" xr:uid="{00000000-0005-0000-0000-00003E170000}"/>
    <cellStyle name="Comma [0] 2 58 3 3 4" xfId="38430" xr:uid="{00000000-0005-0000-0000-00003F170000}"/>
    <cellStyle name="Comma [0] 2 58 3 4" xfId="11216" xr:uid="{00000000-0005-0000-0000-000040170000}"/>
    <cellStyle name="Comma [0] 2 58 3 4 2" xfId="26808" xr:uid="{00000000-0005-0000-0000-000041170000}"/>
    <cellStyle name="Comma [0] 2 58 3 4 3" xfId="42300" xr:uid="{00000000-0005-0000-0000-000042170000}"/>
    <cellStyle name="Comma [0] 2 58 3 5" xfId="19068" xr:uid="{00000000-0005-0000-0000-000043170000}"/>
    <cellStyle name="Comma [0] 2 58 3 6" xfId="34560" xr:uid="{00000000-0005-0000-0000-000044170000}"/>
    <cellStyle name="Comma [0] 2 58 4" xfId="4449" xr:uid="{00000000-0005-0000-0000-000045170000}"/>
    <cellStyle name="Comma [0] 2 58 4 2" xfId="8320" xr:uid="{00000000-0005-0000-0000-000046170000}"/>
    <cellStyle name="Comma [0] 2 58 4 2 2" xfId="16065" xr:uid="{00000000-0005-0000-0000-000047170000}"/>
    <cellStyle name="Comma [0] 2 58 4 2 2 2" xfId="31657" xr:uid="{00000000-0005-0000-0000-000048170000}"/>
    <cellStyle name="Comma [0] 2 58 4 2 2 3" xfId="47149" xr:uid="{00000000-0005-0000-0000-000049170000}"/>
    <cellStyle name="Comma [0] 2 58 4 2 3" xfId="23917" xr:uid="{00000000-0005-0000-0000-00004A170000}"/>
    <cellStyle name="Comma [0] 2 58 4 2 4" xfId="39409" xr:uid="{00000000-0005-0000-0000-00004B170000}"/>
    <cellStyle name="Comma [0] 2 58 4 3" xfId="12195" xr:uid="{00000000-0005-0000-0000-00004C170000}"/>
    <cellStyle name="Comma [0] 2 58 4 3 2" xfId="27787" xr:uid="{00000000-0005-0000-0000-00004D170000}"/>
    <cellStyle name="Comma [0] 2 58 4 3 3" xfId="43279" xr:uid="{00000000-0005-0000-0000-00004E170000}"/>
    <cellStyle name="Comma [0] 2 58 4 4" xfId="20047" xr:uid="{00000000-0005-0000-0000-00004F170000}"/>
    <cellStyle name="Comma [0] 2 58 4 5" xfId="35539" xr:uid="{00000000-0005-0000-0000-000050170000}"/>
    <cellStyle name="Comma [0] 2 58 5" xfId="6393" xr:uid="{00000000-0005-0000-0000-000051170000}"/>
    <cellStyle name="Comma [0] 2 58 5 2" xfId="14138" xr:uid="{00000000-0005-0000-0000-000052170000}"/>
    <cellStyle name="Comma [0] 2 58 5 2 2" xfId="29730" xr:uid="{00000000-0005-0000-0000-000053170000}"/>
    <cellStyle name="Comma [0] 2 58 5 2 3" xfId="45222" xr:uid="{00000000-0005-0000-0000-000054170000}"/>
    <cellStyle name="Comma [0] 2 58 5 3" xfId="21990" xr:uid="{00000000-0005-0000-0000-000055170000}"/>
    <cellStyle name="Comma [0] 2 58 5 4" xfId="37482" xr:uid="{00000000-0005-0000-0000-000056170000}"/>
    <cellStyle name="Comma [0] 2 58 6" xfId="10268" xr:uid="{00000000-0005-0000-0000-000057170000}"/>
    <cellStyle name="Comma [0] 2 58 6 2" xfId="25860" xr:uid="{00000000-0005-0000-0000-000058170000}"/>
    <cellStyle name="Comma [0] 2 58 6 3" xfId="41352" xr:uid="{00000000-0005-0000-0000-000059170000}"/>
    <cellStyle name="Comma [0] 2 58 7" xfId="18120" xr:uid="{00000000-0005-0000-0000-00005A170000}"/>
    <cellStyle name="Comma [0] 2 58 8" xfId="33612" xr:uid="{00000000-0005-0000-0000-00005B170000}"/>
    <cellStyle name="Comma [0] 2 59" xfId="2796" xr:uid="{00000000-0005-0000-0000-00005C170000}"/>
    <cellStyle name="Comma [0] 2 59 2" xfId="3803" xr:uid="{00000000-0005-0000-0000-00005D170000}"/>
    <cellStyle name="Comma [0] 2 59 2 2" xfId="5742" xr:uid="{00000000-0005-0000-0000-00005E170000}"/>
    <cellStyle name="Comma [0] 2 59 2 2 2" xfId="9613" xr:uid="{00000000-0005-0000-0000-00005F170000}"/>
    <cellStyle name="Comma [0] 2 59 2 2 2 2" xfId="17358" xr:uid="{00000000-0005-0000-0000-000060170000}"/>
    <cellStyle name="Comma [0] 2 59 2 2 2 2 2" xfId="32950" xr:uid="{00000000-0005-0000-0000-000061170000}"/>
    <cellStyle name="Comma [0] 2 59 2 2 2 2 3" xfId="48442" xr:uid="{00000000-0005-0000-0000-000062170000}"/>
    <cellStyle name="Comma [0] 2 59 2 2 2 3" xfId="25210" xr:uid="{00000000-0005-0000-0000-000063170000}"/>
    <cellStyle name="Comma [0] 2 59 2 2 2 4" xfId="40702" xr:uid="{00000000-0005-0000-0000-000064170000}"/>
    <cellStyle name="Comma [0] 2 59 2 2 3" xfId="13488" xr:uid="{00000000-0005-0000-0000-000065170000}"/>
    <cellStyle name="Comma [0] 2 59 2 2 3 2" xfId="29080" xr:uid="{00000000-0005-0000-0000-000066170000}"/>
    <cellStyle name="Comma [0] 2 59 2 2 3 3" xfId="44572" xr:uid="{00000000-0005-0000-0000-000067170000}"/>
    <cellStyle name="Comma [0] 2 59 2 2 4" xfId="21340" xr:uid="{00000000-0005-0000-0000-000068170000}"/>
    <cellStyle name="Comma [0] 2 59 2 2 5" xfId="36832" xr:uid="{00000000-0005-0000-0000-000069170000}"/>
    <cellStyle name="Comma [0] 2 59 2 3" xfId="7686" xr:uid="{00000000-0005-0000-0000-00006A170000}"/>
    <cellStyle name="Comma [0] 2 59 2 3 2" xfId="15431" xr:uid="{00000000-0005-0000-0000-00006B170000}"/>
    <cellStyle name="Comma [0] 2 59 2 3 2 2" xfId="31023" xr:uid="{00000000-0005-0000-0000-00006C170000}"/>
    <cellStyle name="Comma [0] 2 59 2 3 2 3" xfId="46515" xr:uid="{00000000-0005-0000-0000-00006D170000}"/>
    <cellStyle name="Comma [0] 2 59 2 3 3" xfId="23283" xr:uid="{00000000-0005-0000-0000-00006E170000}"/>
    <cellStyle name="Comma [0] 2 59 2 3 4" xfId="38775" xr:uid="{00000000-0005-0000-0000-00006F170000}"/>
    <cellStyle name="Comma [0] 2 59 2 4" xfId="11561" xr:uid="{00000000-0005-0000-0000-000070170000}"/>
    <cellStyle name="Comma [0] 2 59 2 4 2" xfId="27153" xr:uid="{00000000-0005-0000-0000-000071170000}"/>
    <cellStyle name="Comma [0] 2 59 2 4 3" xfId="42645" xr:uid="{00000000-0005-0000-0000-000072170000}"/>
    <cellStyle name="Comma [0] 2 59 2 5" xfId="19413" xr:uid="{00000000-0005-0000-0000-000073170000}"/>
    <cellStyle name="Comma [0] 2 59 2 6" xfId="34905" xr:uid="{00000000-0005-0000-0000-000074170000}"/>
    <cellStyle name="Comma [0] 2 59 3" xfId="4794" xr:uid="{00000000-0005-0000-0000-000075170000}"/>
    <cellStyle name="Comma [0] 2 59 3 2" xfId="8665" xr:uid="{00000000-0005-0000-0000-000076170000}"/>
    <cellStyle name="Comma [0] 2 59 3 2 2" xfId="16410" xr:uid="{00000000-0005-0000-0000-000077170000}"/>
    <cellStyle name="Comma [0] 2 59 3 2 2 2" xfId="32002" xr:uid="{00000000-0005-0000-0000-000078170000}"/>
    <cellStyle name="Comma [0] 2 59 3 2 2 3" xfId="47494" xr:uid="{00000000-0005-0000-0000-000079170000}"/>
    <cellStyle name="Comma [0] 2 59 3 2 3" xfId="24262" xr:uid="{00000000-0005-0000-0000-00007A170000}"/>
    <cellStyle name="Comma [0] 2 59 3 2 4" xfId="39754" xr:uid="{00000000-0005-0000-0000-00007B170000}"/>
    <cellStyle name="Comma [0] 2 59 3 3" xfId="12540" xr:uid="{00000000-0005-0000-0000-00007C170000}"/>
    <cellStyle name="Comma [0] 2 59 3 3 2" xfId="28132" xr:uid="{00000000-0005-0000-0000-00007D170000}"/>
    <cellStyle name="Comma [0] 2 59 3 3 3" xfId="43624" xr:uid="{00000000-0005-0000-0000-00007E170000}"/>
    <cellStyle name="Comma [0] 2 59 3 4" xfId="20392" xr:uid="{00000000-0005-0000-0000-00007F170000}"/>
    <cellStyle name="Comma [0] 2 59 3 5" xfId="35884" xr:uid="{00000000-0005-0000-0000-000080170000}"/>
    <cellStyle name="Comma [0] 2 59 4" xfId="6738" xr:uid="{00000000-0005-0000-0000-000081170000}"/>
    <cellStyle name="Comma [0] 2 59 4 2" xfId="14483" xr:uid="{00000000-0005-0000-0000-000082170000}"/>
    <cellStyle name="Comma [0] 2 59 4 2 2" xfId="30075" xr:uid="{00000000-0005-0000-0000-000083170000}"/>
    <cellStyle name="Comma [0] 2 59 4 2 3" xfId="45567" xr:uid="{00000000-0005-0000-0000-000084170000}"/>
    <cellStyle name="Comma [0] 2 59 4 3" xfId="22335" xr:uid="{00000000-0005-0000-0000-000085170000}"/>
    <cellStyle name="Comma [0] 2 59 4 4" xfId="37827" xr:uid="{00000000-0005-0000-0000-000086170000}"/>
    <cellStyle name="Comma [0] 2 59 5" xfId="10613" xr:uid="{00000000-0005-0000-0000-000087170000}"/>
    <cellStyle name="Comma [0] 2 59 5 2" xfId="26205" xr:uid="{00000000-0005-0000-0000-000088170000}"/>
    <cellStyle name="Comma [0] 2 59 5 3" xfId="41697" xr:uid="{00000000-0005-0000-0000-000089170000}"/>
    <cellStyle name="Comma [0] 2 59 6" xfId="18465" xr:uid="{00000000-0005-0000-0000-00008A170000}"/>
    <cellStyle name="Comma [0] 2 59 7" xfId="33957" xr:uid="{00000000-0005-0000-0000-00008B170000}"/>
    <cellStyle name="Comma [0] 2 6" xfId="276" xr:uid="{00000000-0005-0000-0000-00008C170000}"/>
    <cellStyle name="Comma [0] 2 60" xfId="2835" xr:uid="{00000000-0005-0000-0000-00008D170000}"/>
    <cellStyle name="Comma [0] 2 60 2" xfId="3841" xr:uid="{00000000-0005-0000-0000-00008E170000}"/>
    <cellStyle name="Comma [0] 2 60 2 2" xfId="5780" xr:uid="{00000000-0005-0000-0000-00008F170000}"/>
    <cellStyle name="Comma [0] 2 60 2 2 2" xfId="9651" xr:uid="{00000000-0005-0000-0000-000090170000}"/>
    <cellStyle name="Comma [0] 2 60 2 2 2 2" xfId="17396" xr:uid="{00000000-0005-0000-0000-000091170000}"/>
    <cellStyle name="Comma [0] 2 60 2 2 2 2 2" xfId="32988" xr:uid="{00000000-0005-0000-0000-000092170000}"/>
    <cellStyle name="Comma [0] 2 60 2 2 2 2 3" xfId="48480" xr:uid="{00000000-0005-0000-0000-000093170000}"/>
    <cellStyle name="Comma [0] 2 60 2 2 2 3" xfId="25248" xr:uid="{00000000-0005-0000-0000-000094170000}"/>
    <cellStyle name="Comma [0] 2 60 2 2 2 4" xfId="40740" xr:uid="{00000000-0005-0000-0000-000095170000}"/>
    <cellStyle name="Comma [0] 2 60 2 2 3" xfId="13526" xr:uid="{00000000-0005-0000-0000-000096170000}"/>
    <cellStyle name="Comma [0] 2 60 2 2 3 2" xfId="29118" xr:uid="{00000000-0005-0000-0000-000097170000}"/>
    <cellStyle name="Comma [0] 2 60 2 2 3 3" xfId="44610" xr:uid="{00000000-0005-0000-0000-000098170000}"/>
    <cellStyle name="Comma [0] 2 60 2 2 4" xfId="21378" xr:uid="{00000000-0005-0000-0000-000099170000}"/>
    <cellStyle name="Comma [0] 2 60 2 2 5" xfId="36870" xr:uid="{00000000-0005-0000-0000-00009A170000}"/>
    <cellStyle name="Comma [0] 2 60 2 3" xfId="7724" xr:uid="{00000000-0005-0000-0000-00009B170000}"/>
    <cellStyle name="Comma [0] 2 60 2 3 2" xfId="15469" xr:uid="{00000000-0005-0000-0000-00009C170000}"/>
    <cellStyle name="Comma [0] 2 60 2 3 2 2" xfId="31061" xr:uid="{00000000-0005-0000-0000-00009D170000}"/>
    <cellStyle name="Comma [0] 2 60 2 3 2 3" xfId="46553" xr:uid="{00000000-0005-0000-0000-00009E170000}"/>
    <cellStyle name="Comma [0] 2 60 2 3 3" xfId="23321" xr:uid="{00000000-0005-0000-0000-00009F170000}"/>
    <cellStyle name="Comma [0] 2 60 2 3 4" xfId="38813" xr:uid="{00000000-0005-0000-0000-0000A0170000}"/>
    <cellStyle name="Comma [0] 2 60 2 4" xfId="11599" xr:uid="{00000000-0005-0000-0000-0000A1170000}"/>
    <cellStyle name="Comma [0] 2 60 2 4 2" xfId="27191" xr:uid="{00000000-0005-0000-0000-0000A2170000}"/>
    <cellStyle name="Comma [0] 2 60 2 4 3" xfId="42683" xr:uid="{00000000-0005-0000-0000-0000A3170000}"/>
    <cellStyle name="Comma [0] 2 60 2 5" xfId="19451" xr:uid="{00000000-0005-0000-0000-0000A4170000}"/>
    <cellStyle name="Comma [0] 2 60 2 6" xfId="34943" xr:uid="{00000000-0005-0000-0000-0000A5170000}"/>
    <cellStyle name="Comma [0] 2 60 3" xfId="4832" xr:uid="{00000000-0005-0000-0000-0000A6170000}"/>
    <cellStyle name="Comma [0] 2 60 3 2" xfId="8703" xr:uid="{00000000-0005-0000-0000-0000A7170000}"/>
    <cellStyle name="Comma [0] 2 60 3 2 2" xfId="16448" xr:uid="{00000000-0005-0000-0000-0000A8170000}"/>
    <cellStyle name="Comma [0] 2 60 3 2 2 2" xfId="32040" xr:uid="{00000000-0005-0000-0000-0000A9170000}"/>
    <cellStyle name="Comma [0] 2 60 3 2 2 3" xfId="47532" xr:uid="{00000000-0005-0000-0000-0000AA170000}"/>
    <cellStyle name="Comma [0] 2 60 3 2 3" xfId="24300" xr:uid="{00000000-0005-0000-0000-0000AB170000}"/>
    <cellStyle name="Comma [0] 2 60 3 2 4" xfId="39792" xr:uid="{00000000-0005-0000-0000-0000AC170000}"/>
    <cellStyle name="Comma [0] 2 60 3 3" xfId="12578" xr:uid="{00000000-0005-0000-0000-0000AD170000}"/>
    <cellStyle name="Comma [0] 2 60 3 3 2" xfId="28170" xr:uid="{00000000-0005-0000-0000-0000AE170000}"/>
    <cellStyle name="Comma [0] 2 60 3 3 3" xfId="43662" xr:uid="{00000000-0005-0000-0000-0000AF170000}"/>
    <cellStyle name="Comma [0] 2 60 3 4" xfId="20430" xr:uid="{00000000-0005-0000-0000-0000B0170000}"/>
    <cellStyle name="Comma [0] 2 60 3 5" xfId="35922" xr:uid="{00000000-0005-0000-0000-0000B1170000}"/>
    <cellStyle name="Comma [0] 2 60 4" xfId="6776" xr:uid="{00000000-0005-0000-0000-0000B2170000}"/>
    <cellStyle name="Comma [0] 2 60 4 2" xfId="14521" xr:uid="{00000000-0005-0000-0000-0000B3170000}"/>
    <cellStyle name="Comma [0] 2 60 4 2 2" xfId="30113" xr:uid="{00000000-0005-0000-0000-0000B4170000}"/>
    <cellStyle name="Comma [0] 2 60 4 2 3" xfId="45605" xr:uid="{00000000-0005-0000-0000-0000B5170000}"/>
    <cellStyle name="Comma [0] 2 60 4 3" xfId="22373" xr:uid="{00000000-0005-0000-0000-0000B6170000}"/>
    <cellStyle name="Comma [0] 2 60 4 4" xfId="37865" xr:uid="{00000000-0005-0000-0000-0000B7170000}"/>
    <cellStyle name="Comma [0] 2 60 5" xfId="10651" xr:uid="{00000000-0005-0000-0000-0000B8170000}"/>
    <cellStyle name="Comma [0] 2 60 5 2" xfId="26243" xr:uid="{00000000-0005-0000-0000-0000B9170000}"/>
    <cellStyle name="Comma [0] 2 60 5 3" xfId="41735" xr:uid="{00000000-0005-0000-0000-0000BA170000}"/>
    <cellStyle name="Comma [0] 2 60 6" xfId="18503" xr:uid="{00000000-0005-0000-0000-0000BB170000}"/>
    <cellStyle name="Comma [0] 2 60 7" xfId="33995" xr:uid="{00000000-0005-0000-0000-0000BC170000}"/>
    <cellStyle name="Comma [0] 2 61" xfId="2872" xr:uid="{00000000-0005-0000-0000-0000BD170000}"/>
    <cellStyle name="Comma [0] 2 61 2" xfId="3877" xr:uid="{00000000-0005-0000-0000-0000BE170000}"/>
    <cellStyle name="Comma [0] 2 61 2 2" xfId="5816" xr:uid="{00000000-0005-0000-0000-0000BF170000}"/>
    <cellStyle name="Comma [0] 2 61 2 2 2" xfId="9687" xr:uid="{00000000-0005-0000-0000-0000C0170000}"/>
    <cellStyle name="Comma [0] 2 61 2 2 2 2" xfId="17432" xr:uid="{00000000-0005-0000-0000-0000C1170000}"/>
    <cellStyle name="Comma [0] 2 61 2 2 2 2 2" xfId="33024" xr:uid="{00000000-0005-0000-0000-0000C2170000}"/>
    <cellStyle name="Comma [0] 2 61 2 2 2 2 3" xfId="48516" xr:uid="{00000000-0005-0000-0000-0000C3170000}"/>
    <cellStyle name="Comma [0] 2 61 2 2 2 3" xfId="25284" xr:uid="{00000000-0005-0000-0000-0000C4170000}"/>
    <cellStyle name="Comma [0] 2 61 2 2 2 4" xfId="40776" xr:uid="{00000000-0005-0000-0000-0000C5170000}"/>
    <cellStyle name="Comma [0] 2 61 2 2 3" xfId="13562" xr:uid="{00000000-0005-0000-0000-0000C6170000}"/>
    <cellStyle name="Comma [0] 2 61 2 2 3 2" xfId="29154" xr:uid="{00000000-0005-0000-0000-0000C7170000}"/>
    <cellStyle name="Comma [0] 2 61 2 2 3 3" xfId="44646" xr:uid="{00000000-0005-0000-0000-0000C8170000}"/>
    <cellStyle name="Comma [0] 2 61 2 2 4" xfId="21414" xr:uid="{00000000-0005-0000-0000-0000C9170000}"/>
    <cellStyle name="Comma [0] 2 61 2 2 5" xfId="36906" xr:uid="{00000000-0005-0000-0000-0000CA170000}"/>
    <cellStyle name="Comma [0] 2 61 2 3" xfId="7760" xr:uid="{00000000-0005-0000-0000-0000CB170000}"/>
    <cellStyle name="Comma [0] 2 61 2 3 2" xfId="15505" xr:uid="{00000000-0005-0000-0000-0000CC170000}"/>
    <cellStyle name="Comma [0] 2 61 2 3 2 2" xfId="31097" xr:uid="{00000000-0005-0000-0000-0000CD170000}"/>
    <cellStyle name="Comma [0] 2 61 2 3 2 3" xfId="46589" xr:uid="{00000000-0005-0000-0000-0000CE170000}"/>
    <cellStyle name="Comma [0] 2 61 2 3 3" xfId="23357" xr:uid="{00000000-0005-0000-0000-0000CF170000}"/>
    <cellStyle name="Comma [0] 2 61 2 3 4" xfId="38849" xr:uid="{00000000-0005-0000-0000-0000D0170000}"/>
    <cellStyle name="Comma [0] 2 61 2 4" xfId="11635" xr:uid="{00000000-0005-0000-0000-0000D1170000}"/>
    <cellStyle name="Comma [0] 2 61 2 4 2" xfId="27227" xr:uid="{00000000-0005-0000-0000-0000D2170000}"/>
    <cellStyle name="Comma [0] 2 61 2 4 3" xfId="42719" xr:uid="{00000000-0005-0000-0000-0000D3170000}"/>
    <cellStyle name="Comma [0] 2 61 2 5" xfId="19487" xr:uid="{00000000-0005-0000-0000-0000D4170000}"/>
    <cellStyle name="Comma [0] 2 61 2 6" xfId="34979" xr:uid="{00000000-0005-0000-0000-0000D5170000}"/>
    <cellStyle name="Comma [0] 2 61 3" xfId="4868" xr:uid="{00000000-0005-0000-0000-0000D6170000}"/>
    <cellStyle name="Comma [0] 2 61 3 2" xfId="8739" xr:uid="{00000000-0005-0000-0000-0000D7170000}"/>
    <cellStyle name="Comma [0] 2 61 3 2 2" xfId="16484" xr:uid="{00000000-0005-0000-0000-0000D8170000}"/>
    <cellStyle name="Comma [0] 2 61 3 2 2 2" xfId="32076" xr:uid="{00000000-0005-0000-0000-0000D9170000}"/>
    <cellStyle name="Comma [0] 2 61 3 2 2 3" xfId="47568" xr:uid="{00000000-0005-0000-0000-0000DA170000}"/>
    <cellStyle name="Comma [0] 2 61 3 2 3" xfId="24336" xr:uid="{00000000-0005-0000-0000-0000DB170000}"/>
    <cellStyle name="Comma [0] 2 61 3 2 4" xfId="39828" xr:uid="{00000000-0005-0000-0000-0000DC170000}"/>
    <cellStyle name="Comma [0] 2 61 3 3" xfId="12614" xr:uid="{00000000-0005-0000-0000-0000DD170000}"/>
    <cellStyle name="Comma [0] 2 61 3 3 2" xfId="28206" xr:uid="{00000000-0005-0000-0000-0000DE170000}"/>
    <cellStyle name="Comma [0] 2 61 3 3 3" xfId="43698" xr:uid="{00000000-0005-0000-0000-0000DF170000}"/>
    <cellStyle name="Comma [0] 2 61 3 4" xfId="20466" xr:uid="{00000000-0005-0000-0000-0000E0170000}"/>
    <cellStyle name="Comma [0] 2 61 3 5" xfId="35958" xr:uid="{00000000-0005-0000-0000-0000E1170000}"/>
    <cellStyle name="Comma [0] 2 61 4" xfId="6812" xr:uid="{00000000-0005-0000-0000-0000E2170000}"/>
    <cellStyle name="Comma [0] 2 61 4 2" xfId="14557" xr:uid="{00000000-0005-0000-0000-0000E3170000}"/>
    <cellStyle name="Comma [0] 2 61 4 2 2" xfId="30149" xr:uid="{00000000-0005-0000-0000-0000E4170000}"/>
    <cellStyle name="Comma [0] 2 61 4 2 3" xfId="45641" xr:uid="{00000000-0005-0000-0000-0000E5170000}"/>
    <cellStyle name="Comma [0] 2 61 4 3" xfId="22409" xr:uid="{00000000-0005-0000-0000-0000E6170000}"/>
    <cellStyle name="Comma [0] 2 61 4 4" xfId="37901" xr:uid="{00000000-0005-0000-0000-0000E7170000}"/>
    <cellStyle name="Comma [0] 2 61 5" xfId="10687" xr:uid="{00000000-0005-0000-0000-0000E8170000}"/>
    <cellStyle name="Comma [0] 2 61 5 2" xfId="26279" xr:uid="{00000000-0005-0000-0000-0000E9170000}"/>
    <cellStyle name="Comma [0] 2 61 5 3" xfId="41771" xr:uid="{00000000-0005-0000-0000-0000EA170000}"/>
    <cellStyle name="Comma [0] 2 61 6" xfId="18539" xr:uid="{00000000-0005-0000-0000-0000EB170000}"/>
    <cellStyle name="Comma [0] 2 61 7" xfId="34031" xr:uid="{00000000-0005-0000-0000-0000EC170000}"/>
    <cellStyle name="Comma [0] 2 62" xfId="2909" xr:uid="{00000000-0005-0000-0000-0000ED170000}"/>
    <cellStyle name="Comma [0] 2 62 2" xfId="3913" xr:uid="{00000000-0005-0000-0000-0000EE170000}"/>
    <cellStyle name="Comma [0] 2 62 2 2" xfId="5852" xr:uid="{00000000-0005-0000-0000-0000EF170000}"/>
    <cellStyle name="Comma [0] 2 62 2 2 2" xfId="9723" xr:uid="{00000000-0005-0000-0000-0000F0170000}"/>
    <cellStyle name="Comma [0] 2 62 2 2 2 2" xfId="17468" xr:uid="{00000000-0005-0000-0000-0000F1170000}"/>
    <cellStyle name="Comma [0] 2 62 2 2 2 2 2" xfId="33060" xr:uid="{00000000-0005-0000-0000-0000F2170000}"/>
    <cellStyle name="Comma [0] 2 62 2 2 2 2 3" xfId="48552" xr:uid="{00000000-0005-0000-0000-0000F3170000}"/>
    <cellStyle name="Comma [0] 2 62 2 2 2 3" xfId="25320" xr:uid="{00000000-0005-0000-0000-0000F4170000}"/>
    <cellStyle name="Comma [0] 2 62 2 2 2 4" xfId="40812" xr:uid="{00000000-0005-0000-0000-0000F5170000}"/>
    <cellStyle name="Comma [0] 2 62 2 2 3" xfId="13598" xr:uid="{00000000-0005-0000-0000-0000F6170000}"/>
    <cellStyle name="Comma [0] 2 62 2 2 3 2" xfId="29190" xr:uid="{00000000-0005-0000-0000-0000F7170000}"/>
    <cellStyle name="Comma [0] 2 62 2 2 3 3" xfId="44682" xr:uid="{00000000-0005-0000-0000-0000F8170000}"/>
    <cellStyle name="Comma [0] 2 62 2 2 4" xfId="21450" xr:uid="{00000000-0005-0000-0000-0000F9170000}"/>
    <cellStyle name="Comma [0] 2 62 2 2 5" xfId="36942" xr:uid="{00000000-0005-0000-0000-0000FA170000}"/>
    <cellStyle name="Comma [0] 2 62 2 3" xfId="7796" xr:uid="{00000000-0005-0000-0000-0000FB170000}"/>
    <cellStyle name="Comma [0] 2 62 2 3 2" xfId="15541" xr:uid="{00000000-0005-0000-0000-0000FC170000}"/>
    <cellStyle name="Comma [0] 2 62 2 3 2 2" xfId="31133" xr:uid="{00000000-0005-0000-0000-0000FD170000}"/>
    <cellStyle name="Comma [0] 2 62 2 3 2 3" xfId="46625" xr:uid="{00000000-0005-0000-0000-0000FE170000}"/>
    <cellStyle name="Comma [0] 2 62 2 3 3" xfId="23393" xr:uid="{00000000-0005-0000-0000-0000FF170000}"/>
    <cellStyle name="Comma [0] 2 62 2 3 4" xfId="38885" xr:uid="{00000000-0005-0000-0000-000000180000}"/>
    <cellStyle name="Comma [0] 2 62 2 4" xfId="11671" xr:uid="{00000000-0005-0000-0000-000001180000}"/>
    <cellStyle name="Comma [0] 2 62 2 4 2" xfId="27263" xr:uid="{00000000-0005-0000-0000-000002180000}"/>
    <cellStyle name="Comma [0] 2 62 2 4 3" xfId="42755" xr:uid="{00000000-0005-0000-0000-000003180000}"/>
    <cellStyle name="Comma [0] 2 62 2 5" xfId="19523" xr:uid="{00000000-0005-0000-0000-000004180000}"/>
    <cellStyle name="Comma [0] 2 62 2 6" xfId="35015" xr:uid="{00000000-0005-0000-0000-000005180000}"/>
    <cellStyle name="Comma [0] 2 62 3" xfId="4904" xr:uid="{00000000-0005-0000-0000-000006180000}"/>
    <cellStyle name="Comma [0] 2 62 3 2" xfId="8775" xr:uid="{00000000-0005-0000-0000-000007180000}"/>
    <cellStyle name="Comma [0] 2 62 3 2 2" xfId="16520" xr:uid="{00000000-0005-0000-0000-000008180000}"/>
    <cellStyle name="Comma [0] 2 62 3 2 2 2" xfId="32112" xr:uid="{00000000-0005-0000-0000-000009180000}"/>
    <cellStyle name="Comma [0] 2 62 3 2 2 3" xfId="47604" xr:uid="{00000000-0005-0000-0000-00000A180000}"/>
    <cellStyle name="Comma [0] 2 62 3 2 3" xfId="24372" xr:uid="{00000000-0005-0000-0000-00000B180000}"/>
    <cellStyle name="Comma [0] 2 62 3 2 4" xfId="39864" xr:uid="{00000000-0005-0000-0000-00000C180000}"/>
    <cellStyle name="Comma [0] 2 62 3 3" xfId="12650" xr:uid="{00000000-0005-0000-0000-00000D180000}"/>
    <cellStyle name="Comma [0] 2 62 3 3 2" xfId="28242" xr:uid="{00000000-0005-0000-0000-00000E180000}"/>
    <cellStyle name="Comma [0] 2 62 3 3 3" xfId="43734" xr:uid="{00000000-0005-0000-0000-00000F180000}"/>
    <cellStyle name="Comma [0] 2 62 3 4" xfId="20502" xr:uid="{00000000-0005-0000-0000-000010180000}"/>
    <cellStyle name="Comma [0] 2 62 3 5" xfId="35994" xr:uid="{00000000-0005-0000-0000-000011180000}"/>
    <cellStyle name="Comma [0] 2 62 4" xfId="6848" xr:uid="{00000000-0005-0000-0000-000012180000}"/>
    <cellStyle name="Comma [0] 2 62 4 2" xfId="14593" xr:uid="{00000000-0005-0000-0000-000013180000}"/>
    <cellStyle name="Comma [0] 2 62 4 2 2" xfId="30185" xr:uid="{00000000-0005-0000-0000-000014180000}"/>
    <cellStyle name="Comma [0] 2 62 4 2 3" xfId="45677" xr:uid="{00000000-0005-0000-0000-000015180000}"/>
    <cellStyle name="Comma [0] 2 62 4 3" xfId="22445" xr:uid="{00000000-0005-0000-0000-000016180000}"/>
    <cellStyle name="Comma [0] 2 62 4 4" xfId="37937" xr:uid="{00000000-0005-0000-0000-000017180000}"/>
    <cellStyle name="Comma [0] 2 62 5" xfId="10723" xr:uid="{00000000-0005-0000-0000-000018180000}"/>
    <cellStyle name="Comma [0] 2 62 5 2" xfId="26315" xr:uid="{00000000-0005-0000-0000-000019180000}"/>
    <cellStyle name="Comma [0] 2 62 5 3" xfId="41807" xr:uid="{00000000-0005-0000-0000-00001A180000}"/>
    <cellStyle name="Comma [0] 2 62 6" xfId="18575" xr:uid="{00000000-0005-0000-0000-00001B180000}"/>
    <cellStyle name="Comma [0] 2 62 7" xfId="34067" xr:uid="{00000000-0005-0000-0000-00001C180000}"/>
    <cellStyle name="Comma [0] 2 63" xfId="2948" xr:uid="{00000000-0005-0000-0000-00001D180000}"/>
    <cellStyle name="Comma [0] 2 63 2" xfId="3949" xr:uid="{00000000-0005-0000-0000-00001E180000}"/>
    <cellStyle name="Comma [0] 2 63 2 2" xfId="5888" xr:uid="{00000000-0005-0000-0000-00001F180000}"/>
    <cellStyle name="Comma [0] 2 63 2 2 2" xfId="9759" xr:uid="{00000000-0005-0000-0000-000020180000}"/>
    <cellStyle name="Comma [0] 2 63 2 2 2 2" xfId="17504" xr:uid="{00000000-0005-0000-0000-000021180000}"/>
    <cellStyle name="Comma [0] 2 63 2 2 2 2 2" xfId="33096" xr:uid="{00000000-0005-0000-0000-000022180000}"/>
    <cellStyle name="Comma [0] 2 63 2 2 2 2 3" xfId="48588" xr:uid="{00000000-0005-0000-0000-000023180000}"/>
    <cellStyle name="Comma [0] 2 63 2 2 2 3" xfId="25356" xr:uid="{00000000-0005-0000-0000-000024180000}"/>
    <cellStyle name="Comma [0] 2 63 2 2 2 4" xfId="40848" xr:uid="{00000000-0005-0000-0000-000025180000}"/>
    <cellStyle name="Comma [0] 2 63 2 2 3" xfId="13634" xr:uid="{00000000-0005-0000-0000-000026180000}"/>
    <cellStyle name="Comma [0] 2 63 2 2 3 2" xfId="29226" xr:uid="{00000000-0005-0000-0000-000027180000}"/>
    <cellStyle name="Comma [0] 2 63 2 2 3 3" xfId="44718" xr:uid="{00000000-0005-0000-0000-000028180000}"/>
    <cellStyle name="Comma [0] 2 63 2 2 4" xfId="21486" xr:uid="{00000000-0005-0000-0000-000029180000}"/>
    <cellStyle name="Comma [0] 2 63 2 2 5" xfId="36978" xr:uid="{00000000-0005-0000-0000-00002A180000}"/>
    <cellStyle name="Comma [0] 2 63 2 3" xfId="7832" xr:uid="{00000000-0005-0000-0000-00002B180000}"/>
    <cellStyle name="Comma [0] 2 63 2 3 2" xfId="15577" xr:uid="{00000000-0005-0000-0000-00002C180000}"/>
    <cellStyle name="Comma [0] 2 63 2 3 2 2" xfId="31169" xr:uid="{00000000-0005-0000-0000-00002D180000}"/>
    <cellStyle name="Comma [0] 2 63 2 3 2 3" xfId="46661" xr:uid="{00000000-0005-0000-0000-00002E180000}"/>
    <cellStyle name="Comma [0] 2 63 2 3 3" xfId="23429" xr:uid="{00000000-0005-0000-0000-00002F180000}"/>
    <cellStyle name="Comma [0] 2 63 2 3 4" xfId="38921" xr:uid="{00000000-0005-0000-0000-000030180000}"/>
    <cellStyle name="Comma [0] 2 63 2 4" xfId="11707" xr:uid="{00000000-0005-0000-0000-000031180000}"/>
    <cellStyle name="Comma [0] 2 63 2 4 2" xfId="27299" xr:uid="{00000000-0005-0000-0000-000032180000}"/>
    <cellStyle name="Comma [0] 2 63 2 4 3" xfId="42791" xr:uid="{00000000-0005-0000-0000-000033180000}"/>
    <cellStyle name="Comma [0] 2 63 2 5" xfId="19559" xr:uid="{00000000-0005-0000-0000-000034180000}"/>
    <cellStyle name="Comma [0] 2 63 2 6" xfId="35051" xr:uid="{00000000-0005-0000-0000-000035180000}"/>
    <cellStyle name="Comma [0] 2 63 3" xfId="4940" xr:uid="{00000000-0005-0000-0000-000036180000}"/>
    <cellStyle name="Comma [0] 2 63 3 2" xfId="8811" xr:uid="{00000000-0005-0000-0000-000037180000}"/>
    <cellStyle name="Comma [0] 2 63 3 2 2" xfId="16556" xr:uid="{00000000-0005-0000-0000-000038180000}"/>
    <cellStyle name="Comma [0] 2 63 3 2 2 2" xfId="32148" xr:uid="{00000000-0005-0000-0000-000039180000}"/>
    <cellStyle name="Comma [0] 2 63 3 2 2 3" xfId="47640" xr:uid="{00000000-0005-0000-0000-00003A180000}"/>
    <cellStyle name="Comma [0] 2 63 3 2 3" xfId="24408" xr:uid="{00000000-0005-0000-0000-00003B180000}"/>
    <cellStyle name="Comma [0] 2 63 3 2 4" xfId="39900" xr:uid="{00000000-0005-0000-0000-00003C180000}"/>
    <cellStyle name="Comma [0] 2 63 3 3" xfId="12686" xr:uid="{00000000-0005-0000-0000-00003D180000}"/>
    <cellStyle name="Comma [0] 2 63 3 3 2" xfId="28278" xr:uid="{00000000-0005-0000-0000-00003E180000}"/>
    <cellStyle name="Comma [0] 2 63 3 3 3" xfId="43770" xr:uid="{00000000-0005-0000-0000-00003F180000}"/>
    <cellStyle name="Comma [0] 2 63 3 4" xfId="20538" xr:uid="{00000000-0005-0000-0000-000040180000}"/>
    <cellStyle name="Comma [0] 2 63 3 5" xfId="36030" xr:uid="{00000000-0005-0000-0000-000041180000}"/>
    <cellStyle name="Comma [0] 2 63 4" xfId="6884" xr:uid="{00000000-0005-0000-0000-000042180000}"/>
    <cellStyle name="Comma [0] 2 63 4 2" xfId="14629" xr:uid="{00000000-0005-0000-0000-000043180000}"/>
    <cellStyle name="Comma [0] 2 63 4 2 2" xfId="30221" xr:uid="{00000000-0005-0000-0000-000044180000}"/>
    <cellStyle name="Comma [0] 2 63 4 2 3" xfId="45713" xr:uid="{00000000-0005-0000-0000-000045180000}"/>
    <cellStyle name="Comma [0] 2 63 4 3" xfId="22481" xr:uid="{00000000-0005-0000-0000-000046180000}"/>
    <cellStyle name="Comma [0] 2 63 4 4" xfId="37973" xr:uid="{00000000-0005-0000-0000-000047180000}"/>
    <cellStyle name="Comma [0] 2 63 5" xfId="10759" xr:uid="{00000000-0005-0000-0000-000048180000}"/>
    <cellStyle name="Comma [0] 2 63 5 2" xfId="26351" xr:uid="{00000000-0005-0000-0000-000049180000}"/>
    <cellStyle name="Comma [0] 2 63 5 3" xfId="41843" xr:uid="{00000000-0005-0000-0000-00004A180000}"/>
    <cellStyle name="Comma [0] 2 63 6" xfId="18611" xr:uid="{00000000-0005-0000-0000-00004B180000}"/>
    <cellStyle name="Comma [0] 2 63 7" xfId="34103" xr:uid="{00000000-0005-0000-0000-00004C180000}"/>
    <cellStyle name="Comma [0] 2 64" xfId="2988" xr:uid="{00000000-0005-0000-0000-00004D180000}"/>
    <cellStyle name="Comma [0] 2 64 2" xfId="3985" xr:uid="{00000000-0005-0000-0000-00004E180000}"/>
    <cellStyle name="Comma [0] 2 64 2 2" xfId="5924" xr:uid="{00000000-0005-0000-0000-00004F180000}"/>
    <cellStyle name="Comma [0] 2 64 2 2 2" xfId="9795" xr:uid="{00000000-0005-0000-0000-000050180000}"/>
    <cellStyle name="Comma [0] 2 64 2 2 2 2" xfId="17540" xr:uid="{00000000-0005-0000-0000-000051180000}"/>
    <cellStyle name="Comma [0] 2 64 2 2 2 2 2" xfId="33132" xr:uid="{00000000-0005-0000-0000-000052180000}"/>
    <cellStyle name="Comma [0] 2 64 2 2 2 2 3" xfId="48624" xr:uid="{00000000-0005-0000-0000-000053180000}"/>
    <cellStyle name="Comma [0] 2 64 2 2 2 3" xfId="25392" xr:uid="{00000000-0005-0000-0000-000054180000}"/>
    <cellStyle name="Comma [0] 2 64 2 2 2 4" xfId="40884" xr:uid="{00000000-0005-0000-0000-000055180000}"/>
    <cellStyle name="Comma [0] 2 64 2 2 3" xfId="13670" xr:uid="{00000000-0005-0000-0000-000056180000}"/>
    <cellStyle name="Comma [0] 2 64 2 2 3 2" xfId="29262" xr:uid="{00000000-0005-0000-0000-000057180000}"/>
    <cellStyle name="Comma [0] 2 64 2 2 3 3" xfId="44754" xr:uid="{00000000-0005-0000-0000-000058180000}"/>
    <cellStyle name="Comma [0] 2 64 2 2 4" xfId="21522" xr:uid="{00000000-0005-0000-0000-000059180000}"/>
    <cellStyle name="Comma [0] 2 64 2 2 5" xfId="37014" xr:uid="{00000000-0005-0000-0000-00005A180000}"/>
    <cellStyle name="Comma [0] 2 64 2 3" xfId="7868" xr:uid="{00000000-0005-0000-0000-00005B180000}"/>
    <cellStyle name="Comma [0] 2 64 2 3 2" xfId="15613" xr:uid="{00000000-0005-0000-0000-00005C180000}"/>
    <cellStyle name="Comma [0] 2 64 2 3 2 2" xfId="31205" xr:uid="{00000000-0005-0000-0000-00005D180000}"/>
    <cellStyle name="Comma [0] 2 64 2 3 2 3" xfId="46697" xr:uid="{00000000-0005-0000-0000-00005E180000}"/>
    <cellStyle name="Comma [0] 2 64 2 3 3" xfId="23465" xr:uid="{00000000-0005-0000-0000-00005F180000}"/>
    <cellStyle name="Comma [0] 2 64 2 3 4" xfId="38957" xr:uid="{00000000-0005-0000-0000-000060180000}"/>
    <cellStyle name="Comma [0] 2 64 2 4" xfId="11743" xr:uid="{00000000-0005-0000-0000-000061180000}"/>
    <cellStyle name="Comma [0] 2 64 2 4 2" xfId="27335" xr:uid="{00000000-0005-0000-0000-000062180000}"/>
    <cellStyle name="Comma [0] 2 64 2 4 3" xfId="42827" xr:uid="{00000000-0005-0000-0000-000063180000}"/>
    <cellStyle name="Comma [0] 2 64 2 5" xfId="19595" xr:uid="{00000000-0005-0000-0000-000064180000}"/>
    <cellStyle name="Comma [0] 2 64 2 6" xfId="35087" xr:uid="{00000000-0005-0000-0000-000065180000}"/>
    <cellStyle name="Comma [0] 2 64 3" xfId="4976" xr:uid="{00000000-0005-0000-0000-000066180000}"/>
    <cellStyle name="Comma [0] 2 64 3 2" xfId="8847" xr:uid="{00000000-0005-0000-0000-000067180000}"/>
    <cellStyle name="Comma [0] 2 64 3 2 2" xfId="16592" xr:uid="{00000000-0005-0000-0000-000068180000}"/>
    <cellStyle name="Comma [0] 2 64 3 2 2 2" xfId="32184" xr:uid="{00000000-0005-0000-0000-000069180000}"/>
    <cellStyle name="Comma [0] 2 64 3 2 2 3" xfId="47676" xr:uid="{00000000-0005-0000-0000-00006A180000}"/>
    <cellStyle name="Comma [0] 2 64 3 2 3" xfId="24444" xr:uid="{00000000-0005-0000-0000-00006B180000}"/>
    <cellStyle name="Comma [0] 2 64 3 2 4" xfId="39936" xr:uid="{00000000-0005-0000-0000-00006C180000}"/>
    <cellStyle name="Comma [0] 2 64 3 3" xfId="12722" xr:uid="{00000000-0005-0000-0000-00006D180000}"/>
    <cellStyle name="Comma [0] 2 64 3 3 2" xfId="28314" xr:uid="{00000000-0005-0000-0000-00006E180000}"/>
    <cellStyle name="Comma [0] 2 64 3 3 3" xfId="43806" xr:uid="{00000000-0005-0000-0000-00006F180000}"/>
    <cellStyle name="Comma [0] 2 64 3 4" xfId="20574" xr:uid="{00000000-0005-0000-0000-000070180000}"/>
    <cellStyle name="Comma [0] 2 64 3 5" xfId="36066" xr:uid="{00000000-0005-0000-0000-000071180000}"/>
    <cellStyle name="Comma [0] 2 64 4" xfId="6920" xr:uid="{00000000-0005-0000-0000-000072180000}"/>
    <cellStyle name="Comma [0] 2 64 4 2" xfId="14665" xr:uid="{00000000-0005-0000-0000-000073180000}"/>
    <cellStyle name="Comma [0] 2 64 4 2 2" xfId="30257" xr:uid="{00000000-0005-0000-0000-000074180000}"/>
    <cellStyle name="Comma [0] 2 64 4 2 3" xfId="45749" xr:uid="{00000000-0005-0000-0000-000075180000}"/>
    <cellStyle name="Comma [0] 2 64 4 3" xfId="22517" xr:uid="{00000000-0005-0000-0000-000076180000}"/>
    <cellStyle name="Comma [0] 2 64 4 4" xfId="38009" xr:uid="{00000000-0005-0000-0000-000077180000}"/>
    <cellStyle name="Comma [0] 2 64 5" xfId="10795" xr:uid="{00000000-0005-0000-0000-000078180000}"/>
    <cellStyle name="Comma [0] 2 64 5 2" xfId="26387" xr:uid="{00000000-0005-0000-0000-000079180000}"/>
    <cellStyle name="Comma [0] 2 64 5 3" xfId="41879" xr:uid="{00000000-0005-0000-0000-00007A180000}"/>
    <cellStyle name="Comma [0] 2 64 6" xfId="18647" xr:uid="{00000000-0005-0000-0000-00007B180000}"/>
    <cellStyle name="Comma [0] 2 64 7" xfId="34139" xr:uid="{00000000-0005-0000-0000-00007C180000}"/>
    <cellStyle name="Comma [0] 2 65" xfId="3026" xr:uid="{00000000-0005-0000-0000-00007D180000}"/>
    <cellStyle name="Comma [0] 2 65 2" xfId="4021" xr:uid="{00000000-0005-0000-0000-00007E180000}"/>
    <cellStyle name="Comma [0] 2 65 2 2" xfId="5960" xr:uid="{00000000-0005-0000-0000-00007F180000}"/>
    <cellStyle name="Comma [0] 2 65 2 2 2" xfId="9831" xr:uid="{00000000-0005-0000-0000-000080180000}"/>
    <cellStyle name="Comma [0] 2 65 2 2 2 2" xfId="17576" xr:uid="{00000000-0005-0000-0000-000081180000}"/>
    <cellStyle name="Comma [0] 2 65 2 2 2 2 2" xfId="33168" xr:uid="{00000000-0005-0000-0000-000082180000}"/>
    <cellStyle name="Comma [0] 2 65 2 2 2 2 3" xfId="48660" xr:uid="{00000000-0005-0000-0000-000083180000}"/>
    <cellStyle name="Comma [0] 2 65 2 2 2 3" xfId="25428" xr:uid="{00000000-0005-0000-0000-000084180000}"/>
    <cellStyle name="Comma [0] 2 65 2 2 2 4" xfId="40920" xr:uid="{00000000-0005-0000-0000-000085180000}"/>
    <cellStyle name="Comma [0] 2 65 2 2 3" xfId="13706" xr:uid="{00000000-0005-0000-0000-000086180000}"/>
    <cellStyle name="Comma [0] 2 65 2 2 3 2" xfId="29298" xr:uid="{00000000-0005-0000-0000-000087180000}"/>
    <cellStyle name="Comma [0] 2 65 2 2 3 3" xfId="44790" xr:uid="{00000000-0005-0000-0000-000088180000}"/>
    <cellStyle name="Comma [0] 2 65 2 2 4" xfId="21558" xr:uid="{00000000-0005-0000-0000-000089180000}"/>
    <cellStyle name="Comma [0] 2 65 2 2 5" xfId="37050" xr:uid="{00000000-0005-0000-0000-00008A180000}"/>
    <cellStyle name="Comma [0] 2 65 2 3" xfId="7904" xr:uid="{00000000-0005-0000-0000-00008B180000}"/>
    <cellStyle name="Comma [0] 2 65 2 3 2" xfId="15649" xr:uid="{00000000-0005-0000-0000-00008C180000}"/>
    <cellStyle name="Comma [0] 2 65 2 3 2 2" xfId="31241" xr:uid="{00000000-0005-0000-0000-00008D180000}"/>
    <cellStyle name="Comma [0] 2 65 2 3 2 3" xfId="46733" xr:uid="{00000000-0005-0000-0000-00008E180000}"/>
    <cellStyle name="Comma [0] 2 65 2 3 3" xfId="23501" xr:uid="{00000000-0005-0000-0000-00008F180000}"/>
    <cellStyle name="Comma [0] 2 65 2 3 4" xfId="38993" xr:uid="{00000000-0005-0000-0000-000090180000}"/>
    <cellStyle name="Comma [0] 2 65 2 4" xfId="11779" xr:uid="{00000000-0005-0000-0000-000091180000}"/>
    <cellStyle name="Comma [0] 2 65 2 4 2" xfId="27371" xr:uid="{00000000-0005-0000-0000-000092180000}"/>
    <cellStyle name="Comma [0] 2 65 2 4 3" xfId="42863" xr:uid="{00000000-0005-0000-0000-000093180000}"/>
    <cellStyle name="Comma [0] 2 65 2 5" xfId="19631" xr:uid="{00000000-0005-0000-0000-000094180000}"/>
    <cellStyle name="Comma [0] 2 65 2 6" xfId="35123" xr:uid="{00000000-0005-0000-0000-000095180000}"/>
    <cellStyle name="Comma [0] 2 65 3" xfId="5012" xr:uid="{00000000-0005-0000-0000-000096180000}"/>
    <cellStyle name="Comma [0] 2 65 3 2" xfId="8883" xr:uid="{00000000-0005-0000-0000-000097180000}"/>
    <cellStyle name="Comma [0] 2 65 3 2 2" xfId="16628" xr:uid="{00000000-0005-0000-0000-000098180000}"/>
    <cellStyle name="Comma [0] 2 65 3 2 2 2" xfId="32220" xr:uid="{00000000-0005-0000-0000-000099180000}"/>
    <cellStyle name="Comma [0] 2 65 3 2 2 3" xfId="47712" xr:uid="{00000000-0005-0000-0000-00009A180000}"/>
    <cellStyle name="Comma [0] 2 65 3 2 3" xfId="24480" xr:uid="{00000000-0005-0000-0000-00009B180000}"/>
    <cellStyle name="Comma [0] 2 65 3 2 4" xfId="39972" xr:uid="{00000000-0005-0000-0000-00009C180000}"/>
    <cellStyle name="Comma [0] 2 65 3 3" xfId="12758" xr:uid="{00000000-0005-0000-0000-00009D180000}"/>
    <cellStyle name="Comma [0] 2 65 3 3 2" xfId="28350" xr:uid="{00000000-0005-0000-0000-00009E180000}"/>
    <cellStyle name="Comma [0] 2 65 3 3 3" xfId="43842" xr:uid="{00000000-0005-0000-0000-00009F180000}"/>
    <cellStyle name="Comma [0] 2 65 3 4" xfId="20610" xr:uid="{00000000-0005-0000-0000-0000A0180000}"/>
    <cellStyle name="Comma [0] 2 65 3 5" xfId="36102" xr:uid="{00000000-0005-0000-0000-0000A1180000}"/>
    <cellStyle name="Comma [0] 2 65 4" xfId="6956" xr:uid="{00000000-0005-0000-0000-0000A2180000}"/>
    <cellStyle name="Comma [0] 2 65 4 2" xfId="14701" xr:uid="{00000000-0005-0000-0000-0000A3180000}"/>
    <cellStyle name="Comma [0] 2 65 4 2 2" xfId="30293" xr:uid="{00000000-0005-0000-0000-0000A4180000}"/>
    <cellStyle name="Comma [0] 2 65 4 2 3" xfId="45785" xr:uid="{00000000-0005-0000-0000-0000A5180000}"/>
    <cellStyle name="Comma [0] 2 65 4 3" xfId="22553" xr:uid="{00000000-0005-0000-0000-0000A6180000}"/>
    <cellStyle name="Comma [0] 2 65 4 4" xfId="38045" xr:uid="{00000000-0005-0000-0000-0000A7180000}"/>
    <cellStyle name="Comma [0] 2 65 5" xfId="10831" xr:uid="{00000000-0005-0000-0000-0000A8180000}"/>
    <cellStyle name="Comma [0] 2 65 5 2" xfId="26423" xr:uid="{00000000-0005-0000-0000-0000A9180000}"/>
    <cellStyle name="Comma [0] 2 65 5 3" xfId="41915" xr:uid="{00000000-0005-0000-0000-0000AA180000}"/>
    <cellStyle name="Comma [0] 2 65 6" xfId="18683" xr:uid="{00000000-0005-0000-0000-0000AB180000}"/>
    <cellStyle name="Comma [0] 2 65 7" xfId="34175" xr:uid="{00000000-0005-0000-0000-0000AC180000}"/>
    <cellStyle name="Comma [0] 2 66" xfId="3063" xr:uid="{00000000-0005-0000-0000-0000AD180000}"/>
    <cellStyle name="Comma [0] 2 66 2" xfId="4057" xr:uid="{00000000-0005-0000-0000-0000AE180000}"/>
    <cellStyle name="Comma [0] 2 66 2 2" xfId="5996" xr:uid="{00000000-0005-0000-0000-0000AF180000}"/>
    <cellStyle name="Comma [0] 2 66 2 2 2" xfId="9867" xr:uid="{00000000-0005-0000-0000-0000B0180000}"/>
    <cellStyle name="Comma [0] 2 66 2 2 2 2" xfId="17612" xr:uid="{00000000-0005-0000-0000-0000B1180000}"/>
    <cellStyle name="Comma [0] 2 66 2 2 2 2 2" xfId="33204" xr:uid="{00000000-0005-0000-0000-0000B2180000}"/>
    <cellStyle name="Comma [0] 2 66 2 2 2 2 3" xfId="48696" xr:uid="{00000000-0005-0000-0000-0000B3180000}"/>
    <cellStyle name="Comma [0] 2 66 2 2 2 3" xfId="25464" xr:uid="{00000000-0005-0000-0000-0000B4180000}"/>
    <cellStyle name="Comma [0] 2 66 2 2 2 4" xfId="40956" xr:uid="{00000000-0005-0000-0000-0000B5180000}"/>
    <cellStyle name="Comma [0] 2 66 2 2 3" xfId="13742" xr:uid="{00000000-0005-0000-0000-0000B6180000}"/>
    <cellStyle name="Comma [0] 2 66 2 2 3 2" xfId="29334" xr:uid="{00000000-0005-0000-0000-0000B7180000}"/>
    <cellStyle name="Comma [0] 2 66 2 2 3 3" xfId="44826" xr:uid="{00000000-0005-0000-0000-0000B8180000}"/>
    <cellStyle name="Comma [0] 2 66 2 2 4" xfId="21594" xr:uid="{00000000-0005-0000-0000-0000B9180000}"/>
    <cellStyle name="Comma [0] 2 66 2 2 5" xfId="37086" xr:uid="{00000000-0005-0000-0000-0000BA180000}"/>
    <cellStyle name="Comma [0] 2 66 2 3" xfId="7940" xr:uid="{00000000-0005-0000-0000-0000BB180000}"/>
    <cellStyle name="Comma [0] 2 66 2 3 2" xfId="15685" xr:uid="{00000000-0005-0000-0000-0000BC180000}"/>
    <cellStyle name="Comma [0] 2 66 2 3 2 2" xfId="31277" xr:uid="{00000000-0005-0000-0000-0000BD180000}"/>
    <cellStyle name="Comma [0] 2 66 2 3 2 3" xfId="46769" xr:uid="{00000000-0005-0000-0000-0000BE180000}"/>
    <cellStyle name="Comma [0] 2 66 2 3 3" xfId="23537" xr:uid="{00000000-0005-0000-0000-0000BF180000}"/>
    <cellStyle name="Comma [0] 2 66 2 3 4" xfId="39029" xr:uid="{00000000-0005-0000-0000-0000C0180000}"/>
    <cellStyle name="Comma [0] 2 66 2 4" xfId="11815" xr:uid="{00000000-0005-0000-0000-0000C1180000}"/>
    <cellStyle name="Comma [0] 2 66 2 4 2" xfId="27407" xr:uid="{00000000-0005-0000-0000-0000C2180000}"/>
    <cellStyle name="Comma [0] 2 66 2 4 3" xfId="42899" xr:uid="{00000000-0005-0000-0000-0000C3180000}"/>
    <cellStyle name="Comma [0] 2 66 2 5" xfId="19667" xr:uid="{00000000-0005-0000-0000-0000C4180000}"/>
    <cellStyle name="Comma [0] 2 66 2 6" xfId="35159" xr:uid="{00000000-0005-0000-0000-0000C5180000}"/>
    <cellStyle name="Comma [0] 2 66 3" xfId="5048" xr:uid="{00000000-0005-0000-0000-0000C6180000}"/>
    <cellStyle name="Comma [0] 2 66 3 2" xfId="8919" xr:uid="{00000000-0005-0000-0000-0000C7180000}"/>
    <cellStyle name="Comma [0] 2 66 3 2 2" xfId="16664" xr:uid="{00000000-0005-0000-0000-0000C8180000}"/>
    <cellStyle name="Comma [0] 2 66 3 2 2 2" xfId="32256" xr:uid="{00000000-0005-0000-0000-0000C9180000}"/>
    <cellStyle name="Comma [0] 2 66 3 2 2 3" xfId="47748" xr:uid="{00000000-0005-0000-0000-0000CA180000}"/>
    <cellStyle name="Comma [0] 2 66 3 2 3" xfId="24516" xr:uid="{00000000-0005-0000-0000-0000CB180000}"/>
    <cellStyle name="Comma [0] 2 66 3 2 4" xfId="40008" xr:uid="{00000000-0005-0000-0000-0000CC180000}"/>
    <cellStyle name="Comma [0] 2 66 3 3" xfId="12794" xr:uid="{00000000-0005-0000-0000-0000CD180000}"/>
    <cellStyle name="Comma [0] 2 66 3 3 2" xfId="28386" xr:uid="{00000000-0005-0000-0000-0000CE180000}"/>
    <cellStyle name="Comma [0] 2 66 3 3 3" xfId="43878" xr:uid="{00000000-0005-0000-0000-0000CF180000}"/>
    <cellStyle name="Comma [0] 2 66 3 4" xfId="20646" xr:uid="{00000000-0005-0000-0000-0000D0180000}"/>
    <cellStyle name="Comma [0] 2 66 3 5" xfId="36138" xr:uid="{00000000-0005-0000-0000-0000D1180000}"/>
    <cellStyle name="Comma [0] 2 66 4" xfId="6992" xr:uid="{00000000-0005-0000-0000-0000D2180000}"/>
    <cellStyle name="Comma [0] 2 66 4 2" xfId="14737" xr:uid="{00000000-0005-0000-0000-0000D3180000}"/>
    <cellStyle name="Comma [0] 2 66 4 2 2" xfId="30329" xr:uid="{00000000-0005-0000-0000-0000D4180000}"/>
    <cellStyle name="Comma [0] 2 66 4 2 3" xfId="45821" xr:uid="{00000000-0005-0000-0000-0000D5180000}"/>
    <cellStyle name="Comma [0] 2 66 4 3" xfId="22589" xr:uid="{00000000-0005-0000-0000-0000D6180000}"/>
    <cellStyle name="Comma [0] 2 66 4 4" xfId="38081" xr:uid="{00000000-0005-0000-0000-0000D7180000}"/>
    <cellStyle name="Comma [0] 2 66 5" xfId="10867" xr:uid="{00000000-0005-0000-0000-0000D8180000}"/>
    <cellStyle name="Comma [0] 2 66 5 2" xfId="26459" xr:uid="{00000000-0005-0000-0000-0000D9180000}"/>
    <cellStyle name="Comma [0] 2 66 5 3" xfId="41951" xr:uid="{00000000-0005-0000-0000-0000DA180000}"/>
    <cellStyle name="Comma [0] 2 66 6" xfId="18719" xr:uid="{00000000-0005-0000-0000-0000DB180000}"/>
    <cellStyle name="Comma [0] 2 66 7" xfId="34211" xr:uid="{00000000-0005-0000-0000-0000DC180000}"/>
    <cellStyle name="Comma [0] 2 67" xfId="3110" xr:uid="{00000000-0005-0000-0000-0000DD180000}"/>
    <cellStyle name="Comma [0] 2 67 2" xfId="4093" xr:uid="{00000000-0005-0000-0000-0000DE180000}"/>
    <cellStyle name="Comma [0] 2 67 2 2" xfId="6032" xr:uid="{00000000-0005-0000-0000-0000DF180000}"/>
    <cellStyle name="Comma [0] 2 67 2 2 2" xfId="9903" xr:uid="{00000000-0005-0000-0000-0000E0180000}"/>
    <cellStyle name="Comma [0] 2 67 2 2 2 2" xfId="17648" xr:uid="{00000000-0005-0000-0000-0000E1180000}"/>
    <cellStyle name="Comma [0] 2 67 2 2 2 2 2" xfId="33240" xr:uid="{00000000-0005-0000-0000-0000E2180000}"/>
    <cellStyle name="Comma [0] 2 67 2 2 2 2 3" xfId="48732" xr:uid="{00000000-0005-0000-0000-0000E3180000}"/>
    <cellStyle name="Comma [0] 2 67 2 2 2 3" xfId="25500" xr:uid="{00000000-0005-0000-0000-0000E4180000}"/>
    <cellStyle name="Comma [0] 2 67 2 2 2 4" xfId="40992" xr:uid="{00000000-0005-0000-0000-0000E5180000}"/>
    <cellStyle name="Comma [0] 2 67 2 2 3" xfId="13778" xr:uid="{00000000-0005-0000-0000-0000E6180000}"/>
    <cellStyle name="Comma [0] 2 67 2 2 3 2" xfId="29370" xr:uid="{00000000-0005-0000-0000-0000E7180000}"/>
    <cellStyle name="Comma [0] 2 67 2 2 3 3" xfId="44862" xr:uid="{00000000-0005-0000-0000-0000E8180000}"/>
    <cellStyle name="Comma [0] 2 67 2 2 4" xfId="21630" xr:uid="{00000000-0005-0000-0000-0000E9180000}"/>
    <cellStyle name="Comma [0] 2 67 2 2 5" xfId="37122" xr:uid="{00000000-0005-0000-0000-0000EA180000}"/>
    <cellStyle name="Comma [0] 2 67 2 3" xfId="7976" xr:uid="{00000000-0005-0000-0000-0000EB180000}"/>
    <cellStyle name="Comma [0] 2 67 2 3 2" xfId="15721" xr:uid="{00000000-0005-0000-0000-0000EC180000}"/>
    <cellStyle name="Comma [0] 2 67 2 3 2 2" xfId="31313" xr:uid="{00000000-0005-0000-0000-0000ED180000}"/>
    <cellStyle name="Comma [0] 2 67 2 3 2 3" xfId="46805" xr:uid="{00000000-0005-0000-0000-0000EE180000}"/>
    <cellStyle name="Comma [0] 2 67 2 3 3" xfId="23573" xr:uid="{00000000-0005-0000-0000-0000EF180000}"/>
    <cellStyle name="Comma [0] 2 67 2 3 4" xfId="39065" xr:uid="{00000000-0005-0000-0000-0000F0180000}"/>
    <cellStyle name="Comma [0] 2 67 2 4" xfId="11851" xr:uid="{00000000-0005-0000-0000-0000F1180000}"/>
    <cellStyle name="Comma [0] 2 67 2 4 2" xfId="27443" xr:uid="{00000000-0005-0000-0000-0000F2180000}"/>
    <cellStyle name="Comma [0] 2 67 2 4 3" xfId="42935" xr:uid="{00000000-0005-0000-0000-0000F3180000}"/>
    <cellStyle name="Comma [0] 2 67 2 5" xfId="19703" xr:uid="{00000000-0005-0000-0000-0000F4180000}"/>
    <cellStyle name="Comma [0] 2 67 2 6" xfId="35195" xr:uid="{00000000-0005-0000-0000-0000F5180000}"/>
    <cellStyle name="Comma [0] 2 67 3" xfId="5084" xr:uid="{00000000-0005-0000-0000-0000F6180000}"/>
    <cellStyle name="Comma [0] 2 67 3 2" xfId="8955" xr:uid="{00000000-0005-0000-0000-0000F7180000}"/>
    <cellStyle name="Comma [0] 2 67 3 2 2" xfId="16700" xr:uid="{00000000-0005-0000-0000-0000F8180000}"/>
    <cellStyle name="Comma [0] 2 67 3 2 2 2" xfId="32292" xr:uid="{00000000-0005-0000-0000-0000F9180000}"/>
    <cellStyle name="Comma [0] 2 67 3 2 2 3" xfId="47784" xr:uid="{00000000-0005-0000-0000-0000FA180000}"/>
    <cellStyle name="Comma [0] 2 67 3 2 3" xfId="24552" xr:uid="{00000000-0005-0000-0000-0000FB180000}"/>
    <cellStyle name="Comma [0] 2 67 3 2 4" xfId="40044" xr:uid="{00000000-0005-0000-0000-0000FC180000}"/>
    <cellStyle name="Comma [0] 2 67 3 3" xfId="12830" xr:uid="{00000000-0005-0000-0000-0000FD180000}"/>
    <cellStyle name="Comma [0] 2 67 3 3 2" xfId="28422" xr:uid="{00000000-0005-0000-0000-0000FE180000}"/>
    <cellStyle name="Comma [0] 2 67 3 3 3" xfId="43914" xr:uid="{00000000-0005-0000-0000-0000FF180000}"/>
    <cellStyle name="Comma [0] 2 67 3 4" xfId="20682" xr:uid="{00000000-0005-0000-0000-000000190000}"/>
    <cellStyle name="Comma [0] 2 67 3 5" xfId="36174" xr:uid="{00000000-0005-0000-0000-000001190000}"/>
    <cellStyle name="Comma [0] 2 67 4" xfId="7028" xr:uid="{00000000-0005-0000-0000-000002190000}"/>
    <cellStyle name="Comma [0] 2 67 4 2" xfId="14773" xr:uid="{00000000-0005-0000-0000-000003190000}"/>
    <cellStyle name="Comma [0] 2 67 4 2 2" xfId="30365" xr:uid="{00000000-0005-0000-0000-000004190000}"/>
    <cellStyle name="Comma [0] 2 67 4 2 3" xfId="45857" xr:uid="{00000000-0005-0000-0000-000005190000}"/>
    <cellStyle name="Comma [0] 2 67 4 3" xfId="22625" xr:uid="{00000000-0005-0000-0000-000006190000}"/>
    <cellStyle name="Comma [0] 2 67 4 4" xfId="38117" xr:uid="{00000000-0005-0000-0000-000007190000}"/>
    <cellStyle name="Comma [0] 2 67 5" xfId="10903" xr:uid="{00000000-0005-0000-0000-000008190000}"/>
    <cellStyle name="Comma [0] 2 67 5 2" xfId="26495" xr:uid="{00000000-0005-0000-0000-000009190000}"/>
    <cellStyle name="Comma [0] 2 67 5 3" xfId="41987" xr:uid="{00000000-0005-0000-0000-00000A190000}"/>
    <cellStyle name="Comma [0] 2 67 6" xfId="18755" xr:uid="{00000000-0005-0000-0000-00000B190000}"/>
    <cellStyle name="Comma [0] 2 67 7" xfId="34247" xr:uid="{00000000-0005-0000-0000-00000C190000}"/>
    <cellStyle name="Comma [0] 2 68" xfId="48834" xr:uid="{00000000-0005-0000-0000-00000D190000}"/>
    <cellStyle name="Comma [0] 2 7" xfId="277" xr:uid="{00000000-0005-0000-0000-00000E190000}"/>
    <cellStyle name="Comma [0] 2 8" xfId="278" xr:uid="{00000000-0005-0000-0000-00000F190000}"/>
    <cellStyle name="Comma [0] 2 9" xfId="279" xr:uid="{00000000-0005-0000-0000-000010190000}"/>
    <cellStyle name="Comma [0] 20" xfId="280" xr:uid="{00000000-0005-0000-0000-000011190000}"/>
    <cellStyle name="Comma [0] 21" xfId="281" xr:uid="{00000000-0005-0000-0000-000012190000}"/>
    <cellStyle name="Comma [0] 21 2" xfId="49042" xr:uid="{8B7362A1-538E-47BE-BE35-313DBBA64A08}"/>
    <cellStyle name="Comma [0] 22" xfId="2217" xr:uid="{00000000-0005-0000-0000-000013190000}"/>
    <cellStyle name="Comma [0] 22 2" xfId="282" xr:uid="{00000000-0005-0000-0000-000014190000}"/>
    <cellStyle name="Comma [0] 22 3" xfId="48932" xr:uid="{00000000-0005-0000-0000-000015190000}"/>
    <cellStyle name="Comma [0] 22 3 2" xfId="49043" xr:uid="{DDCE991F-7C02-4A40-9A57-FAF4E05215E7}"/>
    <cellStyle name="Comma [0] 23" xfId="2224" xr:uid="{00000000-0005-0000-0000-000016190000}"/>
    <cellStyle name="Comma [0] 23 10" xfId="48933" xr:uid="{00000000-0005-0000-0000-000017190000}"/>
    <cellStyle name="Comma [0] 23 2" xfId="283" xr:uid="{00000000-0005-0000-0000-000018190000}"/>
    <cellStyle name="Comma [0] 23 3" xfId="2542" xr:uid="{00000000-0005-0000-0000-000019190000}"/>
    <cellStyle name="Comma [0] 23 3 2" xfId="3550" xr:uid="{00000000-0005-0000-0000-00001A190000}"/>
    <cellStyle name="Comma [0] 23 3 2 2" xfId="5489" xr:uid="{00000000-0005-0000-0000-00001B190000}"/>
    <cellStyle name="Comma [0] 23 3 2 2 2" xfId="9360" xr:uid="{00000000-0005-0000-0000-00001C190000}"/>
    <cellStyle name="Comma [0] 23 3 2 2 2 2" xfId="17105" xr:uid="{00000000-0005-0000-0000-00001D190000}"/>
    <cellStyle name="Comma [0] 23 3 2 2 2 2 2" xfId="32697" xr:uid="{00000000-0005-0000-0000-00001E190000}"/>
    <cellStyle name="Comma [0] 23 3 2 2 2 2 3" xfId="48189" xr:uid="{00000000-0005-0000-0000-00001F190000}"/>
    <cellStyle name="Comma [0] 23 3 2 2 2 3" xfId="24957" xr:uid="{00000000-0005-0000-0000-000020190000}"/>
    <cellStyle name="Comma [0] 23 3 2 2 2 4" xfId="40449" xr:uid="{00000000-0005-0000-0000-000021190000}"/>
    <cellStyle name="Comma [0] 23 3 2 2 3" xfId="13235" xr:uid="{00000000-0005-0000-0000-000022190000}"/>
    <cellStyle name="Comma [0] 23 3 2 2 3 2" xfId="28827" xr:uid="{00000000-0005-0000-0000-000023190000}"/>
    <cellStyle name="Comma [0] 23 3 2 2 3 3" xfId="44319" xr:uid="{00000000-0005-0000-0000-000024190000}"/>
    <cellStyle name="Comma [0] 23 3 2 2 4" xfId="21087" xr:uid="{00000000-0005-0000-0000-000025190000}"/>
    <cellStyle name="Comma [0] 23 3 2 2 5" xfId="36579" xr:uid="{00000000-0005-0000-0000-000026190000}"/>
    <cellStyle name="Comma [0] 23 3 2 3" xfId="7433" xr:uid="{00000000-0005-0000-0000-000027190000}"/>
    <cellStyle name="Comma [0] 23 3 2 3 2" xfId="15178" xr:uid="{00000000-0005-0000-0000-000028190000}"/>
    <cellStyle name="Comma [0] 23 3 2 3 2 2" xfId="30770" xr:uid="{00000000-0005-0000-0000-000029190000}"/>
    <cellStyle name="Comma [0] 23 3 2 3 2 3" xfId="46262" xr:uid="{00000000-0005-0000-0000-00002A190000}"/>
    <cellStyle name="Comma [0] 23 3 2 3 3" xfId="23030" xr:uid="{00000000-0005-0000-0000-00002B190000}"/>
    <cellStyle name="Comma [0] 23 3 2 3 4" xfId="38522" xr:uid="{00000000-0005-0000-0000-00002C190000}"/>
    <cellStyle name="Comma [0] 23 3 2 4" xfId="11308" xr:uid="{00000000-0005-0000-0000-00002D190000}"/>
    <cellStyle name="Comma [0] 23 3 2 4 2" xfId="26900" xr:uid="{00000000-0005-0000-0000-00002E190000}"/>
    <cellStyle name="Comma [0] 23 3 2 4 3" xfId="42392" xr:uid="{00000000-0005-0000-0000-00002F190000}"/>
    <cellStyle name="Comma [0] 23 3 2 5" xfId="19160" xr:uid="{00000000-0005-0000-0000-000030190000}"/>
    <cellStyle name="Comma [0] 23 3 2 6" xfId="34652" xr:uid="{00000000-0005-0000-0000-000031190000}"/>
    <cellStyle name="Comma [0] 23 3 3" xfId="4541" xr:uid="{00000000-0005-0000-0000-000032190000}"/>
    <cellStyle name="Comma [0] 23 3 3 2" xfId="8412" xr:uid="{00000000-0005-0000-0000-000033190000}"/>
    <cellStyle name="Comma [0] 23 3 3 2 2" xfId="16157" xr:uid="{00000000-0005-0000-0000-000034190000}"/>
    <cellStyle name="Comma [0] 23 3 3 2 2 2" xfId="31749" xr:uid="{00000000-0005-0000-0000-000035190000}"/>
    <cellStyle name="Comma [0] 23 3 3 2 2 3" xfId="47241" xr:uid="{00000000-0005-0000-0000-000036190000}"/>
    <cellStyle name="Comma [0] 23 3 3 2 3" xfId="24009" xr:uid="{00000000-0005-0000-0000-000037190000}"/>
    <cellStyle name="Comma [0] 23 3 3 2 4" xfId="39501" xr:uid="{00000000-0005-0000-0000-000038190000}"/>
    <cellStyle name="Comma [0] 23 3 3 3" xfId="12287" xr:uid="{00000000-0005-0000-0000-000039190000}"/>
    <cellStyle name="Comma [0] 23 3 3 3 2" xfId="27879" xr:uid="{00000000-0005-0000-0000-00003A190000}"/>
    <cellStyle name="Comma [0] 23 3 3 3 3" xfId="43371" xr:uid="{00000000-0005-0000-0000-00003B190000}"/>
    <cellStyle name="Comma [0] 23 3 3 4" xfId="20139" xr:uid="{00000000-0005-0000-0000-00003C190000}"/>
    <cellStyle name="Comma [0] 23 3 3 5" xfId="35631" xr:uid="{00000000-0005-0000-0000-00003D190000}"/>
    <cellStyle name="Comma [0] 23 3 4" xfId="6485" xr:uid="{00000000-0005-0000-0000-00003E190000}"/>
    <cellStyle name="Comma [0] 23 3 4 2" xfId="14230" xr:uid="{00000000-0005-0000-0000-00003F190000}"/>
    <cellStyle name="Comma [0] 23 3 4 2 2" xfId="29822" xr:uid="{00000000-0005-0000-0000-000040190000}"/>
    <cellStyle name="Comma [0] 23 3 4 2 3" xfId="45314" xr:uid="{00000000-0005-0000-0000-000041190000}"/>
    <cellStyle name="Comma [0] 23 3 4 3" xfId="22082" xr:uid="{00000000-0005-0000-0000-000042190000}"/>
    <cellStyle name="Comma [0] 23 3 4 4" xfId="37574" xr:uid="{00000000-0005-0000-0000-000043190000}"/>
    <cellStyle name="Comma [0] 23 3 5" xfId="10360" xr:uid="{00000000-0005-0000-0000-000044190000}"/>
    <cellStyle name="Comma [0] 23 3 5 2" xfId="25952" xr:uid="{00000000-0005-0000-0000-000045190000}"/>
    <cellStyle name="Comma [0] 23 3 5 3" xfId="41444" xr:uid="{00000000-0005-0000-0000-000046190000}"/>
    <cellStyle name="Comma [0] 23 3 6" xfId="18212" xr:uid="{00000000-0005-0000-0000-000047190000}"/>
    <cellStyle name="Comma [0] 23 3 7" xfId="33704" xr:uid="{00000000-0005-0000-0000-000048190000}"/>
    <cellStyle name="Comma [0] 23 4" xfId="3241" xr:uid="{00000000-0005-0000-0000-000049190000}"/>
    <cellStyle name="Comma [0] 23 4 2" xfId="5180" xr:uid="{00000000-0005-0000-0000-00004A190000}"/>
    <cellStyle name="Comma [0] 23 4 2 2" xfId="9051" xr:uid="{00000000-0005-0000-0000-00004B190000}"/>
    <cellStyle name="Comma [0] 23 4 2 2 2" xfId="16796" xr:uid="{00000000-0005-0000-0000-00004C190000}"/>
    <cellStyle name="Comma [0] 23 4 2 2 2 2" xfId="32388" xr:uid="{00000000-0005-0000-0000-00004D190000}"/>
    <cellStyle name="Comma [0] 23 4 2 2 2 3" xfId="47880" xr:uid="{00000000-0005-0000-0000-00004E190000}"/>
    <cellStyle name="Comma [0] 23 4 2 2 3" xfId="24648" xr:uid="{00000000-0005-0000-0000-00004F190000}"/>
    <cellStyle name="Comma [0] 23 4 2 2 4" xfId="40140" xr:uid="{00000000-0005-0000-0000-000050190000}"/>
    <cellStyle name="Comma [0] 23 4 2 3" xfId="12926" xr:uid="{00000000-0005-0000-0000-000051190000}"/>
    <cellStyle name="Comma [0] 23 4 2 3 2" xfId="28518" xr:uid="{00000000-0005-0000-0000-000052190000}"/>
    <cellStyle name="Comma [0] 23 4 2 3 3" xfId="44010" xr:uid="{00000000-0005-0000-0000-000053190000}"/>
    <cellStyle name="Comma [0] 23 4 2 4" xfId="20778" xr:uid="{00000000-0005-0000-0000-000054190000}"/>
    <cellStyle name="Comma [0] 23 4 2 5" xfId="36270" xr:uid="{00000000-0005-0000-0000-000055190000}"/>
    <cellStyle name="Comma [0] 23 4 3" xfId="7124" xr:uid="{00000000-0005-0000-0000-000056190000}"/>
    <cellStyle name="Comma [0] 23 4 3 2" xfId="14869" xr:uid="{00000000-0005-0000-0000-000057190000}"/>
    <cellStyle name="Comma [0] 23 4 3 2 2" xfId="30461" xr:uid="{00000000-0005-0000-0000-000058190000}"/>
    <cellStyle name="Comma [0] 23 4 3 2 3" xfId="45953" xr:uid="{00000000-0005-0000-0000-000059190000}"/>
    <cellStyle name="Comma [0] 23 4 3 3" xfId="22721" xr:uid="{00000000-0005-0000-0000-00005A190000}"/>
    <cellStyle name="Comma [0] 23 4 3 4" xfId="38213" xr:uid="{00000000-0005-0000-0000-00005B190000}"/>
    <cellStyle name="Comma [0] 23 4 4" xfId="10999" xr:uid="{00000000-0005-0000-0000-00005C190000}"/>
    <cellStyle name="Comma [0] 23 4 4 2" xfId="26591" xr:uid="{00000000-0005-0000-0000-00005D190000}"/>
    <cellStyle name="Comma [0] 23 4 4 3" xfId="42083" xr:uid="{00000000-0005-0000-0000-00005E190000}"/>
    <cellStyle name="Comma [0] 23 4 5" xfId="18851" xr:uid="{00000000-0005-0000-0000-00005F190000}"/>
    <cellStyle name="Comma [0] 23 4 6" xfId="34343" xr:uid="{00000000-0005-0000-0000-000060190000}"/>
    <cellStyle name="Comma [0] 23 5" xfId="4232" xr:uid="{00000000-0005-0000-0000-000061190000}"/>
    <cellStyle name="Comma [0] 23 5 2" xfId="8103" xr:uid="{00000000-0005-0000-0000-000062190000}"/>
    <cellStyle name="Comma [0] 23 5 2 2" xfId="15848" xr:uid="{00000000-0005-0000-0000-000063190000}"/>
    <cellStyle name="Comma [0] 23 5 2 2 2" xfId="31440" xr:uid="{00000000-0005-0000-0000-000064190000}"/>
    <cellStyle name="Comma [0] 23 5 2 2 3" xfId="46932" xr:uid="{00000000-0005-0000-0000-000065190000}"/>
    <cellStyle name="Comma [0] 23 5 2 3" xfId="23700" xr:uid="{00000000-0005-0000-0000-000066190000}"/>
    <cellStyle name="Comma [0] 23 5 2 4" xfId="39192" xr:uid="{00000000-0005-0000-0000-000067190000}"/>
    <cellStyle name="Comma [0] 23 5 3" xfId="11978" xr:uid="{00000000-0005-0000-0000-000068190000}"/>
    <cellStyle name="Comma [0] 23 5 3 2" xfId="27570" xr:uid="{00000000-0005-0000-0000-000069190000}"/>
    <cellStyle name="Comma [0] 23 5 3 3" xfId="43062" xr:uid="{00000000-0005-0000-0000-00006A190000}"/>
    <cellStyle name="Comma [0] 23 5 4" xfId="19830" xr:uid="{00000000-0005-0000-0000-00006B190000}"/>
    <cellStyle name="Comma [0] 23 5 5" xfId="35322" xr:uid="{00000000-0005-0000-0000-00006C190000}"/>
    <cellStyle name="Comma [0] 23 6" xfId="6176" xr:uid="{00000000-0005-0000-0000-00006D190000}"/>
    <cellStyle name="Comma [0] 23 6 2" xfId="13921" xr:uid="{00000000-0005-0000-0000-00006E190000}"/>
    <cellStyle name="Comma [0] 23 6 2 2" xfId="29513" xr:uid="{00000000-0005-0000-0000-00006F190000}"/>
    <cellStyle name="Comma [0] 23 6 2 3" xfId="45005" xr:uid="{00000000-0005-0000-0000-000070190000}"/>
    <cellStyle name="Comma [0] 23 6 3" xfId="21773" xr:uid="{00000000-0005-0000-0000-000071190000}"/>
    <cellStyle name="Comma [0] 23 6 4" xfId="37265" xr:uid="{00000000-0005-0000-0000-000072190000}"/>
    <cellStyle name="Comma [0] 23 7" xfId="10051" xr:uid="{00000000-0005-0000-0000-000073190000}"/>
    <cellStyle name="Comma [0] 23 7 2" xfId="25643" xr:uid="{00000000-0005-0000-0000-000074190000}"/>
    <cellStyle name="Comma [0] 23 7 3" xfId="41135" xr:uid="{00000000-0005-0000-0000-000075190000}"/>
    <cellStyle name="Comma [0] 23 8" xfId="17903" xr:uid="{00000000-0005-0000-0000-000076190000}"/>
    <cellStyle name="Comma [0] 23 9" xfId="33395" xr:uid="{00000000-0005-0000-0000-000077190000}"/>
    <cellStyle name="Comma [0] 24" xfId="2833" xr:uid="{00000000-0005-0000-0000-000078190000}"/>
    <cellStyle name="Comma [0] 24 2" xfId="3840" xr:uid="{00000000-0005-0000-0000-000079190000}"/>
    <cellStyle name="Comma [0] 24 2 2" xfId="5779" xr:uid="{00000000-0005-0000-0000-00007A190000}"/>
    <cellStyle name="Comma [0] 24 2 2 2" xfId="9650" xr:uid="{00000000-0005-0000-0000-00007B190000}"/>
    <cellStyle name="Comma [0] 24 2 2 2 2" xfId="17395" xr:uid="{00000000-0005-0000-0000-00007C190000}"/>
    <cellStyle name="Comma [0] 24 2 2 2 2 2" xfId="32987" xr:uid="{00000000-0005-0000-0000-00007D190000}"/>
    <cellStyle name="Comma [0] 24 2 2 2 2 3" xfId="48479" xr:uid="{00000000-0005-0000-0000-00007E190000}"/>
    <cellStyle name="Comma [0] 24 2 2 2 3" xfId="25247" xr:uid="{00000000-0005-0000-0000-00007F190000}"/>
    <cellStyle name="Comma [0] 24 2 2 2 4" xfId="40739" xr:uid="{00000000-0005-0000-0000-000080190000}"/>
    <cellStyle name="Comma [0] 24 2 2 3" xfId="13525" xr:uid="{00000000-0005-0000-0000-000081190000}"/>
    <cellStyle name="Comma [0] 24 2 2 3 2" xfId="29117" xr:uid="{00000000-0005-0000-0000-000082190000}"/>
    <cellStyle name="Comma [0] 24 2 2 3 3" xfId="44609" xr:uid="{00000000-0005-0000-0000-000083190000}"/>
    <cellStyle name="Comma [0] 24 2 2 4" xfId="21377" xr:uid="{00000000-0005-0000-0000-000084190000}"/>
    <cellStyle name="Comma [0] 24 2 2 5" xfId="36869" xr:uid="{00000000-0005-0000-0000-000085190000}"/>
    <cellStyle name="Comma [0] 24 2 3" xfId="7723" xr:uid="{00000000-0005-0000-0000-000086190000}"/>
    <cellStyle name="Comma [0] 24 2 3 2" xfId="15468" xr:uid="{00000000-0005-0000-0000-000087190000}"/>
    <cellStyle name="Comma [0] 24 2 3 2 2" xfId="31060" xr:uid="{00000000-0005-0000-0000-000088190000}"/>
    <cellStyle name="Comma [0] 24 2 3 2 3" xfId="46552" xr:uid="{00000000-0005-0000-0000-000089190000}"/>
    <cellStyle name="Comma [0] 24 2 3 3" xfId="23320" xr:uid="{00000000-0005-0000-0000-00008A190000}"/>
    <cellStyle name="Comma [0] 24 2 3 4" xfId="38812" xr:uid="{00000000-0005-0000-0000-00008B190000}"/>
    <cellStyle name="Comma [0] 24 2 4" xfId="11598" xr:uid="{00000000-0005-0000-0000-00008C190000}"/>
    <cellStyle name="Comma [0] 24 2 4 2" xfId="27190" xr:uid="{00000000-0005-0000-0000-00008D190000}"/>
    <cellStyle name="Comma [0] 24 2 4 3" xfId="42682" xr:uid="{00000000-0005-0000-0000-00008E190000}"/>
    <cellStyle name="Comma [0] 24 2 5" xfId="19450" xr:uid="{00000000-0005-0000-0000-00008F190000}"/>
    <cellStyle name="Comma [0] 24 2 6" xfId="34942" xr:uid="{00000000-0005-0000-0000-000090190000}"/>
    <cellStyle name="Comma [0] 24 3" xfId="4831" xr:uid="{00000000-0005-0000-0000-000091190000}"/>
    <cellStyle name="Comma [0] 24 3 2" xfId="8702" xr:uid="{00000000-0005-0000-0000-000092190000}"/>
    <cellStyle name="Comma [0] 24 3 2 2" xfId="16447" xr:uid="{00000000-0005-0000-0000-000093190000}"/>
    <cellStyle name="Comma [0] 24 3 2 2 2" xfId="32039" xr:uid="{00000000-0005-0000-0000-000094190000}"/>
    <cellStyle name="Comma [0] 24 3 2 2 3" xfId="47531" xr:uid="{00000000-0005-0000-0000-000095190000}"/>
    <cellStyle name="Comma [0] 24 3 2 3" xfId="24299" xr:uid="{00000000-0005-0000-0000-000096190000}"/>
    <cellStyle name="Comma [0] 24 3 2 4" xfId="39791" xr:uid="{00000000-0005-0000-0000-000097190000}"/>
    <cellStyle name="Comma [0] 24 3 3" xfId="12577" xr:uid="{00000000-0005-0000-0000-000098190000}"/>
    <cellStyle name="Comma [0] 24 3 3 2" xfId="28169" xr:uid="{00000000-0005-0000-0000-000099190000}"/>
    <cellStyle name="Comma [0] 24 3 3 3" xfId="43661" xr:uid="{00000000-0005-0000-0000-00009A190000}"/>
    <cellStyle name="Comma [0] 24 3 4" xfId="20429" xr:uid="{00000000-0005-0000-0000-00009B190000}"/>
    <cellStyle name="Comma [0] 24 3 5" xfId="35921" xr:uid="{00000000-0005-0000-0000-00009C190000}"/>
    <cellStyle name="Comma [0] 24 4" xfId="6775" xr:uid="{00000000-0005-0000-0000-00009D190000}"/>
    <cellStyle name="Comma [0] 24 4 2" xfId="14520" xr:uid="{00000000-0005-0000-0000-00009E190000}"/>
    <cellStyle name="Comma [0] 24 4 2 2" xfId="30112" xr:uid="{00000000-0005-0000-0000-00009F190000}"/>
    <cellStyle name="Comma [0] 24 4 2 3" xfId="45604" xr:uid="{00000000-0005-0000-0000-0000A0190000}"/>
    <cellStyle name="Comma [0] 24 4 3" xfId="22372" xr:uid="{00000000-0005-0000-0000-0000A1190000}"/>
    <cellStyle name="Comma [0] 24 4 4" xfId="37864" xr:uid="{00000000-0005-0000-0000-0000A2190000}"/>
    <cellStyle name="Comma [0] 24 5" xfId="10650" xr:uid="{00000000-0005-0000-0000-0000A3190000}"/>
    <cellStyle name="Comma [0] 24 5 2" xfId="26242" xr:uid="{00000000-0005-0000-0000-0000A4190000}"/>
    <cellStyle name="Comma [0] 24 5 3" xfId="41734" xr:uid="{00000000-0005-0000-0000-0000A5190000}"/>
    <cellStyle name="Comma [0] 24 6" xfId="18502" xr:uid="{00000000-0005-0000-0000-0000A6190000}"/>
    <cellStyle name="Comma [0] 24 7" xfId="33994" xr:uid="{00000000-0005-0000-0000-0000A7190000}"/>
    <cellStyle name="Comma [0] 24 8" xfId="48936" xr:uid="{00000000-0005-0000-0000-0000A8190000}"/>
    <cellStyle name="Comma [0] 25" xfId="17807" xr:uid="{00000000-0005-0000-0000-0000A9190000}"/>
    <cellStyle name="Comma [0] 25 2" xfId="48946" xr:uid="{00000000-0005-0000-0000-0000AA190000}"/>
    <cellStyle name="Comma [0] 25 3" xfId="49044" xr:uid="{F954011A-4810-459C-AAF2-967941A384E6}"/>
    <cellStyle name="Comma [0] 26" xfId="48990" xr:uid="{00000000-0005-0000-0000-0000AB190000}"/>
    <cellStyle name="Comma [0] 27" xfId="48833" xr:uid="{00000000-0005-0000-0000-0000AC190000}"/>
    <cellStyle name="Comma [0] 28" xfId="284" xr:uid="{00000000-0005-0000-0000-0000AD190000}"/>
    <cellStyle name="Comma [0] 3" xfId="285" xr:uid="{00000000-0005-0000-0000-0000AE190000}"/>
    <cellStyle name="Comma [0] 3 10" xfId="286" xr:uid="{00000000-0005-0000-0000-0000AF190000}"/>
    <cellStyle name="Comma [0] 3 10 10" xfId="287" xr:uid="{00000000-0005-0000-0000-0000B0190000}"/>
    <cellStyle name="Comma [0] 3 10 11" xfId="288" xr:uid="{00000000-0005-0000-0000-0000B1190000}"/>
    <cellStyle name="Comma [0] 3 10 12" xfId="289" xr:uid="{00000000-0005-0000-0000-0000B2190000}"/>
    <cellStyle name="Comma [0] 3 10 13" xfId="290" xr:uid="{00000000-0005-0000-0000-0000B3190000}"/>
    <cellStyle name="Comma [0] 3 10 14" xfId="291" xr:uid="{00000000-0005-0000-0000-0000B4190000}"/>
    <cellStyle name="Comma [0] 3 10 15" xfId="292" xr:uid="{00000000-0005-0000-0000-0000B5190000}"/>
    <cellStyle name="Comma [0] 3 10 16" xfId="293" xr:uid="{00000000-0005-0000-0000-0000B6190000}"/>
    <cellStyle name="Comma [0] 3 10 17" xfId="294" xr:uid="{00000000-0005-0000-0000-0000B7190000}"/>
    <cellStyle name="Comma [0] 3 10 18" xfId="295" xr:uid="{00000000-0005-0000-0000-0000B8190000}"/>
    <cellStyle name="Comma [0] 3 10 19" xfId="296" xr:uid="{00000000-0005-0000-0000-0000B9190000}"/>
    <cellStyle name="Comma [0] 3 10 2" xfId="297" xr:uid="{00000000-0005-0000-0000-0000BA190000}"/>
    <cellStyle name="Comma [0] 3 10 20" xfId="298" xr:uid="{00000000-0005-0000-0000-0000BB190000}"/>
    <cellStyle name="Comma [0] 3 10 21" xfId="299" xr:uid="{00000000-0005-0000-0000-0000BC190000}"/>
    <cellStyle name="Comma [0] 3 10 22" xfId="300" xr:uid="{00000000-0005-0000-0000-0000BD190000}"/>
    <cellStyle name="Comma [0] 3 10 23" xfId="301" xr:uid="{00000000-0005-0000-0000-0000BE190000}"/>
    <cellStyle name="Comma [0] 3 10 24" xfId="2163" xr:uid="{00000000-0005-0000-0000-0000BF190000}"/>
    <cellStyle name="Comma [0] 3 10 3" xfId="302" xr:uid="{00000000-0005-0000-0000-0000C0190000}"/>
    <cellStyle name="Comma [0] 3 10 4" xfId="303" xr:uid="{00000000-0005-0000-0000-0000C1190000}"/>
    <cellStyle name="Comma [0] 3 10 5" xfId="304" xr:uid="{00000000-0005-0000-0000-0000C2190000}"/>
    <cellStyle name="Comma [0] 3 10 6" xfId="305" xr:uid="{00000000-0005-0000-0000-0000C3190000}"/>
    <cellStyle name="Comma [0] 3 10 7" xfId="306" xr:uid="{00000000-0005-0000-0000-0000C4190000}"/>
    <cellStyle name="Comma [0] 3 10 8" xfId="307" xr:uid="{00000000-0005-0000-0000-0000C5190000}"/>
    <cellStyle name="Comma [0] 3 10 9" xfId="308" xr:uid="{00000000-0005-0000-0000-0000C6190000}"/>
    <cellStyle name="Comma [0] 3 11" xfId="309" xr:uid="{00000000-0005-0000-0000-0000C7190000}"/>
    <cellStyle name="Comma [0] 3 11 10" xfId="310" xr:uid="{00000000-0005-0000-0000-0000C8190000}"/>
    <cellStyle name="Comma [0] 3 11 11" xfId="311" xr:uid="{00000000-0005-0000-0000-0000C9190000}"/>
    <cellStyle name="Comma [0] 3 11 12" xfId="312" xr:uid="{00000000-0005-0000-0000-0000CA190000}"/>
    <cellStyle name="Comma [0] 3 11 13" xfId="313" xr:uid="{00000000-0005-0000-0000-0000CB190000}"/>
    <cellStyle name="Comma [0] 3 11 14" xfId="314" xr:uid="{00000000-0005-0000-0000-0000CC190000}"/>
    <cellStyle name="Comma [0] 3 11 15" xfId="315" xr:uid="{00000000-0005-0000-0000-0000CD190000}"/>
    <cellStyle name="Comma [0] 3 11 16" xfId="316" xr:uid="{00000000-0005-0000-0000-0000CE190000}"/>
    <cellStyle name="Comma [0] 3 11 17" xfId="317" xr:uid="{00000000-0005-0000-0000-0000CF190000}"/>
    <cellStyle name="Comma [0] 3 11 18" xfId="318" xr:uid="{00000000-0005-0000-0000-0000D0190000}"/>
    <cellStyle name="Comma [0] 3 11 19" xfId="319" xr:uid="{00000000-0005-0000-0000-0000D1190000}"/>
    <cellStyle name="Comma [0] 3 11 2" xfId="320" xr:uid="{00000000-0005-0000-0000-0000D2190000}"/>
    <cellStyle name="Comma [0] 3 11 20" xfId="321" xr:uid="{00000000-0005-0000-0000-0000D3190000}"/>
    <cellStyle name="Comma [0] 3 11 21" xfId="322" xr:uid="{00000000-0005-0000-0000-0000D4190000}"/>
    <cellStyle name="Comma [0] 3 11 22" xfId="323" xr:uid="{00000000-0005-0000-0000-0000D5190000}"/>
    <cellStyle name="Comma [0] 3 11 23" xfId="324" xr:uid="{00000000-0005-0000-0000-0000D6190000}"/>
    <cellStyle name="Comma [0] 3 11 24" xfId="2164" xr:uid="{00000000-0005-0000-0000-0000D7190000}"/>
    <cellStyle name="Comma [0] 3 11 3" xfId="325" xr:uid="{00000000-0005-0000-0000-0000D8190000}"/>
    <cellStyle name="Comma [0] 3 11 4" xfId="326" xr:uid="{00000000-0005-0000-0000-0000D9190000}"/>
    <cellStyle name="Comma [0] 3 11 5" xfId="327" xr:uid="{00000000-0005-0000-0000-0000DA190000}"/>
    <cellStyle name="Comma [0] 3 11 6" xfId="328" xr:uid="{00000000-0005-0000-0000-0000DB190000}"/>
    <cellStyle name="Comma [0] 3 11 7" xfId="329" xr:uid="{00000000-0005-0000-0000-0000DC190000}"/>
    <cellStyle name="Comma [0] 3 11 8" xfId="330" xr:uid="{00000000-0005-0000-0000-0000DD190000}"/>
    <cellStyle name="Comma [0] 3 11 9" xfId="331" xr:uid="{00000000-0005-0000-0000-0000DE190000}"/>
    <cellStyle name="Comma [0] 3 12" xfId="332" xr:uid="{00000000-0005-0000-0000-0000DF190000}"/>
    <cellStyle name="Comma [0] 3 13" xfId="333" xr:uid="{00000000-0005-0000-0000-0000E0190000}"/>
    <cellStyle name="Comma [0] 3 13 2" xfId="4151" xr:uid="{00000000-0005-0000-0000-0000E1190000}"/>
    <cellStyle name="Comma [0] 3 13 3" xfId="17773" xr:uid="{00000000-0005-0000-0000-0000E2190000}"/>
    <cellStyle name="Comma [0] 3 13 3 2" xfId="33333" xr:uid="{00000000-0005-0000-0000-0000E3190000}"/>
    <cellStyle name="Comma [0] 3 13 3 3" xfId="48825" xr:uid="{00000000-0005-0000-0000-0000E4190000}"/>
    <cellStyle name="Comma [0] 3 13 4" xfId="48901" xr:uid="{00000000-0005-0000-0000-0000E5190000}"/>
    <cellStyle name="Comma [0] 3 14" xfId="334" xr:uid="{00000000-0005-0000-0000-0000E6190000}"/>
    <cellStyle name="Comma [0] 3 14 10" xfId="335" xr:uid="{00000000-0005-0000-0000-0000E7190000}"/>
    <cellStyle name="Comma [0] 3 14 11" xfId="336" xr:uid="{00000000-0005-0000-0000-0000E8190000}"/>
    <cellStyle name="Comma [0] 3 14 12" xfId="337" xr:uid="{00000000-0005-0000-0000-0000E9190000}"/>
    <cellStyle name="Comma [0] 3 14 13" xfId="338" xr:uid="{00000000-0005-0000-0000-0000EA190000}"/>
    <cellStyle name="Comma [0] 3 14 2" xfId="339" xr:uid="{00000000-0005-0000-0000-0000EB190000}"/>
    <cellStyle name="Comma [0] 3 14 2 2" xfId="340" xr:uid="{00000000-0005-0000-0000-0000EC190000}"/>
    <cellStyle name="Comma [0] 3 14 3" xfId="341" xr:uid="{00000000-0005-0000-0000-0000ED190000}"/>
    <cellStyle name="Comma [0] 3 14 4" xfId="342" xr:uid="{00000000-0005-0000-0000-0000EE190000}"/>
    <cellStyle name="Comma [0] 3 14 5" xfId="343" xr:uid="{00000000-0005-0000-0000-0000EF190000}"/>
    <cellStyle name="Comma [0] 3 14 6" xfId="344" xr:uid="{00000000-0005-0000-0000-0000F0190000}"/>
    <cellStyle name="Comma [0] 3 14 7" xfId="345" xr:uid="{00000000-0005-0000-0000-0000F1190000}"/>
    <cellStyle name="Comma [0] 3 14 8" xfId="346" xr:uid="{00000000-0005-0000-0000-0000F2190000}"/>
    <cellStyle name="Comma [0] 3 14 9" xfId="347" xr:uid="{00000000-0005-0000-0000-0000F3190000}"/>
    <cellStyle name="Comma [0] 3 15" xfId="348" xr:uid="{00000000-0005-0000-0000-0000F4190000}"/>
    <cellStyle name="Comma [0] 3 16" xfId="349" xr:uid="{00000000-0005-0000-0000-0000F5190000}"/>
    <cellStyle name="Comma [0] 3 17" xfId="350" xr:uid="{00000000-0005-0000-0000-0000F6190000}"/>
    <cellStyle name="Comma [0] 3 18" xfId="351" xr:uid="{00000000-0005-0000-0000-0000F7190000}"/>
    <cellStyle name="Comma [0] 3 19" xfId="352" xr:uid="{00000000-0005-0000-0000-0000F8190000}"/>
    <cellStyle name="Comma [0] 3 2" xfId="353" xr:uid="{00000000-0005-0000-0000-0000F9190000}"/>
    <cellStyle name="Comma [0] 3 2 2" xfId="354" xr:uid="{00000000-0005-0000-0000-0000FA190000}"/>
    <cellStyle name="Comma [0] 3 2 2 10" xfId="355" xr:uid="{00000000-0005-0000-0000-0000FB190000}"/>
    <cellStyle name="Comma [0] 3 2 2 11" xfId="356" xr:uid="{00000000-0005-0000-0000-0000FC190000}"/>
    <cellStyle name="Comma [0] 3 2 2 12" xfId="357" xr:uid="{00000000-0005-0000-0000-0000FD190000}"/>
    <cellStyle name="Comma [0] 3 2 2 13" xfId="358" xr:uid="{00000000-0005-0000-0000-0000FE190000}"/>
    <cellStyle name="Comma [0] 3 2 2 14" xfId="359" xr:uid="{00000000-0005-0000-0000-0000FF190000}"/>
    <cellStyle name="Comma [0] 3 2 2 15" xfId="360" xr:uid="{00000000-0005-0000-0000-0000001A0000}"/>
    <cellStyle name="Comma [0] 3 2 2 16" xfId="361" xr:uid="{00000000-0005-0000-0000-0000011A0000}"/>
    <cellStyle name="Comma [0] 3 2 2 17" xfId="362" xr:uid="{00000000-0005-0000-0000-0000021A0000}"/>
    <cellStyle name="Comma [0] 3 2 2 18" xfId="363" xr:uid="{00000000-0005-0000-0000-0000031A0000}"/>
    <cellStyle name="Comma [0] 3 2 2 19" xfId="364" xr:uid="{00000000-0005-0000-0000-0000041A0000}"/>
    <cellStyle name="Comma [0] 3 2 2 2" xfId="365" xr:uid="{00000000-0005-0000-0000-0000051A0000}"/>
    <cellStyle name="Comma [0] 3 2 2 20" xfId="366" xr:uid="{00000000-0005-0000-0000-0000061A0000}"/>
    <cellStyle name="Comma [0] 3 2 2 21" xfId="367" xr:uid="{00000000-0005-0000-0000-0000071A0000}"/>
    <cellStyle name="Comma [0] 3 2 2 22" xfId="368" xr:uid="{00000000-0005-0000-0000-0000081A0000}"/>
    <cellStyle name="Comma [0] 3 2 2 23" xfId="369" xr:uid="{00000000-0005-0000-0000-0000091A0000}"/>
    <cellStyle name="Comma [0] 3 2 2 24" xfId="370" xr:uid="{00000000-0005-0000-0000-00000A1A0000}"/>
    <cellStyle name="Comma [0] 3 2 2 25" xfId="371" xr:uid="{00000000-0005-0000-0000-00000B1A0000}"/>
    <cellStyle name="Comma [0] 3 2 2 26" xfId="372" xr:uid="{00000000-0005-0000-0000-00000C1A0000}"/>
    <cellStyle name="Comma [0] 3 2 2 27" xfId="373" xr:uid="{00000000-0005-0000-0000-00000D1A0000}"/>
    <cellStyle name="Comma [0] 3 2 2 28" xfId="374" xr:uid="{00000000-0005-0000-0000-00000E1A0000}"/>
    <cellStyle name="Comma [0] 3 2 2 3" xfId="375" xr:uid="{00000000-0005-0000-0000-00000F1A0000}"/>
    <cellStyle name="Comma [0] 3 2 2 4" xfId="376" xr:uid="{00000000-0005-0000-0000-0000101A0000}"/>
    <cellStyle name="Comma [0] 3 2 2 5" xfId="377" xr:uid="{00000000-0005-0000-0000-0000111A0000}"/>
    <cellStyle name="Comma [0] 3 2 2 6" xfId="378" xr:uid="{00000000-0005-0000-0000-0000121A0000}"/>
    <cellStyle name="Comma [0] 3 2 2 7" xfId="379" xr:uid="{00000000-0005-0000-0000-0000131A0000}"/>
    <cellStyle name="Comma [0] 3 2 2 8" xfId="380" xr:uid="{00000000-0005-0000-0000-0000141A0000}"/>
    <cellStyle name="Comma [0] 3 2 2 9" xfId="381" xr:uid="{00000000-0005-0000-0000-0000151A0000}"/>
    <cellStyle name="Comma [0] 3 2 3" xfId="382" xr:uid="{00000000-0005-0000-0000-0000161A0000}"/>
    <cellStyle name="Comma [0] 3 2 4" xfId="49045" xr:uid="{C1149044-F0A4-4002-9E85-392398849DA0}"/>
    <cellStyle name="Comma [0] 3 20" xfId="383" xr:uid="{00000000-0005-0000-0000-0000171A0000}"/>
    <cellStyle name="Comma [0] 3 21" xfId="384" xr:uid="{00000000-0005-0000-0000-0000181A0000}"/>
    <cellStyle name="Comma [0] 3 22" xfId="385" xr:uid="{00000000-0005-0000-0000-0000191A0000}"/>
    <cellStyle name="Comma [0] 3 23" xfId="386" xr:uid="{00000000-0005-0000-0000-00001A1A0000}"/>
    <cellStyle name="Comma [0] 3 24" xfId="387" xr:uid="{00000000-0005-0000-0000-00001B1A0000}"/>
    <cellStyle name="Comma [0] 3 25" xfId="388" xr:uid="{00000000-0005-0000-0000-00001C1A0000}"/>
    <cellStyle name="Comma [0] 3 26" xfId="389" xr:uid="{00000000-0005-0000-0000-00001D1A0000}"/>
    <cellStyle name="Comma [0] 3 27" xfId="390" xr:uid="{00000000-0005-0000-0000-00001E1A0000}"/>
    <cellStyle name="Comma [0] 3 28" xfId="391" xr:uid="{00000000-0005-0000-0000-00001F1A0000}"/>
    <cellStyle name="Comma [0] 3 29" xfId="392" xr:uid="{00000000-0005-0000-0000-0000201A0000}"/>
    <cellStyle name="Comma [0] 3 3" xfId="393" xr:uid="{00000000-0005-0000-0000-0000211A0000}"/>
    <cellStyle name="Comma [0] 3 3 10" xfId="394" xr:uid="{00000000-0005-0000-0000-0000221A0000}"/>
    <cellStyle name="Comma [0] 3 3 11" xfId="395" xr:uid="{00000000-0005-0000-0000-0000231A0000}"/>
    <cellStyle name="Comma [0] 3 3 12" xfId="396" xr:uid="{00000000-0005-0000-0000-0000241A0000}"/>
    <cellStyle name="Comma [0] 3 3 13" xfId="397" xr:uid="{00000000-0005-0000-0000-0000251A0000}"/>
    <cellStyle name="Comma [0] 3 3 14" xfId="398" xr:uid="{00000000-0005-0000-0000-0000261A0000}"/>
    <cellStyle name="Comma [0] 3 3 15" xfId="399" xr:uid="{00000000-0005-0000-0000-0000271A0000}"/>
    <cellStyle name="Comma [0] 3 3 16" xfId="400" xr:uid="{00000000-0005-0000-0000-0000281A0000}"/>
    <cellStyle name="Comma [0] 3 3 17" xfId="401" xr:uid="{00000000-0005-0000-0000-0000291A0000}"/>
    <cellStyle name="Comma [0] 3 3 18" xfId="402" xr:uid="{00000000-0005-0000-0000-00002A1A0000}"/>
    <cellStyle name="Comma [0] 3 3 19" xfId="403" xr:uid="{00000000-0005-0000-0000-00002B1A0000}"/>
    <cellStyle name="Comma [0] 3 3 2" xfId="404" xr:uid="{00000000-0005-0000-0000-00002C1A0000}"/>
    <cellStyle name="Comma [0] 3 3 20" xfId="405" xr:uid="{00000000-0005-0000-0000-00002D1A0000}"/>
    <cellStyle name="Comma [0] 3 3 21" xfId="406" xr:uid="{00000000-0005-0000-0000-00002E1A0000}"/>
    <cellStyle name="Comma [0] 3 3 22" xfId="407" xr:uid="{00000000-0005-0000-0000-00002F1A0000}"/>
    <cellStyle name="Comma [0] 3 3 23" xfId="408" xr:uid="{00000000-0005-0000-0000-0000301A0000}"/>
    <cellStyle name="Comma [0] 3 3 24" xfId="409" xr:uid="{00000000-0005-0000-0000-0000311A0000}"/>
    <cellStyle name="Comma [0] 3 3 25" xfId="410" xr:uid="{00000000-0005-0000-0000-0000321A0000}"/>
    <cellStyle name="Comma [0] 3 3 26" xfId="411" xr:uid="{00000000-0005-0000-0000-0000331A0000}"/>
    <cellStyle name="Comma [0] 3 3 27" xfId="412" xr:uid="{00000000-0005-0000-0000-0000341A0000}"/>
    <cellStyle name="Comma [0] 3 3 28" xfId="413" xr:uid="{00000000-0005-0000-0000-0000351A0000}"/>
    <cellStyle name="Comma [0] 3 3 29" xfId="414" xr:uid="{00000000-0005-0000-0000-0000361A0000}"/>
    <cellStyle name="Comma [0] 3 3 3" xfId="415" xr:uid="{00000000-0005-0000-0000-0000371A0000}"/>
    <cellStyle name="Comma [0] 3 3 4" xfId="416" xr:uid="{00000000-0005-0000-0000-0000381A0000}"/>
    <cellStyle name="Comma [0] 3 3 5" xfId="417" xr:uid="{00000000-0005-0000-0000-0000391A0000}"/>
    <cellStyle name="Comma [0] 3 3 6" xfId="418" xr:uid="{00000000-0005-0000-0000-00003A1A0000}"/>
    <cellStyle name="Comma [0] 3 3 7" xfId="419" xr:uid="{00000000-0005-0000-0000-00003B1A0000}"/>
    <cellStyle name="Comma [0] 3 3 8" xfId="420" xr:uid="{00000000-0005-0000-0000-00003C1A0000}"/>
    <cellStyle name="Comma [0] 3 3 9" xfId="421" xr:uid="{00000000-0005-0000-0000-00003D1A0000}"/>
    <cellStyle name="Comma [0] 3 30" xfId="422" xr:uid="{00000000-0005-0000-0000-00003E1A0000}"/>
    <cellStyle name="Comma [0] 3 31" xfId="423" xr:uid="{00000000-0005-0000-0000-00003F1A0000}"/>
    <cellStyle name="Comma [0] 3 32" xfId="424" xr:uid="{00000000-0005-0000-0000-0000401A0000}"/>
    <cellStyle name="Comma [0] 3 33" xfId="425" xr:uid="{00000000-0005-0000-0000-0000411A0000}"/>
    <cellStyle name="Comma [0] 3 34" xfId="426" xr:uid="{00000000-0005-0000-0000-0000421A0000}"/>
    <cellStyle name="Comma [0] 3 35" xfId="427" xr:uid="{00000000-0005-0000-0000-0000431A0000}"/>
    <cellStyle name="Comma [0] 3 36" xfId="2162" xr:uid="{00000000-0005-0000-0000-0000441A0000}"/>
    <cellStyle name="Comma [0] 3 36 2" xfId="2510" xr:uid="{00000000-0005-0000-0000-0000451A0000}"/>
    <cellStyle name="Comma [0] 3 36 2 2" xfId="3518" xr:uid="{00000000-0005-0000-0000-0000461A0000}"/>
    <cellStyle name="Comma [0] 3 36 2 2 2" xfId="5457" xr:uid="{00000000-0005-0000-0000-0000471A0000}"/>
    <cellStyle name="Comma [0] 3 36 2 2 2 2" xfId="9328" xr:uid="{00000000-0005-0000-0000-0000481A0000}"/>
    <cellStyle name="Comma [0] 3 36 2 2 2 2 2" xfId="17073" xr:uid="{00000000-0005-0000-0000-0000491A0000}"/>
    <cellStyle name="Comma [0] 3 36 2 2 2 2 2 2" xfId="32665" xr:uid="{00000000-0005-0000-0000-00004A1A0000}"/>
    <cellStyle name="Comma [0] 3 36 2 2 2 2 2 3" xfId="48157" xr:uid="{00000000-0005-0000-0000-00004B1A0000}"/>
    <cellStyle name="Comma [0] 3 36 2 2 2 2 3" xfId="24925" xr:uid="{00000000-0005-0000-0000-00004C1A0000}"/>
    <cellStyle name="Comma [0] 3 36 2 2 2 2 4" xfId="40417" xr:uid="{00000000-0005-0000-0000-00004D1A0000}"/>
    <cellStyle name="Comma [0] 3 36 2 2 2 3" xfId="13203" xr:uid="{00000000-0005-0000-0000-00004E1A0000}"/>
    <cellStyle name="Comma [0] 3 36 2 2 2 3 2" xfId="28795" xr:uid="{00000000-0005-0000-0000-00004F1A0000}"/>
    <cellStyle name="Comma [0] 3 36 2 2 2 3 3" xfId="44287" xr:uid="{00000000-0005-0000-0000-0000501A0000}"/>
    <cellStyle name="Comma [0] 3 36 2 2 2 4" xfId="21055" xr:uid="{00000000-0005-0000-0000-0000511A0000}"/>
    <cellStyle name="Comma [0] 3 36 2 2 2 5" xfId="36547" xr:uid="{00000000-0005-0000-0000-0000521A0000}"/>
    <cellStyle name="Comma [0] 3 36 2 2 3" xfId="7401" xr:uid="{00000000-0005-0000-0000-0000531A0000}"/>
    <cellStyle name="Comma [0] 3 36 2 2 3 2" xfId="15146" xr:uid="{00000000-0005-0000-0000-0000541A0000}"/>
    <cellStyle name="Comma [0] 3 36 2 2 3 2 2" xfId="30738" xr:uid="{00000000-0005-0000-0000-0000551A0000}"/>
    <cellStyle name="Comma [0] 3 36 2 2 3 2 3" xfId="46230" xr:uid="{00000000-0005-0000-0000-0000561A0000}"/>
    <cellStyle name="Comma [0] 3 36 2 2 3 3" xfId="22998" xr:uid="{00000000-0005-0000-0000-0000571A0000}"/>
    <cellStyle name="Comma [0] 3 36 2 2 3 4" xfId="38490" xr:uid="{00000000-0005-0000-0000-0000581A0000}"/>
    <cellStyle name="Comma [0] 3 36 2 2 4" xfId="11276" xr:uid="{00000000-0005-0000-0000-0000591A0000}"/>
    <cellStyle name="Comma [0] 3 36 2 2 4 2" xfId="26868" xr:uid="{00000000-0005-0000-0000-00005A1A0000}"/>
    <cellStyle name="Comma [0] 3 36 2 2 4 3" xfId="42360" xr:uid="{00000000-0005-0000-0000-00005B1A0000}"/>
    <cellStyle name="Comma [0] 3 36 2 2 5" xfId="19128" xr:uid="{00000000-0005-0000-0000-00005C1A0000}"/>
    <cellStyle name="Comma [0] 3 36 2 2 6" xfId="34620" xr:uid="{00000000-0005-0000-0000-00005D1A0000}"/>
    <cellStyle name="Comma [0] 3 36 2 3" xfId="4509" xr:uid="{00000000-0005-0000-0000-00005E1A0000}"/>
    <cellStyle name="Comma [0] 3 36 2 3 2" xfId="8380" xr:uid="{00000000-0005-0000-0000-00005F1A0000}"/>
    <cellStyle name="Comma [0] 3 36 2 3 2 2" xfId="16125" xr:uid="{00000000-0005-0000-0000-0000601A0000}"/>
    <cellStyle name="Comma [0] 3 36 2 3 2 2 2" xfId="31717" xr:uid="{00000000-0005-0000-0000-0000611A0000}"/>
    <cellStyle name="Comma [0] 3 36 2 3 2 2 3" xfId="47209" xr:uid="{00000000-0005-0000-0000-0000621A0000}"/>
    <cellStyle name="Comma [0] 3 36 2 3 2 3" xfId="23977" xr:uid="{00000000-0005-0000-0000-0000631A0000}"/>
    <cellStyle name="Comma [0] 3 36 2 3 2 4" xfId="39469" xr:uid="{00000000-0005-0000-0000-0000641A0000}"/>
    <cellStyle name="Comma [0] 3 36 2 3 3" xfId="12255" xr:uid="{00000000-0005-0000-0000-0000651A0000}"/>
    <cellStyle name="Comma [0] 3 36 2 3 3 2" xfId="27847" xr:uid="{00000000-0005-0000-0000-0000661A0000}"/>
    <cellStyle name="Comma [0] 3 36 2 3 3 3" xfId="43339" xr:uid="{00000000-0005-0000-0000-0000671A0000}"/>
    <cellStyle name="Comma [0] 3 36 2 3 4" xfId="20107" xr:uid="{00000000-0005-0000-0000-0000681A0000}"/>
    <cellStyle name="Comma [0] 3 36 2 3 5" xfId="35599" xr:uid="{00000000-0005-0000-0000-0000691A0000}"/>
    <cellStyle name="Comma [0] 3 36 2 4" xfId="6453" xr:uid="{00000000-0005-0000-0000-00006A1A0000}"/>
    <cellStyle name="Comma [0] 3 36 2 4 2" xfId="14198" xr:uid="{00000000-0005-0000-0000-00006B1A0000}"/>
    <cellStyle name="Comma [0] 3 36 2 4 2 2" xfId="29790" xr:uid="{00000000-0005-0000-0000-00006C1A0000}"/>
    <cellStyle name="Comma [0] 3 36 2 4 2 3" xfId="45282" xr:uid="{00000000-0005-0000-0000-00006D1A0000}"/>
    <cellStyle name="Comma [0] 3 36 2 4 3" xfId="22050" xr:uid="{00000000-0005-0000-0000-00006E1A0000}"/>
    <cellStyle name="Comma [0] 3 36 2 4 4" xfId="37542" xr:uid="{00000000-0005-0000-0000-00006F1A0000}"/>
    <cellStyle name="Comma [0] 3 36 2 5" xfId="10328" xr:uid="{00000000-0005-0000-0000-0000701A0000}"/>
    <cellStyle name="Comma [0] 3 36 2 5 2" xfId="25920" xr:uid="{00000000-0005-0000-0000-0000711A0000}"/>
    <cellStyle name="Comma [0] 3 36 2 5 3" xfId="41412" xr:uid="{00000000-0005-0000-0000-0000721A0000}"/>
    <cellStyle name="Comma [0] 3 36 2 6" xfId="18180" xr:uid="{00000000-0005-0000-0000-0000731A0000}"/>
    <cellStyle name="Comma [0] 3 36 2 7" xfId="33672" xr:uid="{00000000-0005-0000-0000-0000741A0000}"/>
    <cellStyle name="Comma [0] 3 36 3" xfId="3209" xr:uid="{00000000-0005-0000-0000-0000751A0000}"/>
    <cellStyle name="Comma [0] 3 36 3 2" xfId="5148" xr:uid="{00000000-0005-0000-0000-0000761A0000}"/>
    <cellStyle name="Comma [0] 3 36 3 2 2" xfId="9019" xr:uid="{00000000-0005-0000-0000-0000771A0000}"/>
    <cellStyle name="Comma [0] 3 36 3 2 2 2" xfId="16764" xr:uid="{00000000-0005-0000-0000-0000781A0000}"/>
    <cellStyle name="Comma [0] 3 36 3 2 2 2 2" xfId="32356" xr:uid="{00000000-0005-0000-0000-0000791A0000}"/>
    <cellStyle name="Comma [0] 3 36 3 2 2 2 3" xfId="47848" xr:uid="{00000000-0005-0000-0000-00007A1A0000}"/>
    <cellStyle name="Comma [0] 3 36 3 2 2 3" xfId="24616" xr:uid="{00000000-0005-0000-0000-00007B1A0000}"/>
    <cellStyle name="Comma [0] 3 36 3 2 2 4" xfId="40108" xr:uid="{00000000-0005-0000-0000-00007C1A0000}"/>
    <cellStyle name="Comma [0] 3 36 3 2 3" xfId="12894" xr:uid="{00000000-0005-0000-0000-00007D1A0000}"/>
    <cellStyle name="Comma [0] 3 36 3 2 3 2" xfId="28486" xr:uid="{00000000-0005-0000-0000-00007E1A0000}"/>
    <cellStyle name="Comma [0] 3 36 3 2 3 3" xfId="43978" xr:uid="{00000000-0005-0000-0000-00007F1A0000}"/>
    <cellStyle name="Comma [0] 3 36 3 2 4" xfId="20746" xr:uid="{00000000-0005-0000-0000-0000801A0000}"/>
    <cellStyle name="Comma [0] 3 36 3 2 5" xfId="36238" xr:uid="{00000000-0005-0000-0000-0000811A0000}"/>
    <cellStyle name="Comma [0] 3 36 3 3" xfId="7092" xr:uid="{00000000-0005-0000-0000-0000821A0000}"/>
    <cellStyle name="Comma [0] 3 36 3 3 2" xfId="14837" xr:uid="{00000000-0005-0000-0000-0000831A0000}"/>
    <cellStyle name="Comma [0] 3 36 3 3 2 2" xfId="30429" xr:uid="{00000000-0005-0000-0000-0000841A0000}"/>
    <cellStyle name="Comma [0] 3 36 3 3 2 3" xfId="45921" xr:uid="{00000000-0005-0000-0000-0000851A0000}"/>
    <cellStyle name="Comma [0] 3 36 3 3 3" xfId="22689" xr:uid="{00000000-0005-0000-0000-0000861A0000}"/>
    <cellStyle name="Comma [0] 3 36 3 3 4" xfId="38181" xr:uid="{00000000-0005-0000-0000-0000871A0000}"/>
    <cellStyle name="Comma [0] 3 36 3 4" xfId="10967" xr:uid="{00000000-0005-0000-0000-0000881A0000}"/>
    <cellStyle name="Comma [0] 3 36 3 4 2" xfId="26559" xr:uid="{00000000-0005-0000-0000-0000891A0000}"/>
    <cellStyle name="Comma [0] 3 36 3 4 3" xfId="42051" xr:uid="{00000000-0005-0000-0000-00008A1A0000}"/>
    <cellStyle name="Comma [0] 3 36 3 5" xfId="18819" xr:uid="{00000000-0005-0000-0000-00008B1A0000}"/>
    <cellStyle name="Comma [0] 3 36 3 6" xfId="34311" xr:uid="{00000000-0005-0000-0000-00008C1A0000}"/>
    <cellStyle name="Comma [0] 3 36 4" xfId="4200" xr:uid="{00000000-0005-0000-0000-00008D1A0000}"/>
    <cellStyle name="Comma [0] 3 36 4 2" xfId="8071" xr:uid="{00000000-0005-0000-0000-00008E1A0000}"/>
    <cellStyle name="Comma [0] 3 36 4 2 2" xfId="15816" xr:uid="{00000000-0005-0000-0000-00008F1A0000}"/>
    <cellStyle name="Comma [0] 3 36 4 2 2 2" xfId="31408" xr:uid="{00000000-0005-0000-0000-0000901A0000}"/>
    <cellStyle name="Comma [0] 3 36 4 2 2 3" xfId="46900" xr:uid="{00000000-0005-0000-0000-0000911A0000}"/>
    <cellStyle name="Comma [0] 3 36 4 2 3" xfId="23668" xr:uid="{00000000-0005-0000-0000-0000921A0000}"/>
    <cellStyle name="Comma [0] 3 36 4 2 4" xfId="39160" xr:uid="{00000000-0005-0000-0000-0000931A0000}"/>
    <cellStyle name="Comma [0] 3 36 4 3" xfId="11946" xr:uid="{00000000-0005-0000-0000-0000941A0000}"/>
    <cellStyle name="Comma [0] 3 36 4 3 2" xfId="27538" xr:uid="{00000000-0005-0000-0000-0000951A0000}"/>
    <cellStyle name="Comma [0] 3 36 4 3 3" xfId="43030" xr:uid="{00000000-0005-0000-0000-0000961A0000}"/>
    <cellStyle name="Comma [0] 3 36 4 4" xfId="19798" xr:uid="{00000000-0005-0000-0000-0000971A0000}"/>
    <cellStyle name="Comma [0] 3 36 4 5" xfId="35290" xr:uid="{00000000-0005-0000-0000-0000981A0000}"/>
    <cellStyle name="Comma [0] 3 36 5" xfId="6144" xr:uid="{00000000-0005-0000-0000-0000991A0000}"/>
    <cellStyle name="Comma [0] 3 36 5 2" xfId="13889" xr:uid="{00000000-0005-0000-0000-00009A1A0000}"/>
    <cellStyle name="Comma [0] 3 36 5 2 2" xfId="29481" xr:uid="{00000000-0005-0000-0000-00009B1A0000}"/>
    <cellStyle name="Comma [0] 3 36 5 2 3" xfId="44973" xr:uid="{00000000-0005-0000-0000-00009C1A0000}"/>
    <cellStyle name="Comma [0] 3 36 5 3" xfId="21741" xr:uid="{00000000-0005-0000-0000-00009D1A0000}"/>
    <cellStyle name="Comma [0] 3 36 5 4" xfId="37233" xr:uid="{00000000-0005-0000-0000-00009E1A0000}"/>
    <cellStyle name="Comma [0] 3 36 6" xfId="10019" xr:uid="{00000000-0005-0000-0000-00009F1A0000}"/>
    <cellStyle name="Comma [0] 3 36 6 2" xfId="25611" xr:uid="{00000000-0005-0000-0000-0000A01A0000}"/>
    <cellStyle name="Comma [0] 3 36 6 3" xfId="41103" xr:uid="{00000000-0005-0000-0000-0000A11A0000}"/>
    <cellStyle name="Comma [0] 3 36 7" xfId="17871" xr:uid="{00000000-0005-0000-0000-0000A21A0000}"/>
    <cellStyle name="Comma [0] 3 36 8" xfId="33363" xr:uid="{00000000-0005-0000-0000-0000A31A0000}"/>
    <cellStyle name="Comma [0] 3 37" xfId="2231" xr:uid="{00000000-0005-0000-0000-0000A41A0000}"/>
    <cellStyle name="Comma [0] 3 37 2" xfId="2548" xr:uid="{00000000-0005-0000-0000-0000A51A0000}"/>
    <cellStyle name="Comma [0] 3 37 2 2" xfId="3556" xr:uid="{00000000-0005-0000-0000-0000A61A0000}"/>
    <cellStyle name="Comma [0] 3 37 2 2 2" xfId="5495" xr:uid="{00000000-0005-0000-0000-0000A71A0000}"/>
    <cellStyle name="Comma [0] 3 37 2 2 2 2" xfId="9366" xr:uid="{00000000-0005-0000-0000-0000A81A0000}"/>
    <cellStyle name="Comma [0] 3 37 2 2 2 2 2" xfId="17111" xr:uid="{00000000-0005-0000-0000-0000A91A0000}"/>
    <cellStyle name="Comma [0] 3 37 2 2 2 2 2 2" xfId="32703" xr:uid="{00000000-0005-0000-0000-0000AA1A0000}"/>
    <cellStyle name="Comma [0] 3 37 2 2 2 2 2 3" xfId="48195" xr:uid="{00000000-0005-0000-0000-0000AB1A0000}"/>
    <cellStyle name="Comma [0] 3 37 2 2 2 2 3" xfId="24963" xr:uid="{00000000-0005-0000-0000-0000AC1A0000}"/>
    <cellStyle name="Comma [0] 3 37 2 2 2 2 4" xfId="40455" xr:uid="{00000000-0005-0000-0000-0000AD1A0000}"/>
    <cellStyle name="Comma [0] 3 37 2 2 2 3" xfId="13241" xr:uid="{00000000-0005-0000-0000-0000AE1A0000}"/>
    <cellStyle name="Comma [0] 3 37 2 2 2 3 2" xfId="28833" xr:uid="{00000000-0005-0000-0000-0000AF1A0000}"/>
    <cellStyle name="Comma [0] 3 37 2 2 2 3 3" xfId="44325" xr:uid="{00000000-0005-0000-0000-0000B01A0000}"/>
    <cellStyle name="Comma [0] 3 37 2 2 2 4" xfId="21093" xr:uid="{00000000-0005-0000-0000-0000B11A0000}"/>
    <cellStyle name="Comma [0] 3 37 2 2 2 5" xfId="36585" xr:uid="{00000000-0005-0000-0000-0000B21A0000}"/>
    <cellStyle name="Comma [0] 3 37 2 2 3" xfId="7439" xr:uid="{00000000-0005-0000-0000-0000B31A0000}"/>
    <cellStyle name="Comma [0] 3 37 2 2 3 2" xfId="15184" xr:uid="{00000000-0005-0000-0000-0000B41A0000}"/>
    <cellStyle name="Comma [0] 3 37 2 2 3 2 2" xfId="30776" xr:uid="{00000000-0005-0000-0000-0000B51A0000}"/>
    <cellStyle name="Comma [0] 3 37 2 2 3 2 3" xfId="46268" xr:uid="{00000000-0005-0000-0000-0000B61A0000}"/>
    <cellStyle name="Comma [0] 3 37 2 2 3 3" xfId="23036" xr:uid="{00000000-0005-0000-0000-0000B71A0000}"/>
    <cellStyle name="Comma [0] 3 37 2 2 3 4" xfId="38528" xr:uid="{00000000-0005-0000-0000-0000B81A0000}"/>
    <cellStyle name="Comma [0] 3 37 2 2 4" xfId="11314" xr:uid="{00000000-0005-0000-0000-0000B91A0000}"/>
    <cellStyle name="Comma [0] 3 37 2 2 4 2" xfId="26906" xr:uid="{00000000-0005-0000-0000-0000BA1A0000}"/>
    <cellStyle name="Comma [0] 3 37 2 2 4 3" xfId="42398" xr:uid="{00000000-0005-0000-0000-0000BB1A0000}"/>
    <cellStyle name="Comma [0] 3 37 2 2 5" xfId="19166" xr:uid="{00000000-0005-0000-0000-0000BC1A0000}"/>
    <cellStyle name="Comma [0] 3 37 2 2 6" xfId="34658" xr:uid="{00000000-0005-0000-0000-0000BD1A0000}"/>
    <cellStyle name="Comma [0] 3 37 2 3" xfId="4547" xr:uid="{00000000-0005-0000-0000-0000BE1A0000}"/>
    <cellStyle name="Comma [0] 3 37 2 3 2" xfId="8418" xr:uid="{00000000-0005-0000-0000-0000BF1A0000}"/>
    <cellStyle name="Comma [0] 3 37 2 3 2 2" xfId="16163" xr:uid="{00000000-0005-0000-0000-0000C01A0000}"/>
    <cellStyle name="Comma [0] 3 37 2 3 2 2 2" xfId="31755" xr:uid="{00000000-0005-0000-0000-0000C11A0000}"/>
    <cellStyle name="Comma [0] 3 37 2 3 2 2 3" xfId="47247" xr:uid="{00000000-0005-0000-0000-0000C21A0000}"/>
    <cellStyle name="Comma [0] 3 37 2 3 2 3" xfId="24015" xr:uid="{00000000-0005-0000-0000-0000C31A0000}"/>
    <cellStyle name="Comma [0] 3 37 2 3 2 4" xfId="39507" xr:uid="{00000000-0005-0000-0000-0000C41A0000}"/>
    <cellStyle name="Comma [0] 3 37 2 3 3" xfId="12293" xr:uid="{00000000-0005-0000-0000-0000C51A0000}"/>
    <cellStyle name="Comma [0] 3 37 2 3 3 2" xfId="27885" xr:uid="{00000000-0005-0000-0000-0000C61A0000}"/>
    <cellStyle name="Comma [0] 3 37 2 3 3 3" xfId="43377" xr:uid="{00000000-0005-0000-0000-0000C71A0000}"/>
    <cellStyle name="Comma [0] 3 37 2 3 4" xfId="20145" xr:uid="{00000000-0005-0000-0000-0000C81A0000}"/>
    <cellStyle name="Comma [0] 3 37 2 3 5" xfId="35637" xr:uid="{00000000-0005-0000-0000-0000C91A0000}"/>
    <cellStyle name="Comma [0] 3 37 2 4" xfId="6491" xr:uid="{00000000-0005-0000-0000-0000CA1A0000}"/>
    <cellStyle name="Comma [0] 3 37 2 4 2" xfId="14236" xr:uid="{00000000-0005-0000-0000-0000CB1A0000}"/>
    <cellStyle name="Comma [0] 3 37 2 4 2 2" xfId="29828" xr:uid="{00000000-0005-0000-0000-0000CC1A0000}"/>
    <cellStyle name="Comma [0] 3 37 2 4 2 3" xfId="45320" xr:uid="{00000000-0005-0000-0000-0000CD1A0000}"/>
    <cellStyle name="Comma [0] 3 37 2 4 3" xfId="22088" xr:uid="{00000000-0005-0000-0000-0000CE1A0000}"/>
    <cellStyle name="Comma [0] 3 37 2 4 4" xfId="37580" xr:uid="{00000000-0005-0000-0000-0000CF1A0000}"/>
    <cellStyle name="Comma [0] 3 37 2 5" xfId="10366" xr:uid="{00000000-0005-0000-0000-0000D01A0000}"/>
    <cellStyle name="Comma [0] 3 37 2 5 2" xfId="25958" xr:uid="{00000000-0005-0000-0000-0000D11A0000}"/>
    <cellStyle name="Comma [0] 3 37 2 5 3" xfId="41450" xr:uid="{00000000-0005-0000-0000-0000D21A0000}"/>
    <cellStyle name="Comma [0] 3 37 2 6" xfId="18218" xr:uid="{00000000-0005-0000-0000-0000D31A0000}"/>
    <cellStyle name="Comma [0] 3 37 2 7" xfId="33710" xr:uid="{00000000-0005-0000-0000-0000D41A0000}"/>
    <cellStyle name="Comma [0] 3 37 3" xfId="3247" xr:uid="{00000000-0005-0000-0000-0000D51A0000}"/>
    <cellStyle name="Comma [0] 3 37 3 2" xfId="5186" xr:uid="{00000000-0005-0000-0000-0000D61A0000}"/>
    <cellStyle name="Comma [0] 3 37 3 2 2" xfId="9057" xr:uid="{00000000-0005-0000-0000-0000D71A0000}"/>
    <cellStyle name="Comma [0] 3 37 3 2 2 2" xfId="16802" xr:uid="{00000000-0005-0000-0000-0000D81A0000}"/>
    <cellStyle name="Comma [0] 3 37 3 2 2 2 2" xfId="32394" xr:uid="{00000000-0005-0000-0000-0000D91A0000}"/>
    <cellStyle name="Comma [0] 3 37 3 2 2 2 3" xfId="47886" xr:uid="{00000000-0005-0000-0000-0000DA1A0000}"/>
    <cellStyle name="Comma [0] 3 37 3 2 2 3" xfId="24654" xr:uid="{00000000-0005-0000-0000-0000DB1A0000}"/>
    <cellStyle name="Comma [0] 3 37 3 2 2 4" xfId="40146" xr:uid="{00000000-0005-0000-0000-0000DC1A0000}"/>
    <cellStyle name="Comma [0] 3 37 3 2 3" xfId="12932" xr:uid="{00000000-0005-0000-0000-0000DD1A0000}"/>
    <cellStyle name="Comma [0] 3 37 3 2 3 2" xfId="28524" xr:uid="{00000000-0005-0000-0000-0000DE1A0000}"/>
    <cellStyle name="Comma [0] 3 37 3 2 3 3" xfId="44016" xr:uid="{00000000-0005-0000-0000-0000DF1A0000}"/>
    <cellStyle name="Comma [0] 3 37 3 2 4" xfId="20784" xr:uid="{00000000-0005-0000-0000-0000E01A0000}"/>
    <cellStyle name="Comma [0] 3 37 3 2 5" xfId="36276" xr:uid="{00000000-0005-0000-0000-0000E11A0000}"/>
    <cellStyle name="Comma [0] 3 37 3 3" xfId="7130" xr:uid="{00000000-0005-0000-0000-0000E21A0000}"/>
    <cellStyle name="Comma [0] 3 37 3 3 2" xfId="14875" xr:uid="{00000000-0005-0000-0000-0000E31A0000}"/>
    <cellStyle name="Comma [0] 3 37 3 3 2 2" xfId="30467" xr:uid="{00000000-0005-0000-0000-0000E41A0000}"/>
    <cellStyle name="Comma [0] 3 37 3 3 2 3" xfId="45959" xr:uid="{00000000-0005-0000-0000-0000E51A0000}"/>
    <cellStyle name="Comma [0] 3 37 3 3 3" xfId="22727" xr:uid="{00000000-0005-0000-0000-0000E61A0000}"/>
    <cellStyle name="Comma [0] 3 37 3 3 4" xfId="38219" xr:uid="{00000000-0005-0000-0000-0000E71A0000}"/>
    <cellStyle name="Comma [0] 3 37 3 4" xfId="11005" xr:uid="{00000000-0005-0000-0000-0000E81A0000}"/>
    <cellStyle name="Comma [0] 3 37 3 4 2" xfId="26597" xr:uid="{00000000-0005-0000-0000-0000E91A0000}"/>
    <cellStyle name="Comma [0] 3 37 3 4 3" xfId="42089" xr:uid="{00000000-0005-0000-0000-0000EA1A0000}"/>
    <cellStyle name="Comma [0] 3 37 3 5" xfId="18857" xr:uid="{00000000-0005-0000-0000-0000EB1A0000}"/>
    <cellStyle name="Comma [0] 3 37 3 6" xfId="34349" xr:uid="{00000000-0005-0000-0000-0000EC1A0000}"/>
    <cellStyle name="Comma [0] 3 37 4" xfId="4238" xr:uid="{00000000-0005-0000-0000-0000ED1A0000}"/>
    <cellStyle name="Comma [0] 3 37 4 2" xfId="8109" xr:uid="{00000000-0005-0000-0000-0000EE1A0000}"/>
    <cellStyle name="Comma [0] 3 37 4 2 2" xfId="15854" xr:uid="{00000000-0005-0000-0000-0000EF1A0000}"/>
    <cellStyle name="Comma [0] 3 37 4 2 2 2" xfId="31446" xr:uid="{00000000-0005-0000-0000-0000F01A0000}"/>
    <cellStyle name="Comma [0] 3 37 4 2 2 3" xfId="46938" xr:uid="{00000000-0005-0000-0000-0000F11A0000}"/>
    <cellStyle name="Comma [0] 3 37 4 2 3" xfId="23706" xr:uid="{00000000-0005-0000-0000-0000F21A0000}"/>
    <cellStyle name="Comma [0] 3 37 4 2 4" xfId="39198" xr:uid="{00000000-0005-0000-0000-0000F31A0000}"/>
    <cellStyle name="Comma [0] 3 37 4 3" xfId="11984" xr:uid="{00000000-0005-0000-0000-0000F41A0000}"/>
    <cellStyle name="Comma [0] 3 37 4 3 2" xfId="27576" xr:uid="{00000000-0005-0000-0000-0000F51A0000}"/>
    <cellStyle name="Comma [0] 3 37 4 3 3" xfId="43068" xr:uid="{00000000-0005-0000-0000-0000F61A0000}"/>
    <cellStyle name="Comma [0] 3 37 4 4" xfId="19836" xr:uid="{00000000-0005-0000-0000-0000F71A0000}"/>
    <cellStyle name="Comma [0] 3 37 4 5" xfId="35328" xr:uid="{00000000-0005-0000-0000-0000F81A0000}"/>
    <cellStyle name="Comma [0] 3 37 5" xfId="6182" xr:uid="{00000000-0005-0000-0000-0000F91A0000}"/>
    <cellStyle name="Comma [0] 3 37 5 2" xfId="13927" xr:uid="{00000000-0005-0000-0000-0000FA1A0000}"/>
    <cellStyle name="Comma [0] 3 37 5 2 2" xfId="29519" xr:uid="{00000000-0005-0000-0000-0000FB1A0000}"/>
    <cellStyle name="Comma [0] 3 37 5 2 3" xfId="45011" xr:uid="{00000000-0005-0000-0000-0000FC1A0000}"/>
    <cellStyle name="Comma [0] 3 37 5 3" xfId="21779" xr:uid="{00000000-0005-0000-0000-0000FD1A0000}"/>
    <cellStyle name="Comma [0] 3 37 5 4" xfId="37271" xr:uid="{00000000-0005-0000-0000-0000FE1A0000}"/>
    <cellStyle name="Comma [0] 3 37 6" xfId="10057" xr:uid="{00000000-0005-0000-0000-0000FF1A0000}"/>
    <cellStyle name="Comma [0] 3 37 6 2" xfId="25649" xr:uid="{00000000-0005-0000-0000-0000001B0000}"/>
    <cellStyle name="Comma [0] 3 37 6 3" xfId="41141" xr:uid="{00000000-0005-0000-0000-0000011B0000}"/>
    <cellStyle name="Comma [0] 3 37 7" xfId="17909" xr:uid="{00000000-0005-0000-0000-0000021B0000}"/>
    <cellStyle name="Comma [0] 3 37 8" xfId="33401" xr:uid="{00000000-0005-0000-0000-0000031B0000}"/>
    <cellStyle name="Comma [0] 3 38" xfId="2268" xr:uid="{00000000-0005-0000-0000-0000041B0000}"/>
    <cellStyle name="Comma [0] 3 38 2" xfId="2584" xr:uid="{00000000-0005-0000-0000-0000051B0000}"/>
    <cellStyle name="Comma [0] 3 38 2 2" xfId="3592" xr:uid="{00000000-0005-0000-0000-0000061B0000}"/>
    <cellStyle name="Comma [0] 3 38 2 2 2" xfId="5531" xr:uid="{00000000-0005-0000-0000-0000071B0000}"/>
    <cellStyle name="Comma [0] 3 38 2 2 2 2" xfId="9402" xr:uid="{00000000-0005-0000-0000-0000081B0000}"/>
    <cellStyle name="Comma [0] 3 38 2 2 2 2 2" xfId="17147" xr:uid="{00000000-0005-0000-0000-0000091B0000}"/>
    <cellStyle name="Comma [0] 3 38 2 2 2 2 2 2" xfId="32739" xr:uid="{00000000-0005-0000-0000-00000A1B0000}"/>
    <cellStyle name="Comma [0] 3 38 2 2 2 2 2 3" xfId="48231" xr:uid="{00000000-0005-0000-0000-00000B1B0000}"/>
    <cellStyle name="Comma [0] 3 38 2 2 2 2 3" xfId="24999" xr:uid="{00000000-0005-0000-0000-00000C1B0000}"/>
    <cellStyle name="Comma [0] 3 38 2 2 2 2 4" xfId="40491" xr:uid="{00000000-0005-0000-0000-00000D1B0000}"/>
    <cellStyle name="Comma [0] 3 38 2 2 2 3" xfId="13277" xr:uid="{00000000-0005-0000-0000-00000E1B0000}"/>
    <cellStyle name="Comma [0] 3 38 2 2 2 3 2" xfId="28869" xr:uid="{00000000-0005-0000-0000-00000F1B0000}"/>
    <cellStyle name="Comma [0] 3 38 2 2 2 3 3" xfId="44361" xr:uid="{00000000-0005-0000-0000-0000101B0000}"/>
    <cellStyle name="Comma [0] 3 38 2 2 2 4" xfId="21129" xr:uid="{00000000-0005-0000-0000-0000111B0000}"/>
    <cellStyle name="Comma [0] 3 38 2 2 2 5" xfId="36621" xr:uid="{00000000-0005-0000-0000-0000121B0000}"/>
    <cellStyle name="Comma [0] 3 38 2 2 3" xfId="7475" xr:uid="{00000000-0005-0000-0000-0000131B0000}"/>
    <cellStyle name="Comma [0] 3 38 2 2 3 2" xfId="15220" xr:uid="{00000000-0005-0000-0000-0000141B0000}"/>
    <cellStyle name="Comma [0] 3 38 2 2 3 2 2" xfId="30812" xr:uid="{00000000-0005-0000-0000-0000151B0000}"/>
    <cellStyle name="Comma [0] 3 38 2 2 3 2 3" xfId="46304" xr:uid="{00000000-0005-0000-0000-0000161B0000}"/>
    <cellStyle name="Comma [0] 3 38 2 2 3 3" xfId="23072" xr:uid="{00000000-0005-0000-0000-0000171B0000}"/>
    <cellStyle name="Comma [0] 3 38 2 2 3 4" xfId="38564" xr:uid="{00000000-0005-0000-0000-0000181B0000}"/>
    <cellStyle name="Comma [0] 3 38 2 2 4" xfId="11350" xr:uid="{00000000-0005-0000-0000-0000191B0000}"/>
    <cellStyle name="Comma [0] 3 38 2 2 4 2" xfId="26942" xr:uid="{00000000-0005-0000-0000-00001A1B0000}"/>
    <cellStyle name="Comma [0] 3 38 2 2 4 3" xfId="42434" xr:uid="{00000000-0005-0000-0000-00001B1B0000}"/>
    <cellStyle name="Comma [0] 3 38 2 2 5" xfId="19202" xr:uid="{00000000-0005-0000-0000-00001C1B0000}"/>
    <cellStyle name="Comma [0] 3 38 2 2 6" xfId="34694" xr:uid="{00000000-0005-0000-0000-00001D1B0000}"/>
    <cellStyle name="Comma [0] 3 38 2 3" xfId="4583" xr:uid="{00000000-0005-0000-0000-00001E1B0000}"/>
    <cellStyle name="Comma [0] 3 38 2 3 2" xfId="8454" xr:uid="{00000000-0005-0000-0000-00001F1B0000}"/>
    <cellStyle name="Comma [0] 3 38 2 3 2 2" xfId="16199" xr:uid="{00000000-0005-0000-0000-0000201B0000}"/>
    <cellStyle name="Comma [0] 3 38 2 3 2 2 2" xfId="31791" xr:uid="{00000000-0005-0000-0000-0000211B0000}"/>
    <cellStyle name="Comma [0] 3 38 2 3 2 2 3" xfId="47283" xr:uid="{00000000-0005-0000-0000-0000221B0000}"/>
    <cellStyle name="Comma [0] 3 38 2 3 2 3" xfId="24051" xr:uid="{00000000-0005-0000-0000-0000231B0000}"/>
    <cellStyle name="Comma [0] 3 38 2 3 2 4" xfId="39543" xr:uid="{00000000-0005-0000-0000-0000241B0000}"/>
    <cellStyle name="Comma [0] 3 38 2 3 3" xfId="12329" xr:uid="{00000000-0005-0000-0000-0000251B0000}"/>
    <cellStyle name="Comma [0] 3 38 2 3 3 2" xfId="27921" xr:uid="{00000000-0005-0000-0000-0000261B0000}"/>
    <cellStyle name="Comma [0] 3 38 2 3 3 3" xfId="43413" xr:uid="{00000000-0005-0000-0000-0000271B0000}"/>
    <cellStyle name="Comma [0] 3 38 2 3 4" xfId="20181" xr:uid="{00000000-0005-0000-0000-0000281B0000}"/>
    <cellStyle name="Comma [0] 3 38 2 3 5" xfId="35673" xr:uid="{00000000-0005-0000-0000-0000291B0000}"/>
    <cellStyle name="Comma [0] 3 38 2 4" xfId="6527" xr:uid="{00000000-0005-0000-0000-00002A1B0000}"/>
    <cellStyle name="Comma [0] 3 38 2 4 2" xfId="14272" xr:uid="{00000000-0005-0000-0000-00002B1B0000}"/>
    <cellStyle name="Comma [0] 3 38 2 4 2 2" xfId="29864" xr:uid="{00000000-0005-0000-0000-00002C1B0000}"/>
    <cellStyle name="Comma [0] 3 38 2 4 2 3" xfId="45356" xr:uid="{00000000-0005-0000-0000-00002D1B0000}"/>
    <cellStyle name="Comma [0] 3 38 2 4 3" xfId="22124" xr:uid="{00000000-0005-0000-0000-00002E1B0000}"/>
    <cellStyle name="Comma [0] 3 38 2 4 4" xfId="37616" xr:uid="{00000000-0005-0000-0000-00002F1B0000}"/>
    <cellStyle name="Comma [0] 3 38 2 5" xfId="10402" xr:uid="{00000000-0005-0000-0000-0000301B0000}"/>
    <cellStyle name="Comma [0] 3 38 2 5 2" xfId="25994" xr:uid="{00000000-0005-0000-0000-0000311B0000}"/>
    <cellStyle name="Comma [0] 3 38 2 5 3" xfId="41486" xr:uid="{00000000-0005-0000-0000-0000321B0000}"/>
    <cellStyle name="Comma [0] 3 38 2 6" xfId="18254" xr:uid="{00000000-0005-0000-0000-0000331B0000}"/>
    <cellStyle name="Comma [0] 3 38 2 7" xfId="33746" xr:uid="{00000000-0005-0000-0000-0000341B0000}"/>
    <cellStyle name="Comma [0] 3 38 3" xfId="3283" xr:uid="{00000000-0005-0000-0000-0000351B0000}"/>
    <cellStyle name="Comma [0] 3 38 3 2" xfId="5222" xr:uid="{00000000-0005-0000-0000-0000361B0000}"/>
    <cellStyle name="Comma [0] 3 38 3 2 2" xfId="9093" xr:uid="{00000000-0005-0000-0000-0000371B0000}"/>
    <cellStyle name="Comma [0] 3 38 3 2 2 2" xfId="16838" xr:uid="{00000000-0005-0000-0000-0000381B0000}"/>
    <cellStyle name="Comma [0] 3 38 3 2 2 2 2" xfId="32430" xr:uid="{00000000-0005-0000-0000-0000391B0000}"/>
    <cellStyle name="Comma [0] 3 38 3 2 2 2 3" xfId="47922" xr:uid="{00000000-0005-0000-0000-00003A1B0000}"/>
    <cellStyle name="Comma [0] 3 38 3 2 2 3" xfId="24690" xr:uid="{00000000-0005-0000-0000-00003B1B0000}"/>
    <cellStyle name="Comma [0] 3 38 3 2 2 4" xfId="40182" xr:uid="{00000000-0005-0000-0000-00003C1B0000}"/>
    <cellStyle name="Comma [0] 3 38 3 2 3" xfId="12968" xr:uid="{00000000-0005-0000-0000-00003D1B0000}"/>
    <cellStyle name="Comma [0] 3 38 3 2 3 2" xfId="28560" xr:uid="{00000000-0005-0000-0000-00003E1B0000}"/>
    <cellStyle name="Comma [0] 3 38 3 2 3 3" xfId="44052" xr:uid="{00000000-0005-0000-0000-00003F1B0000}"/>
    <cellStyle name="Comma [0] 3 38 3 2 4" xfId="20820" xr:uid="{00000000-0005-0000-0000-0000401B0000}"/>
    <cellStyle name="Comma [0] 3 38 3 2 5" xfId="36312" xr:uid="{00000000-0005-0000-0000-0000411B0000}"/>
    <cellStyle name="Comma [0] 3 38 3 3" xfId="7166" xr:uid="{00000000-0005-0000-0000-0000421B0000}"/>
    <cellStyle name="Comma [0] 3 38 3 3 2" xfId="14911" xr:uid="{00000000-0005-0000-0000-0000431B0000}"/>
    <cellStyle name="Comma [0] 3 38 3 3 2 2" xfId="30503" xr:uid="{00000000-0005-0000-0000-0000441B0000}"/>
    <cellStyle name="Comma [0] 3 38 3 3 2 3" xfId="45995" xr:uid="{00000000-0005-0000-0000-0000451B0000}"/>
    <cellStyle name="Comma [0] 3 38 3 3 3" xfId="22763" xr:uid="{00000000-0005-0000-0000-0000461B0000}"/>
    <cellStyle name="Comma [0] 3 38 3 3 4" xfId="38255" xr:uid="{00000000-0005-0000-0000-0000471B0000}"/>
    <cellStyle name="Comma [0] 3 38 3 4" xfId="11041" xr:uid="{00000000-0005-0000-0000-0000481B0000}"/>
    <cellStyle name="Comma [0] 3 38 3 4 2" xfId="26633" xr:uid="{00000000-0005-0000-0000-0000491B0000}"/>
    <cellStyle name="Comma [0] 3 38 3 4 3" xfId="42125" xr:uid="{00000000-0005-0000-0000-00004A1B0000}"/>
    <cellStyle name="Comma [0] 3 38 3 5" xfId="18893" xr:uid="{00000000-0005-0000-0000-00004B1B0000}"/>
    <cellStyle name="Comma [0] 3 38 3 6" xfId="34385" xr:uid="{00000000-0005-0000-0000-00004C1B0000}"/>
    <cellStyle name="Comma [0] 3 38 4" xfId="4274" xr:uid="{00000000-0005-0000-0000-00004D1B0000}"/>
    <cellStyle name="Comma [0] 3 38 4 2" xfId="8145" xr:uid="{00000000-0005-0000-0000-00004E1B0000}"/>
    <cellStyle name="Comma [0] 3 38 4 2 2" xfId="15890" xr:uid="{00000000-0005-0000-0000-00004F1B0000}"/>
    <cellStyle name="Comma [0] 3 38 4 2 2 2" xfId="31482" xr:uid="{00000000-0005-0000-0000-0000501B0000}"/>
    <cellStyle name="Comma [0] 3 38 4 2 2 3" xfId="46974" xr:uid="{00000000-0005-0000-0000-0000511B0000}"/>
    <cellStyle name="Comma [0] 3 38 4 2 3" xfId="23742" xr:uid="{00000000-0005-0000-0000-0000521B0000}"/>
    <cellStyle name="Comma [0] 3 38 4 2 4" xfId="39234" xr:uid="{00000000-0005-0000-0000-0000531B0000}"/>
    <cellStyle name="Comma [0] 3 38 4 3" xfId="12020" xr:uid="{00000000-0005-0000-0000-0000541B0000}"/>
    <cellStyle name="Comma [0] 3 38 4 3 2" xfId="27612" xr:uid="{00000000-0005-0000-0000-0000551B0000}"/>
    <cellStyle name="Comma [0] 3 38 4 3 3" xfId="43104" xr:uid="{00000000-0005-0000-0000-0000561B0000}"/>
    <cellStyle name="Comma [0] 3 38 4 4" xfId="19872" xr:uid="{00000000-0005-0000-0000-0000571B0000}"/>
    <cellStyle name="Comma [0] 3 38 4 5" xfId="35364" xr:uid="{00000000-0005-0000-0000-0000581B0000}"/>
    <cellStyle name="Comma [0] 3 38 5" xfId="6218" xr:uid="{00000000-0005-0000-0000-0000591B0000}"/>
    <cellStyle name="Comma [0] 3 38 5 2" xfId="13963" xr:uid="{00000000-0005-0000-0000-00005A1B0000}"/>
    <cellStyle name="Comma [0] 3 38 5 2 2" xfId="29555" xr:uid="{00000000-0005-0000-0000-00005B1B0000}"/>
    <cellStyle name="Comma [0] 3 38 5 2 3" xfId="45047" xr:uid="{00000000-0005-0000-0000-00005C1B0000}"/>
    <cellStyle name="Comma [0] 3 38 5 3" xfId="21815" xr:uid="{00000000-0005-0000-0000-00005D1B0000}"/>
    <cellStyle name="Comma [0] 3 38 5 4" xfId="37307" xr:uid="{00000000-0005-0000-0000-00005E1B0000}"/>
    <cellStyle name="Comma [0] 3 38 6" xfId="10093" xr:uid="{00000000-0005-0000-0000-00005F1B0000}"/>
    <cellStyle name="Comma [0] 3 38 6 2" xfId="25685" xr:uid="{00000000-0005-0000-0000-0000601B0000}"/>
    <cellStyle name="Comma [0] 3 38 6 3" xfId="41177" xr:uid="{00000000-0005-0000-0000-0000611B0000}"/>
    <cellStyle name="Comma [0] 3 38 7" xfId="17945" xr:uid="{00000000-0005-0000-0000-0000621B0000}"/>
    <cellStyle name="Comma [0] 3 38 8" xfId="33437" xr:uid="{00000000-0005-0000-0000-0000631B0000}"/>
    <cellStyle name="Comma [0] 3 39" xfId="2305" xr:uid="{00000000-0005-0000-0000-0000641B0000}"/>
    <cellStyle name="Comma [0] 3 39 2" xfId="2620" xr:uid="{00000000-0005-0000-0000-0000651B0000}"/>
    <cellStyle name="Comma [0] 3 39 2 2" xfId="3628" xr:uid="{00000000-0005-0000-0000-0000661B0000}"/>
    <cellStyle name="Comma [0] 3 39 2 2 2" xfId="5567" xr:uid="{00000000-0005-0000-0000-0000671B0000}"/>
    <cellStyle name="Comma [0] 3 39 2 2 2 2" xfId="9438" xr:uid="{00000000-0005-0000-0000-0000681B0000}"/>
    <cellStyle name="Comma [0] 3 39 2 2 2 2 2" xfId="17183" xr:uid="{00000000-0005-0000-0000-0000691B0000}"/>
    <cellStyle name="Comma [0] 3 39 2 2 2 2 2 2" xfId="32775" xr:uid="{00000000-0005-0000-0000-00006A1B0000}"/>
    <cellStyle name="Comma [0] 3 39 2 2 2 2 2 3" xfId="48267" xr:uid="{00000000-0005-0000-0000-00006B1B0000}"/>
    <cellStyle name="Comma [0] 3 39 2 2 2 2 3" xfId="25035" xr:uid="{00000000-0005-0000-0000-00006C1B0000}"/>
    <cellStyle name="Comma [0] 3 39 2 2 2 2 4" xfId="40527" xr:uid="{00000000-0005-0000-0000-00006D1B0000}"/>
    <cellStyle name="Comma [0] 3 39 2 2 2 3" xfId="13313" xr:uid="{00000000-0005-0000-0000-00006E1B0000}"/>
    <cellStyle name="Comma [0] 3 39 2 2 2 3 2" xfId="28905" xr:uid="{00000000-0005-0000-0000-00006F1B0000}"/>
    <cellStyle name="Comma [0] 3 39 2 2 2 3 3" xfId="44397" xr:uid="{00000000-0005-0000-0000-0000701B0000}"/>
    <cellStyle name="Comma [0] 3 39 2 2 2 4" xfId="21165" xr:uid="{00000000-0005-0000-0000-0000711B0000}"/>
    <cellStyle name="Comma [0] 3 39 2 2 2 5" xfId="36657" xr:uid="{00000000-0005-0000-0000-0000721B0000}"/>
    <cellStyle name="Comma [0] 3 39 2 2 3" xfId="7511" xr:uid="{00000000-0005-0000-0000-0000731B0000}"/>
    <cellStyle name="Comma [0] 3 39 2 2 3 2" xfId="15256" xr:uid="{00000000-0005-0000-0000-0000741B0000}"/>
    <cellStyle name="Comma [0] 3 39 2 2 3 2 2" xfId="30848" xr:uid="{00000000-0005-0000-0000-0000751B0000}"/>
    <cellStyle name="Comma [0] 3 39 2 2 3 2 3" xfId="46340" xr:uid="{00000000-0005-0000-0000-0000761B0000}"/>
    <cellStyle name="Comma [0] 3 39 2 2 3 3" xfId="23108" xr:uid="{00000000-0005-0000-0000-0000771B0000}"/>
    <cellStyle name="Comma [0] 3 39 2 2 3 4" xfId="38600" xr:uid="{00000000-0005-0000-0000-0000781B0000}"/>
    <cellStyle name="Comma [0] 3 39 2 2 4" xfId="11386" xr:uid="{00000000-0005-0000-0000-0000791B0000}"/>
    <cellStyle name="Comma [0] 3 39 2 2 4 2" xfId="26978" xr:uid="{00000000-0005-0000-0000-00007A1B0000}"/>
    <cellStyle name="Comma [0] 3 39 2 2 4 3" xfId="42470" xr:uid="{00000000-0005-0000-0000-00007B1B0000}"/>
    <cellStyle name="Comma [0] 3 39 2 2 5" xfId="19238" xr:uid="{00000000-0005-0000-0000-00007C1B0000}"/>
    <cellStyle name="Comma [0] 3 39 2 2 6" xfId="34730" xr:uid="{00000000-0005-0000-0000-00007D1B0000}"/>
    <cellStyle name="Comma [0] 3 39 2 3" xfId="4619" xr:uid="{00000000-0005-0000-0000-00007E1B0000}"/>
    <cellStyle name="Comma [0] 3 39 2 3 2" xfId="8490" xr:uid="{00000000-0005-0000-0000-00007F1B0000}"/>
    <cellStyle name="Comma [0] 3 39 2 3 2 2" xfId="16235" xr:uid="{00000000-0005-0000-0000-0000801B0000}"/>
    <cellStyle name="Comma [0] 3 39 2 3 2 2 2" xfId="31827" xr:uid="{00000000-0005-0000-0000-0000811B0000}"/>
    <cellStyle name="Comma [0] 3 39 2 3 2 2 3" xfId="47319" xr:uid="{00000000-0005-0000-0000-0000821B0000}"/>
    <cellStyle name="Comma [0] 3 39 2 3 2 3" xfId="24087" xr:uid="{00000000-0005-0000-0000-0000831B0000}"/>
    <cellStyle name="Comma [0] 3 39 2 3 2 4" xfId="39579" xr:uid="{00000000-0005-0000-0000-0000841B0000}"/>
    <cellStyle name="Comma [0] 3 39 2 3 3" xfId="12365" xr:uid="{00000000-0005-0000-0000-0000851B0000}"/>
    <cellStyle name="Comma [0] 3 39 2 3 3 2" xfId="27957" xr:uid="{00000000-0005-0000-0000-0000861B0000}"/>
    <cellStyle name="Comma [0] 3 39 2 3 3 3" xfId="43449" xr:uid="{00000000-0005-0000-0000-0000871B0000}"/>
    <cellStyle name="Comma [0] 3 39 2 3 4" xfId="20217" xr:uid="{00000000-0005-0000-0000-0000881B0000}"/>
    <cellStyle name="Comma [0] 3 39 2 3 5" xfId="35709" xr:uid="{00000000-0005-0000-0000-0000891B0000}"/>
    <cellStyle name="Comma [0] 3 39 2 4" xfId="6563" xr:uid="{00000000-0005-0000-0000-00008A1B0000}"/>
    <cellStyle name="Comma [0] 3 39 2 4 2" xfId="14308" xr:uid="{00000000-0005-0000-0000-00008B1B0000}"/>
    <cellStyle name="Comma [0] 3 39 2 4 2 2" xfId="29900" xr:uid="{00000000-0005-0000-0000-00008C1B0000}"/>
    <cellStyle name="Comma [0] 3 39 2 4 2 3" xfId="45392" xr:uid="{00000000-0005-0000-0000-00008D1B0000}"/>
    <cellStyle name="Comma [0] 3 39 2 4 3" xfId="22160" xr:uid="{00000000-0005-0000-0000-00008E1B0000}"/>
    <cellStyle name="Comma [0] 3 39 2 4 4" xfId="37652" xr:uid="{00000000-0005-0000-0000-00008F1B0000}"/>
    <cellStyle name="Comma [0] 3 39 2 5" xfId="10438" xr:uid="{00000000-0005-0000-0000-0000901B0000}"/>
    <cellStyle name="Comma [0] 3 39 2 5 2" xfId="26030" xr:uid="{00000000-0005-0000-0000-0000911B0000}"/>
    <cellStyle name="Comma [0] 3 39 2 5 3" xfId="41522" xr:uid="{00000000-0005-0000-0000-0000921B0000}"/>
    <cellStyle name="Comma [0] 3 39 2 6" xfId="18290" xr:uid="{00000000-0005-0000-0000-0000931B0000}"/>
    <cellStyle name="Comma [0] 3 39 2 7" xfId="33782" xr:uid="{00000000-0005-0000-0000-0000941B0000}"/>
    <cellStyle name="Comma [0] 3 39 3" xfId="3319" xr:uid="{00000000-0005-0000-0000-0000951B0000}"/>
    <cellStyle name="Comma [0] 3 39 3 2" xfId="5258" xr:uid="{00000000-0005-0000-0000-0000961B0000}"/>
    <cellStyle name="Comma [0] 3 39 3 2 2" xfId="9129" xr:uid="{00000000-0005-0000-0000-0000971B0000}"/>
    <cellStyle name="Comma [0] 3 39 3 2 2 2" xfId="16874" xr:uid="{00000000-0005-0000-0000-0000981B0000}"/>
    <cellStyle name="Comma [0] 3 39 3 2 2 2 2" xfId="32466" xr:uid="{00000000-0005-0000-0000-0000991B0000}"/>
    <cellStyle name="Comma [0] 3 39 3 2 2 2 3" xfId="47958" xr:uid="{00000000-0005-0000-0000-00009A1B0000}"/>
    <cellStyle name="Comma [0] 3 39 3 2 2 3" xfId="24726" xr:uid="{00000000-0005-0000-0000-00009B1B0000}"/>
    <cellStyle name="Comma [0] 3 39 3 2 2 4" xfId="40218" xr:uid="{00000000-0005-0000-0000-00009C1B0000}"/>
    <cellStyle name="Comma [0] 3 39 3 2 3" xfId="13004" xr:uid="{00000000-0005-0000-0000-00009D1B0000}"/>
    <cellStyle name="Comma [0] 3 39 3 2 3 2" xfId="28596" xr:uid="{00000000-0005-0000-0000-00009E1B0000}"/>
    <cellStyle name="Comma [0] 3 39 3 2 3 3" xfId="44088" xr:uid="{00000000-0005-0000-0000-00009F1B0000}"/>
    <cellStyle name="Comma [0] 3 39 3 2 4" xfId="20856" xr:uid="{00000000-0005-0000-0000-0000A01B0000}"/>
    <cellStyle name="Comma [0] 3 39 3 2 5" xfId="36348" xr:uid="{00000000-0005-0000-0000-0000A11B0000}"/>
    <cellStyle name="Comma [0] 3 39 3 3" xfId="7202" xr:uid="{00000000-0005-0000-0000-0000A21B0000}"/>
    <cellStyle name="Comma [0] 3 39 3 3 2" xfId="14947" xr:uid="{00000000-0005-0000-0000-0000A31B0000}"/>
    <cellStyle name="Comma [0] 3 39 3 3 2 2" xfId="30539" xr:uid="{00000000-0005-0000-0000-0000A41B0000}"/>
    <cellStyle name="Comma [0] 3 39 3 3 2 3" xfId="46031" xr:uid="{00000000-0005-0000-0000-0000A51B0000}"/>
    <cellStyle name="Comma [0] 3 39 3 3 3" xfId="22799" xr:uid="{00000000-0005-0000-0000-0000A61B0000}"/>
    <cellStyle name="Comma [0] 3 39 3 3 4" xfId="38291" xr:uid="{00000000-0005-0000-0000-0000A71B0000}"/>
    <cellStyle name="Comma [0] 3 39 3 4" xfId="11077" xr:uid="{00000000-0005-0000-0000-0000A81B0000}"/>
    <cellStyle name="Comma [0] 3 39 3 4 2" xfId="26669" xr:uid="{00000000-0005-0000-0000-0000A91B0000}"/>
    <cellStyle name="Comma [0] 3 39 3 4 3" xfId="42161" xr:uid="{00000000-0005-0000-0000-0000AA1B0000}"/>
    <cellStyle name="Comma [0] 3 39 3 5" xfId="18929" xr:uid="{00000000-0005-0000-0000-0000AB1B0000}"/>
    <cellStyle name="Comma [0] 3 39 3 6" xfId="34421" xr:uid="{00000000-0005-0000-0000-0000AC1B0000}"/>
    <cellStyle name="Comma [0] 3 39 4" xfId="4310" xr:uid="{00000000-0005-0000-0000-0000AD1B0000}"/>
    <cellStyle name="Comma [0] 3 39 4 2" xfId="8181" xr:uid="{00000000-0005-0000-0000-0000AE1B0000}"/>
    <cellStyle name="Comma [0] 3 39 4 2 2" xfId="15926" xr:uid="{00000000-0005-0000-0000-0000AF1B0000}"/>
    <cellStyle name="Comma [0] 3 39 4 2 2 2" xfId="31518" xr:uid="{00000000-0005-0000-0000-0000B01B0000}"/>
    <cellStyle name="Comma [0] 3 39 4 2 2 3" xfId="47010" xr:uid="{00000000-0005-0000-0000-0000B11B0000}"/>
    <cellStyle name="Comma [0] 3 39 4 2 3" xfId="23778" xr:uid="{00000000-0005-0000-0000-0000B21B0000}"/>
    <cellStyle name="Comma [0] 3 39 4 2 4" xfId="39270" xr:uid="{00000000-0005-0000-0000-0000B31B0000}"/>
    <cellStyle name="Comma [0] 3 39 4 3" xfId="12056" xr:uid="{00000000-0005-0000-0000-0000B41B0000}"/>
    <cellStyle name="Comma [0] 3 39 4 3 2" xfId="27648" xr:uid="{00000000-0005-0000-0000-0000B51B0000}"/>
    <cellStyle name="Comma [0] 3 39 4 3 3" xfId="43140" xr:uid="{00000000-0005-0000-0000-0000B61B0000}"/>
    <cellStyle name="Comma [0] 3 39 4 4" xfId="19908" xr:uid="{00000000-0005-0000-0000-0000B71B0000}"/>
    <cellStyle name="Comma [0] 3 39 4 5" xfId="35400" xr:uid="{00000000-0005-0000-0000-0000B81B0000}"/>
    <cellStyle name="Comma [0] 3 39 5" xfId="6254" xr:uid="{00000000-0005-0000-0000-0000B91B0000}"/>
    <cellStyle name="Comma [0] 3 39 5 2" xfId="13999" xr:uid="{00000000-0005-0000-0000-0000BA1B0000}"/>
    <cellStyle name="Comma [0] 3 39 5 2 2" xfId="29591" xr:uid="{00000000-0005-0000-0000-0000BB1B0000}"/>
    <cellStyle name="Comma [0] 3 39 5 2 3" xfId="45083" xr:uid="{00000000-0005-0000-0000-0000BC1B0000}"/>
    <cellStyle name="Comma [0] 3 39 5 3" xfId="21851" xr:uid="{00000000-0005-0000-0000-0000BD1B0000}"/>
    <cellStyle name="Comma [0] 3 39 5 4" xfId="37343" xr:uid="{00000000-0005-0000-0000-0000BE1B0000}"/>
    <cellStyle name="Comma [0] 3 39 6" xfId="10129" xr:uid="{00000000-0005-0000-0000-0000BF1B0000}"/>
    <cellStyle name="Comma [0] 3 39 6 2" xfId="25721" xr:uid="{00000000-0005-0000-0000-0000C01B0000}"/>
    <cellStyle name="Comma [0] 3 39 6 3" xfId="41213" xr:uid="{00000000-0005-0000-0000-0000C11B0000}"/>
    <cellStyle name="Comma [0] 3 39 7" xfId="17981" xr:uid="{00000000-0005-0000-0000-0000C21B0000}"/>
    <cellStyle name="Comma [0] 3 39 8" xfId="33473" xr:uid="{00000000-0005-0000-0000-0000C31B0000}"/>
    <cellStyle name="Comma [0] 3 4" xfId="428" xr:uid="{00000000-0005-0000-0000-0000C41B0000}"/>
    <cellStyle name="Comma [0] 3 4 10" xfId="429" xr:uid="{00000000-0005-0000-0000-0000C51B0000}"/>
    <cellStyle name="Comma [0] 3 4 11" xfId="430" xr:uid="{00000000-0005-0000-0000-0000C61B0000}"/>
    <cellStyle name="Comma [0] 3 4 12" xfId="431" xr:uid="{00000000-0005-0000-0000-0000C71B0000}"/>
    <cellStyle name="Comma [0] 3 4 13" xfId="432" xr:uid="{00000000-0005-0000-0000-0000C81B0000}"/>
    <cellStyle name="Comma [0] 3 4 14" xfId="433" xr:uid="{00000000-0005-0000-0000-0000C91B0000}"/>
    <cellStyle name="Comma [0] 3 4 15" xfId="434" xr:uid="{00000000-0005-0000-0000-0000CA1B0000}"/>
    <cellStyle name="Comma [0] 3 4 16" xfId="435" xr:uid="{00000000-0005-0000-0000-0000CB1B0000}"/>
    <cellStyle name="Comma [0] 3 4 17" xfId="436" xr:uid="{00000000-0005-0000-0000-0000CC1B0000}"/>
    <cellStyle name="Comma [0] 3 4 18" xfId="437" xr:uid="{00000000-0005-0000-0000-0000CD1B0000}"/>
    <cellStyle name="Comma [0] 3 4 19" xfId="438" xr:uid="{00000000-0005-0000-0000-0000CE1B0000}"/>
    <cellStyle name="Comma [0] 3 4 2" xfId="439" xr:uid="{00000000-0005-0000-0000-0000CF1B0000}"/>
    <cellStyle name="Comma [0] 3 4 20" xfId="440" xr:uid="{00000000-0005-0000-0000-0000D01B0000}"/>
    <cellStyle name="Comma [0] 3 4 21" xfId="441" xr:uid="{00000000-0005-0000-0000-0000D11B0000}"/>
    <cellStyle name="Comma [0] 3 4 22" xfId="442" xr:uid="{00000000-0005-0000-0000-0000D21B0000}"/>
    <cellStyle name="Comma [0] 3 4 23" xfId="443" xr:uid="{00000000-0005-0000-0000-0000D31B0000}"/>
    <cellStyle name="Comma [0] 3 4 24" xfId="444" xr:uid="{00000000-0005-0000-0000-0000D41B0000}"/>
    <cellStyle name="Comma [0] 3 4 25" xfId="445" xr:uid="{00000000-0005-0000-0000-0000D51B0000}"/>
    <cellStyle name="Comma [0] 3 4 26" xfId="446" xr:uid="{00000000-0005-0000-0000-0000D61B0000}"/>
    <cellStyle name="Comma [0] 3 4 27" xfId="447" xr:uid="{00000000-0005-0000-0000-0000D71B0000}"/>
    <cellStyle name="Comma [0] 3 4 28" xfId="448" xr:uid="{00000000-0005-0000-0000-0000D81B0000}"/>
    <cellStyle name="Comma [0] 3 4 3" xfId="449" xr:uid="{00000000-0005-0000-0000-0000D91B0000}"/>
    <cellStyle name="Comma [0] 3 4 4" xfId="450" xr:uid="{00000000-0005-0000-0000-0000DA1B0000}"/>
    <cellStyle name="Comma [0] 3 4 5" xfId="451" xr:uid="{00000000-0005-0000-0000-0000DB1B0000}"/>
    <cellStyle name="Comma [0] 3 4 6" xfId="452" xr:uid="{00000000-0005-0000-0000-0000DC1B0000}"/>
    <cellStyle name="Comma [0] 3 4 7" xfId="453" xr:uid="{00000000-0005-0000-0000-0000DD1B0000}"/>
    <cellStyle name="Comma [0] 3 4 8" xfId="454" xr:uid="{00000000-0005-0000-0000-0000DE1B0000}"/>
    <cellStyle name="Comma [0] 3 4 9" xfId="455" xr:uid="{00000000-0005-0000-0000-0000DF1B0000}"/>
    <cellStyle name="Comma [0] 3 40" xfId="2343" xr:uid="{00000000-0005-0000-0000-0000E01B0000}"/>
    <cellStyle name="Comma [0] 3 40 2" xfId="2656" xr:uid="{00000000-0005-0000-0000-0000E11B0000}"/>
    <cellStyle name="Comma [0] 3 40 2 2" xfId="3664" xr:uid="{00000000-0005-0000-0000-0000E21B0000}"/>
    <cellStyle name="Comma [0] 3 40 2 2 2" xfId="5603" xr:uid="{00000000-0005-0000-0000-0000E31B0000}"/>
    <cellStyle name="Comma [0] 3 40 2 2 2 2" xfId="9474" xr:uid="{00000000-0005-0000-0000-0000E41B0000}"/>
    <cellStyle name="Comma [0] 3 40 2 2 2 2 2" xfId="17219" xr:uid="{00000000-0005-0000-0000-0000E51B0000}"/>
    <cellStyle name="Comma [0] 3 40 2 2 2 2 2 2" xfId="32811" xr:uid="{00000000-0005-0000-0000-0000E61B0000}"/>
    <cellStyle name="Comma [0] 3 40 2 2 2 2 2 3" xfId="48303" xr:uid="{00000000-0005-0000-0000-0000E71B0000}"/>
    <cellStyle name="Comma [0] 3 40 2 2 2 2 3" xfId="25071" xr:uid="{00000000-0005-0000-0000-0000E81B0000}"/>
    <cellStyle name="Comma [0] 3 40 2 2 2 2 4" xfId="40563" xr:uid="{00000000-0005-0000-0000-0000E91B0000}"/>
    <cellStyle name="Comma [0] 3 40 2 2 2 3" xfId="13349" xr:uid="{00000000-0005-0000-0000-0000EA1B0000}"/>
    <cellStyle name="Comma [0] 3 40 2 2 2 3 2" xfId="28941" xr:uid="{00000000-0005-0000-0000-0000EB1B0000}"/>
    <cellStyle name="Comma [0] 3 40 2 2 2 3 3" xfId="44433" xr:uid="{00000000-0005-0000-0000-0000EC1B0000}"/>
    <cellStyle name="Comma [0] 3 40 2 2 2 4" xfId="21201" xr:uid="{00000000-0005-0000-0000-0000ED1B0000}"/>
    <cellStyle name="Comma [0] 3 40 2 2 2 5" xfId="36693" xr:uid="{00000000-0005-0000-0000-0000EE1B0000}"/>
    <cellStyle name="Comma [0] 3 40 2 2 3" xfId="7547" xr:uid="{00000000-0005-0000-0000-0000EF1B0000}"/>
    <cellStyle name="Comma [0] 3 40 2 2 3 2" xfId="15292" xr:uid="{00000000-0005-0000-0000-0000F01B0000}"/>
    <cellStyle name="Comma [0] 3 40 2 2 3 2 2" xfId="30884" xr:uid="{00000000-0005-0000-0000-0000F11B0000}"/>
    <cellStyle name="Comma [0] 3 40 2 2 3 2 3" xfId="46376" xr:uid="{00000000-0005-0000-0000-0000F21B0000}"/>
    <cellStyle name="Comma [0] 3 40 2 2 3 3" xfId="23144" xr:uid="{00000000-0005-0000-0000-0000F31B0000}"/>
    <cellStyle name="Comma [0] 3 40 2 2 3 4" xfId="38636" xr:uid="{00000000-0005-0000-0000-0000F41B0000}"/>
    <cellStyle name="Comma [0] 3 40 2 2 4" xfId="11422" xr:uid="{00000000-0005-0000-0000-0000F51B0000}"/>
    <cellStyle name="Comma [0] 3 40 2 2 4 2" xfId="27014" xr:uid="{00000000-0005-0000-0000-0000F61B0000}"/>
    <cellStyle name="Comma [0] 3 40 2 2 4 3" xfId="42506" xr:uid="{00000000-0005-0000-0000-0000F71B0000}"/>
    <cellStyle name="Comma [0] 3 40 2 2 5" xfId="19274" xr:uid="{00000000-0005-0000-0000-0000F81B0000}"/>
    <cellStyle name="Comma [0] 3 40 2 2 6" xfId="34766" xr:uid="{00000000-0005-0000-0000-0000F91B0000}"/>
    <cellStyle name="Comma [0] 3 40 2 3" xfId="4655" xr:uid="{00000000-0005-0000-0000-0000FA1B0000}"/>
    <cellStyle name="Comma [0] 3 40 2 3 2" xfId="8526" xr:uid="{00000000-0005-0000-0000-0000FB1B0000}"/>
    <cellStyle name="Comma [0] 3 40 2 3 2 2" xfId="16271" xr:uid="{00000000-0005-0000-0000-0000FC1B0000}"/>
    <cellStyle name="Comma [0] 3 40 2 3 2 2 2" xfId="31863" xr:uid="{00000000-0005-0000-0000-0000FD1B0000}"/>
    <cellStyle name="Comma [0] 3 40 2 3 2 2 3" xfId="47355" xr:uid="{00000000-0005-0000-0000-0000FE1B0000}"/>
    <cellStyle name="Comma [0] 3 40 2 3 2 3" xfId="24123" xr:uid="{00000000-0005-0000-0000-0000FF1B0000}"/>
    <cellStyle name="Comma [0] 3 40 2 3 2 4" xfId="39615" xr:uid="{00000000-0005-0000-0000-0000001C0000}"/>
    <cellStyle name="Comma [0] 3 40 2 3 3" xfId="12401" xr:uid="{00000000-0005-0000-0000-0000011C0000}"/>
    <cellStyle name="Comma [0] 3 40 2 3 3 2" xfId="27993" xr:uid="{00000000-0005-0000-0000-0000021C0000}"/>
    <cellStyle name="Comma [0] 3 40 2 3 3 3" xfId="43485" xr:uid="{00000000-0005-0000-0000-0000031C0000}"/>
    <cellStyle name="Comma [0] 3 40 2 3 4" xfId="20253" xr:uid="{00000000-0005-0000-0000-0000041C0000}"/>
    <cellStyle name="Comma [0] 3 40 2 3 5" xfId="35745" xr:uid="{00000000-0005-0000-0000-0000051C0000}"/>
    <cellStyle name="Comma [0] 3 40 2 4" xfId="6599" xr:uid="{00000000-0005-0000-0000-0000061C0000}"/>
    <cellStyle name="Comma [0] 3 40 2 4 2" xfId="14344" xr:uid="{00000000-0005-0000-0000-0000071C0000}"/>
    <cellStyle name="Comma [0] 3 40 2 4 2 2" xfId="29936" xr:uid="{00000000-0005-0000-0000-0000081C0000}"/>
    <cellStyle name="Comma [0] 3 40 2 4 2 3" xfId="45428" xr:uid="{00000000-0005-0000-0000-0000091C0000}"/>
    <cellStyle name="Comma [0] 3 40 2 4 3" xfId="22196" xr:uid="{00000000-0005-0000-0000-00000A1C0000}"/>
    <cellStyle name="Comma [0] 3 40 2 4 4" xfId="37688" xr:uid="{00000000-0005-0000-0000-00000B1C0000}"/>
    <cellStyle name="Comma [0] 3 40 2 5" xfId="10474" xr:uid="{00000000-0005-0000-0000-00000C1C0000}"/>
    <cellStyle name="Comma [0] 3 40 2 5 2" xfId="26066" xr:uid="{00000000-0005-0000-0000-00000D1C0000}"/>
    <cellStyle name="Comma [0] 3 40 2 5 3" xfId="41558" xr:uid="{00000000-0005-0000-0000-00000E1C0000}"/>
    <cellStyle name="Comma [0] 3 40 2 6" xfId="18326" xr:uid="{00000000-0005-0000-0000-00000F1C0000}"/>
    <cellStyle name="Comma [0] 3 40 2 7" xfId="33818" xr:uid="{00000000-0005-0000-0000-0000101C0000}"/>
    <cellStyle name="Comma [0] 3 40 3" xfId="3355" xr:uid="{00000000-0005-0000-0000-0000111C0000}"/>
    <cellStyle name="Comma [0] 3 40 3 2" xfId="5294" xr:uid="{00000000-0005-0000-0000-0000121C0000}"/>
    <cellStyle name="Comma [0] 3 40 3 2 2" xfId="9165" xr:uid="{00000000-0005-0000-0000-0000131C0000}"/>
    <cellStyle name="Comma [0] 3 40 3 2 2 2" xfId="16910" xr:uid="{00000000-0005-0000-0000-0000141C0000}"/>
    <cellStyle name="Comma [0] 3 40 3 2 2 2 2" xfId="32502" xr:uid="{00000000-0005-0000-0000-0000151C0000}"/>
    <cellStyle name="Comma [0] 3 40 3 2 2 2 3" xfId="47994" xr:uid="{00000000-0005-0000-0000-0000161C0000}"/>
    <cellStyle name="Comma [0] 3 40 3 2 2 3" xfId="24762" xr:uid="{00000000-0005-0000-0000-0000171C0000}"/>
    <cellStyle name="Comma [0] 3 40 3 2 2 4" xfId="40254" xr:uid="{00000000-0005-0000-0000-0000181C0000}"/>
    <cellStyle name="Comma [0] 3 40 3 2 3" xfId="13040" xr:uid="{00000000-0005-0000-0000-0000191C0000}"/>
    <cellStyle name="Comma [0] 3 40 3 2 3 2" xfId="28632" xr:uid="{00000000-0005-0000-0000-00001A1C0000}"/>
    <cellStyle name="Comma [0] 3 40 3 2 3 3" xfId="44124" xr:uid="{00000000-0005-0000-0000-00001B1C0000}"/>
    <cellStyle name="Comma [0] 3 40 3 2 4" xfId="20892" xr:uid="{00000000-0005-0000-0000-00001C1C0000}"/>
    <cellStyle name="Comma [0] 3 40 3 2 5" xfId="36384" xr:uid="{00000000-0005-0000-0000-00001D1C0000}"/>
    <cellStyle name="Comma [0] 3 40 3 3" xfId="7238" xr:uid="{00000000-0005-0000-0000-00001E1C0000}"/>
    <cellStyle name="Comma [0] 3 40 3 3 2" xfId="14983" xr:uid="{00000000-0005-0000-0000-00001F1C0000}"/>
    <cellStyle name="Comma [0] 3 40 3 3 2 2" xfId="30575" xr:uid="{00000000-0005-0000-0000-0000201C0000}"/>
    <cellStyle name="Comma [0] 3 40 3 3 2 3" xfId="46067" xr:uid="{00000000-0005-0000-0000-0000211C0000}"/>
    <cellStyle name="Comma [0] 3 40 3 3 3" xfId="22835" xr:uid="{00000000-0005-0000-0000-0000221C0000}"/>
    <cellStyle name="Comma [0] 3 40 3 3 4" xfId="38327" xr:uid="{00000000-0005-0000-0000-0000231C0000}"/>
    <cellStyle name="Comma [0] 3 40 3 4" xfId="11113" xr:uid="{00000000-0005-0000-0000-0000241C0000}"/>
    <cellStyle name="Comma [0] 3 40 3 4 2" xfId="26705" xr:uid="{00000000-0005-0000-0000-0000251C0000}"/>
    <cellStyle name="Comma [0] 3 40 3 4 3" xfId="42197" xr:uid="{00000000-0005-0000-0000-0000261C0000}"/>
    <cellStyle name="Comma [0] 3 40 3 5" xfId="18965" xr:uid="{00000000-0005-0000-0000-0000271C0000}"/>
    <cellStyle name="Comma [0] 3 40 3 6" xfId="34457" xr:uid="{00000000-0005-0000-0000-0000281C0000}"/>
    <cellStyle name="Comma [0] 3 40 4" xfId="4346" xr:uid="{00000000-0005-0000-0000-0000291C0000}"/>
    <cellStyle name="Comma [0] 3 40 4 2" xfId="8217" xr:uid="{00000000-0005-0000-0000-00002A1C0000}"/>
    <cellStyle name="Comma [0] 3 40 4 2 2" xfId="15962" xr:uid="{00000000-0005-0000-0000-00002B1C0000}"/>
    <cellStyle name="Comma [0] 3 40 4 2 2 2" xfId="31554" xr:uid="{00000000-0005-0000-0000-00002C1C0000}"/>
    <cellStyle name="Comma [0] 3 40 4 2 2 3" xfId="47046" xr:uid="{00000000-0005-0000-0000-00002D1C0000}"/>
    <cellStyle name="Comma [0] 3 40 4 2 3" xfId="23814" xr:uid="{00000000-0005-0000-0000-00002E1C0000}"/>
    <cellStyle name="Comma [0] 3 40 4 2 4" xfId="39306" xr:uid="{00000000-0005-0000-0000-00002F1C0000}"/>
    <cellStyle name="Comma [0] 3 40 4 3" xfId="12092" xr:uid="{00000000-0005-0000-0000-0000301C0000}"/>
    <cellStyle name="Comma [0] 3 40 4 3 2" xfId="27684" xr:uid="{00000000-0005-0000-0000-0000311C0000}"/>
    <cellStyle name="Comma [0] 3 40 4 3 3" xfId="43176" xr:uid="{00000000-0005-0000-0000-0000321C0000}"/>
    <cellStyle name="Comma [0] 3 40 4 4" xfId="19944" xr:uid="{00000000-0005-0000-0000-0000331C0000}"/>
    <cellStyle name="Comma [0] 3 40 4 5" xfId="35436" xr:uid="{00000000-0005-0000-0000-0000341C0000}"/>
    <cellStyle name="Comma [0] 3 40 5" xfId="6290" xr:uid="{00000000-0005-0000-0000-0000351C0000}"/>
    <cellStyle name="Comma [0] 3 40 5 2" xfId="14035" xr:uid="{00000000-0005-0000-0000-0000361C0000}"/>
    <cellStyle name="Comma [0] 3 40 5 2 2" xfId="29627" xr:uid="{00000000-0005-0000-0000-0000371C0000}"/>
    <cellStyle name="Comma [0] 3 40 5 2 3" xfId="45119" xr:uid="{00000000-0005-0000-0000-0000381C0000}"/>
    <cellStyle name="Comma [0] 3 40 5 3" xfId="21887" xr:uid="{00000000-0005-0000-0000-0000391C0000}"/>
    <cellStyle name="Comma [0] 3 40 5 4" xfId="37379" xr:uid="{00000000-0005-0000-0000-00003A1C0000}"/>
    <cellStyle name="Comma [0] 3 40 6" xfId="10165" xr:uid="{00000000-0005-0000-0000-00003B1C0000}"/>
    <cellStyle name="Comma [0] 3 40 6 2" xfId="25757" xr:uid="{00000000-0005-0000-0000-00003C1C0000}"/>
    <cellStyle name="Comma [0] 3 40 6 3" xfId="41249" xr:uid="{00000000-0005-0000-0000-00003D1C0000}"/>
    <cellStyle name="Comma [0] 3 40 7" xfId="18017" xr:uid="{00000000-0005-0000-0000-00003E1C0000}"/>
    <cellStyle name="Comma [0] 3 40 8" xfId="33509" xr:uid="{00000000-0005-0000-0000-00003F1C0000}"/>
    <cellStyle name="Comma [0] 3 41" xfId="2380" xr:uid="{00000000-0005-0000-0000-0000401C0000}"/>
    <cellStyle name="Comma [0] 3 41 2" xfId="2692" xr:uid="{00000000-0005-0000-0000-0000411C0000}"/>
    <cellStyle name="Comma [0] 3 41 2 2" xfId="3700" xr:uid="{00000000-0005-0000-0000-0000421C0000}"/>
    <cellStyle name="Comma [0] 3 41 2 2 2" xfId="5639" xr:uid="{00000000-0005-0000-0000-0000431C0000}"/>
    <cellStyle name="Comma [0] 3 41 2 2 2 2" xfId="9510" xr:uid="{00000000-0005-0000-0000-0000441C0000}"/>
    <cellStyle name="Comma [0] 3 41 2 2 2 2 2" xfId="17255" xr:uid="{00000000-0005-0000-0000-0000451C0000}"/>
    <cellStyle name="Comma [0] 3 41 2 2 2 2 2 2" xfId="32847" xr:uid="{00000000-0005-0000-0000-0000461C0000}"/>
    <cellStyle name="Comma [0] 3 41 2 2 2 2 2 3" xfId="48339" xr:uid="{00000000-0005-0000-0000-0000471C0000}"/>
    <cellStyle name="Comma [0] 3 41 2 2 2 2 3" xfId="25107" xr:uid="{00000000-0005-0000-0000-0000481C0000}"/>
    <cellStyle name="Comma [0] 3 41 2 2 2 2 4" xfId="40599" xr:uid="{00000000-0005-0000-0000-0000491C0000}"/>
    <cellStyle name="Comma [0] 3 41 2 2 2 3" xfId="13385" xr:uid="{00000000-0005-0000-0000-00004A1C0000}"/>
    <cellStyle name="Comma [0] 3 41 2 2 2 3 2" xfId="28977" xr:uid="{00000000-0005-0000-0000-00004B1C0000}"/>
    <cellStyle name="Comma [0] 3 41 2 2 2 3 3" xfId="44469" xr:uid="{00000000-0005-0000-0000-00004C1C0000}"/>
    <cellStyle name="Comma [0] 3 41 2 2 2 4" xfId="21237" xr:uid="{00000000-0005-0000-0000-00004D1C0000}"/>
    <cellStyle name="Comma [0] 3 41 2 2 2 5" xfId="36729" xr:uid="{00000000-0005-0000-0000-00004E1C0000}"/>
    <cellStyle name="Comma [0] 3 41 2 2 3" xfId="7583" xr:uid="{00000000-0005-0000-0000-00004F1C0000}"/>
    <cellStyle name="Comma [0] 3 41 2 2 3 2" xfId="15328" xr:uid="{00000000-0005-0000-0000-0000501C0000}"/>
    <cellStyle name="Comma [0] 3 41 2 2 3 2 2" xfId="30920" xr:uid="{00000000-0005-0000-0000-0000511C0000}"/>
    <cellStyle name="Comma [0] 3 41 2 2 3 2 3" xfId="46412" xr:uid="{00000000-0005-0000-0000-0000521C0000}"/>
    <cellStyle name="Comma [0] 3 41 2 2 3 3" xfId="23180" xr:uid="{00000000-0005-0000-0000-0000531C0000}"/>
    <cellStyle name="Comma [0] 3 41 2 2 3 4" xfId="38672" xr:uid="{00000000-0005-0000-0000-0000541C0000}"/>
    <cellStyle name="Comma [0] 3 41 2 2 4" xfId="11458" xr:uid="{00000000-0005-0000-0000-0000551C0000}"/>
    <cellStyle name="Comma [0] 3 41 2 2 4 2" xfId="27050" xr:uid="{00000000-0005-0000-0000-0000561C0000}"/>
    <cellStyle name="Comma [0] 3 41 2 2 4 3" xfId="42542" xr:uid="{00000000-0005-0000-0000-0000571C0000}"/>
    <cellStyle name="Comma [0] 3 41 2 2 5" xfId="19310" xr:uid="{00000000-0005-0000-0000-0000581C0000}"/>
    <cellStyle name="Comma [0] 3 41 2 2 6" xfId="34802" xr:uid="{00000000-0005-0000-0000-0000591C0000}"/>
    <cellStyle name="Comma [0] 3 41 2 3" xfId="4691" xr:uid="{00000000-0005-0000-0000-00005A1C0000}"/>
    <cellStyle name="Comma [0] 3 41 2 3 2" xfId="8562" xr:uid="{00000000-0005-0000-0000-00005B1C0000}"/>
    <cellStyle name="Comma [0] 3 41 2 3 2 2" xfId="16307" xr:uid="{00000000-0005-0000-0000-00005C1C0000}"/>
    <cellStyle name="Comma [0] 3 41 2 3 2 2 2" xfId="31899" xr:uid="{00000000-0005-0000-0000-00005D1C0000}"/>
    <cellStyle name="Comma [0] 3 41 2 3 2 2 3" xfId="47391" xr:uid="{00000000-0005-0000-0000-00005E1C0000}"/>
    <cellStyle name="Comma [0] 3 41 2 3 2 3" xfId="24159" xr:uid="{00000000-0005-0000-0000-00005F1C0000}"/>
    <cellStyle name="Comma [0] 3 41 2 3 2 4" xfId="39651" xr:uid="{00000000-0005-0000-0000-0000601C0000}"/>
    <cellStyle name="Comma [0] 3 41 2 3 3" xfId="12437" xr:uid="{00000000-0005-0000-0000-0000611C0000}"/>
    <cellStyle name="Comma [0] 3 41 2 3 3 2" xfId="28029" xr:uid="{00000000-0005-0000-0000-0000621C0000}"/>
    <cellStyle name="Comma [0] 3 41 2 3 3 3" xfId="43521" xr:uid="{00000000-0005-0000-0000-0000631C0000}"/>
    <cellStyle name="Comma [0] 3 41 2 3 4" xfId="20289" xr:uid="{00000000-0005-0000-0000-0000641C0000}"/>
    <cellStyle name="Comma [0] 3 41 2 3 5" xfId="35781" xr:uid="{00000000-0005-0000-0000-0000651C0000}"/>
    <cellStyle name="Comma [0] 3 41 2 4" xfId="6635" xr:uid="{00000000-0005-0000-0000-0000661C0000}"/>
    <cellStyle name="Comma [0] 3 41 2 4 2" xfId="14380" xr:uid="{00000000-0005-0000-0000-0000671C0000}"/>
    <cellStyle name="Comma [0] 3 41 2 4 2 2" xfId="29972" xr:uid="{00000000-0005-0000-0000-0000681C0000}"/>
    <cellStyle name="Comma [0] 3 41 2 4 2 3" xfId="45464" xr:uid="{00000000-0005-0000-0000-0000691C0000}"/>
    <cellStyle name="Comma [0] 3 41 2 4 3" xfId="22232" xr:uid="{00000000-0005-0000-0000-00006A1C0000}"/>
    <cellStyle name="Comma [0] 3 41 2 4 4" xfId="37724" xr:uid="{00000000-0005-0000-0000-00006B1C0000}"/>
    <cellStyle name="Comma [0] 3 41 2 5" xfId="10510" xr:uid="{00000000-0005-0000-0000-00006C1C0000}"/>
    <cellStyle name="Comma [0] 3 41 2 5 2" xfId="26102" xr:uid="{00000000-0005-0000-0000-00006D1C0000}"/>
    <cellStyle name="Comma [0] 3 41 2 5 3" xfId="41594" xr:uid="{00000000-0005-0000-0000-00006E1C0000}"/>
    <cellStyle name="Comma [0] 3 41 2 6" xfId="18362" xr:uid="{00000000-0005-0000-0000-00006F1C0000}"/>
    <cellStyle name="Comma [0] 3 41 2 7" xfId="33854" xr:uid="{00000000-0005-0000-0000-0000701C0000}"/>
    <cellStyle name="Comma [0] 3 41 3" xfId="3391" xr:uid="{00000000-0005-0000-0000-0000711C0000}"/>
    <cellStyle name="Comma [0] 3 41 3 2" xfId="5330" xr:uid="{00000000-0005-0000-0000-0000721C0000}"/>
    <cellStyle name="Comma [0] 3 41 3 2 2" xfId="9201" xr:uid="{00000000-0005-0000-0000-0000731C0000}"/>
    <cellStyle name="Comma [0] 3 41 3 2 2 2" xfId="16946" xr:uid="{00000000-0005-0000-0000-0000741C0000}"/>
    <cellStyle name="Comma [0] 3 41 3 2 2 2 2" xfId="32538" xr:uid="{00000000-0005-0000-0000-0000751C0000}"/>
    <cellStyle name="Comma [0] 3 41 3 2 2 2 3" xfId="48030" xr:uid="{00000000-0005-0000-0000-0000761C0000}"/>
    <cellStyle name="Comma [0] 3 41 3 2 2 3" xfId="24798" xr:uid="{00000000-0005-0000-0000-0000771C0000}"/>
    <cellStyle name="Comma [0] 3 41 3 2 2 4" xfId="40290" xr:uid="{00000000-0005-0000-0000-0000781C0000}"/>
    <cellStyle name="Comma [0] 3 41 3 2 3" xfId="13076" xr:uid="{00000000-0005-0000-0000-0000791C0000}"/>
    <cellStyle name="Comma [0] 3 41 3 2 3 2" xfId="28668" xr:uid="{00000000-0005-0000-0000-00007A1C0000}"/>
    <cellStyle name="Comma [0] 3 41 3 2 3 3" xfId="44160" xr:uid="{00000000-0005-0000-0000-00007B1C0000}"/>
    <cellStyle name="Comma [0] 3 41 3 2 4" xfId="20928" xr:uid="{00000000-0005-0000-0000-00007C1C0000}"/>
    <cellStyle name="Comma [0] 3 41 3 2 5" xfId="36420" xr:uid="{00000000-0005-0000-0000-00007D1C0000}"/>
    <cellStyle name="Comma [0] 3 41 3 3" xfId="7274" xr:uid="{00000000-0005-0000-0000-00007E1C0000}"/>
    <cellStyle name="Comma [0] 3 41 3 3 2" xfId="15019" xr:uid="{00000000-0005-0000-0000-00007F1C0000}"/>
    <cellStyle name="Comma [0] 3 41 3 3 2 2" xfId="30611" xr:uid="{00000000-0005-0000-0000-0000801C0000}"/>
    <cellStyle name="Comma [0] 3 41 3 3 2 3" xfId="46103" xr:uid="{00000000-0005-0000-0000-0000811C0000}"/>
    <cellStyle name="Comma [0] 3 41 3 3 3" xfId="22871" xr:uid="{00000000-0005-0000-0000-0000821C0000}"/>
    <cellStyle name="Comma [0] 3 41 3 3 4" xfId="38363" xr:uid="{00000000-0005-0000-0000-0000831C0000}"/>
    <cellStyle name="Comma [0] 3 41 3 4" xfId="11149" xr:uid="{00000000-0005-0000-0000-0000841C0000}"/>
    <cellStyle name="Comma [0] 3 41 3 4 2" xfId="26741" xr:uid="{00000000-0005-0000-0000-0000851C0000}"/>
    <cellStyle name="Comma [0] 3 41 3 4 3" xfId="42233" xr:uid="{00000000-0005-0000-0000-0000861C0000}"/>
    <cellStyle name="Comma [0] 3 41 3 5" xfId="19001" xr:uid="{00000000-0005-0000-0000-0000871C0000}"/>
    <cellStyle name="Comma [0] 3 41 3 6" xfId="34493" xr:uid="{00000000-0005-0000-0000-0000881C0000}"/>
    <cellStyle name="Comma [0] 3 41 4" xfId="4382" xr:uid="{00000000-0005-0000-0000-0000891C0000}"/>
    <cellStyle name="Comma [0] 3 41 4 2" xfId="8253" xr:uid="{00000000-0005-0000-0000-00008A1C0000}"/>
    <cellStyle name="Comma [0] 3 41 4 2 2" xfId="15998" xr:uid="{00000000-0005-0000-0000-00008B1C0000}"/>
    <cellStyle name="Comma [0] 3 41 4 2 2 2" xfId="31590" xr:uid="{00000000-0005-0000-0000-00008C1C0000}"/>
    <cellStyle name="Comma [0] 3 41 4 2 2 3" xfId="47082" xr:uid="{00000000-0005-0000-0000-00008D1C0000}"/>
    <cellStyle name="Comma [0] 3 41 4 2 3" xfId="23850" xr:uid="{00000000-0005-0000-0000-00008E1C0000}"/>
    <cellStyle name="Comma [0] 3 41 4 2 4" xfId="39342" xr:uid="{00000000-0005-0000-0000-00008F1C0000}"/>
    <cellStyle name="Comma [0] 3 41 4 3" xfId="12128" xr:uid="{00000000-0005-0000-0000-0000901C0000}"/>
    <cellStyle name="Comma [0] 3 41 4 3 2" xfId="27720" xr:uid="{00000000-0005-0000-0000-0000911C0000}"/>
    <cellStyle name="Comma [0] 3 41 4 3 3" xfId="43212" xr:uid="{00000000-0005-0000-0000-0000921C0000}"/>
    <cellStyle name="Comma [0] 3 41 4 4" xfId="19980" xr:uid="{00000000-0005-0000-0000-0000931C0000}"/>
    <cellStyle name="Comma [0] 3 41 4 5" xfId="35472" xr:uid="{00000000-0005-0000-0000-0000941C0000}"/>
    <cellStyle name="Comma [0] 3 41 5" xfId="6326" xr:uid="{00000000-0005-0000-0000-0000951C0000}"/>
    <cellStyle name="Comma [0] 3 41 5 2" xfId="14071" xr:uid="{00000000-0005-0000-0000-0000961C0000}"/>
    <cellStyle name="Comma [0] 3 41 5 2 2" xfId="29663" xr:uid="{00000000-0005-0000-0000-0000971C0000}"/>
    <cellStyle name="Comma [0] 3 41 5 2 3" xfId="45155" xr:uid="{00000000-0005-0000-0000-0000981C0000}"/>
    <cellStyle name="Comma [0] 3 41 5 3" xfId="21923" xr:uid="{00000000-0005-0000-0000-0000991C0000}"/>
    <cellStyle name="Comma [0] 3 41 5 4" xfId="37415" xr:uid="{00000000-0005-0000-0000-00009A1C0000}"/>
    <cellStyle name="Comma [0] 3 41 6" xfId="10201" xr:uid="{00000000-0005-0000-0000-00009B1C0000}"/>
    <cellStyle name="Comma [0] 3 41 6 2" xfId="25793" xr:uid="{00000000-0005-0000-0000-00009C1C0000}"/>
    <cellStyle name="Comma [0] 3 41 6 3" xfId="41285" xr:uid="{00000000-0005-0000-0000-00009D1C0000}"/>
    <cellStyle name="Comma [0] 3 41 7" xfId="18053" xr:uid="{00000000-0005-0000-0000-00009E1C0000}"/>
    <cellStyle name="Comma [0] 3 41 8" xfId="33545" xr:uid="{00000000-0005-0000-0000-00009F1C0000}"/>
    <cellStyle name="Comma [0] 3 42" xfId="2418" xr:uid="{00000000-0005-0000-0000-0000A01C0000}"/>
    <cellStyle name="Comma [0] 3 42 2" xfId="2728" xr:uid="{00000000-0005-0000-0000-0000A11C0000}"/>
    <cellStyle name="Comma [0] 3 42 2 2" xfId="3736" xr:uid="{00000000-0005-0000-0000-0000A21C0000}"/>
    <cellStyle name="Comma [0] 3 42 2 2 2" xfId="5675" xr:uid="{00000000-0005-0000-0000-0000A31C0000}"/>
    <cellStyle name="Comma [0] 3 42 2 2 2 2" xfId="9546" xr:uid="{00000000-0005-0000-0000-0000A41C0000}"/>
    <cellStyle name="Comma [0] 3 42 2 2 2 2 2" xfId="17291" xr:uid="{00000000-0005-0000-0000-0000A51C0000}"/>
    <cellStyle name="Comma [0] 3 42 2 2 2 2 2 2" xfId="32883" xr:uid="{00000000-0005-0000-0000-0000A61C0000}"/>
    <cellStyle name="Comma [0] 3 42 2 2 2 2 2 3" xfId="48375" xr:uid="{00000000-0005-0000-0000-0000A71C0000}"/>
    <cellStyle name="Comma [0] 3 42 2 2 2 2 3" xfId="25143" xr:uid="{00000000-0005-0000-0000-0000A81C0000}"/>
    <cellStyle name="Comma [0] 3 42 2 2 2 2 4" xfId="40635" xr:uid="{00000000-0005-0000-0000-0000A91C0000}"/>
    <cellStyle name="Comma [0] 3 42 2 2 2 3" xfId="13421" xr:uid="{00000000-0005-0000-0000-0000AA1C0000}"/>
    <cellStyle name="Comma [0] 3 42 2 2 2 3 2" xfId="29013" xr:uid="{00000000-0005-0000-0000-0000AB1C0000}"/>
    <cellStyle name="Comma [0] 3 42 2 2 2 3 3" xfId="44505" xr:uid="{00000000-0005-0000-0000-0000AC1C0000}"/>
    <cellStyle name="Comma [0] 3 42 2 2 2 4" xfId="21273" xr:uid="{00000000-0005-0000-0000-0000AD1C0000}"/>
    <cellStyle name="Comma [0] 3 42 2 2 2 5" xfId="36765" xr:uid="{00000000-0005-0000-0000-0000AE1C0000}"/>
    <cellStyle name="Comma [0] 3 42 2 2 3" xfId="7619" xr:uid="{00000000-0005-0000-0000-0000AF1C0000}"/>
    <cellStyle name="Comma [0] 3 42 2 2 3 2" xfId="15364" xr:uid="{00000000-0005-0000-0000-0000B01C0000}"/>
    <cellStyle name="Comma [0] 3 42 2 2 3 2 2" xfId="30956" xr:uid="{00000000-0005-0000-0000-0000B11C0000}"/>
    <cellStyle name="Comma [0] 3 42 2 2 3 2 3" xfId="46448" xr:uid="{00000000-0005-0000-0000-0000B21C0000}"/>
    <cellStyle name="Comma [0] 3 42 2 2 3 3" xfId="23216" xr:uid="{00000000-0005-0000-0000-0000B31C0000}"/>
    <cellStyle name="Comma [0] 3 42 2 2 3 4" xfId="38708" xr:uid="{00000000-0005-0000-0000-0000B41C0000}"/>
    <cellStyle name="Comma [0] 3 42 2 2 4" xfId="11494" xr:uid="{00000000-0005-0000-0000-0000B51C0000}"/>
    <cellStyle name="Comma [0] 3 42 2 2 4 2" xfId="27086" xr:uid="{00000000-0005-0000-0000-0000B61C0000}"/>
    <cellStyle name="Comma [0] 3 42 2 2 4 3" xfId="42578" xr:uid="{00000000-0005-0000-0000-0000B71C0000}"/>
    <cellStyle name="Comma [0] 3 42 2 2 5" xfId="19346" xr:uid="{00000000-0005-0000-0000-0000B81C0000}"/>
    <cellStyle name="Comma [0] 3 42 2 2 6" xfId="34838" xr:uid="{00000000-0005-0000-0000-0000B91C0000}"/>
    <cellStyle name="Comma [0] 3 42 2 3" xfId="4727" xr:uid="{00000000-0005-0000-0000-0000BA1C0000}"/>
    <cellStyle name="Comma [0] 3 42 2 3 2" xfId="8598" xr:uid="{00000000-0005-0000-0000-0000BB1C0000}"/>
    <cellStyle name="Comma [0] 3 42 2 3 2 2" xfId="16343" xr:uid="{00000000-0005-0000-0000-0000BC1C0000}"/>
    <cellStyle name="Comma [0] 3 42 2 3 2 2 2" xfId="31935" xr:uid="{00000000-0005-0000-0000-0000BD1C0000}"/>
    <cellStyle name="Comma [0] 3 42 2 3 2 2 3" xfId="47427" xr:uid="{00000000-0005-0000-0000-0000BE1C0000}"/>
    <cellStyle name="Comma [0] 3 42 2 3 2 3" xfId="24195" xr:uid="{00000000-0005-0000-0000-0000BF1C0000}"/>
    <cellStyle name="Comma [0] 3 42 2 3 2 4" xfId="39687" xr:uid="{00000000-0005-0000-0000-0000C01C0000}"/>
    <cellStyle name="Comma [0] 3 42 2 3 3" xfId="12473" xr:uid="{00000000-0005-0000-0000-0000C11C0000}"/>
    <cellStyle name="Comma [0] 3 42 2 3 3 2" xfId="28065" xr:uid="{00000000-0005-0000-0000-0000C21C0000}"/>
    <cellStyle name="Comma [0] 3 42 2 3 3 3" xfId="43557" xr:uid="{00000000-0005-0000-0000-0000C31C0000}"/>
    <cellStyle name="Comma [0] 3 42 2 3 4" xfId="20325" xr:uid="{00000000-0005-0000-0000-0000C41C0000}"/>
    <cellStyle name="Comma [0] 3 42 2 3 5" xfId="35817" xr:uid="{00000000-0005-0000-0000-0000C51C0000}"/>
    <cellStyle name="Comma [0] 3 42 2 4" xfId="6671" xr:uid="{00000000-0005-0000-0000-0000C61C0000}"/>
    <cellStyle name="Comma [0] 3 42 2 4 2" xfId="14416" xr:uid="{00000000-0005-0000-0000-0000C71C0000}"/>
    <cellStyle name="Comma [0] 3 42 2 4 2 2" xfId="30008" xr:uid="{00000000-0005-0000-0000-0000C81C0000}"/>
    <cellStyle name="Comma [0] 3 42 2 4 2 3" xfId="45500" xr:uid="{00000000-0005-0000-0000-0000C91C0000}"/>
    <cellStyle name="Comma [0] 3 42 2 4 3" xfId="22268" xr:uid="{00000000-0005-0000-0000-0000CA1C0000}"/>
    <cellStyle name="Comma [0] 3 42 2 4 4" xfId="37760" xr:uid="{00000000-0005-0000-0000-0000CB1C0000}"/>
    <cellStyle name="Comma [0] 3 42 2 5" xfId="10546" xr:uid="{00000000-0005-0000-0000-0000CC1C0000}"/>
    <cellStyle name="Comma [0] 3 42 2 5 2" xfId="26138" xr:uid="{00000000-0005-0000-0000-0000CD1C0000}"/>
    <cellStyle name="Comma [0] 3 42 2 5 3" xfId="41630" xr:uid="{00000000-0005-0000-0000-0000CE1C0000}"/>
    <cellStyle name="Comma [0] 3 42 2 6" xfId="18398" xr:uid="{00000000-0005-0000-0000-0000CF1C0000}"/>
    <cellStyle name="Comma [0] 3 42 2 7" xfId="33890" xr:uid="{00000000-0005-0000-0000-0000D01C0000}"/>
    <cellStyle name="Comma [0] 3 42 3" xfId="3427" xr:uid="{00000000-0005-0000-0000-0000D11C0000}"/>
    <cellStyle name="Comma [0] 3 42 3 2" xfId="5366" xr:uid="{00000000-0005-0000-0000-0000D21C0000}"/>
    <cellStyle name="Comma [0] 3 42 3 2 2" xfId="9237" xr:uid="{00000000-0005-0000-0000-0000D31C0000}"/>
    <cellStyle name="Comma [0] 3 42 3 2 2 2" xfId="16982" xr:uid="{00000000-0005-0000-0000-0000D41C0000}"/>
    <cellStyle name="Comma [0] 3 42 3 2 2 2 2" xfId="32574" xr:uid="{00000000-0005-0000-0000-0000D51C0000}"/>
    <cellStyle name="Comma [0] 3 42 3 2 2 2 3" xfId="48066" xr:uid="{00000000-0005-0000-0000-0000D61C0000}"/>
    <cellStyle name="Comma [0] 3 42 3 2 2 3" xfId="24834" xr:uid="{00000000-0005-0000-0000-0000D71C0000}"/>
    <cellStyle name="Comma [0] 3 42 3 2 2 4" xfId="40326" xr:uid="{00000000-0005-0000-0000-0000D81C0000}"/>
    <cellStyle name="Comma [0] 3 42 3 2 3" xfId="13112" xr:uid="{00000000-0005-0000-0000-0000D91C0000}"/>
    <cellStyle name="Comma [0] 3 42 3 2 3 2" xfId="28704" xr:uid="{00000000-0005-0000-0000-0000DA1C0000}"/>
    <cellStyle name="Comma [0] 3 42 3 2 3 3" xfId="44196" xr:uid="{00000000-0005-0000-0000-0000DB1C0000}"/>
    <cellStyle name="Comma [0] 3 42 3 2 4" xfId="20964" xr:uid="{00000000-0005-0000-0000-0000DC1C0000}"/>
    <cellStyle name="Comma [0] 3 42 3 2 5" xfId="36456" xr:uid="{00000000-0005-0000-0000-0000DD1C0000}"/>
    <cellStyle name="Comma [0] 3 42 3 3" xfId="7310" xr:uid="{00000000-0005-0000-0000-0000DE1C0000}"/>
    <cellStyle name="Comma [0] 3 42 3 3 2" xfId="15055" xr:uid="{00000000-0005-0000-0000-0000DF1C0000}"/>
    <cellStyle name="Comma [0] 3 42 3 3 2 2" xfId="30647" xr:uid="{00000000-0005-0000-0000-0000E01C0000}"/>
    <cellStyle name="Comma [0] 3 42 3 3 2 3" xfId="46139" xr:uid="{00000000-0005-0000-0000-0000E11C0000}"/>
    <cellStyle name="Comma [0] 3 42 3 3 3" xfId="22907" xr:uid="{00000000-0005-0000-0000-0000E21C0000}"/>
    <cellStyle name="Comma [0] 3 42 3 3 4" xfId="38399" xr:uid="{00000000-0005-0000-0000-0000E31C0000}"/>
    <cellStyle name="Comma [0] 3 42 3 4" xfId="11185" xr:uid="{00000000-0005-0000-0000-0000E41C0000}"/>
    <cellStyle name="Comma [0] 3 42 3 4 2" xfId="26777" xr:uid="{00000000-0005-0000-0000-0000E51C0000}"/>
    <cellStyle name="Comma [0] 3 42 3 4 3" xfId="42269" xr:uid="{00000000-0005-0000-0000-0000E61C0000}"/>
    <cellStyle name="Comma [0] 3 42 3 5" xfId="19037" xr:uid="{00000000-0005-0000-0000-0000E71C0000}"/>
    <cellStyle name="Comma [0] 3 42 3 6" xfId="34529" xr:uid="{00000000-0005-0000-0000-0000E81C0000}"/>
    <cellStyle name="Comma [0] 3 42 4" xfId="4418" xr:uid="{00000000-0005-0000-0000-0000E91C0000}"/>
    <cellStyle name="Comma [0] 3 42 4 2" xfId="8289" xr:uid="{00000000-0005-0000-0000-0000EA1C0000}"/>
    <cellStyle name="Comma [0] 3 42 4 2 2" xfId="16034" xr:uid="{00000000-0005-0000-0000-0000EB1C0000}"/>
    <cellStyle name="Comma [0] 3 42 4 2 2 2" xfId="31626" xr:uid="{00000000-0005-0000-0000-0000EC1C0000}"/>
    <cellStyle name="Comma [0] 3 42 4 2 2 3" xfId="47118" xr:uid="{00000000-0005-0000-0000-0000ED1C0000}"/>
    <cellStyle name="Comma [0] 3 42 4 2 3" xfId="23886" xr:uid="{00000000-0005-0000-0000-0000EE1C0000}"/>
    <cellStyle name="Comma [0] 3 42 4 2 4" xfId="39378" xr:uid="{00000000-0005-0000-0000-0000EF1C0000}"/>
    <cellStyle name="Comma [0] 3 42 4 3" xfId="12164" xr:uid="{00000000-0005-0000-0000-0000F01C0000}"/>
    <cellStyle name="Comma [0] 3 42 4 3 2" xfId="27756" xr:uid="{00000000-0005-0000-0000-0000F11C0000}"/>
    <cellStyle name="Comma [0] 3 42 4 3 3" xfId="43248" xr:uid="{00000000-0005-0000-0000-0000F21C0000}"/>
    <cellStyle name="Comma [0] 3 42 4 4" xfId="20016" xr:uid="{00000000-0005-0000-0000-0000F31C0000}"/>
    <cellStyle name="Comma [0] 3 42 4 5" xfId="35508" xr:uid="{00000000-0005-0000-0000-0000F41C0000}"/>
    <cellStyle name="Comma [0] 3 42 5" xfId="6362" xr:uid="{00000000-0005-0000-0000-0000F51C0000}"/>
    <cellStyle name="Comma [0] 3 42 5 2" xfId="14107" xr:uid="{00000000-0005-0000-0000-0000F61C0000}"/>
    <cellStyle name="Comma [0] 3 42 5 2 2" xfId="29699" xr:uid="{00000000-0005-0000-0000-0000F71C0000}"/>
    <cellStyle name="Comma [0] 3 42 5 2 3" xfId="45191" xr:uid="{00000000-0005-0000-0000-0000F81C0000}"/>
    <cellStyle name="Comma [0] 3 42 5 3" xfId="21959" xr:uid="{00000000-0005-0000-0000-0000F91C0000}"/>
    <cellStyle name="Comma [0] 3 42 5 4" xfId="37451" xr:uid="{00000000-0005-0000-0000-0000FA1C0000}"/>
    <cellStyle name="Comma [0] 3 42 6" xfId="10237" xr:uid="{00000000-0005-0000-0000-0000FB1C0000}"/>
    <cellStyle name="Comma [0] 3 42 6 2" xfId="25829" xr:uid="{00000000-0005-0000-0000-0000FC1C0000}"/>
    <cellStyle name="Comma [0] 3 42 6 3" xfId="41321" xr:uid="{00000000-0005-0000-0000-0000FD1C0000}"/>
    <cellStyle name="Comma [0] 3 42 7" xfId="18089" xr:uid="{00000000-0005-0000-0000-0000FE1C0000}"/>
    <cellStyle name="Comma [0] 3 42 8" xfId="33581" xr:uid="{00000000-0005-0000-0000-0000FF1C0000}"/>
    <cellStyle name="Comma [0] 3 43" xfId="2455" xr:uid="{00000000-0005-0000-0000-0000001D0000}"/>
    <cellStyle name="Comma [0] 3 43 2" xfId="2764" xr:uid="{00000000-0005-0000-0000-0000011D0000}"/>
    <cellStyle name="Comma [0] 3 43 2 2" xfId="3772" xr:uid="{00000000-0005-0000-0000-0000021D0000}"/>
    <cellStyle name="Comma [0] 3 43 2 2 2" xfId="5711" xr:uid="{00000000-0005-0000-0000-0000031D0000}"/>
    <cellStyle name="Comma [0] 3 43 2 2 2 2" xfId="9582" xr:uid="{00000000-0005-0000-0000-0000041D0000}"/>
    <cellStyle name="Comma [0] 3 43 2 2 2 2 2" xfId="17327" xr:uid="{00000000-0005-0000-0000-0000051D0000}"/>
    <cellStyle name="Comma [0] 3 43 2 2 2 2 2 2" xfId="32919" xr:uid="{00000000-0005-0000-0000-0000061D0000}"/>
    <cellStyle name="Comma [0] 3 43 2 2 2 2 2 3" xfId="48411" xr:uid="{00000000-0005-0000-0000-0000071D0000}"/>
    <cellStyle name="Comma [0] 3 43 2 2 2 2 3" xfId="25179" xr:uid="{00000000-0005-0000-0000-0000081D0000}"/>
    <cellStyle name="Comma [0] 3 43 2 2 2 2 4" xfId="40671" xr:uid="{00000000-0005-0000-0000-0000091D0000}"/>
    <cellStyle name="Comma [0] 3 43 2 2 2 3" xfId="13457" xr:uid="{00000000-0005-0000-0000-00000A1D0000}"/>
    <cellStyle name="Comma [0] 3 43 2 2 2 3 2" xfId="29049" xr:uid="{00000000-0005-0000-0000-00000B1D0000}"/>
    <cellStyle name="Comma [0] 3 43 2 2 2 3 3" xfId="44541" xr:uid="{00000000-0005-0000-0000-00000C1D0000}"/>
    <cellStyle name="Comma [0] 3 43 2 2 2 4" xfId="21309" xr:uid="{00000000-0005-0000-0000-00000D1D0000}"/>
    <cellStyle name="Comma [0] 3 43 2 2 2 5" xfId="36801" xr:uid="{00000000-0005-0000-0000-00000E1D0000}"/>
    <cellStyle name="Comma [0] 3 43 2 2 3" xfId="7655" xr:uid="{00000000-0005-0000-0000-00000F1D0000}"/>
    <cellStyle name="Comma [0] 3 43 2 2 3 2" xfId="15400" xr:uid="{00000000-0005-0000-0000-0000101D0000}"/>
    <cellStyle name="Comma [0] 3 43 2 2 3 2 2" xfId="30992" xr:uid="{00000000-0005-0000-0000-0000111D0000}"/>
    <cellStyle name="Comma [0] 3 43 2 2 3 2 3" xfId="46484" xr:uid="{00000000-0005-0000-0000-0000121D0000}"/>
    <cellStyle name="Comma [0] 3 43 2 2 3 3" xfId="23252" xr:uid="{00000000-0005-0000-0000-0000131D0000}"/>
    <cellStyle name="Comma [0] 3 43 2 2 3 4" xfId="38744" xr:uid="{00000000-0005-0000-0000-0000141D0000}"/>
    <cellStyle name="Comma [0] 3 43 2 2 4" xfId="11530" xr:uid="{00000000-0005-0000-0000-0000151D0000}"/>
    <cellStyle name="Comma [0] 3 43 2 2 4 2" xfId="27122" xr:uid="{00000000-0005-0000-0000-0000161D0000}"/>
    <cellStyle name="Comma [0] 3 43 2 2 4 3" xfId="42614" xr:uid="{00000000-0005-0000-0000-0000171D0000}"/>
    <cellStyle name="Comma [0] 3 43 2 2 5" xfId="19382" xr:uid="{00000000-0005-0000-0000-0000181D0000}"/>
    <cellStyle name="Comma [0] 3 43 2 2 6" xfId="34874" xr:uid="{00000000-0005-0000-0000-0000191D0000}"/>
    <cellStyle name="Comma [0] 3 43 2 3" xfId="4763" xr:uid="{00000000-0005-0000-0000-00001A1D0000}"/>
    <cellStyle name="Comma [0] 3 43 2 3 2" xfId="8634" xr:uid="{00000000-0005-0000-0000-00001B1D0000}"/>
    <cellStyle name="Comma [0] 3 43 2 3 2 2" xfId="16379" xr:uid="{00000000-0005-0000-0000-00001C1D0000}"/>
    <cellStyle name="Comma [0] 3 43 2 3 2 2 2" xfId="31971" xr:uid="{00000000-0005-0000-0000-00001D1D0000}"/>
    <cellStyle name="Comma [0] 3 43 2 3 2 2 3" xfId="47463" xr:uid="{00000000-0005-0000-0000-00001E1D0000}"/>
    <cellStyle name="Comma [0] 3 43 2 3 2 3" xfId="24231" xr:uid="{00000000-0005-0000-0000-00001F1D0000}"/>
    <cellStyle name="Comma [0] 3 43 2 3 2 4" xfId="39723" xr:uid="{00000000-0005-0000-0000-0000201D0000}"/>
    <cellStyle name="Comma [0] 3 43 2 3 3" xfId="12509" xr:uid="{00000000-0005-0000-0000-0000211D0000}"/>
    <cellStyle name="Comma [0] 3 43 2 3 3 2" xfId="28101" xr:uid="{00000000-0005-0000-0000-0000221D0000}"/>
    <cellStyle name="Comma [0] 3 43 2 3 3 3" xfId="43593" xr:uid="{00000000-0005-0000-0000-0000231D0000}"/>
    <cellStyle name="Comma [0] 3 43 2 3 4" xfId="20361" xr:uid="{00000000-0005-0000-0000-0000241D0000}"/>
    <cellStyle name="Comma [0] 3 43 2 3 5" xfId="35853" xr:uid="{00000000-0005-0000-0000-0000251D0000}"/>
    <cellStyle name="Comma [0] 3 43 2 4" xfId="6707" xr:uid="{00000000-0005-0000-0000-0000261D0000}"/>
    <cellStyle name="Comma [0] 3 43 2 4 2" xfId="14452" xr:uid="{00000000-0005-0000-0000-0000271D0000}"/>
    <cellStyle name="Comma [0] 3 43 2 4 2 2" xfId="30044" xr:uid="{00000000-0005-0000-0000-0000281D0000}"/>
    <cellStyle name="Comma [0] 3 43 2 4 2 3" xfId="45536" xr:uid="{00000000-0005-0000-0000-0000291D0000}"/>
    <cellStyle name="Comma [0] 3 43 2 4 3" xfId="22304" xr:uid="{00000000-0005-0000-0000-00002A1D0000}"/>
    <cellStyle name="Comma [0] 3 43 2 4 4" xfId="37796" xr:uid="{00000000-0005-0000-0000-00002B1D0000}"/>
    <cellStyle name="Comma [0] 3 43 2 5" xfId="10582" xr:uid="{00000000-0005-0000-0000-00002C1D0000}"/>
    <cellStyle name="Comma [0] 3 43 2 5 2" xfId="26174" xr:uid="{00000000-0005-0000-0000-00002D1D0000}"/>
    <cellStyle name="Comma [0] 3 43 2 5 3" xfId="41666" xr:uid="{00000000-0005-0000-0000-00002E1D0000}"/>
    <cellStyle name="Comma [0] 3 43 2 6" xfId="18434" xr:uid="{00000000-0005-0000-0000-00002F1D0000}"/>
    <cellStyle name="Comma [0] 3 43 2 7" xfId="33926" xr:uid="{00000000-0005-0000-0000-0000301D0000}"/>
    <cellStyle name="Comma [0] 3 43 3" xfId="3463" xr:uid="{00000000-0005-0000-0000-0000311D0000}"/>
    <cellStyle name="Comma [0] 3 43 3 2" xfId="5402" xr:uid="{00000000-0005-0000-0000-0000321D0000}"/>
    <cellStyle name="Comma [0] 3 43 3 2 2" xfId="9273" xr:uid="{00000000-0005-0000-0000-0000331D0000}"/>
    <cellStyle name="Comma [0] 3 43 3 2 2 2" xfId="17018" xr:uid="{00000000-0005-0000-0000-0000341D0000}"/>
    <cellStyle name="Comma [0] 3 43 3 2 2 2 2" xfId="32610" xr:uid="{00000000-0005-0000-0000-0000351D0000}"/>
    <cellStyle name="Comma [0] 3 43 3 2 2 2 3" xfId="48102" xr:uid="{00000000-0005-0000-0000-0000361D0000}"/>
    <cellStyle name="Comma [0] 3 43 3 2 2 3" xfId="24870" xr:uid="{00000000-0005-0000-0000-0000371D0000}"/>
    <cellStyle name="Comma [0] 3 43 3 2 2 4" xfId="40362" xr:uid="{00000000-0005-0000-0000-0000381D0000}"/>
    <cellStyle name="Comma [0] 3 43 3 2 3" xfId="13148" xr:uid="{00000000-0005-0000-0000-0000391D0000}"/>
    <cellStyle name="Comma [0] 3 43 3 2 3 2" xfId="28740" xr:uid="{00000000-0005-0000-0000-00003A1D0000}"/>
    <cellStyle name="Comma [0] 3 43 3 2 3 3" xfId="44232" xr:uid="{00000000-0005-0000-0000-00003B1D0000}"/>
    <cellStyle name="Comma [0] 3 43 3 2 4" xfId="21000" xr:uid="{00000000-0005-0000-0000-00003C1D0000}"/>
    <cellStyle name="Comma [0] 3 43 3 2 5" xfId="36492" xr:uid="{00000000-0005-0000-0000-00003D1D0000}"/>
    <cellStyle name="Comma [0] 3 43 3 3" xfId="7346" xr:uid="{00000000-0005-0000-0000-00003E1D0000}"/>
    <cellStyle name="Comma [0] 3 43 3 3 2" xfId="15091" xr:uid="{00000000-0005-0000-0000-00003F1D0000}"/>
    <cellStyle name="Comma [0] 3 43 3 3 2 2" xfId="30683" xr:uid="{00000000-0005-0000-0000-0000401D0000}"/>
    <cellStyle name="Comma [0] 3 43 3 3 2 3" xfId="46175" xr:uid="{00000000-0005-0000-0000-0000411D0000}"/>
    <cellStyle name="Comma [0] 3 43 3 3 3" xfId="22943" xr:uid="{00000000-0005-0000-0000-0000421D0000}"/>
    <cellStyle name="Comma [0] 3 43 3 3 4" xfId="38435" xr:uid="{00000000-0005-0000-0000-0000431D0000}"/>
    <cellStyle name="Comma [0] 3 43 3 4" xfId="11221" xr:uid="{00000000-0005-0000-0000-0000441D0000}"/>
    <cellStyle name="Comma [0] 3 43 3 4 2" xfId="26813" xr:uid="{00000000-0005-0000-0000-0000451D0000}"/>
    <cellStyle name="Comma [0] 3 43 3 4 3" xfId="42305" xr:uid="{00000000-0005-0000-0000-0000461D0000}"/>
    <cellStyle name="Comma [0] 3 43 3 5" xfId="19073" xr:uid="{00000000-0005-0000-0000-0000471D0000}"/>
    <cellStyle name="Comma [0] 3 43 3 6" xfId="34565" xr:uid="{00000000-0005-0000-0000-0000481D0000}"/>
    <cellStyle name="Comma [0] 3 43 4" xfId="4454" xr:uid="{00000000-0005-0000-0000-0000491D0000}"/>
    <cellStyle name="Comma [0] 3 43 4 2" xfId="8325" xr:uid="{00000000-0005-0000-0000-00004A1D0000}"/>
    <cellStyle name="Comma [0] 3 43 4 2 2" xfId="16070" xr:uid="{00000000-0005-0000-0000-00004B1D0000}"/>
    <cellStyle name="Comma [0] 3 43 4 2 2 2" xfId="31662" xr:uid="{00000000-0005-0000-0000-00004C1D0000}"/>
    <cellStyle name="Comma [0] 3 43 4 2 2 3" xfId="47154" xr:uid="{00000000-0005-0000-0000-00004D1D0000}"/>
    <cellStyle name="Comma [0] 3 43 4 2 3" xfId="23922" xr:uid="{00000000-0005-0000-0000-00004E1D0000}"/>
    <cellStyle name="Comma [0] 3 43 4 2 4" xfId="39414" xr:uid="{00000000-0005-0000-0000-00004F1D0000}"/>
    <cellStyle name="Comma [0] 3 43 4 3" xfId="12200" xr:uid="{00000000-0005-0000-0000-0000501D0000}"/>
    <cellStyle name="Comma [0] 3 43 4 3 2" xfId="27792" xr:uid="{00000000-0005-0000-0000-0000511D0000}"/>
    <cellStyle name="Comma [0] 3 43 4 3 3" xfId="43284" xr:uid="{00000000-0005-0000-0000-0000521D0000}"/>
    <cellStyle name="Comma [0] 3 43 4 4" xfId="20052" xr:uid="{00000000-0005-0000-0000-0000531D0000}"/>
    <cellStyle name="Comma [0] 3 43 4 5" xfId="35544" xr:uid="{00000000-0005-0000-0000-0000541D0000}"/>
    <cellStyle name="Comma [0] 3 43 5" xfId="6398" xr:uid="{00000000-0005-0000-0000-0000551D0000}"/>
    <cellStyle name="Comma [0] 3 43 5 2" xfId="14143" xr:uid="{00000000-0005-0000-0000-0000561D0000}"/>
    <cellStyle name="Comma [0] 3 43 5 2 2" xfId="29735" xr:uid="{00000000-0005-0000-0000-0000571D0000}"/>
    <cellStyle name="Comma [0] 3 43 5 2 3" xfId="45227" xr:uid="{00000000-0005-0000-0000-0000581D0000}"/>
    <cellStyle name="Comma [0] 3 43 5 3" xfId="21995" xr:uid="{00000000-0005-0000-0000-0000591D0000}"/>
    <cellStyle name="Comma [0] 3 43 5 4" xfId="37487" xr:uid="{00000000-0005-0000-0000-00005A1D0000}"/>
    <cellStyle name="Comma [0] 3 43 6" xfId="10273" xr:uid="{00000000-0005-0000-0000-00005B1D0000}"/>
    <cellStyle name="Comma [0] 3 43 6 2" xfId="25865" xr:uid="{00000000-0005-0000-0000-00005C1D0000}"/>
    <cellStyle name="Comma [0] 3 43 6 3" xfId="41357" xr:uid="{00000000-0005-0000-0000-00005D1D0000}"/>
    <cellStyle name="Comma [0] 3 43 7" xfId="18125" xr:uid="{00000000-0005-0000-0000-00005E1D0000}"/>
    <cellStyle name="Comma [0] 3 43 8" xfId="33617" xr:uid="{00000000-0005-0000-0000-00005F1D0000}"/>
    <cellStyle name="Comma [0] 3 44" xfId="2801" xr:uid="{00000000-0005-0000-0000-0000601D0000}"/>
    <cellStyle name="Comma [0] 3 44 2" xfId="3808" xr:uid="{00000000-0005-0000-0000-0000611D0000}"/>
    <cellStyle name="Comma [0] 3 44 2 2" xfId="5747" xr:uid="{00000000-0005-0000-0000-0000621D0000}"/>
    <cellStyle name="Comma [0] 3 44 2 2 2" xfId="9618" xr:uid="{00000000-0005-0000-0000-0000631D0000}"/>
    <cellStyle name="Comma [0] 3 44 2 2 2 2" xfId="17363" xr:uid="{00000000-0005-0000-0000-0000641D0000}"/>
    <cellStyle name="Comma [0] 3 44 2 2 2 2 2" xfId="32955" xr:uid="{00000000-0005-0000-0000-0000651D0000}"/>
    <cellStyle name="Comma [0] 3 44 2 2 2 2 3" xfId="48447" xr:uid="{00000000-0005-0000-0000-0000661D0000}"/>
    <cellStyle name="Comma [0] 3 44 2 2 2 3" xfId="25215" xr:uid="{00000000-0005-0000-0000-0000671D0000}"/>
    <cellStyle name="Comma [0] 3 44 2 2 2 4" xfId="40707" xr:uid="{00000000-0005-0000-0000-0000681D0000}"/>
    <cellStyle name="Comma [0] 3 44 2 2 3" xfId="13493" xr:uid="{00000000-0005-0000-0000-0000691D0000}"/>
    <cellStyle name="Comma [0] 3 44 2 2 3 2" xfId="29085" xr:uid="{00000000-0005-0000-0000-00006A1D0000}"/>
    <cellStyle name="Comma [0] 3 44 2 2 3 3" xfId="44577" xr:uid="{00000000-0005-0000-0000-00006B1D0000}"/>
    <cellStyle name="Comma [0] 3 44 2 2 4" xfId="21345" xr:uid="{00000000-0005-0000-0000-00006C1D0000}"/>
    <cellStyle name="Comma [0] 3 44 2 2 5" xfId="36837" xr:uid="{00000000-0005-0000-0000-00006D1D0000}"/>
    <cellStyle name="Comma [0] 3 44 2 3" xfId="7691" xr:uid="{00000000-0005-0000-0000-00006E1D0000}"/>
    <cellStyle name="Comma [0] 3 44 2 3 2" xfId="15436" xr:uid="{00000000-0005-0000-0000-00006F1D0000}"/>
    <cellStyle name="Comma [0] 3 44 2 3 2 2" xfId="31028" xr:uid="{00000000-0005-0000-0000-0000701D0000}"/>
    <cellStyle name="Comma [0] 3 44 2 3 2 3" xfId="46520" xr:uid="{00000000-0005-0000-0000-0000711D0000}"/>
    <cellStyle name="Comma [0] 3 44 2 3 3" xfId="23288" xr:uid="{00000000-0005-0000-0000-0000721D0000}"/>
    <cellStyle name="Comma [0] 3 44 2 3 4" xfId="38780" xr:uid="{00000000-0005-0000-0000-0000731D0000}"/>
    <cellStyle name="Comma [0] 3 44 2 4" xfId="11566" xr:uid="{00000000-0005-0000-0000-0000741D0000}"/>
    <cellStyle name="Comma [0] 3 44 2 4 2" xfId="27158" xr:uid="{00000000-0005-0000-0000-0000751D0000}"/>
    <cellStyle name="Comma [0] 3 44 2 4 3" xfId="42650" xr:uid="{00000000-0005-0000-0000-0000761D0000}"/>
    <cellStyle name="Comma [0] 3 44 2 5" xfId="19418" xr:uid="{00000000-0005-0000-0000-0000771D0000}"/>
    <cellStyle name="Comma [0] 3 44 2 6" xfId="34910" xr:uid="{00000000-0005-0000-0000-0000781D0000}"/>
    <cellStyle name="Comma [0] 3 44 3" xfId="4799" xr:uid="{00000000-0005-0000-0000-0000791D0000}"/>
    <cellStyle name="Comma [0] 3 44 3 2" xfId="8670" xr:uid="{00000000-0005-0000-0000-00007A1D0000}"/>
    <cellStyle name="Comma [0] 3 44 3 2 2" xfId="16415" xr:uid="{00000000-0005-0000-0000-00007B1D0000}"/>
    <cellStyle name="Comma [0] 3 44 3 2 2 2" xfId="32007" xr:uid="{00000000-0005-0000-0000-00007C1D0000}"/>
    <cellStyle name="Comma [0] 3 44 3 2 2 3" xfId="47499" xr:uid="{00000000-0005-0000-0000-00007D1D0000}"/>
    <cellStyle name="Comma [0] 3 44 3 2 3" xfId="24267" xr:uid="{00000000-0005-0000-0000-00007E1D0000}"/>
    <cellStyle name="Comma [0] 3 44 3 2 4" xfId="39759" xr:uid="{00000000-0005-0000-0000-00007F1D0000}"/>
    <cellStyle name="Comma [0] 3 44 3 3" xfId="12545" xr:uid="{00000000-0005-0000-0000-0000801D0000}"/>
    <cellStyle name="Comma [0] 3 44 3 3 2" xfId="28137" xr:uid="{00000000-0005-0000-0000-0000811D0000}"/>
    <cellStyle name="Comma [0] 3 44 3 3 3" xfId="43629" xr:uid="{00000000-0005-0000-0000-0000821D0000}"/>
    <cellStyle name="Comma [0] 3 44 3 4" xfId="20397" xr:uid="{00000000-0005-0000-0000-0000831D0000}"/>
    <cellStyle name="Comma [0] 3 44 3 5" xfId="35889" xr:uid="{00000000-0005-0000-0000-0000841D0000}"/>
    <cellStyle name="Comma [0] 3 44 4" xfId="6743" xr:uid="{00000000-0005-0000-0000-0000851D0000}"/>
    <cellStyle name="Comma [0] 3 44 4 2" xfId="14488" xr:uid="{00000000-0005-0000-0000-0000861D0000}"/>
    <cellStyle name="Comma [0] 3 44 4 2 2" xfId="30080" xr:uid="{00000000-0005-0000-0000-0000871D0000}"/>
    <cellStyle name="Comma [0] 3 44 4 2 3" xfId="45572" xr:uid="{00000000-0005-0000-0000-0000881D0000}"/>
    <cellStyle name="Comma [0] 3 44 4 3" xfId="22340" xr:uid="{00000000-0005-0000-0000-0000891D0000}"/>
    <cellStyle name="Comma [0] 3 44 4 4" xfId="37832" xr:uid="{00000000-0005-0000-0000-00008A1D0000}"/>
    <cellStyle name="Comma [0] 3 44 5" xfId="10618" xr:uid="{00000000-0005-0000-0000-00008B1D0000}"/>
    <cellStyle name="Comma [0] 3 44 5 2" xfId="26210" xr:uid="{00000000-0005-0000-0000-00008C1D0000}"/>
    <cellStyle name="Comma [0] 3 44 5 3" xfId="41702" xr:uid="{00000000-0005-0000-0000-00008D1D0000}"/>
    <cellStyle name="Comma [0] 3 44 6" xfId="18470" xr:uid="{00000000-0005-0000-0000-00008E1D0000}"/>
    <cellStyle name="Comma [0] 3 44 7" xfId="33962" xr:uid="{00000000-0005-0000-0000-00008F1D0000}"/>
    <cellStyle name="Comma [0] 3 45" xfId="2840" xr:uid="{00000000-0005-0000-0000-0000901D0000}"/>
    <cellStyle name="Comma [0] 3 45 2" xfId="3846" xr:uid="{00000000-0005-0000-0000-0000911D0000}"/>
    <cellStyle name="Comma [0] 3 45 2 2" xfId="5785" xr:uid="{00000000-0005-0000-0000-0000921D0000}"/>
    <cellStyle name="Comma [0] 3 45 2 2 2" xfId="9656" xr:uid="{00000000-0005-0000-0000-0000931D0000}"/>
    <cellStyle name="Comma [0] 3 45 2 2 2 2" xfId="17401" xr:uid="{00000000-0005-0000-0000-0000941D0000}"/>
    <cellStyle name="Comma [0] 3 45 2 2 2 2 2" xfId="32993" xr:uid="{00000000-0005-0000-0000-0000951D0000}"/>
    <cellStyle name="Comma [0] 3 45 2 2 2 2 3" xfId="48485" xr:uid="{00000000-0005-0000-0000-0000961D0000}"/>
    <cellStyle name="Comma [0] 3 45 2 2 2 3" xfId="25253" xr:uid="{00000000-0005-0000-0000-0000971D0000}"/>
    <cellStyle name="Comma [0] 3 45 2 2 2 4" xfId="40745" xr:uid="{00000000-0005-0000-0000-0000981D0000}"/>
    <cellStyle name="Comma [0] 3 45 2 2 3" xfId="13531" xr:uid="{00000000-0005-0000-0000-0000991D0000}"/>
    <cellStyle name="Comma [0] 3 45 2 2 3 2" xfId="29123" xr:uid="{00000000-0005-0000-0000-00009A1D0000}"/>
    <cellStyle name="Comma [0] 3 45 2 2 3 3" xfId="44615" xr:uid="{00000000-0005-0000-0000-00009B1D0000}"/>
    <cellStyle name="Comma [0] 3 45 2 2 4" xfId="21383" xr:uid="{00000000-0005-0000-0000-00009C1D0000}"/>
    <cellStyle name="Comma [0] 3 45 2 2 5" xfId="36875" xr:uid="{00000000-0005-0000-0000-00009D1D0000}"/>
    <cellStyle name="Comma [0] 3 45 2 3" xfId="7729" xr:uid="{00000000-0005-0000-0000-00009E1D0000}"/>
    <cellStyle name="Comma [0] 3 45 2 3 2" xfId="15474" xr:uid="{00000000-0005-0000-0000-00009F1D0000}"/>
    <cellStyle name="Comma [0] 3 45 2 3 2 2" xfId="31066" xr:uid="{00000000-0005-0000-0000-0000A01D0000}"/>
    <cellStyle name="Comma [0] 3 45 2 3 2 3" xfId="46558" xr:uid="{00000000-0005-0000-0000-0000A11D0000}"/>
    <cellStyle name="Comma [0] 3 45 2 3 3" xfId="23326" xr:uid="{00000000-0005-0000-0000-0000A21D0000}"/>
    <cellStyle name="Comma [0] 3 45 2 3 4" xfId="38818" xr:uid="{00000000-0005-0000-0000-0000A31D0000}"/>
    <cellStyle name="Comma [0] 3 45 2 4" xfId="11604" xr:uid="{00000000-0005-0000-0000-0000A41D0000}"/>
    <cellStyle name="Comma [0] 3 45 2 4 2" xfId="27196" xr:uid="{00000000-0005-0000-0000-0000A51D0000}"/>
    <cellStyle name="Comma [0] 3 45 2 4 3" xfId="42688" xr:uid="{00000000-0005-0000-0000-0000A61D0000}"/>
    <cellStyle name="Comma [0] 3 45 2 5" xfId="19456" xr:uid="{00000000-0005-0000-0000-0000A71D0000}"/>
    <cellStyle name="Comma [0] 3 45 2 6" xfId="34948" xr:uid="{00000000-0005-0000-0000-0000A81D0000}"/>
    <cellStyle name="Comma [0] 3 45 3" xfId="4837" xr:uid="{00000000-0005-0000-0000-0000A91D0000}"/>
    <cellStyle name="Comma [0] 3 45 3 2" xfId="8708" xr:uid="{00000000-0005-0000-0000-0000AA1D0000}"/>
    <cellStyle name="Comma [0] 3 45 3 2 2" xfId="16453" xr:uid="{00000000-0005-0000-0000-0000AB1D0000}"/>
    <cellStyle name="Comma [0] 3 45 3 2 2 2" xfId="32045" xr:uid="{00000000-0005-0000-0000-0000AC1D0000}"/>
    <cellStyle name="Comma [0] 3 45 3 2 2 3" xfId="47537" xr:uid="{00000000-0005-0000-0000-0000AD1D0000}"/>
    <cellStyle name="Comma [0] 3 45 3 2 3" xfId="24305" xr:uid="{00000000-0005-0000-0000-0000AE1D0000}"/>
    <cellStyle name="Comma [0] 3 45 3 2 4" xfId="39797" xr:uid="{00000000-0005-0000-0000-0000AF1D0000}"/>
    <cellStyle name="Comma [0] 3 45 3 3" xfId="12583" xr:uid="{00000000-0005-0000-0000-0000B01D0000}"/>
    <cellStyle name="Comma [0] 3 45 3 3 2" xfId="28175" xr:uid="{00000000-0005-0000-0000-0000B11D0000}"/>
    <cellStyle name="Comma [0] 3 45 3 3 3" xfId="43667" xr:uid="{00000000-0005-0000-0000-0000B21D0000}"/>
    <cellStyle name="Comma [0] 3 45 3 4" xfId="20435" xr:uid="{00000000-0005-0000-0000-0000B31D0000}"/>
    <cellStyle name="Comma [0] 3 45 3 5" xfId="35927" xr:uid="{00000000-0005-0000-0000-0000B41D0000}"/>
    <cellStyle name="Comma [0] 3 45 4" xfId="6781" xr:uid="{00000000-0005-0000-0000-0000B51D0000}"/>
    <cellStyle name="Comma [0] 3 45 4 2" xfId="14526" xr:uid="{00000000-0005-0000-0000-0000B61D0000}"/>
    <cellStyle name="Comma [0] 3 45 4 2 2" xfId="30118" xr:uid="{00000000-0005-0000-0000-0000B71D0000}"/>
    <cellStyle name="Comma [0] 3 45 4 2 3" xfId="45610" xr:uid="{00000000-0005-0000-0000-0000B81D0000}"/>
    <cellStyle name="Comma [0] 3 45 4 3" xfId="22378" xr:uid="{00000000-0005-0000-0000-0000B91D0000}"/>
    <cellStyle name="Comma [0] 3 45 4 4" xfId="37870" xr:uid="{00000000-0005-0000-0000-0000BA1D0000}"/>
    <cellStyle name="Comma [0] 3 45 5" xfId="10656" xr:uid="{00000000-0005-0000-0000-0000BB1D0000}"/>
    <cellStyle name="Comma [0] 3 45 5 2" xfId="26248" xr:uid="{00000000-0005-0000-0000-0000BC1D0000}"/>
    <cellStyle name="Comma [0] 3 45 5 3" xfId="41740" xr:uid="{00000000-0005-0000-0000-0000BD1D0000}"/>
    <cellStyle name="Comma [0] 3 45 6" xfId="18508" xr:uid="{00000000-0005-0000-0000-0000BE1D0000}"/>
    <cellStyle name="Comma [0] 3 45 7" xfId="34000" xr:uid="{00000000-0005-0000-0000-0000BF1D0000}"/>
    <cellStyle name="Comma [0] 3 46" xfId="2877" xr:uid="{00000000-0005-0000-0000-0000C01D0000}"/>
    <cellStyle name="Comma [0] 3 46 2" xfId="3882" xr:uid="{00000000-0005-0000-0000-0000C11D0000}"/>
    <cellStyle name="Comma [0] 3 46 2 2" xfId="5821" xr:uid="{00000000-0005-0000-0000-0000C21D0000}"/>
    <cellStyle name="Comma [0] 3 46 2 2 2" xfId="9692" xr:uid="{00000000-0005-0000-0000-0000C31D0000}"/>
    <cellStyle name="Comma [0] 3 46 2 2 2 2" xfId="17437" xr:uid="{00000000-0005-0000-0000-0000C41D0000}"/>
    <cellStyle name="Comma [0] 3 46 2 2 2 2 2" xfId="33029" xr:uid="{00000000-0005-0000-0000-0000C51D0000}"/>
    <cellStyle name="Comma [0] 3 46 2 2 2 2 3" xfId="48521" xr:uid="{00000000-0005-0000-0000-0000C61D0000}"/>
    <cellStyle name="Comma [0] 3 46 2 2 2 3" xfId="25289" xr:uid="{00000000-0005-0000-0000-0000C71D0000}"/>
    <cellStyle name="Comma [0] 3 46 2 2 2 4" xfId="40781" xr:uid="{00000000-0005-0000-0000-0000C81D0000}"/>
    <cellStyle name="Comma [0] 3 46 2 2 3" xfId="13567" xr:uid="{00000000-0005-0000-0000-0000C91D0000}"/>
    <cellStyle name="Comma [0] 3 46 2 2 3 2" xfId="29159" xr:uid="{00000000-0005-0000-0000-0000CA1D0000}"/>
    <cellStyle name="Comma [0] 3 46 2 2 3 3" xfId="44651" xr:uid="{00000000-0005-0000-0000-0000CB1D0000}"/>
    <cellStyle name="Comma [0] 3 46 2 2 4" xfId="21419" xr:uid="{00000000-0005-0000-0000-0000CC1D0000}"/>
    <cellStyle name="Comma [0] 3 46 2 2 5" xfId="36911" xr:uid="{00000000-0005-0000-0000-0000CD1D0000}"/>
    <cellStyle name="Comma [0] 3 46 2 3" xfId="7765" xr:uid="{00000000-0005-0000-0000-0000CE1D0000}"/>
    <cellStyle name="Comma [0] 3 46 2 3 2" xfId="15510" xr:uid="{00000000-0005-0000-0000-0000CF1D0000}"/>
    <cellStyle name="Comma [0] 3 46 2 3 2 2" xfId="31102" xr:uid="{00000000-0005-0000-0000-0000D01D0000}"/>
    <cellStyle name="Comma [0] 3 46 2 3 2 3" xfId="46594" xr:uid="{00000000-0005-0000-0000-0000D11D0000}"/>
    <cellStyle name="Comma [0] 3 46 2 3 3" xfId="23362" xr:uid="{00000000-0005-0000-0000-0000D21D0000}"/>
    <cellStyle name="Comma [0] 3 46 2 3 4" xfId="38854" xr:uid="{00000000-0005-0000-0000-0000D31D0000}"/>
    <cellStyle name="Comma [0] 3 46 2 4" xfId="11640" xr:uid="{00000000-0005-0000-0000-0000D41D0000}"/>
    <cellStyle name="Comma [0] 3 46 2 4 2" xfId="27232" xr:uid="{00000000-0005-0000-0000-0000D51D0000}"/>
    <cellStyle name="Comma [0] 3 46 2 4 3" xfId="42724" xr:uid="{00000000-0005-0000-0000-0000D61D0000}"/>
    <cellStyle name="Comma [0] 3 46 2 5" xfId="19492" xr:uid="{00000000-0005-0000-0000-0000D71D0000}"/>
    <cellStyle name="Comma [0] 3 46 2 6" xfId="34984" xr:uid="{00000000-0005-0000-0000-0000D81D0000}"/>
    <cellStyle name="Comma [0] 3 46 3" xfId="4873" xr:uid="{00000000-0005-0000-0000-0000D91D0000}"/>
    <cellStyle name="Comma [0] 3 46 3 2" xfId="8744" xr:uid="{00000000-0005-0000-0000-0000DA1D0000}"/>
    <cellStyle name="Comma [0] 3 46 3 2 2" xfId="16489" xr:uid="{00000000-0005-0000-0000-0000DB1D0000}"/>
    <cellStyle name="Comma [0] 3 46 3 2 2 2" xfId="32081" xr:uid="{00000000-0005-0000-0000-0000DC1D0000}"/>
    <cellStyle name="Comma [0] 3 46 3 2 2 3" xfId="47573" xr:uid="{00000000-0005-0000-0000-0000DD1D0000}"/>
    <cellStyle name="Comma [0] 3 46 3 2 3" xfId="24341" xr:uid="{00000000-0005-0000-0000-0000DE1D0000}"/>
    <cellStyle name="Comma [0] 3 46 3 2 4" xfId="39833" xr:uid="{00000000-0005-0000-0000-0000DF1D0000}"/>
    <cellStyle name="Comma [0] 3 46 3 3" xfId="12619" xr:uid="{00000000-0005-0000-0000-0000E01D0000}"/>
    <cellStyle name="Comma [0] 3 46 3 3 2" xfId="28211" xr:uid="{00000000-0005-0000-0000-0000E11D0000}"/>
    <cellStyle name="Comma [0] 3 46 3 3 3" xfId="43703" xr:uid="{00000000-0005-0000-0000-0000E21D0000}"/>
    <cellStyle name="Comma [0] 3 46 3 4" xfId="20471" xr:uid="{00000000-0005-0000-0000-0000E31D0000}"/>
    <cellStyle name="Comma [0] 3 46 3 5" xfId="35963" xr:uid="{00000000-0005-0000-0000-0000E41D0000}"/>
    <cellStyle name="Comma [0] 3 46 4" xfId="6817" xr:uid="{00000000-0005-0000-0000-0000E51D0000}"/>
    <cellStyle name="Comma [0] 3 46 4 2" xfId="14562" xr:uid="{00000000-0005-0000-0000-0000E61D0000}"/>
    <cellStyle name="Comma [0] 3 46 4 2 2" xfId="30154" xr:uid="{00000000-0005-0000-0000-0000E71D0000}"/>
    <cellStyle name="Comma [0] 3 46 4 2 3" xfId="45646" xr:uid="{00000000-0005-0000-0000-0000E81D0000}"/>
    <cellStyle name="Comma [0] 3 46 4 3" xfId="22414" xr:uid="{00000000-0005-0000-0000-0000E91D0000}"/>
    <cellStyle name="Comma [0] 3 46 4 4" xfId="37906" xr:uid="{00000000-0005-0000-0000-0000EA1D0000}"/>
    <cellStyle name="Comma [0] 3 46 5" xfId="10692" xr:uid="{00000000-0005-0000-0000-0000EB1D0000}"/>
    <cellStyle name="Comma [0] 3 46 5 2" xfId="26284" xr:uid="{00000000-0005-0000-0000-0000EC1D0000}"/>
    <cellStyle name="Comma [0] 3 46 5 3" xfId="41776" xr:uid="{00000000-0005-0000-0000-0000ED1D0000}"/>
    <cellStyle name="Comma [0] 3 46 6" xfId="18544" xr:uid="{00000000-0005-0000-0000-0000EE1D0000}"/>
    <cellStyle name="Comma [0] 3 46 7" xfId="34036" xr:uid="{00000000-0005-0000-0000-0000EF1D0000}"/>
    <cellStyle name="Comma [0] 3 47" xfId="2914" xr:uid="{00000000-0005-0000-0000-0000F01D0000}"/>
    <cellStyle name="Comma [0] 3 47 2" xfId="3918" xr:uid="{00000000-0005-0000-0000-0000F11D0000}"/>
    <cellStyle name="Comma [0] 3 47 2 2" xfId="5857" xr:uid="{00000000-0005-0000-0000-0000F21D0000}"/>
    <cellStyle name="Comma [0] 3 47 2 2 2" xfId="9728" xr:uid="{00000000-0005-0000-0000-0000F31D0000}"/>
    <cellStyle name="Comma [0] 3 47 2 2 2 2" xfId="17473" xr:uid="{00000000-0005-0000-0000-0000F41D0000}"/>
    <cellStyle name="Comma [0] 3 47 2 2 2 2 2" xfId="33065" xr:uid="{00000000-0005-0000-0000-0000F51D0000}"/>
    <cellStyle name="Comma [0] 3 47 2 2 2 2 3" xfId="48557" xr:uid="{00000000-0005-0000-0000-0000F61D0000}"/>
    <cellStyle name="Comma [0] 3 47 2 2 2 3" xfId="25325" xr:uid="{00000000-0005-0000-0000-0000F71D0000}"/>
    <cellStyle name="Comma [0] 3 47 2 2 2 4" xfId="40817" xr:uid="{00000000-0005-0000-0000-0000F81D0000}"/>
    <cellStyle name="Comma [0] 3 47 2 2 3" xfId="13603" xr:uid="{00000000-0005-0000-0000-0000F91D0000}"/>
    <cellStyle name="Comma [0] 3 47 2 2 3 2" xfId="29195" xr:uid="{00000000-0005-0000-0000-0000FA1D0000}"/>
    <cellStyle name="Comma [0] 3 47 2 2 3 3" xfId="44687" xr:uid="{00000000-0005-0000-0000-0000FB1D0000}"/>
    <cellStyle name="Comma [0] 3 47 2 2 4" xfId="21455" xr:uid="{00000000-0005-0000-0000-0000FC1D0000}"/>
    <cellStyle name="Comma [0] 3 47 2 2 5" xfId="36947" xr:uid="{00000000-0005-0000-0000-0000FD1D0000}"/>
    <cellStyle name="Comma [0] 3 47 2 3" xfId="7801" xr:uid="{00000000-0005-0000-0000-0000FE1D0000}"/>
    <cellStyle name="Comma [0] 3 47 2 3 2" xfId="15546" xr:uid="{00000000-0005-0000-0000-0000FF1D0000}"/>
    <cellStyle name="Comma [0] 3 47 2 3 2 2" xfId="31138" xr:uid="{00000000-0005-0000-0000-0000001E0000}"/>
    <cellStyle name="Comma [0] 3 47 2 3 2 3" xfId="46630" xr:uid="{00000000-0005-0000-0000-0000011E0000}"/>
    <cellStyle name="Comma [0] 3 47 2 3 3" xfId="23398" xr:uid="{00000000-0005-0000-0000-0000021E0000}"/>
    <cellStyle name="Comma [0] 3 47 2 3 4" xfId="38890" xr:uid="{00000000-0005-0000-0000-0000031E0000}"/>
    <cellStyle name="Comma [0] 3 47 2 4" xfId="11676" xr:uid="{00000000-0005-0000-0000-0000041E0000}"/>
    <cellStyle name="Comma [0] 3 47 2 4 2" xfId="27268" xr:uid="{00000000-0005-0000-0000-0000051E0000}"/>
    <cellStyle name="Comma [0] 3 47 2 4 3" xfId="42760" xr:uid="{00000000-0005-0000-0000-0000061E0000}"/>
    <cellStyle name="Comma [0] 3 47 2 5" xfId="19528" xr:uid="{00000000-0005-0000-0000-0000071E0000}"/>
    <cellStyle name="Comma [0] 3 47 2 6" xfId="35020" xr:uid="{00000000-0005-0000-0000-0000081E0000}"/>
    <cellStyle name="Comma [0] 3 47 3" xfId="4909" xr:uid="{00000000-0005-0000-0000-0000091E0000}"/>
    <cellStyle name="Comma [0] 3 47 3 2" xfId="8780" xr:uid="{00000000-0005-0000-0000-00000A1E0000}"/>
    <cellStyle name="Comma [0] 3 47 3 2 2" xfId="16525" xr:uid="{00000000-0005-0000-0000-00000B1E0000}"/>
    <cellStyle name="Comma [0] 3 47 3 2 2 2" xfId="32117" xr:uid="{00000000-0005-0000-0000-00000C1E0000}"/>
    <cellStyle name="Comma [0] 3 47 3 2 2 3" xfId="47609" xr:uid="{00000000-0005-0000-0000-00000D1E0000}"/>
    <cellStyle name="Comma [0] 3 47 3 2 3" xfId="24377" xr:uid="{00000000-0005-0000-0000-00000E1E0000}"/>
    <cellStyle name="Comma [0] 3 47 3 2 4" xfId="39869" xr:uid="{00000000-0005-0000-0000-00000F1E0000}"/>
    <cellStyle name="Comma [0] 3 47 3 3" xfId="12655" xr:uid="{00000000-0005-0000-0000-0000101E0000}"/>
    <cellStyle name="Comma [0] 3 47 3 3 2" xfId="28247" xr:uid="{00000000-0005-0000-0000-0000111E0000}"/>
    <cellStyle name="Comma [0] 3 47 3 3 3" xfId="43739" xr:uid="{00000000-0005-0000-0000-0000121E0000}"/>
    <cellStyle name="Comma [0] 3 47 3 4" xfId="20507" xr:uid="{00000000-0005-0000-0000-0000131E0000}"/>
    <cellStyle name="Comma [0] 3 47 3 5" xfId="35999" xr:uid="{00000000-0005-0000-0000-0000141E0000}"/>
    <cellStyle name="Comma [0] 3 47 4" xfId="6853" xr:uid="{00000000-0005-0000-0000-0000151E0000}"/>
    <cellStyle name="Comma [0] 3 47 4 2" xfId="14598" xr:uid="{00000000-0005-0000-0000-0000161E0000}"/>
    <cellStyle name="Comma [0] 3 47 4 2 2" xfId="30190" xr:uid="{00000000-0005-0000-0000-0000171E0000}"/>
    <cellStyle name="Comma [0] 3 47 4 2 3" xfId="45682" xr:uid="{00000000-0005-0000-0000-0000181E0000}"/>
    <cellStyle name="Comma [0] 3 47 4 3" xfId="22450" xr:uid="{00000000-0005-0000-0000-0000191E0000}"/>
    <cellStyle name="Comma [0] 3 47 4 4" xfId="37942" xr:uid="{00000000-0005-0000-0000-00001A1E0000}"/>
    <cellStyle name="Comma [0] 3 47 5" xfId="10728" xr:uid="{00000000-0005-0000-0000-00001B1E0000}"/>
    <cellStyle name="Comma [0] 3 47 5 2" xfId="26320" xr:uid="{00000000-0005-0000-0000-00001C1E0000}"/>
    <cellStyle name="Comma [0] 3 47 5 3" xfId="41812" xr:uid="{00000000-0005-0000-0000-00001D1E0000}"/>
    <cellStyle name="Comma [0] 3 47 6" xfId="18580" xr:uid="{00000000-0005-0000-0000-00001E1E0000}"/>
    <cellStyle name="Comma [0] 3 47 7" xfId="34072" xr:uid="{00000000-0005-0000-0000-00001F1E0000}"/>
    <cellStyle name="Comma [0] 3 48" xfId="2953" xr:uid="{00000000-0005-0000-0000-0000201E0000}"/>
    <cellStyle name="Comma [0] 3 48 2" xfId="3954" xr:uid="{00000000-0005-0000-0000-0000211E0000}"/>
    <cellStyle name="Comma [0] 3 48 2 2" xfId="5893" xr:uid="{00000000-0005-0000-0000-0000221E0000}"/>
    <cellStyle name="Comma [0] 3 48 2 2 2" xfId="9764" xr:uid="{00000000-0005-0000-0000-0000231E0000}"/>
    <cellStyle name="Comma [0] 3 48 2 2 2 2" xfId="17509" xr:uid="{00000000-0005-0000-0000-0000241E0000}"/>
    <cellStyle name="Comma [0] 3 48 2 2 2 2 2" xfId="33101" xr:uid="{00000000-0005-0000-0000-0000251E0000}"/>
    <cellStyle name="Comma [0] 3 48 2 2 2 2 3" xfId="48593" xr:uid="{00000000-0005-0000-0000-0000261E0000}"/>
    <cellStyle name="Comma [0] 3 48 2 2 2 3" xfId="25361" xr:uid="{00000000-0005-0000-0000-0000271E0000}"/>
    <cellStyle name="Comma [0] 3 48 2 2 2 4" xfId="40853" xr:uid="{00000000-0005-0000-0000-0000281E0000}"/>
    <cellStyle name="Comma [0] 3 48 2 2 3" xfId="13639" xr:uid="{00000000-0005-0000-0000-0000291E0000}"/>
    <cellStyle name="Comma [0] 3 48 2 2 3 2" xfId="29231" xr:uid="{00000000-0005-0000-0000-00002A1E0000}"/>
    <cellStyle name="Comma [0] 3 48 2 2 3 3" xfId="44723" xr:uid="{00000000-0005-0000-0000-00002B1E0000}"/>
    <cellStyle name="Comma [0] 3 48 2 2 4" xfId="21491" xr:uid="{00000000-0005-0000-0000-00002C1E0000}"/>
    <cellStyle name="Comma [0] 3 48 2 2 5" xfId="36983" xr:uid="{00000000-0005-0000-0000-00002D1E0000}"/>
    <cellStyle name="Comma [0] 3 48 2 3" xfId="7837" xr:uid="{00000000-0005-0000-0000-00002E1E0000}"/>
    <cellStyle name="Comma [0] 3 48 2 3 2" xfId="15582" xr:uid="{00000000-0005-0000-0000-00002F1E0000}"/>
    <cellStyle name="Comma [0] 3 48 2 3 2 2" xfId="31174" xr:uid="{00000000-0005-0000-0000-0000301E0000}"/>
    <cellStyle name="Comma [0] 3 48 2 3 2 3" xfId="46666" xr:uid="{00000000-0005-0000-0000-0000311E0000}"/>
    <cellStyle name="Comma [0] 3 48 2 3 3" xfId="23434" xr:uid="{00000000-0005-0000-0000-0000321E0000}"/>
    <cellStyle name="Comma [0] 3 48 2 3 4" xfId="38926" xr:uid="{00000000-0005-0000-0000-0000331E0000}"/>
    <cellStyle name="Comma [0] 3 48 2 4" xfId="11712" xr:uid="{00000000-0005-0000-0000-0000341E0000}"/>
    <cellStyle name="Comma [0] 3 48 2 4 2" xfId="27304" xr:uid="{00000000-0005-0000-0000-0000351E0000}"/>
    <cellStyle name="Comma [0] 3 48 2 4 3" xfId="42796" xr:uid="{00000000-0005-0000-0000-0000361E0000}"/>
    <cellStyle name="Comma [0] 3 48 2 5" xfId="19564" xr:uid="{00000000-0005-0000-0000-0000371E0000}"/>
    <cellStyle name="Comma [0] 3 48 2 6" xfId="35056" xr:uid="{00000000-0005-0000-0000-0000381E0000}"/>
    <cellStyle name="Comma [0] 3 48 3" xfId="4945" xr:uid="{00000000-0005-0000-0000-0000391E0000}"/>
    <cellStyle name="Comma [0] 3 48 3 2" xfId="8816" xr:uid="{00000000-0005-0000-0000-00003A1E0000}"/>
    <cellStyle name="Comma [0] 3 48 3 2 2" xfId="16561" xr:uid="{00000000-0005-0000-0000-00003B1E0000}"/>
    <cellStyle name="Comma [0] 3 48 3 2 2 2" xfId="32153" xr:uid="{00000000-0005-0000-0000-00003C1E0000}"/>
    <cellStyle name="Comma [0] 3 48 3 2 2 3" xfId="47645" xr:uid="{00000000-0005-0000-0000-00003D1E0000}"/>
    <cellStyle name="Comma [0] 3 48 3 2 3" xfId="24413" xr:uid="{00000000-0005-0000-0000-00003E1E0000}"/>
    <cellStyle name="Comma [0] 3 48 3 2 4" xfId="39905" xr:uid="{00000000-0005-0000-0000-00003F1E0000}"/>
    <cellStyle name="Comma [0] 3 48 3 3" xfId="12691" xr:uid="{00000000-0005-0000-0000-0000401E0000}"/>
    <cellStyle name="Comma [0] 3 48 3 3 2" xfId="28283" xr:uid="{00000000-0005-0000-0000-0000411E0000}"/>
    <cellStyle name="Comma [0] 3 48 3 3 3" xfId="43775" xr:uid="{00000000-0005-0000-0000-0000421E0000}"/>
    <cellStyle name="Comma [0] 3 48 3 4" xfId="20543" xr:uid="{00000000-0005-0000-0000-0000431E0000}"/>
    <cellStyle name="Comma [0] 3 48 3 5" xfId="36035" xr:uid="{00000000-0005-0000-0000-0000441E0000}"/>
    <cellStyle name="Comma [0] 3 48 4" xfId="6889" xr:uid="{00000000-0005-0000-0000-0000451E0000}"/>
    <cellStyle name="Comma [0] 3 48 4 2" xfId="14634" xr:uid="{00000000-0005-0000-0000-0000461E0000}"/>
    <cellStyle name="Comma [0] 3 48 4 2 2" xfId="30226" xr:uid="{00000000-0005-0000-0000-0000471E0000}"/>
    <cellStyle name="Comma [0] 3 48 4 2 3" xfId="45718" xr:uid="{00000000-0005-0000-0000-0000481E0000}"/>
    <cellStyle name="Comma [0] 3 48 4 3" xfId="22486" xr:uid="{00000000-0005-0000-0000-0000491E0000}"/>
    <cellStyle name="Comma [0] 3 48 4 4" xfId="37978" xr:uid="{00000000-0005-0000-0000-00004A1E0000}"/>
    <cellStyle name="Comma [0] 3 48 5" xfId="10764" xr:uid="{00000000-0005-0000-0000-00004B1E0000}"/>
    <cellStyle name="Comma [0] 3 48 5 2" xfId="26356" xr:uid="{00000000-0005-0000-0000-00004C1E0000}"/>
    <cellStyle name="Comma [0] 3 48 5 3" xfId="41848" xr:uid="{00000000-0005-0000-0000-00004D1E0000}"/>
    <cellStyle name="Comma [0] 3 48 6" xfId="18616" xr:uid="{00000000-0005-0000-0000-00004E1E0000}"/>
    <cellStyle name="Comma [0] 3 48 7" xfId="34108" xr:uid="{00000000-0005-0000-0000-00004F1E0000}"/>
    <cellStyle name="Comma [0] 3 49" xfId="2993" xr:uid="{00000000-0005-0000-0000-0000501E0000}"/>
    <cellStyle name="Comma [0] 3 49 2" xfId="3990" xr:uid="{00000000-0005-0000-0000-0000511E0000}"/>
    <cellStyle name="Comma [0] 3 49 2 2" xfId="5929" xr:uid="{00000000-0005-0000-0000-0000521E0000}"/>
    <cellStyle name="Comma [0] 3 49 2 2 2" xfId="9800" xr:uid="{00000000-0005-0000-0000-0000531E0000}"/>
    <cellStyle name="Comma [0] 3 49 2 2 2 2" xfId="17545" xr:uid="{00000000-0005-0000-0000-0000541E0000}"/>
    <cellStyle name="Comma [0] 3 49 2 2 2 2 2" xfId="33137" xr:uid="{00000000-0005-0000-0000-0000551E0000}"/>
    <cellStyle name="Comma [0] 3 49 2 2 2 2 3" xfId="48629" xr:uid="{00000000-0005-0000-0000-0000561E0000}"/>
    <cellStyle name="Comma [0] 3 49 2 2 2 3" xfId="25397" xr:uid="{00000000-0005-0000-0000-0000571E0000}"/>
    <cellStyle name="Comma [0] 3 49 2 2 2 4" xfId="40889" xr:uid="{00000000-0005-0000-0000-0000581E0000}"/>
    <cellStyle name="Comma [0] 3 49 2 2 3" xfId="13675" xr:uid="{00000000-0005-0000-0000-0000591E0000}"/>
    <cellStyle name="Comma [0] 3 49 2 2 3 2" xfId="29267" xr:uid="{00000000-0005-0000-0000-00005A1E0000}"/>
    <cellStyle name="Comma [0] 3 49 2 2 3 3" xfId="44759" xr:uid="{00000000-0005-0000-0000-00005B1E0000}"/>
    <cellStyle name="Comma [0] 3 49 2 2 4" xfId="21527" xr:uid="{00000000-0005-0000-0000-00005C1E0000}"/>
    <cellStyle name="Comma [0] 3 49 2 2 5" xfId="37019" xr:uid="{00000000-0005-0000-0000-00005D1E0000}"/>
    <cellStyle name="Comma [0] 3 49 2 3" xfId="7873" xr:uid="{00000000-0005-0000-0000-00005E1E0000}"/>
    <cellStyle name="Comma [0] 3 49 2 3 2" xfId="15618" xr:uid="{00000000-0005-0000-0000-00005F1E0000}"/>
    <cellStyle name="Comma [0] 3 49 2 3 2 2" xfId="31210" xr:uid="{00000000-0005-0000-0000-0000601E0000}"/>
    <cellStyle name="Comma [0] 3 49 2 3 2 3" xfId="46702" xr:uid="{00000000-0005-0000-0000-0000611E0000}"/>
    <cellStyle name="Comma [0] 3 49 2 3 3" xfId="23470" xr:uid="{00000000-0005-0000-0000-0000621E0000}"/>
    <cellStyle name="Comma [0] 3 49 2 3 4" xfId="38962" xr:uid="{00000000-0005-0000-0000-0000631E0000}"/>
    <cellStyle name="Comma [0] 3 49 2 4" xfId="11748" xr:uid="{00000000-0005-0000-0000-0000641E0000}"/>
    <cellStyle name="Comma [0] 3 49 2 4 2" xfId="27340" xr:uid="{00000000-0005-0000-0000-0000651E0000}"/>
    <cellStyle name="Comma [0] 3 49 2 4 3" xfId="42832" xr:uid="{00000000-0005-0000-0000-0000661E0000}"/>
    <cellStyle name="Comma [0] 3 49 2 5" xfId="19600" xr:uid="{00000000-0005-0000-0000-0000671E0000}"/>
    <cellStyle name="Comma [0] 3 49 2 6" xfId="35092" xr:uid="{00000000-0005-0000-0000-0000681E0000}"/>
    <cellStyle name="Comma [0] 3 49 3" xfId="4981" xr:uid="{00000000-0005-0000-0000-0000691E0000}"/>
    <cellStyle name="Comma [0] 3 49 3 2" xfId="8852" xr:uid="{00000000-0005-0000-0000-00006A1E0000}"/>
    <cellStyle name="Comma [0] 3 49 3 2 2" xfId="16597" xr:uid="{00000000-0005-0000-0000-00006B1E0000}"/>
    <cellStyle name="Comma [0] 3 49 3 2 2 2" xfId="32189" xr:uid="{00000000-0005-0000-0000-00006C1E0000}"/>
    <cellStyle name="Comma [0] 3 49 3 2 2 3" xfId="47681" xr:uid="{00000000-0005-0000-0000-00006D1E0000}"/>
    <cellStyle name="Comma [0] 3 49 3 2 3" xfId="24449" xr:uid="{00000000-0005-0000-0000-00006E1E0000}"/>
    <cellStyle name="Comma [0] 3 49 3 2 4" xfId="39941" xr:uid="{00000000-0005-0000-0000-00006F1E0000}"/>
    <cellStyle name="Comma [0] 3 49 3 3" xfId="12727" xr:uid="{00000000-0005-0000-0000-0000701E0000}"/>
    <cellStyle name="Comma [0] 3 49 3 3 2" xfId="28319" xr:uid="{00000000-0005-0000-0000-0000711E0000}"/>
    <cellStyle name="Comma [0] 3 49 3 3 3" xfId="43811" xr:uid="{00000000-0005-0000-0000-0000721E0000}"/>
    <cellStyle name="Comma [0] 3 49 3 4" xfId="20579" xr:uid="{00000000-0005-0000-0000-0000731E0000}"/>
    <cellStyle name="Comma [0] 3 49 3 5" xfId="36071" xr:uid="{00000000-0005-0000-0000-0000741E0000}"/>
    <cellStyle name="Comma [0] 3 49 4" xfId="6925" xr:uid="{00000000-0005-0000-0000-0000751E0000}"/>
    <cellStyle name="Comma [0] 3 49 4 2" xfId="14670" xr:uid="{00000000-0005-0000-0000-0000761E0000}"/>
    <cellStyle name="Comma [0] 3 49 4 2 2" xfId="30262" xr:uid="{00000000-0005-0000-0000-0000771E0000}"/>
    <cellStyle name="Comma [0] 3 49 4 2 3" xfId="45754" xr:uid="{00000000-0005-0000-0000-0000781E0000}"/>
    <cellStyle name="Comma [0] 3 49 4 3" xfId="22522" xr:uid="{00000000-0005-0000-0000-0000791E0000}"/>
    <cellStyle name="Comma [0] 3 49 4 4" xfId="38014" xr:uid="{00000000-0005-0000-0000-00007A1E0000}"/>
    <cellStyle name="Comma [0] 3 49 5" xfId="10800" xr:uid="{00000000-0005-0000-0000-00007B1E0000}"/>
    <cellStyle name="Comma [0] 3 49 5 2" xfId="26392" xr:uid="{00000000-0005-0000-0000-00007C1E0000}"/>
    <cellStyle name="Comma [0] 3 49 5 3" xfId="41884" xr:uid="{00000000-0005-0000-0000-00007D1E0000}"/>
    <cellStyle name="Comma [0] 3 49 6" xfId="18652" xr:uid="{00000000-0005-0000-0000-00007E1E0000}"/>
    <cellStyle name="Comma [0] 3 49 7" xfId="34144" xr:uid="{00000000-0005-0000-0000-00007F1E0000}"/>
    <cellStyle name="Comma [0] 3 5" xfId="456" xr:uid="{00000000-0005-0000-0000-0000801E0000}"/>
    <cellStyle name="Comma [0] 3 5 10" xfId="457" xr:uid="{00000000-0005-0000-0000-0000811E0000}"/>
    <cellStyle name="Comma [0] 3 5 11" xfId="458" xr:uid="{00000000-0005-0000-0000-0000821E0000}"/>
    <cellStyle name="Comma [0] 3 5 12" xfId="459" xr:uid="{00000000-0005-0000-0000-0000831E0000}"/>
    <cellStyle name="Comma [0] 3 5 13" xfId="460" xr:uid="{00000000-0005-0000-0000-0000841E0000}"/>
    <cellStyle name="Comma [0] 3 5 14" xfId="461" xr:uid="{00000000-0005-0000-0000-0000851E0000}"/>
    <cellStyle name="Comma [0] 3 5 15" xfId="462" xr:uid="{00000000-0005-0000-0000-0000861E0000}"/>
    <cellStyle name="Comma [0] 3 5 16" xfId="463" xr:uid="{00000000-0005-0000-0000-0000871E0000}"/>
    <cellStyle name="Comma [0] 3 5 17" xfId="464" xr:uid="{00000000-0005-0000-0000-0000881E0000}"/>
    <cellStyle name="Comma [0] 3 5 18" xfId="465" xr:uid="{00000000-0005-0000-0000-0000891E0000}"/>
    <cellStyle name="Comma [0] 3 5 19" xfId="466" xr:uid="{00000000-0005-0000-0000-00008A1E0000}"/>
    <cellStyle name="Comma [0] 3 5 2" xfId="467" xr:uid="{00000000-0005-0000-0000-00008B1E0000}"/>
    <cellStyle name="Comma [0] 3 5 20" xfId="468" xr:uid="{00000000-0005-0000-0000-00008C1E0000}"/>
    <cellStyle name="Comma [0] 3 5 21" xfId="469" xr:uid="{00000000-0005-0000-0000-00008D1E0000}"/>
    <cellStyle name="Comma [0] 3 5 22" xfId="470" xr:uid="{00000000-0005-0000-0000-00008E1E0000}"/>
    <cellStyle name="Comma [0] 3 5 23" xfId="471" xr:uid="{00000000-0005-0000-0000-00008F1E0000}"/>
    <cellStyle name="Comma [0] 3 5 24" xfId="472" xr:uid="{00000000-0005-0000-0000-0000901E0000}"/>
    <cellStyle name="Comma [0] 3 5 25" xfId="473" xr:uid="{00000000-0005-0000-0000-0000911E0000}"/>
    <cellStyle name="Comma [0] 3 5 26" xfId="474" xr:uid="{00000000-0005-0000-0000-0000921E0000}"/>
    <cellStyle name="Comma [0] 3 5 27" xfId="475" xr:uid="{00000000-0005-0000-0000-0000931E0000}"/>
    <cellStyle name="Comma [0] 3 5 28" xfId="476" xr:uid="{00000000-0005-0000-0000-0000941E0000}"/>
    <cellStyle name="Comma [0] 3 5 3" xfId="477" xr:uid="{00000000-0005-0000-0000-0000951E0000}"/>
    <cellStyle name="Comma [0] 3 5 4" xfId="478" xr:uid="{00000000-0005-0000-0000-0000961E0000}"/>
    <cellStyle name="Comma [0] 3 5 5" xfId="479" xr:uid="{00000000-0005-0000-0000-0000971E0000}"/>
    <cellStyle name="Comma [0] 3 5 6" xfId="480" xr:uid="{00000000-0005-0000-0000-0000981E0000}"/>
    <cellStyle name="Comma [0] 3 5 7" xfId="481" xr:uid="{00000000-0005-0000-0000-0000991E0000}"/>
    <cellStyle name="Comma [0] 3 5 8" xfId="482" xr:uid="{00000000-0005-0000-0000-00009A1E0000}"/>
    <cellStyle name="Comma [0] 3 5 9" xfId="483" xr:uid="{00000000-0005-0000-0000-00009B1E0000}"/>
    <cellStyle name="Comma [0] 3 50" xfId="3031" xr:uid="{00000000-0005-0000-0000-00009C1E0000}"/>
    <cellStyle name="Comma [0] 3 50 2" xfId="4026" xr:uid="{00000000-0005-0000-0000-00009D1E0000}"/>
    <cellStyle name="Comma [0] 3 50 2 2" xfId="5965" xr:uid="{00000000-0005-0000-0000-00009E1E0000}"/>
    <cellStyle name="Comma [0] 3 50 2 2 2" xfId="9836" xr:uid="{00000000-0005-0000-0000-00009F1E0000}"/>
    <cellStyle name="Comma [0] 3 50 2 2 2 2" xfId="17581" xr:uid="{00000000-0005-0000-0000-0000A01E0000}"/>
    <cellStyle name="Comma [0] 3 50 2 2 2 2 2" xfId="33173" xr:uid="{00000000-0005-0000-0000-0000A11E0000}"/>
    <cellStyle name="Comma [0] 3 50 2 2 2 2 3" xfId="48665" xr:uid="{00000000-0005-0000-0000-0000A21E0000}"/>
    <cellStyle name="Comma [0] 3 50 2 2 2 3" xfId="25433" xr:uid="{00000000-0005-0000-0000-0000A31E0000}"/>
    <cellStyle name="Comma [0] 3 50 2 2 2 4" xfId="40925" xr:uid="{00000000-0005-0000-0000-0000A41E0000}"/>
    <cellStyle name="Comma [0] 3 50 2 2 3" xfId="13711" xr:uid="{00000000-0005-0000-0000-0000A51E0000}"/>
    <cellStyle name="Comma [0] 3 50 2 2 3 2" xfId="29303" xr:uid="{00000000-0005-0000-0000-0000A61E0000}"/>
    <cellStyle name="Comma [0] 3 50 2 2 3 3" xfId="44795" xr:uid="{00000000-0005-0000-0000-0000A71E0000}"/>
    <cellStyle name="Comma [0] 3 50 2 2 4" xfId="21563" xr:uid="{00000000-0005-0000-0000-0000A81E0000}"/>
    <cellStyle name="Comma [0] 3 50 2 2 5" xfId="37055" xr:uid="{00000000-0005-0000-0000-0000A91E0000}"/>
    <cellStyle name="Comma [0] 3 50 2 3" xfId="7909" xr:uid="{00000000-0005-0000-0000-0000AA1E0000}"/>
    <cellStyle name="Comma [0] 3 50 2 3 2" xfId="15654" xr:uid="{00000000-0005-0000-0000-0000AB1E0000}"/>
    <cellStyle name="Comma [0] 3 50 2 3 2 2" xfId="31246" xr:uid="{00000000-0005-0000-0000-0000AC1E0000}"/>
    <cellStyle name="Comma [0] 3 50 2 3 2 3" xfId="46738" xr:uid="{00000000-0005-0000-0000-0000AD1E0000}"/>
    <cellStyle name="Comma [0] 3 50 2 3 3" xfId="23506" xr:uid="{00000000-0005-0000-0000-0000AE1E0000}"/>
    <cellStyle name="Comma [0] 3 50 2 3 4" xfId="38998" xr:uid="{00000000-0005-0000-0000-0000AF1E0000}"/>
    <cellStyle name="Comma [0] 3 50 2 4" xfId="11784" xr:uid="{00000000-0005-0000-0000-0000B01E0000}"/>
    <cellStyle name="Comma [0] 3 50 2 4 2" xfId="27376" xr:uid="{00000000-0005-0000-0000-0000B11E0000}"/>
    <cellStyle name="Comma [0] 3 50 2 4 3" xfId="42868" xr:uid="{00000000-0005-0000-0000-0000B21E0000}"/>
    <cellStyle name="Comma [0] 3 50 2 5" xfId="19636" xr:uid="{00000000-0005-0000-0000-0000B31E0000}"/>
    <cellStyle name="Comma [0] 3 50 2 6" xfId="35128" xr:uid="{00000000-0005-0000-0000-0000B41E0000}"/>
    <cellStyle name="Comma [0] 3 50 3" xfId="5017" xr:uid="{00000000-0005-0000-0000-0000B51E0000}"/>
    <cellStyle name="Comma [0] 3 50 3 2" xfId="8888" xr:uid="{00000000-0005-0000-0000-0000B61E0000}"/>
    <cellStyle name="Comma [0] 3 50 3 2 2" xfId="16633" xr:uid="{00000000-0005-0000-0000-0000B71E0000}"/>
    <cellStyle name="Comma [0] 3 50 3 2 2 2" xfId="32225" xr:uid="{00000000-0005-0000-0000-0000B81E0000}"/>
    <cellStyle name="Comma [0] 3 50 3 2 2 3" xfId="47717" xr:uid="{00000000-0005-0000-0000-0000B91E0000}"/>
    <cellStyle name="Comma [0] 3 50 3 2 3" xfId="24485" xr:uid="{00000000-0005-0000-0000-0000BA1E0000}"/>
    <cellStyle name="Comma [0] 3 50 3 2 4" xfId="39977" xr:uid="{00000000-0005-0000-0000-0000BB1E0000}"/>
    <cellStyle name="Comma [0] 3 50 3 3" xfId="12763" xr:uid="{00000000-0005-0000-0000-0000BC1E0000}"/>
    <cellStyle name="Comma [0] 3 50 3 3 2" xfId="28355" xr:uid="{00000000-0005-0000-0000-0000BD1E0000}"/>
    <cellStyle name="Comma [0] 3 50 3 3 3" xfId="43847" xr:uid="{00000000-0005-0000-0000-0000BE1E0000}"/>
    <cellStyle name="Comma [0] 3 50 3 4" xfId="20615" xr:uid="{00000000-0005-0000-0000-0000BF1E0000}"/>
    <cellStyle name="Comma [0] 3 50 3 5" xfId="36107" xr:uid="{00000000-0005-0000-0000-0000C01E0000}"/>
    <cellStyle name="Comma [0] 3 50 4" xfId="6961" xr:uid="{00000000-0005-0000-0000-0000C11E0000}"/>
    <cellStyle name="Comma [0] 3 50 4 2" xfId="14706" xr:uid="{00000000-0005-0000-0000-0000C21E0000}"/>
    <cellStyle name="Comma [0] 3 50 4 2 2" xfId="30298" xr:uid="{00000000-0005-0000-0000-0000C31E0000}"/>
    <cellStyle name="Comma [0] 3 50 4 2 3" xfId="45790" xr:uid="{00000000-0005-0000-0000-0000C41E0000}"/>
    <cellStyle name="Comma [0] 3 50 4 3" xfId="22558" xr:uid="{00000000-0005-0000-0000-0000C51E0000}"/>
    <cellStyle name="Comma [0] 3 50 4 4" xfId="38050" xr:uid="{00000000-0005-0000-0000-0000C61E0000}"/>
    <cellStyle name="Comma [0] 3 50 5" xfId="10836" xr:uid="{00000000-0005-0000-0000-0000C71E0000}"/>
    <cellStyle name="Comma [0] 3 50 5 2" xfId="26428" xr:uid="{00000000-0005-0000-0000-0000C81E0000}"/>
    <cellStyle name="Comma [0] 3 50 5 3" xfId="41920" xr:uid="{00000000-0005-0000-0000-0000C91E0000}"/>
    <cellStyle name="Comma [0] 3 50 6" xfId="18688" xr:uid="{00000000-0005-0000-0000-0000CA1E0000}"/>
    <cellStyle name="Comma [0] 3 50 7" xfId="34180" xr:uid="{00000000-0005-0000-0000-0000CB1E0000}"/>
    <cellStyle name="Comma [0] 3 51" xfId="3068" xr:uid="{00000000-0005-0000-0000-0000CC1E0000}"/>
    <cellStyle name="Comma [0] 3 51 2" xfId="4062" xr:uid="{00000000-0005-0000-0000-0000CD1E0000}"/>
    <cellStyle name="Comma [0] 3 51 2 2" xfId="6001" xr:uid="{00000000-0005-0000-0000-0000CE1E0000}"/>
    <cellStyle name="Comma [0] 3 51 2 2 2" xfId="9872" xr:uid="{00000000-0005-0000-0000-0000CF1E0000}"/>
    <cellStyle name="Comma [0] 3 51 2 2 2 2" xfId="17617" xr:uid="{00000000-0005-0000-0000-0000D01E0000}"/>
    <cellStyle name="Comma [0] 3 51 2 2 2 2 2" xfId="33209" xr:uid="{00000000-0005-0000-0000-0000D11E0000}"/>
    <cellStyle name="Comma [0] 3 51 2 2 2 2 3" xfId="48701" xr:uid="{00000000-0005-0000-0000-0000D21E0000}"/>
    <cellStyle name="Comma [0] 3 51 2 2 2 3" xfId="25469" xr:uid="{00000000-0005-0000-0000-0000D31E0000}"/>
    <cellStyle name="Comma [0] 3 51 2 2 2 4" xfId="40961" xr:uid="{00000000-0005-0000-0000-0000D41E0000}"/>
    <cellStyle name="Comma [0] 3 51 2 2 3" xfId="13747" xr:uid="{00000000-0005-0000-0000-0000D51E0000}"/>
    <cellStyle name="Comma [0] 3 51 2 2 3 2" xfId="29339" xr:uid="{00000000-0005-0000-0000-0000D61E0000}"/>
    <cellStyle name="Comma [0] 3 51 2 2 3 3" xfId="44831" xr:uid="{00000000-0005-0000-0000-0000D71E0000}"/>
    <cellStyle name="Comma [0] 3 51 2 2 4" xfId="21599" xr:uid="{00000000-0005-0000-0000-0000D81E0000}"/>
    <cellStyle name="Comma [0] 3 51 2 2 5" xfId="37091" xr:uid="{00000000-0005-0000-0000-0000D91E0000}"/>
    <cellStyle name="Comma [0] 3 51 2 3" xfId="7945" xr:uid="{00000000-0005-0000-0000-0000DA1E0000}"/>
    <cellStyle name="Comma [0] 3 51 2 3 2" xfId="15690" xr:uid="{00000000-0005-0000-0000-0000DB1E0000}"/>
    <cellStyle name="Comma [0] 3 51 2 3 2 2" xfId="31282" xr:uid="{00000000-0005-0000-0000-0000DC1E0000}"/>
    <cellStyle name="Comma [0] 3 51 2 3 2 3" xfId="46774" xr:uid="{00000000-0005-0000-0000-0000DD1E0000}"/>
    <cellStyle name="Comma [0] 3 51 2 3 3" xfId="23542" xr:uid="{00000000-0005-0000-0000-0000DE1E0000}"/>
    <cellStyle name="Comma [0] 3 51 2 3 4" xfId="39034" xr:uid="{00000000-0005-0000-0000-0000DF1E0000}"/>
    <cellStyle name="Comma [0] 3 51 2 4" xfId="11820" xr:uid="{00000000-0005-0000-0000-0000E01E0000}"/>
    <cellStyle name="Comma [0] 3 51 2 4 2" xfId="27412" xr:uid="{00000000-0005-0000-0000-0000E11E0000}"/>
    <cellStyle name="Comma [0] 3 51 2 4 3" xfId="42904" xr:uid="{00000000-0005-0000-0000-0000E21E0000}"/>
    <cellStyle name="Comma [0] 3 51 2 5" xfId="19672" xr:uid="{00000000-0005-0000-0000-0000E31E0000}"/>
    <cellStyle name="Comma [0] 3 51 2 6" xfId="35164" xr:uid="{00000000-0005-0000-0000-0000E41E0000}"/>
    <cellStyle name="Comma [0] 3 51 3" xfId="5053" xr:uid="{00000000-0005-0000-0000-0000E51E0000}"/>
    <cellStyle name="Comma [0] 3 51 3 2" xfId="8924" xr:uid="{00000000-0005-0000-0000-0000E61E0000}"/>
    <cellStyle name="Comma [0] 3 51 3 2 2" xfId="16669" xr:uid="{00000000-0005-0000-0000-0000E71E0000}"/>
    <cellStyle name="Comma [0] 3 51 3 2 2 2" xfId="32261" xr:uid="{00000000-0005-0000-0000-0000E81E0000}"/>
    <cellStyle name="Comma [0] 3 51 3 2 2 3" xfId="47753" xr:uid="{00000000-0005-0000-0000-0000E91E0000}"/>
    <cellStyle name="Comma [0] 3 51 3 2 3" xfId="24521" xr:uid="{00000000-0005-0000-0000-0000EA1E0000}"/>
    <cellStyle name="Comma [0] 3 51 3 2 4" xfId="40013" xr:uid="{00000000-0005-0000-0000-0000EB1E0000}"/>
    <cellStyle name="Comma [0] 3 51 3 3" xfId="12799" xr:uid="{00000000-0005-0000-0000-0000EC1E0000}"/>
    <cellStyle name="Comma [0] 3 51 3 3 2" xfId="28391" xr:uid="{00000000-0005-0000-0000-0000ED1E0000}"/>
    <cellStyle name="Comma [0] 3 51 3 3 3" xfId="43883" xr:uid="{00000000-0005-0000-0000-0000EE1E0000}"/>
    <cellStyle name="Comma [0] 3 51 3 4" xfId="20651" xr:uid="{00000000-0005-0000-0000-0000EF1E0000}"/>
    <cellStyle name="Comma [0] 3 51 3 5" xfId="36143" xr:uid="{00000000-0005-0000-0000-0000F01E0000}"/>
    <cellStyle name="Comma [0] 3 51 4" xfId="6997" xr:uid="{00000000-0005-0000-0000-0000F11E0000}"/>
    <cellStyle name="Comma [0] 3 51 4 2" xfId="14742" xr:uid="{00000000-0005-0000-0000-0000F21E0000}"/>
    <cellStyle name="Comma [0] 3 51 4 2 2" xfId="30334" xr:uid="{00000000-0005-0000-0000-0000F31E0000}"/>
    <cellStyle name="Comma [0] 3 51 4 2 3" xfId="45826" xr:uid="{00000000-0005-0000-0000-0000F41E0000}"/>
    <cellStyle name="Comma [0] 3 51 4 3" xfId="22594" xr:uid="{00000000-0005-0000-0000-0000F51E0000}"/>
    <cellStyle name="Comma [0] 3 51 4 4" xfId="38086" xr:uid="{00000000-0005-0000-0000-0000F61E0000}"/>
    <cellStyle name="Comma [0] 3 51 5" xfId="10872" xr:uid="{00000000-0005-0000-0000-0000F71E0000}"/>
    <cellStyle name="Comma [0] 3 51 5 2" xfId="26464" xr:uid="{00000000-0005-0000-0000-0000F81E0000}"/>
    <cellStyle name="Comma [0] 3 51 5 3" xfId="41956" xr:uid="{00000000-0005-0000-0000-0000F91E0000}"/>
    <cellStyle name="Comma [0] 3 51 6" xfId="18724" xr:uid="{00000000-0005-0000-0000-0000FA1E0000}"/>
    <cellStyle name="Comma [0] 3 51 7" xfId="34216" xr:uid="{00000000-0005-0000-0000-0000FB1E0000}"/>
    <cellStyle name="Comma [0] 3 52" xfId="3115" xr:uid="{00000000-0005-0000-0000-0000FC1E0000}"/>
    <cellStyle name="Comma [0] 3 52 2" xfId="4098" xr:uid="{00000000-0005-0000-0000-0000FD1E0000}"/>
    <cellStyle name="Comma [0] 3 52 2 2" xfId="6037" xr:uid="{00000000-0005-0000-0000-0000FE1E0000}"/>
    <cellStyle name="Comma [0] 3 52 2 2 2" xfId="9908" xr:uid="{00000000-0005-0000-0000-0000FF1E0000}"/>
    <cellStyle name="Comma [0] 3 52 2 2 2 2" xfId="17653" xr:uid="{00000000-0005-0000-0000-0000001F0000}"/>
    <cellStyle name="Comma [0] 3 52 2 2 2 2 2" xfId="33245" xr:uid="{00000000-0005-0000-0000-0000011F0000}"/>
    <cellStyle name="Comma [0] 3 52 2 2 2 2 3" xfId="48737" xr:uid="{00000000-0005-0000-0000-0000021F0000}"/>
    <cellStyle name="Comma [0] 3 52 2 2 2 3" xfId="25505" xr:uid="{00000000-0005-0000-0000-0000031F0000}"/>
    <cellStyle name="Comma [0] 3 52 2 2 2 4" xfId="40997" xr:uid="{00000000-0005-0000-0000-0000041F0000}"/>
    <cellStyle name="Comma [0] 3 52 2 2 3" xfId="13783" xr:uid="{00000000-0005-0000-0000-0000051F0000}"/>
    <cellStyle name="Comma [0] 3 52 2 2 3 2" xfId="29375" xr:uid="{00000000-0005-0000-0000-0000061F0000}"/>
    <cellStyle name="Comma [0] 3 52 2 2 3 3" xfId="44867" xr:uid="{00000000-0005-0000-0000-0000071F0000}"/>
    <cellStyle name="Comma [0] 3 52 2 2 4" xfId="21635" xr:uid="{00000000-0005-0000-0000-0000081F0000}"/>
    <cellStyle name="Comma [0] 3 52 2 2 5" xfId="37127" xr:uid="{00000000-0005-0000-0000-0000091F0000}"/>
    <cellStyle name="Comma [0] 3 52 2 3" xfId="7981" xr:uid="{00000000-0005-0000-0000-00000A1F0000}"/>
    <cellStyle name="Comma [0] 3 52 2 3 2" xfId="15726" xr:uid="{00000000-0005-0000-0000-00000B1F0000}"/>
    <cellStyle name="Comma [0] 3 52 2 3 2 2" xfId="31318" xr:uid="{00000000-0005-0000-0000-00000C1F0000}"/>
    <cellStyle name="Comma [0] 3 52 2 3 2 3" xfId="46810" xr:uid="{00000000-0005-0000-0000-00000D1F0000}"/>
    <cellStyle name="Comma [0] 3 52 2 3 3" xfId="23578" xr:uid="{00000000-0005-0000-0000-00000E1F0000}"/>
    <cellStyle name="Comma [0] 3 52 2 3 4" xfId="39070" xr:uid="{00000000-0005-0000-0000-00000F1F0000}"/>
    <cellStyle name="Comma [0] 3 52 2 4" xfId="11856" xr:uid="{00000000-0005-0000-0000-0000101F0000}"/>
    <cellStyle name="Comma [0] 3 52 2 4 2" xfId="27448" xr:uid="{00000000-0005-0000-0000-0000111F0000}"/>
    <cellStyle name="Comma [0] 3 52 2 4 3" xfId="42940" xr:uid="{00000000-0005-0000-0000-0000121F0000}"/>
    <cellStyle name="Comma [0] 3 52 2 5" xfId="19708" xr:uid="{00000000-0005-0000-0000-0000131F0000}"/>
    <cellStyle name="Comma [0] 3 52 2 6" xfId="35200" xr:uid="{00000000-0005-0000-0000-0000141F0000}"/>
    <cellStyle name="Comma [0] 3 52 3" xfId="5089" xr:uid="{00000000-0005-0000-0000-0000151F0000}"/>
    <cellStyle name="Comma [0] 3 52 3 2" xfId="8960" xr:uid="{00000000-0005-0000-0000-0000161F0000}"/>
    <cellStyle name="Comma [0] 3 52 3 2 2" xfId="16705" xr:uid="{00000000-0005-0000-0000-0000171F0000}"/>
    <cellStyle name="Comma [0] 3 52 3 2 2 2" xfId="32297" xr:uid="{00000000-0005-0000-0000-0000181F0000}"/>
    <cellStyle name="Comma [0] 3 52 3 2 2 3" xfId="47789" xr:uid="{00000000-0005-0000-0000-0000191F0000}"/>
    <cellStyle name="Comma [0] 3 52 3 2 3" xfId="24557" xr:uid="{00000000-0005-0000-0000-00001A1F0000}"/>
    <cellStyle name="Comma [0] 3 52 3 2 4" xfId="40049" xr:uid="{00000000-0005-0000-0000-00001B1F0000}"/>
    <cellStyle name="Comma [0] 3 52 3 3" xfId="12835" xr:uid="{00000000-0005-0000-0000-00001C1F0000}"/>
    <cellStyle name="Comma [0] 3 52 3 3 2" xfId="28427" xr:uid="{00000000-0005-0000-0000-00001D1F0000}"/>
    <cellStyle name="Comma [0] 3 52 3 3 3" xfId="43919" xr:uid="{00000000-0005-0000-0000-00001E1F0000}"/>
    <cellStyle name="Comma [0] 3 52 3 4" xfId="20687" xr:uid="{00000000-0005-0000-0000-00001F1F0000}"/>
    <cellStyle name="Comma [0] 3 52 3 5" xfId="36179" xr:uid="{00000000-0005-0000-0000-0000201F0000}"/>
    <cellStyle name="Comma [0] 3 52 4" xfId="7033" xr:uid="{00000000-0005-0000-0000-0000211F0000}"/>
    <cellStyle name="Comma [0] 3 52 4 2" xfId="14778" xr:uid="{00000000-0005-0000-0000-0000221F0000}"/>
    <cellStyle name="Comma [0] 3 52 4 2 2" xfId="30370" xr:uid="{00000000-0005-0000-0000-0000231F0000}"/>
    <cellStyle name="Comma [0] 3 52 4 2 3" xfId="45862" xr:uid="{00000000-0005-0000-0000-0000241F0000}"/>
    <cellStyle name="Comma [0] 3 52 4 3" xfId="22630" xr:uid="{00000000-0005-0000-0000-0000251F0000}"/>
    <cellStyle name="Comma [0] 3 52 4 4" xfId="38122" xr:uid="{00000000-0005-0000-0000-0000261F0000}"/>
    <cellStyle name="Comma [0] 3 52 5" xfId="10908" xr:uid="{00000000-0005-0000-0000-0000271F0000}"/>
    <cellStyle name="Comma [0] 3 52 5 2" xfId="26500" xr:uid="{00000000-0005-0000-0000-0000281F0000}"/>
    <cellStyle name="Comma [0] 3 52 5 3" xfId="41992" xr:uid="{00000000-0005-0000-0000-0000291F0000}"/>
    <cellStyle name="Comma [0] 3 52 6" xfId="18760" xr:uid="{00000000-0005-0000-0000-00002A1F0000}"/>
    <cellStyle name="Comma [0] 3 52 7" xfId="34252" xr:uid="{00000000-0005-0000-0000-00002B1F0000}"/>
    <cellStyle name="Comma [0] 3 53" xfId="48836" xr:uid="{00000000-0005-0000-0000-00002C1F0000}"/>
    <cellStyle name="Comma [0] 3 6" xfId="484" xr:uid="{00000000-0005-0000-0000-00002D1F0000}"/>
    <cellStyle name="Comma [0] 3 6 10" xfId="485" xr:uid="{00000000-0005-0000-0000-00002E1F0000}"/>
    <cellStyle name="Comma [0] 3 6 11" xfId="486" xr:uid="{00000000-0005-0000-0000-00002F1F0000}"/>
    <cellStyle name="Comma [0] 3 6 12" xfId="487" xr:uid="{00000000-0005-0000-0000-0000301F0000}"/>
    <cellStyle name="Comma [0] 3 6 13" xfId="488" xr:uid="{00000000-0005-0000-0000-0000311F0000}"/>
    <cellStyle name="Comma [0] 3 6 14" xfId="489" xr:uid="{00000000-0005-0000-0000-0000321F0000}"/>
    <cellStyle name="Comma [0] 3 6 15" xfId="490" xr:uid="{00000000-0005-0000-0000-0000331F0000}"/>
    <cellStyle name="Comma [0] 3 6 16" xfId="491" xr:uid="{00000000-0005-0000-0000-0000341F0000}"/>
    <cellStyle name="Comma [0] 3 6 17" xfId="492" xr:uid="{00000000-0005-0000-0000-0000351F0000}"/>
    <cellStyle name="Comma [0] 3 6 18" xfId="493" xr:uid="{00000000-0005-0000-0000-0000361F0000}"/>
    <cellStyle name="Comma [0] 3 6 19" xfId="494" xr:uid="{00000000-0005-0000-0000-0000371F0000}"/>
    <cellStyle name="Comma [0] 3 6 2" xfId="495" xr:uid="{00000000-0005-0000-0000-0000381F0000}"/>
    <cellStyle name="Comma [0] 3 6 20" xfId="496" xr:uid="{00000000-0005-0000-0000-0000391F0000}"/>
    <cellStyle name="Comma [0] 3 6 21" xfId="497" xr:uid="{00000000-0005-0000-0000-00003A1F0000}"/>
    <cellStyle name="Comma [0] 3 6 22" xfId="498" xr:uid="{00000000-0005-0000-0000-00003B1F0000}"/>
    <cellStyle name="Comma [0] 3 6 23" xfId="499" xr:uid="{00000000-0005-0000-0000-00003C1F0000}"/>
    <cellStyle name="Comma [0] 3 6 24" xfId="500" xr:uid="{00000000-0005-0000-0000-00003D1F0000}"/>
    <cellStyle name="Comma [0] 3 6 25" xfId="501" xr:uid="{00000000-0005-0000-0000-00003E1F0000}"/>
    <cellStyle name="Comma [0] 3 6 26" xfId="502" xr:uid="{00000000-0005-0000-0000-00003F1F0000}"/>
    <cellStyle name="Comma [0] 3 6 27" xfId="503" xr:uid="{00000000-0005-0000-0000-0000401F0000}"/>
    <cellStyle name="Comma [0] 3 6 28" xfId="504" xr:uid="{00000000-0005-0000-0000-0000411F0000}"/>
    <cellStyle name="Comma [0] 3 6 3" xfId="505" xr:uid="{00000000-0005-0000-0000-0000421F0000}"/>
    <cellStyle name="Comma [0] 3 6 4" xfId="506" xr:uid="{00000000-0005-0000-0000-0000431F0000}"/>
    <cellStyle name="Comma [0] 3 6 5" xfId="507" xr:uid="{00000000-0005-0000-0000-0000441F0000}"/>
    <cellStyle name="Comma [0] 3 6 6" xfId="508" xr:uid="{00000000-0005-0000-0000-0000451F0000}"/>
    <cellStyle name="Comma [0] 3 6 7" xfId="509" xr:uid="{00000000-0005-0000-0000-0000461F0000}"/>
    <cellStyle name="Comma [0] 3 6 8" xfId="510" xr:uid="{00000000-0005-0000-0000-0000471F0000}"/>
    <cellStyle name="Comma [0] 3 6 9" xfId="511" xr:uid="{00000000-0005-0000-0000-0000481F0000}"/>
    <cellStyle name="Comma [0] 3 7" xfId="512" xr:uid="{00000000-0005-0000-0000-0000491F0000}"/>
    <cellStyle name="Comma [0] 3 7 10" xfId="513" xr:uid="{00000000-0005-0000-0000-00004A1F0000}"/>
    <cellStyle name="Comma [0] 3 7 11" xfId="514" xr:uid="{00000000-0005-0000-0000-00004B1F0000}"/>
    <cellStyle name="Comma [0] 3 7 12" xfId="515" xr:uid="{00000000-0005-0000-0000-00004C1F0000}"/>
    <cellStyle name="Comma [0] 3 7 13" xfId="516" xr:uid="{00000000-0005-0000-0000-00004D1F0000}"/>
    <cellStyle name="Comma [0] 3 7 14" xfId="517" xr:uid="{00000000-0005-0000-0000-00004E1F0000}"/>
    <cellStyle name="Comma [0] 3 7 15" xfId="518" xr:uid="{00000000-0005-0000-0000-00004F1F0000}"/>
    <cellStyle name="Comma [0] 3 7 16" xfId="519" xr:uid="{00000000-0005-0000-0000-0000501F0000}"/>
    <cellStyle name="Comma [0] 3 7 17" xfId="520" xr:uid="{00000000-0005-0000-0000-0000511F0000}"/>
    <cellStyle name="Comma [0] 3 7 18" xfId="521" xr:uid="{00000000-0005-0000-0000-0000521F0000}"/>
    <cellStyle name="Comma [0] 3 7 19" xfId="522" xr:uid="{00000000-0005-0000-0000-0000531F0000}"/>
    <cellStyle name="Comma [0] 3 7 2" xfId="523" xr:uid="{00000000-0005-0000-0000-0000541F0000}"/>
    <cellStyle name="Comma [0] 3 7 20" xfId="524" xr:uid="{00000000-0005-0000-0000-0000551F0000}"/>
    <cellStyle name="Comma [0] 3 7 21" xfId="525" xr:uid="{00000000-0005-0000-0000-0000561F0000}"/>
    <cellStyle name="Comma [0] 3 7 22" xfId="526" xr:uid="{00000000-0005-0000-0000-0000571F0000}"/>
    <cellStyle name="Comma [0] 3 7 23" xfId="527" xr:uid="{00000000-0005-0000-0000-0000581F0000}"/>
    <cellStyle name="Comma [0] 3 7 24" xfId="528" xr:uid="{00000000-0005-0000-0000-0000591F0000}"/>
    <cellStyle name="Comma [0] 3 7 25" xfId="529" xr:uid="{00000000-0005-0000-0000-00005A1F0000}"/>
    <cellStyle name="Comma [0] 3 7 26" xfId="530" xr:uid="{00000000-0005-0000-0000-00005B1F0000}"/>
    <cellStyle name="Comma [0] 3 7 27" xfId="531" xr:uid="{00000000-0005-0000-0000-00005C1F0000}"/>
    <cellStyle name="Comma [0] 3 7 28" xfId="532" xr:uid="{00000000-0005-0000-0000-00005D1F0000}"/>
    <cellStyle name="Comma [0] 3 7 3" xfId="533" xr:uid="{00000000-0005-0000-0000-00005E1F0000}"/>
    <cellStyle name="Comma [0] 3 7 4" xfId="534" xr:uid="{00000000-0005-0000-0000-00005F1F0000}"/>
    <cellStyle name="Comma [0] 3 7 5" xfId="535" xr:uid="{00000000-0005-0000-0000-0000601F0000}"/>
    <cellStyle name="Comma [0] 3 7 6" xfId="536" xr:uid="{00000000-0005-0000-0000-0000611F0000}"/>
    <cellStyle name="Comma [0] 3 7 7" xfId="537" xr:uid="{00000000-0005-0000-0000-0000621F0000}"/>
    <cellStyle name="Comma [0] 3 7 8" xfId="538" xr:uid="{00000000-0005-0000-0000-0000631F0000}"/>
    <cellStyle name="Comma [0] 3 7 9" xfId="539" xr:uid="{00000000-0005-0000-0000-0000641F0000}"/>
    <cellStyle name="Comma [0] 3 8" xfId="540" xr:uid="{00000000-0005-0000-0000-0000651F0000}"/>
    <cellStyle name="Comma [0] 3 8 10" xfId="541" xr:uid="{00000000-0005-0000-0000-0000661F0000}"/>
    <cellStyle name="Comma [0] 3 8 11" xfId="542" xr:uid="{00000000-0005-0000-0000-0000671F0000}"/>
    <cellStyle name="Comma [0] 3 8 12" xfId="543" xr:uid="{00000000-0005-0000-0000-0000681F0000}"/>
    <cellStyle name="Comma [0] 3 8 13" xfId="544" xr:uid="{00000000-0005-0000-0000-0000691F0000}"/>
    <cellStyle name="Comma [0] 3 8 14" xfId="545" xr:uid="{00000000-0005-0000-0000-00006A1F0000}"/>
    <cellStyle name="Comma [0] 3 8 15" xfId="546" xr:uid="{00000000-0005-0000-0000-00006B1F0000}"/>
    <cellStyle name="Comma [0] 3 8 16" xfId="547" xr:uid="{00000000-0005-0000-0000-00006C1F0000}"/>
    <cellStyle name="Comma [0] 3 8 17" xfId="548" xr:uid="{00000000-0005-0000-0000-00006D1F0000}"/>
    <cellStyle name="Comma [0] 3 8 18" xfId="549" xr:uid="{00000000-0005-0000-0000-00006E1F0000}"/>
    <cellStyle name="Comma [0] 3 8 19" xfId="550" xr:uid="{00000000-0005-0000-0000-00006F1F0000}"/>
    <cellStyle name="Comma [0] 3 8 2" xfId="551" xr:uid="{00000000-0005-0000-0000-0000701F0000}"/>
    <cellStyle name="Comma [0] 3 8 20" xfId="552" xr:uid="{00000000-0005-0000-0000-0000711F0000}"/>
    <cellStyle name="Comma [0] 3 8 21" xfId="553" xr:uid="{00000000-0005-0000-0000-0000721F0000}"/>
    <cellStyle name="Comma [0] 3 8 22" xfId="554" xr:uid="{00000000-0005-0000-0000-0000731F0000}"/>
    <cellStyle name="Comma [0] 3 8 23" xfId="555" xr:uid="{00000000-0005-0000-0000-0000741F0000}"/>
    <cellStyle name="Comma [0] 3 8 24" xfId="556" xr:uid="{00000000-0005-0000-0000-0000751F0000}"/>
    <cellStyle name="Comma [0] 3 8 25" xfId="557" xr:uid="{00000000-0005-0000-0000-0000761F0000}"/>
    <cellStyle name="Comma [0] 3 8 26" xfId="558" xr:uid="{00000000-0005-0000-0000-0000771F0000}"/>
    <cellStyle name="Comma [0] 3 8 27" xfId="559" xr:uid="{00000000-0005-0000-0000-0000781F0000}"/>
    <cellStyle name="Comma [0] 3 8 28" xfId="560" xr:uid="{00000000-0005-0000-0000-0000791F0000}"/>
    <cellStyle name="Comma [0] 3 8 3" xfId="561" xr:uid="{00000000-0005-0000-0000-00007A1F0000}"/>
    <cellStyle name="Comma [0] 3 8 4" xfId="562" xr:uid="{00000000-0005-0000-0000-00007B1F0000}"/>
    <cellStyle name="Comma [0] 3 8 5" xfId="563" xr:uid="{00000000-0005-0000-0000-00007C1F0000}"/>
    <cellStyle name="Comma [0] 3 8 6" xfId="564" xr:uid="{00000000-0005-0000-0000-00007D1F0000}"/>
    <cellStyle name="Comma [0] 3 8 7" xfId="565" xr:uid="{00000000-0005-0000-0000-00007E1F0000}"/>
    <cellStyle name="Comma [0] 3 8 8" xfId="566" xr:uid="{00000000-0005-0000-0000-00007F1F0000}"/>
    <cellStyle name="Comma [0] 3 8 9" xfId="567" xr:uid="{00000000-0005-0000-0000-0000801F0000}"/>
    <cellStyle name="Comma [0] 3 9" xfId="568" xr:uid="{00000000-0005-0000-0000-0000811F0000}"/>
    <cellStyle name="Comma [0] 3 9 10" xfId="569" xr:uid="{00000000-0005-0000-0000-0000821F0000}"/>
    <cellStyle name="Comma [0] 3 9 11" xfId="570" xr:uid="{00000000-0005-0000-0000-0000831F0000}"/>
    <cellStyle name="Comma [0] 3 9 12" xfId="571" xr:uid="{00000000-0005-0000-0000-0000841F0000}"/>
    <cellStyle name="Comma [0] 3 9 13" xfId="572" xr:uid="{00000000-0005-0000-0000-0000851F0000}"/>
    <cellStyle name="Comma [0] 3 9 14" xfId="573" xr:uid="{00000000-0005-0000-0000-0000861F0000}"/>
    <cellStyle name="Comma [0] 3 9 15" xfId="574" xr:uid="{00000000-0005-0000-0000-0000871F0000}"/>
    <cellStyle name="Comma [0] 3 9 16" xfId="575" xr:uid="{00000000-0005-0000-0000-0000881F0000}"/>
    <cellStyle name="Comma [0] 3 9 17" xfId="576" xr:uid="{00000000-0005-0000-0000-0000891F0000}"/>
    <cellStyle name="Comma [0] 3 9 18" xfId="577" xr:uid="{00000000-0005-0000-0000-00008A1F0000}"/>
    <cellStyle name="Comma [0] 3 9 19" xfId="578" xr:uid="{00000000-0005-0000-0000-00008B1F0000}"/>
    <cellStyle name="Comma [0] 3 9 2" xfId="579" xr:uid="{00000000-0005-0000-0000-00008C1F0000}"/>
    <cellStyle name="Comma [0] 3 9 20" xfId="580" xr:uid="{00000000-0005-0000-0000-00008D1F0000}"/>
    <cellStyle name="Comma [0] 3 9 21" xfId="581" xr:uid="{00000000-0005-0000-0000-00008E1F0000}"/>
    <cellStyle name="Comma [0] 3 9 22" xfId="582" xr:uid="{00000000-0005-0000-0000-00008F1F0000}"/>
    <cellStyle name="Comma [0] 3 9 23" xfId="583" xr:uid="{00000000-0005-0000-0000-0000901F0000}"/>
    <cellStyle name="Comma [0] 3 9 24" xfId="584" xr:uid="{00000000-0005-0000-0000-0000911F0000}"/>
    <cellStyle name="Comma [0] 3 9 25" xfId="585" xr:uid="{00000000-0005-0000-0000-0000921F0000}"/>
    <cellStyle name="Comma [0] 3 9 26" xfId="586" xr:uid="{00000000-0005-0000-0000-0000931F0000}"/>
    <cellStyle name="Comma [0] 3 9 27" xfId="587" xr:uid="{00000000-0005-0000-0000-0000941F0000}"/>
    <cellStyle name="Comma [0] 3 9 28" xfId="588" xr:uid="{00000000-0005-0000-0000-0000951F0000}"/>
    <cellStyle name="Comma [0] 3 9 3" xfId="589" xr:uid="{00000000-0005-0000-0000-0000961F0000}"/>
    <cellStyle name="Comma [0] 3 9 4" xfId="590" xr:uid="{00000000-0005-0000-0000-0000971F0000}"/>
    <cellStyle name="Comma [0] 3 9 5" xfId="591" xr:uid="{00000000-0005-0000-0000-0000981F0000}"/>
    <cellStyle name="Comma [0] 3 9 6" xfId="592" xr:uid="{00000000-0005-0000-0000-0000991F0000}"/>
    <cellStyle name="Comma [0] 3 9 7" xfId="593" xr:uid="{00000000-0005-0000-0000-00009A1F0000}"/>
    <cellStyle name="Comma [0] 3 9 8" xfId="594" xr:uid="{00000000-0005-0000-0000-00009B1F0000}"/>
    <cellStyle name="Comma [0] 3 9 9" xfId="595" xr:uid="{00000000-0005-0000-0000-00009C1F0000}"/>
    <cellStyle name="Comma [0] 31" xfId="596" xr:uid="{00000000-0005-0000-0000-00009D1F0000}"/>
    <cellStyle name="Comma [0] 37" xfId="597" xr:uid="{00000000-0005-0000-0000-00009E1F0000}"/>
    <cellStyle name="Comma [0] 4" xfId="598" xr:uid="{00000000-0005-0000-0000-00009F1F0000}"/>
    <cellStyle name="Comma [0] 4 10" xfId="599" xr:uid="{00000000-0005-0000-0000-0000A01F0000}"/>
    <cellStyle name="Comma [0] 4 11" xfId="2165" xr:uid="{00000000-0005-0000-0000-0000A11F0000}"/>
    <cellStyle name="Comma [0] 4 11 2" xfId="4152" xr:uid="{00000000-0005-0000-0000-0000A21F0000}"/>
    <cellStyle name="Comma [0] 4 11 3" xfId="49047" xr:uid="{C3FAAB91-8CBF-4A2E-95BB-8637307C359C}"/>
    <cellStyle name="Comma [0] 4 12" xfId="17790" xr:uid="{00000000-0005-0000-0000-0000A31F0000}"/>
    <cellStyle name="Comma [0] 4 12 2" xfId="33335" xr:uid="{00000000-0005-0000-0000-0000A41F0000}"/>
    <cellStyle name="Comma [0] 4 12 3" xfId="48827" xr:uid="{00000000-0005-0000-0000-0000A51F0000}"/>
    <cellStyle name="Comma [0] 4 13" xfId="48841" xr:uid="{00000000-0005-0000-0000-0000A61F0000}"/>
    <cellStyle name="Comma [0] 4 14" xfId="49046" xr:uid="{442355D0-67B2-4EC7-AA84-4CB5E814568A}"/>
    <cellStyle name="Comma [0] 4 2" xfId="600" xr:uid="{00000000-0005-0000-0000-0000A71F0000}"/>
    <cellStyle name="Comma [0] 4 3" xfId="601" xr:uid="{00000000-0005-0000-0000-0000A81F0000}"/>
    <cellStyle name="Comma [0] 4 4" xfId="602" xr:uid="{00000000-0005-0000-0000-0000A91F0000}"/>
    <cellStyle name="Comma [0] 4 5" xfId="603" xr:uid="{00000000-0005-0000-0000-0000AA1F0000}"/>
    <cellStyle name="Comma [0] 4 6" xfId="604" xr:uid="{00000000-0005-0000-0000-0000AB1F0000}"/>
    <cellStyle name="Comma [0] 4 7" xfId="605" xr:uid="{00000000-0005-0000-0000-0000AC1F0000}"/>
    <cellStyle name="Comma [0] 4 8" xfId="606" xr:uid="{00000000-0005-0000-0000-0000AD1F0000}"/>
    <cellStyle name="Comma [0] 4 9" xfId="607" xr:uid="{00000000-0005-0000-0000-0000AE1F0000}"/>
    <cellStyle name="Comma [0] 42" xfId="608" xr:uid="{00000000-0005-0000-0000-0000AF1F0000}"/>
    <cellStyle name="Comma [0] 43" xfId="609" xr:uid="{00000000-0005-0000-0000-0000B01F0000}"/>
    <cellStyle name="Comma [0] 44" xfId="610" xr:uid="{00000000-0005-0000-0000-0000B11F0000}"/>
    <cellStyle name="Comma [0] 45" xfId="611" xr:uid="{00000000-0005-0000-0000-0000B21F0000}"/>
    <cellStyle name="Comma [0] 5" xfId="612" xr:uid="{00000000-0005-0000-0000-0000B31F0000}"/>
    <cellStyle name="Comma [0] 5 10" xfId="613" xr:uid="{00000000-0005-0000-0000-0000B41F0000}"/>
    <cellStyle name="Comma [0] 5 10 10" xfId="614" xr:uid="{00000000-0005-0000-0000-0000B51F0000}"/>
    <cellStyle name="Comma [0] 5 10 11" xfId="615" xr:uid="{00000000-0005-0000-0000-0000B61F0000}"/>
    <cellStyle name="Comma [0] 5 10 12" xfId="616" xr:uid="{00000000-0005-0000-0000-0000B71F0000}"/>
    <cellStyle name="Comma [0] 5 10 13" xfId="617" xr:uid="{00000000-0005-0000-0000-0000B81F0000}"/>
    <cellStyle name="Comma [0] 5 10 14" xfId="618" xr:uid="{00000000-0005-0000-0000-0000B91F0000}"/>
    <cellStyle name="Comma [0] 5 10 15" xfId="619" xr:uid="{00000000-0005-0000-0000-0000BA1F0000}"/>
    <cellStyle name="Comma [0] 5 10 16" xfId="620" xr:uid="{00000000-0005-0000-0000-0000BB1F0000}"/>
    <cellStyle name="Comma [0] 5 10 17" xfId="621" xr:uid="{00000000-0005-0000-0000-0000BC1F0000}"/>
    <cellStyle name="Comma [0] 5 10 18" xfId="622" xr:uid="{00000000-0005-0000-0000-0000BD1F0000}"/>
    <cellStyle name="Comma [0] 5 10 19" xfId="623" xr:uid="{00000000-0005-0000-0000-0000BE1F0000}"/>
    <cellStyle name="Comma [0] 5 10 2" xfId="624" xr:uid="{00000000-0005-0000-0000-0000BF1F0000}"/>
    <cellStyle name="Comma [0] 5 10 20" xfId="625" xr:uid="{00000000-0005-0000-0000-0000C01F0000}"/>
    <cellStyle name="Comma [0] 5 10 21" xfId="626" xr:uid="{00000000-0005-0000-0000-0000C11F0000}"/>
    <cellStyle name="Comma [0] 5 10 22" xfId="627" xr:uid="{00000000-0005-0000-0000-0000C21F0000}"/>
    <cellStyle name="Comma [0] 5 10 23" xfId="628" xr:uid="{00000000-0005-0000-0000-0000C31F0000}"/>
    <cellStyle name="Comma [0] 5 10 24" xfId="629" xr:uid="{00000000-0005-0000-0000-0000C41F0000}"/>
    <cellStyle name="Comma [0] 5 10 25" xfId="630" xr:uid="{00000000-0005-0000-0000-0000C51F0000}"/>
    <cellStyle name="Comma [0] 5 10 26" xfId="631" xr:uid="{00000000-0005-0000-0000-0000C61F0000}"/>
    <cellStyle name="Comma [0] 5 10 27" xfId="632" xr:uid="{00000000-0005-0000-0000-0000C71F0000}"/>
    <cellStyle name="Comma [0] 5 10 28" xfId="633" xr:uid="{00000000-0005-0000-0000-0000C81F0000}"/>
    <cellStyle name="Comma [0] 5 10 3" xfId="634" xr:uid="{00000000-0005-0000-0000-0000C91F0000}"/>
    <cellStyle name="Comma [0] 5 10 4" xfId="635" xr:uid="{00000000-0005-0000-0000-0000CA1F0000}"/>
    <cellStyle name="Comma [0] 5 10 5" xfId="636" xr:uid="{00000000-0005-0000-0000-0000CB1F0000}"/>
    <cellStyle name="Comma [0] 5 10 6" xfId="637" xr:uid="{00000000-0005-0000-0000-0000CC1F0000}"/>
    <cellStyle name="Comma [0] 5 10 7" xfId="638" xr:uid="{00000000-0005-0000-0000-0000CD1F0000}"/>
    <cellStyle name="Comma [0] 5 10 8" xfId="639" xr:uid="{00000000-0005-0000-0000-0000CE1F0000}"/>
    <cellStyle name="Comma [0] 5 10 9" xfId="640" xr:uid="{00000000-0005-0000-0000-0000CF1F0000}"/>
    <cellStyle name="Comma [0] 5 11" xfId="641" xr:uid="{00000000-0005-0000-0000-0000D01F0000}"/>
    <cellStyle name="Comma [0] 5 11 10" xfId="642" xr:uid="{00000000-0005-0000-0000-0000D11F0000}"/>
    <cellStyle name="Comma [0] 5 11 11" xfId="643" xr:uid="{00000000-0005-0000-0000-0000D21F0000}"/>
    <cellStyle name="Comma [0] 5 11 12" xfId="644" xr:uid="{00000000-0005-0000-0000-0000D31F0000}"/>
    <cellStyle name="Comma [0] 5 11 13" xfId="645" xr:uid="{00000000-0005-0000-0000-0000D41F0000}"/>
    <cellStyle name="Comma [0] 5 11 14" xfId="646" xr:uid="{00000000-0005-0000-0000-0000D51F0000}"/>
    <cellStyle name="Comma [0] 5 11 15" xfId="647" xr:uid="{00000000-0005-0000-0000-0000D61F0000}"/>
    <cellStyle name="Comma [0] 5 11 16" xfId="648" xr:uid="{00000000-0005-0000-0000-0000D71F0000}"/>
    <cellStyle name="Comma [0] 5 11 17" xfId="649" xr:uid="{00000000-0005-0000-0000-0000D81F0000}"/>
    <cellStyle name="Comma [0] 5 11 18" xfId="650" xr:uid="{00000000-0005-0000-0000-0000D91F0000}"/>
    <cellStyle name="Comma [0] 5 11 19" xfId="651" xr:uid="{00000000-0005-0000-0000-0000DA1F0000}"/>
    <cellStyle name="Comma [0] 5 11 2" xfId="652" xr:uid="{00000000-0005-0000-0000-0000DB1F0000}"/>
    <cellStyle name="Comma [0] 5 11 20" xfId="653" xr:uid="{00000000-0005-0000-0000-0000DC1F0000}"/>
    <cellStyle name="Comma [0] 5 11 21" xfId="654" xr:uid="{00000000-0005-0000-0000-0000DD1F0000}"/>
    <cellStyle name="Comma [0] 5 11 22" xfId="655" xr:uid="{00000000-0005-0000-0000-0000DE1F0000}"/>
    <cellStyle name="Comma [0] 5 11 23" xfId="656" xr:uid="{00000000-0005-0000-0000-0000DF1F0000}"/>
    <cellStyle name="Comma [0] 5 11 24" xfId="657" xr:uid="{00000000-0005-0000-0000-0000E01F0000}"/>
    <cellStyle name="Comma [0] 5 11 25" xfId="658" xr:uid="{00000000-0005-0000-0000-0000E11F0000}"/>
    <cellStyle name="Comma [0] 5 11 26" xfId="659" xr:uid="{00000000-0005-0000-0000-0000E21F0000}"/>
    <cellStyle name="Comma [0] 5 11 27" xfId="660" xr:uid="{00000000-0005-0000-0000-0000E31F0000}"/>
    <cellStyle name="Comma [0] 5 11 28" xfId="661" xr:uid="{00000000-0005-0000-0000-0000E41F0000}"/>
    <cellStyle name="Comma [0] 5 11 3" xfId="662" xr:uid="{00000000-0005-0000-0000-0000E51F0000}"/>
    <cellStyle name="Comma [0] 5 11 4" xfId="663" xr:uid="{00000000-0005-0000-0000-0000E61F0000}"/>
    <cellStyle name="Comma [0] 5 11 5" xfId="664" xr:uid="{00000000-0005-0000-0000-0000E71F0000}"/>
    <cellStyle name="Comma [0] 5 11 6" xfId="665" xr:uid="{00000000-0005-0000-0000-0000E81F0000}"/>
    <cellStyle name="Comma [0] 5 11 7" xfId="666" xr:uid="{00000000-0005-0000-0000-0000E91F0000}"/>
    <cellStyle name="Comma [0] 5 11 8" xfId="667" xr:uid="{00000000-0005-0000-0000-0000EA1F0000}"/>
    <cellStyle name="Comma [0] 5 11 9" xfId="668" xr:uid="{00000000-0005-0000-0000-0000EB1F0000}"/>
    <cellStyle name="Comma [0] 5 12" xfId="669" xr:uid="{00000000-0005-0000-0000-0000EC1F0000}"/>
    <cellStyle name="Comma [0] 5 13" xfId="670" xr:uid="{00000000-0005-0000-0000-0000ED1F0000}"/>
    <cellStyle name="Comma [0] 5 13 2" xfId="4153" xr:uid="{00000000-0005-0000-0000-0000EE1F0000}"/>
    <cellStyle name="Comma [0] 5 14" xfId="671" xr:uid="{00000000-0005-0000-0000-0000EF1F0000}"/>
    <cellStyle name="Comma [0] 5 15" xfId="672" xr:uid="{00000000-0005-0000-0000-0000F01F0000}"/>
    <cellStyle name="Comma [0] 5 16" xfId="673" xr:uid="{00000000-0005-0000-0000-0000F11F0000}"/>
    <cellStyle name="Comma [0] 5 17" xfId="674" xr:uid="{00000000-0005-0000-0000-0000F21F0000}"/>
    <cellStyle name="Comma [0] 5 18" xfId="675" xr:uid="{00000000-0005-0000-0000-0000F31F0000}"/>
    <cellStyle name="Comma [0] 5 19" xfId="676" xr:uid="{00000000-0005-0000-0000-0000F41F0000}"/>
    <cellStyle name="Comma [0] 5 2" xfId="677" xr:uid="{00000000-0005-0000-0000-0000F51F0000}"/>
    <cellStyle name="Comma [0] 5 20" xfId="678" xr:uid="{00000000-0005-0000-0000-0000F61F0000}"/>
    <cellStyle name="Comma [0] 5 21" xfId="679" xr:uid="{00000000-0005-0000-0000-0000F71F0000}"/>
    <cellStyle name="Comma [0] 5 22" xfId="680" xr:uid="{00000000-0005-0000-0000-0000F81F0000}"/>
    <cellStyle name="Comma [0] 5 23" xfId="681" xr:uid="{00000000-0005-0000-0000-0000F91F0000}"/>
    <cellStyle name="Comma [0] 5 24" xfId="682" xr:uid="{00000000-0005-0000-0000-0000FA1F0000}"/>
    <cellStyle name="Comma [0] 5 25" xfId="683" xr:uid="{00000000-0005-0000-0000-0000FB1F0000}"/>
    <cellStyle name="Comma [0] 5 26" xfId="684" xr:uid="{00000000-0005-0000-0000-0000FC1F0000}"/>
    <cellStyle name="Comma [0] 5 27" xfId="685" xr:uid="{00000000-0005-0000-0000-0000FD1F0000}"/>
    <cellStyle name="Comma [0] 5 28" xfId="686" xr:uid="{00000000-0005-0000-0000-0000FE1F0000}"/>
    <cellStyle name="Comma [0] 5 29" xfId="687" xr:uid="{00000000-0005-0000-0000-0000FF1F0000}"/>
    <cellStyle name="Comma [0] 5 3" xfId="688" xr:uid="{00000000-0005-0000-0000-000000200000}"/>
    <cellStyle name="Comma [0] 5 30" xfId="689" xr:uid="{00000000-0005-0000-0000-000001200000}"/>
    <cellStyle name="Comma [0] 5 31" xfId="690" xr:uid="{00000000-0005-0000-0000-000002200000}"/>
    <cellStyle name="Comma [0] 5 32" xfId="691" xr:uid="{00000000-0005-0000-0000-000003200000}"/>
    <cellStyle name="Comma [0] 5 33" xfId="692" xr:uid="{00000000-0005-0000-0000-000004200000}"/>
    <cellStyle name="Comma [0] 5 34" xfId="693" xr:uid="{00000000-0005-0000-0000-000005200000}"/>
    <cellStyle name="Comma [0] 5 35" xfId="2166" xr:uid="{00000000-0005-0000-0000-000006200000}"/>
    <cellStyle name="Comma [0] 5 35 2" xfId="2511" xr:uid="{00000000-0005-0000-0000-000007200000}"/>
    <cellStyle name="Comma [0] 5 35 2 2" xfId="3519" xr:uid="{00000000-0005-0000-0000-000008200000}"/>
    <cellStyle name="Comma [0] 5 35 2 2 2" xfId="5458" xr:uid="{00000000-0005-0000-0000-000009200000}"/>
    <cellStyle name="Comma [0] 5 35 2 2 2 2" xfId="9329" xr:uid="{00000000-0005-0000-0000-00000A200000}"/>
    <cellStyle name="Comma [0] 5 35 2 2 2 2 2" xfId="17074" xr:uid="{00000000-0005-0000-0000-00000B200000}"/>
    <cellStyle name="Comma [0] 5 35 2 2 2 2 2 2" xfId="32666" xr:uid="{00000000-0005-0000-0000-00000C200000}"/>
    <cellStyle name="Comma [0] 5 35 2 2 2 2 2 3" xfId="48158" xr:uid="{00000000-0005-0000-0000-00000D200000}"/>
    <cellStyle name="Comma [0] 5 35 2 2 2 2 3" xfId="24926" xr:uid="{00000000-0005-0000-0000-00000E200000}"/>
    <cellStyle name="Comma [0] 5 35 2 2 2 2 4" xfId="40418" xr:uid="{00000000-0005-0000-0000-00000F200000}"/>
    <cellStyle name="Comma [0] 5 35 2 2 2 3" xfId="13204" xr:uid="{00000000-0005-0000-0000-000010200000}"/>
    <cellStyle name="Comma [0] 5 35 2 2 2 3 2" xfId="28796" xr:uid="{00000000-0005-0000-0000-000011200000}"/>
    <cellStyle name="Comma [0] 5 35 2 2 2 3 3" xfId="44288" xr:uid="{00000000-0005-0000-0000-000012200000}"/>
    <cellStyle name="Comma [0] 5 35 2 2 2 4" xfId="21056" xr:uid="{00000000-0005-0000-0000-000013200000}"/>
    <cellStyle name="Comma [0] 5 35 2 2 2 5" xfId="36548" xr:uid="{00000000-0005-0000-0000-000014200000}"/>
    <cellStyle name="Comma [0] 5 35 2 2 3" xfId="7402" xr:uid="{00000000-0005-0000-0000-000015200000}"/>
    <cellStyle name="Comma [0] 5 35 2 2 3 2" xfId="15147" xr:uid="{00000000-0005-0000-0000-000016200000}"/>
    <cellStyle name="Comma [0] 5 35 2 2 3 2 2" xfId="30739" xr:uid="{00000000-0005-0000-0000-000017200000}"/>
    <cellStyle name="Comma [0] 5 35 2 2 3 2 3" xfId="46231" xr:uid="{00000000-0005-0000-0000-000018200000}"/>
    <cellStyle name="Comma [0] 5 35 2 2 3 3" xfId="22999" xr:uid="{00000000-0005-0000-0000-000019200000}"/>
    <cellStyle name="Comma [0] 5 35 2 2 3 4" xfId="38491" xr:uid="{00000000-0005-0000-0000-00001A200000}"/>
    <cellStyle name="Comma [0] 5 35 2 2 4" xfId="11277" xr:uid="{00000000-0005-0000-0000-00001B200000}"/>
    <cellStyle name="Comma [0] 5 35 2 2 4 2" xfId="26869" xr:uid="{00000000-0005-0000-0000-00001C200000}"/>
    <cellStyle name="Comma [0] 5 35 2 2 4 3" xfId="42361" xr:uid="{00000000-0005-0000-0000-00001D200000}"/>
    <cellStyle name="Comma [0] 5 35 2 2 5" xfId="19129" xr:uid="{00000000-0005-0000-0000-00001E200000}"/>
    <cellStyle name="Comma [0] 5 35 2 2 6" xfId="34621" xr:uid="{00000000-0005-0000-0000-00001F200000}"/>
    <cellStyle name="Comma [0] 5 35 2 3" xfId="4510" xr:uid="{00000000-0005-0000-0000-000020200000}"/>
    <cellStyle name="Comma [0] 5 35 2 3 2" xfId="8381" xr:uid="{00000000-0005-0000-0000-000021200000}"/>
    <cellStyle name="Comma [0] 5 35 2 3 2 2" xfId="16126" xr:uid="{00000000-0005-0000-0000-000022200000}"/>
    <cellStyle name="Comma [0] 5 35 2 3 2 2 2" xfId="31718" xr:uid="{00000000-0005-0000-0000-000023200000}"/>
    <cellStyle name="Comma [0] 5 35 2 3 2 2 3" xfId="47210" xr:uid="{00000000-0005-0000-0000-000024200000}"/>
    <cellStyle name="Comma [0] 5 35 2 3 2 3" xfId="23978" xr:uid="{00000000-0005-0000-0000-000025200000}"/>
    <cellStyle name="Comma [0] 5 35 2 3 2 4" xfId="39470" xr:uid="{00000000-0005-0000-0000-000026200000}"/>
    <cellStyle name="Comma [0] 5 35 2 3 3" xfId="12256" xr:uid="{00000000-0005-0000-0000-000027200000}"/>
    <cellStyle name="Comma [0] 5 35 2 3 3 2" xfId="27848" xr:uid="{00000000-0005-0000-0000-000028200000}"/>
    <cellStyle name="Comma [0] 5 35 2 3 3 3" xfId="43340" xr:uid="{00000000-0005-0000-0000-000029200000}"/>
    <cellStyle name="Comma [0] 5 35 2 3 4" xfId="20108" xr:uid="{00000000-0005-0000-0000-00002A200000}"/>
    <cellStyle name="Comma [0] 5 35 2 3 5" xfId="35600" xr:uid="{00000000-0005-0000-0000-00002B200000}"/>
    <cellStyle name="Comma [0] 5 35 2 4" xfId="6454" xr:uid="{00000000-0005-0000-0000-00002C200000}"/>
    <cellStyle name="Comma [0] 5 35 2 4 2" xfId="14199" xr:uid="{00000000-0005-0000-0000-00002D200000}"/>
    <cellStyle name="Comma [0] 5 35 2 4 2 2" xfId="29791" xr:uid="{00000000-0005-0000-0000-00002E200000}"/>
    <cellStyle name="Comma [0] 5 35 2 4 2 3" xfId="45283" xr:uid="{00000000-0005-0000-0000-00002F200000}"/>
    <cellStyle name="Comma [0] 5 35 2 4 3" xfId="22051" xr:uid="{00000000-0005-0000-0000-000030200000}"/>
    <cellStyle name="Comma [0] 5 35 2 4 4" xfId="37543" xr:uid="{00000000-0005-0000-0000-000031200000}"/>
    <cellStyle name="Comma [0] 5 35 2 5" xfId="10329" xr:uid="{00000000-0005-0000-0000-000032200000}"/>
    <cellStyle name="Comma [0] 5 35 2 5 2" xfId="25921" xr:uid="{00000000-0005-0000-0000-000033200000}"/>
    <cellStyle name="Comma [0] 5 35 2 5 3" xfId="41413" xr:uid="{00000000-0005-0000-0000-000034200000}"/>
    <cellStyle name="Comma [0] 5 35 2 6" xfId="18181" xr:uid="{00000000-0005-0000-0000-000035200000}"/>
    <cellStyle name="Comma [0] 5 35 2 7" xfId="33673" xr:uid="{00000000-0005-0000-0000-000036200000}"/>
    <cellStyle name="Comma [0] 5 35 3" xfId="3210" xr:uid="{00000000-0005-0000-0000-000037200000}"/>
    <cellStyle name="Comma [0] 5 35 3 2" xfId="5149" xr:uid="{00000000-0005-0000-0000-000038200000}"/>
    <cellStyle name="Comma [0] 5 35 3 2 2" xfId="9020" xr:uid="{00000000-0005-0000-0000-000039200000}"/>
    <cellStyle name="Comma [0] 5 35 3 2 2 2" xfId="16765" xr:uid="{00000000-0005-0000-0000-00003A200000}"/>
    <cellStyle name="Comma [0] 5 35 3 2 2 2 2" xfId="32357" xr:uid="{00000000-0005-0000-0000-00003B200000}"/>
    <cellStyle name="Comma [0] 5 35 3 2 2 2 3" xfId="47849" xr:uid="{00000000-0005-0000-0000-00003C200000}"/>
    <cellStyle name="Comma [0] 5 35 3 2 2 3" xfId="24617" xr:uid="{00000000-0005-0000-0000-00003D200000}"/>
    <cellStyle name="Comma [0] 5 35 3 2 2 4" xfId="40109" xr:uid="{00000000-0005-0000-0000-00003E200000}"/>
    <cellStyle name="Comma [0] 5 35 3 2 3" xfId="12895" xr:uid="{00000000-0005-0000-0000-00003F200000}"/>
    <cellStyle name="Comma [0] 5 35 3 2 3 2" xfId="28487" xr:uid="{00000000-0005-0000-0000-000040200000}"/>
    <cellStyle name="Comma [0] 5 35 3 2 3 3" xfId="43979" xr:uid="{00000000-0005-0000-0000-000041200000}"/>
    <cellStyle name="Comma [0] 5 35 3 2 4" xfId="20747" xr:uid="{00000000-0005-0000-0000-000042200000}"/>
    <cellStyle name="Comma [0] 5 35 3 2 5" xfId="36239" xr:uid="{00000000-0005-0000-0000-000043200000}"/>
    <cellStyle name="Comma [0] 5 35 3 3" xfId="7093" xr:uid="{00000000-0005-0000-0000-000044200000}"/>
    <cellStyle name="Comma [0] 5 35 3 3 2" xfId="14838" xr:uid="{00000000-0005-0000-0000-000045200000}"/>
    <cellStyle name="Comma [0] 5 35 3 3 2 2" xfId="30430" xr:uid="{00000000-0005-0000-0000-000046200000}"/>
    <cellStyle name="Comma [0] 5 35 3 3 2 3" xfId="45922" xr:uid="{00000000-0005-0000-0000-000047200000}"/>
    <cellStyle name="Comma [0] 5 35 3 3 3" xfId="22690" xr:uid="{00000000-0005-0000-0000-000048200000}"/>
    <cellStyle name="Comma [0] 5 35 3 3 4" xfId="38182" xr:uid="{00000000-0005-0000-0000-000049200000}"/>
    <cellStyle name="Comma [0] 5 35 3 4" xfId="10968" xr:uid="{00000000-0005-0000-0000-00004A200000}"/>
    <cellStyle name="Comma [0] 5 35 3 4 2" xfId="26560" xr:uid="{00000000-0005-0000-0000-00004B200000}"/>
    <cellStyle name="Comma [0] 5 35 3 4 3" xfId="42052" xr:uid="{00000000-0005-0000-0000-00004C200000}"/>
    <cellStyle name="Comma [0] 5 35 3 5" xfId="18820" xr:uid="{00000000-0005-0000-0000-00004D200000}"/>
    <cellStyle name="Comma [0] 5 35 3 6" xfId="34312" xr:uid="{00000000-0005-0000-0000-00004E200000}"/>
    <cellStyle name="Comma [0] 5 35 4" xfId="4201" xr:uid="{00000000-0005-0000-0000-00004F200000}"/>
    <cellStyle name="Comma [0] 5 35 4 2" xfId="8072" xr:uid="{00000000-0005-0000-0000-000050200000}"/>
    <cellStyle name="Comma [0] 5 35 4 2 2" xfId="15817" xr:uid="{00000000-0005-0000-0000-000051200000}"/>
    <cellStyle name="Comma [0] 5 35 4 2 2 2" xfId="31409" xr:uid="{00000000-0005-0000-0000-000052200000}"/>
    <cellStyle name="Comma [0] 5 35 4 2 2 3" xfId="46901" xr:uid="{00000000-0005-0000-0000-000053200000}"/>
    <cellStyle name="Comma [0] 5 35 4 2 3" xfId="23669" xr:uid="{00000000-0005-0000-0000-000054200000}"/>
    <cellStyle name="Comma [0] 5 35 4 2 4" xfId="39161" xr:uid="{00000000-0005-0000-0000-000055200000}"/>
    <cellStyle name="Comma [0] 5 35 4 3" xfId="11947" xr:uid="{00000000-0005-0000-0000-000056200000}"/>
    <cellStyle name="Comma [0] 5 35 4 3 2" xfId="27539" xr:uid="{00000000-0005-0000-0000-000057200000}"/>
    <cellStyle name="Comma [0] 5 35 4 3 3" xfId="43031" xr:uid="{00000000-0005-0000-0000-000058200000}"/>
    <cellStyle name="Comma [0] 5 35 4 4" xfId="19799" xr:uid="{00000000-0005-0000-0000-000059200000}"/>
    <cellStyle name="Comma [0] 5 35 4 5" xfId="35291" xr:uid="{00000000-0005-0000-0000-00005A200000}"/>
    <cellStyle name="Comma [0] 5 35 5" xfId="6145" xr:uid="{00000000-0005-0000-0000-00005B200000}"/>
    <cellStyle name="Comma [0] 5 35 5 2" xfId="13890" xr:uid="{00000000-0005-0000-0000-00005C200000}"/>
    <cellStyle name="Comma [0] 5 35 5 2 2" xfId="29482" xr:uid="{00000000-0005-0000-0000-00005D200000}"/>
    <cellStyle name="Comma [0] 5 35 5 2 3" xfId="44974" xr:uid="{00000000-0005-0000-0000-00005E200000}"/>
    <cellStyle name="Comma [0] 5 35 5 3" xfId="21742" xr:uid="{00000000-0005-0000-0000-00005F200000}"/>
    <cellStyle name="Comma [0] 5 35 5 4" xfId="37234" xr:uid="{00000000-0005-0000-0000-000060200000}"/>
    <cellStyle name="Comma [0] 5 35 6" xfId="10020" xr:uid="{00000000-0005-0000-0000-000061200000}"/>
    <cellStyle name="Comma [0] 5 35 6 2" xfId="25612" xr:uid="{00000000-0005-0000-0000-000062200000}"/>
    <cellStyle name="Comma [0] 5 35 6 3" xfId="41104" xr:uid="{00000000-0005-0000-0000-000063200000}"/>
    <cellStyle name="Comma [0] 5 35 7" xfId="17872" xr:uid="{00000000-0005-0000-0000-000064200000}"/>
    <cellStyle name="Comma [0] 5 35 8" xfId="33364" xr:uid="{00000000-0005-0000-0000-000065200000}"/>
    <cellStyle name="Comma [0] 5 36" xfId="2232" xr:uid="{00000000-0005-0000-0000-000066200000}"/>
    <cellStyle name="Comma [0] 5 36 2" xfId="2549" xr:uid="{00000000-0005-0000-0000-000067200000}"/>
    <cellStyle name="Comma [0] 5 36 2 2" xfId="3557" xr:uid="{00000000-0005-0000-0000-000068200000}"/>
    <cellStyle name="Comma [0] 5 36 2 2 2" xfId="5496" xr:uid="{00000000-0005-0000-0000-000069200000}"/>
    <cellStyle name="Comma [0] 5 36 2 2 2 2" xfId="9367" xr:uid="{00000000-0005-0000-0000-00006A200000}"/>
    <cellStyle name="Comma [0] 5 36 2 2 2 2 2" xfId="17112" xr:uid="{00000000-0005-0000-0000-00006B200000}"/>
    <cellStyle name="Comma [0] 5 36 2 2 2 2 2 2" xfId="32704" xr:uid="{00000000-0005-0000-0000-00006C200000}"/>
    <cellStyle name="Comma [0] 5 36 2 2 2 2 2 3" xfId="48196" xr:uid="{00000000-0005-0000-0000-00006D200000}"/>
    <cellStyle name="Comma [0] 5 36 2 2 2 2 3" xfId="24964" xr:uid="{00000000-0005-0000-0000-00006E200000}"/>
    <cellStyle name="Comma [0] 5 36 2 2 2 2 4" xfId="40456" xr:uid="{00000000-0005-0000-0000-00006F200000}"/>
    <cellStyle name="Comma [0] 5 36 2 2 2 3" xfId="13242" xr:uid="{00000000-0005-0000-0000-000070200000}"/>
    <cellStyle name="Comma [0] 5 36 2 2 2 3 2" xfId="28834" xr:uid="{00000000-0005-0000-0000-000071200000}"/>
    <cellStyle name="Comma [0] 5 36 2 2 2 3 3" xfId="44326" xr:uid="{00000000-0005-0000-0000-000072200000}"/>
    <cellStyle name="Comma [0] 5 36 2 2 2 4" xfId="21094" xr:uid="{00000000-0005-0000-0000-000073200000}"/>
    <cellStyle name="Comma [0] 5 36 2 2 2 5" xfId="36586" xr:uid="{00000000-0005-0000-0000-000074200000}"/>
    <cellStyle name="Comma [0] 5 36 2 2 3" xfId="7440" xr:uid="{00000000-0005-0000-0000-000075200000}"/>
    <cellStyle name="Comma [0] 5 36 2 2 3 2" xfId="15185" xr:uid="{00000000-0005-0000-0000-000076200000}"/>
    <cellStyle name="Comma [0] 5 36 2 2 3 2 2" xfId="30777" xr:uid="{00000000-0005-0000-0000-000077200000}"/>
    <cellStyle name="Comma [0] 5 36 2 2 3 2 3" xfId="46269" xr:uid="{00000000-0005-0000-0000-000078200000}"/>
    <cellStyle name="Comma [0] 5 36 2 2 3 3" xfId="23037" xr:uid="{00000000-0005-0000-0000-000079200000}"/>
    <cellStyle name="Comma [0] 5 36 2 2 3 4" xfId="38529" xr:uid="{00000000-0005-0000-0000-00007A200000}"/>
    <cellStyle name="Comma [0] 5 36 2 2 4" xfId="11315" xr:uid="{00000000-0005-0000-0000-00007B200000}"/>
    <cellStyle name="Comma [0] 5 36 2 2 4 2" xfId="26907" xr:uid="{00000000-0005-0000-0000-00007C200000}"/>
    <cellStyle name="Comma [0] 5 36 2 2 4 3" xfId="42399" xr:uid="{00000000-0005-0000-0000-00007D200000}"/>
    <cellStyle name="Comma [0] 5 36 2 2 5" xfId="19167" xr:uid="{00000000-0005-0000-0000-00007E200000}"/>
    <cellStyle name="Comma [0] 5 36 2 2 6" xfId="34659" xr:uid="{00000000-0005-0000-0000-00007F200000}"/>
    <cellStyle name="Comma [0] 5 36 2 3" xfId="4548" xr:uid="{00000000-0005-0000-0000-000080200000}"/>
    <cellStyle name="Comma [0] 5 36 2 3 2" xfId="8419" xr:uid="{00000000-0005-0000-0000-000081200000}"/>
    <cellStyle name="Comma [0] 5 36 2 3 2 2" xfId="16164" xr:uid="{00000000-0005-0000-0000-000082200000}"/>
    <cellStyle name="Comma [0] 5 36 2 3 2 2 2" xfId="31756" xr:uid="{00000000-0005-0000-0000-000083200000}"/>
    <cellStyle name="Comma [0] 5 36 2 3 2 2 3" xfId="47248" xr:uid="{00000000-0005-0000-0000-000084200000}"/>
    <cellStyle name="Comma [0] 5 36 2 3 2 3" xfId="24016" xr:uid="{00000000-0005-0000-0000-000085200000}"/>
    <cellStyle name="Comma [0] 5 36 2 3 2 4" xfId="39508" xr:uid="{00000000-0005-0000-0000-000086200000}"/>
    <cellStyle name="Comma [0] 5 36 2 3 3" xfId="12294" xr:uid="{00000000-0005-0000-0000-000087200000}"/>
    <cellStyle name="Comma [0] 5 36 2 3 3 2" xfId="27886" xr:uid="{00000000-0005-0000-0000-000088200000}"/>
    <cellStyle name="Comma [0] 5 36 2 3 3 3" xfId="43378" xr:uid="{00000000-0005-0000-0000-000089200000}"/>
    <cellStyle name="Comma [0] 5 36 2 3 4" xfId="20146" xr:uid="{00000000-0005-0000-0000-00008A200000}"/>
    <cellStyle name="Comma [0] 5 36 2 3 5" xfId="35638" xr:uid="{00000000-0005-0000-0000-00008B200000}"/>
    <cellStyle name="Comma [0] 5 36 2 4" xfId="6492" xr:uid="{00000000-0005-0000-0000-00008C200000}"/>
    <cellStyle name="Comma [0] 5 36 2 4 2" xfId="14237" xr:uid="{00000000-0005-0000-0000-00008D200000}"/>
    <cellStyle name="Comma [0] 5 36 2 4 2 2" xfId="29829" xr:uid="{00000000-0005-0000-0000-00008E200000}"/>
    <cellStyle name="Comma [0] 5 36 2 4 2 3" xfId="45321" xr:uid="{00000000-0005-0000-0000-00008F200000}"/>
    <cellStyle name="Comma [0] 5 36 2 4 3" xfId="22089" xr:uid="{00000000-0005-0000-0000-000090200000}"/>
    <cellStyle name="Comma [0] 5 36 2 4 4" xfId="37581" xr:uid="{00000000-0005-0000-0000-000091200000}"/>
    <cellStyle name="Comma [0] 5 36 2 5" xfId="10367" xr:uid="{00000000-0005-0000-0000-000092200000}"/>
    <cellStyle name="Comma [0] 5 36 2 5 2" xfId="25959" xr:uid="{00000000-0005-0000-0000-000093200000}"/>
    <cellStyle name="Comma [0] 5 36 2 5 3" xfId="41451" xr:uid="{00000000-0005-0000-0000-000094200000}"/>
    <cellStyle name="Comma [0] 5 36 2 6" xfId="18219" xr:uid="{00000000-0005-0000-0000-000095200000}"/>
    <cellStyle name="Comma [0] 5 36 2 7" xfId="33711" xr:uid="{00000000-0005-0000-0000-000096200000}"/>
    <cellStyle name="Comma [0] 5 36 3" xfId="3248" xr:uid="{00000000-0005-0000-0000-000097200000}"/>
    <cellStyle name="Comma [0] 5 36 3 2" xfId="5187" xr:uid="{00000000-0005-0000-0000-000098200000}"/>
    <cellStyle name="Comma [0] 5 36 3 2 2" xfId="9058" xr:uid="{00000000-0005-0000-0000-000099200000}"/>
    <cellStyle name="Comma [0] 5 36 3 2 2 2" xfId="16803" xr:uid="{00000000-0005-0000-0000-00009A200000}"/>
    <cellStyle name="Comma [0] 5 36 3 2 2 2 2" xfId="32395" xr:uid="{00000000-0005-0000-0000-00009B200000}"/>
    <cellStyle name="Comma [0] 5 36 3 2 2 2 3" xfId="47887" xr:uid="{00000000-0005-0000-0000-00009C200000}"/>
    <cellStyle name="Comma [0] 5 36 3 2 2 3" xfId="24655" xr:uid="{00000000-0005-0000-0000-00009D200000}"/>
    <cellStyle name="Comma [0] 5 36 3 2 2 4" xfId="40147" xr:uid="{00000000-0005-0000-0000-00009E200000}"/>
    <cellStyle name="Comma [0] 5 36 3 2 3" xfId="12933" xr:uid="{00000000-0005-0000-0000-00009F200000}"/>
    <cellStyle name="Comma [0] 5 36 3 2 3 2" xfId="28525" xr:uid="{00000000-0005-0000-0000-0000A0200000}"/>
    <cellStyle name="Comma [0] 5 36 3 2 3 3" xfId="44017" xr:uid="{00000000-0005-0000-0000-0000A1200000}"/>
    <cellStyle name="Comma [0] 5 36 3 2 4" xfId="20785" xr:uid="{00000000-0005-0000-0000-0000A2200000}"/>
    <cellStyle name="Comma [0] 5 36 3 2 5" xfId="36277" xr:uid="{00000000-0005-0000-0000-0000A3200000}"/>
    <cellStyle name="Comma [0] 5 36 3 3" xfId="7131" xr:uid="{00000000-0005-0000-0000-0000A4200000}"/>
    <cellStyle name="Comma [0] 5 36 3 3 2" xfId="14876" xr:uid="{00000000-0005-0000-0000-0000A5200000}"/>
    <cellStyle name="Comma [0] 5 36 3 3 2 2" xfId="30468" xr:uid="{00000000-0005-0000-0000-0000A6200000}"/>
    <cellStyle name="Comma [0] 5 36 3 3 2 3" xfId="45960" xr:uid="{00000000-0005-0000-0000-0000A7200000}"/>
    <cellStyle name="Comma [0] 5 36 3 3 3" xfId="22728" xr:uid="{00000000-0005-0000-0000-0000A8200000}"/>
    <cellStyle name="Comma [0] 5 36 3 3 4" xfId="38220" xr:uid="{00000000-0005-0000-0000-0000A9200000}"/>
    <cellStyle name="Comma [0] 5 36 3 4" xfId="11006" xr:uid="{00000000-0005-0000-0000-0000AA200000}"/>
    <cellStyle name="Comma [0] 5 36 3 4 2" xfId="26598" xr:uid="{00000000-0005-0000-0000-0000AB200000}"/>
    <cellStyle name="Comma [0] 5 36 3 4 3" xfId="42090" xr:uid="{00000000-0005-0000-0000-0000AC200000}"/>
    <cellStyle name="Comma [0] 5 36 3 5" xfId="18858" xr:uid="{00000000-0005-0000-0000-0000AD200000}"/>
    <cellStyle name="Comma [0] 5 36 3 6" xfId="34350" xr:uid="{00000000-0005-0000-0000-0000AE200000}"/>
    <cellStyle name="Comma [0] 5 36 4" xfId="4239" xr:uid="{00000000-0005-0000-0000-0000AF200000}"/>
    <cellStyle name="Comma [0] 5 36 4 2" xfId="8110" xr:uid="{00000000-0005-0000-0000-0000B0200000}"/>
    <cellStyle name="Comma [0] 5 36 4 2 2" xfId="15855" xr:uid="{00000000-0005-0000-0000-0000B1200000}"/>
    <cellStyle name="Comma [0] 5 36 4 2 2 2" xfId="31447" xr:uid="{00000000-0005-0000-0000-0000B2200000}"/>
    <cellStyle name="Comma [0] 5 36 4 2 2 3" xfId="46939" xr:uid="{00000000-0005-0000-0000-0000B3200000}"/>
    <cellStyle name="Comma [0] 5 36 4 2 3" xfId="23707" xr:uid="{00000000-0005-0000-0000-0000B4200000}"/>
    <cellStyle name="Comma [0] 5 36 4 2 4" xfId="39199" xr:uid="{00000000-0005-0000-0000-0000B5200000}"/>
    <cellStyle name="Comma [0] 5 36 4 3" xfId="11985" xr:uid="{00000000-0005-0000-0000-0000B6200000}"/>
    <cellStyle name="Comma [0] 5 36 4 3 2" xfId="27577" xr:uid="{00000000-0005-0000-0000-0000B7200000}"/>
    <cellStyle name="Comma [0] 5 36 4 3 3" xfId="43069" xr:uid="{00000000-0005-0000-0000-0000B8200000}"/>
    <cellStyle name="Comma [0] 5 36 4 4" xfId="19837" xr:uid="{00000000-0005-0000-0000-0000B9200000}"/>
    <cellStyle name="Comma [0] 5 36 4 5" xfId="35329" xr:uid="{00000000-0005-0000-0000-0000BA200000}"/>
    <cellStyle name="Comma [0] 5 36 5" xfId="6183" xr:uid="{00000000-0005-0000-0000-0000BB200000}"/>
    <cellStyle name="Comma [0] 5 36 5 2" xfId="13928" xr:uid="{00000000-0005-0000-0000-0000BC200000}"/>
    <cellStyle name="Comma [0] 5 36 5 2 2" xfId="29520" xr:uid="{00000000-0005-0000-0000-0000BD200000}"/>
    <cellStyle name="Comma [0] 5 36 5 2 3" xfId="45012" xr:uid="{00000000-0005-0000-0000-0000BE200000}"/>
    <cellStyle name="Comma [0] 5 36 5 3" xfId="21780" xr:uid="{00000000-0005-0000-0000-0000BF200000}"/>
    <cellStyle name="Comma [0] 5 36 5 4" xfId="37272" xr:uid="{00000000-0005-0000-0000-0000C0200000}"/>
    <cellStyle name="Comma [0] 5 36 6" xfId="10058" xr:uid="{00000000-0005-0000-0000-0000C1200000}"/>
    <cellStyle name="Comma [0] 5 36 6 2" xfId="25650" xr:uid="{00000000-0005-0000-0000-0000C2200000}"/>
    <cellStyle name="Comma [0] 5 36 6 3" xfId="41142" xr:uid="{00000000-0005-0000-0000-0000C3200000}"/>
    <cellStyle name="Comma [0] 5 36 7" xfId="17910" xr:uid="{00000000-0005-0000-0000-0000C4200000}"/>
    <cellStyle name="Comma [0] 5 36 8" xfId="33402" xr:uid="{00000000-0005-0000-0000-0000C5200000}"/>
    <cellStyle name="Comma [0] 5 37" xfId="2269" xr:uid="{00000000-0005-0000-0000-0000C6200000}"/>
    <cellStyle name="Comma [0] 5 37 2" xfId="2585" xr:uid="{00000000-0005-0000-0000-0000C7200000}"/>
    <cellStyle name="Comma [0] 5 37 2 2" xfId="3593" xr:uid="{00000000-0005-0000-0000-0000C8200000}"/>
    <cellStyle name="Comma [0] 5 37 2 2 2" xfId="5532" xr:uid="{00000000-0005-0000-0000-0000C9200000}"/>
    <cellStyle name="Comma [0] 5 37 2 2 2 2" xfId="9403" xr:uid="{00000000-0005-0000-0000-0000CA200000}"/>
    <cellStyle name="Comma [0] 5 37 2 2 2 2 2" xfId="17148" xr:uid="{00000000-0005-0000-0000-0000CB200000}"/>
    <cellStyle name="Comma [0] 5 37 2 2 2 2 2 2" xfId="32740" xr:uid="{00000000-0005-0000-0000-0000CC200000}"/>
    <cellStyle name="Comma [0] 5 37 2 2 2 2 2 3" xfId="48232" xr:uid="{00000000-0005-0000-0000-0000CD200000}"/>
    <cellStyle name="Comma [0] 5 37 2 2 2 2 3" xfId="25000" xr:uid="{00000000-0005-0000-0000-0000CE200000}"/>
    <cellStyle name="Comma [0] 5 37 2 2 2 2 4" xfId="40492" xr:uid="{00000000-0005-0000-0000-0000CF200000}"/>
    <cellStyle name="Comma [0] 5 37 2 2 2 3" xfId="13278" xr:uid="{00000000-0005-0000-0000-0000D0200000}"/>
    <cellStyle name="Comma [0] 5 37 2 2 2 3 2" xfId="28870" xr:uid="{00000000-0005-0000-0000-0000D1200000}"/>
    <cellStyle name="Comma [0] 5 37 2 2 2 3 3" xfId="44362" xr:uid="{00000000-0005-0000-0000-0000D2200000}"/>
    <cellStyle name="Comma [0] 5 37 2 2 2 4" xfId="21130" xr:uid="{00000000-0005-0000-0000-0000D3200000}"/>
    <cellStyle name="Comma [0] 5 37 2 2 2 5" xfId="36622" xr:uid="{00000000-0005-0000-0000-0000D4200000}"/>
    <cellStyle name="Comma [0] 5 37 2 2 3" xfId="7476" xr:uid="{00000000-0005-0000-0000-0000D5200000}"/>
    <cellStyle name="Comma [0] 5 37 2 2 3 2" xfId="15221" xr:uid="{00000000-0005-0000-0000-0000D6200000}"/>
    <cellStyle name="Comma [0] 5 37 2 2 3 2 2" xfId="30813" xr:uid="{00000000-0005-0000-0000-0000D7200000}"/>
    <cellStyle name="Comma [0] 5 37 2 2 3 2 3" xfId="46305" xr:uid="{00000000-0005-0000-0000-0000D8200000}"/>
    <cellStyle name="Comma [0] 5 37 2 2 3 3" xfId="23073" xr:uid="{00000000-0005-0000-0000-0000D9200000}"/>
    <cellStyle name="Comma [0] 5 37 2 2 3 4" xfId="38565" xr:uid="{00000000-0005-0000-0000-0000DA200000}"/>
    <cellStyle name="Comma [0] 5 37 2 2 4" xfId="11351" xr:uid="{00000000-0005-0000-0000-0000DB200000}"/>
    <cellStyle name="Comma [0] 5 37 2 2 4 2" xfId="26943" xr:uid="{00000000-0005-0000-0000-0000DC200000}"/>
    <cellStyle name="Comma [0] 5 37 2 2 4 3" xfId="42435" xr:uid="{00000000-0005-0000-0000-0000DD200000}"/>
    <cellStyle name="Comma [0] 5 37 2 2 5" xfId="19203" xr:uid="{00000000-0005-0000-0000-0000DE200000}"/>
    <cellStyle name="Comma [0] 5 37 2 2 6" xfId="34695" xr:uid="{00000000-0005-0000-0000-0000DF200000}"/>
    <cellStyle name="Comma [0] 5 37 2 3" xfId="4584" xr:uid="{00000000-0005-0000-0000-0000E0200000}"/>
    <cellStyle name="Comma [0] 5 37 2 3 2" xfId="8455" xr:uid="{00000000-0005-0000-0000-0000E1200000}"/>
    <cellStyle name="Comma [0] 5 37 2 3 2 2" xfId="16200" xr:uid="{00000000-0005-0000-0000-0000E2200000}"/>
    <cellStyle name="Comma [0] 5 37 2 3 2 2 2" xfId="31792" xr:uid="{00000000-0005-0000-0000-0000E3200000}"/>
    <cellStyle name="Comma [0] 5 37 2 3 2 2 3" xfId="47284" xr:uid="{00000000-0005-0000-0000-0000E4200000}"/>
    <cellStyle name="Comma [0] 5 37 2 3 2 3" xfId="24052" xr:uid="{00000000-0005-0000-0000-0000E5200000}"/>
    <cellStyle name="Comma [0] 5 37 2 3 2 4" xfId="39544" xr:uid="{00000000-0005-0000-0000-0000E6200000}"/>
    <cellStyle name="Comma [0] 5 37 2 3 3" xfId="12330" xr:uid="{00000000-0005-0000-0000-0000E7200000}"/>
    <cellStyle name="Comma [0] 5 37 2 3 3 2" xfId="27922" xr:uid="{00000000-0005-0000-0000-0000E8200000}"/>
    <cellStyle name="Comma [0] 5 37 2 3 3 3" xfId="43414" xr:uid="{00000000-0005-0000-0000-0000E9200000}"/>
    <cellStyle name="Comma [0] 5 37 2 3 4" xfId="20182" xr:uid="{00000000-0005-0000-0000-0000EA200000}"/>
    <cellStyle name="Comma [0] 5 37 2 3 5" xfId="35674" xr:uid="{00000000-0005-0000-0000-0000EB200000}"/>
    <cellStyle name="Comma [0] 5 37 2 4" xfId="6528" xr:uid="{00000000-0005-0000-0000-0000EC200000}"/>
    <cellStyle name="Comma [0] 5 37 2 4 2" xfId="14273" xr:uid="{00000000-0005-0000-0000-0000ED200000}"/>
    <cellStyle name="Comma [0] 5 37 2 4 2 2" xfId="29865" xr:uid="{00000000-0005-0000-0000-0000EE200000}"/>
    <cellStyle name="Comma [0] 5 37 2 4 2 3" xfId="45357" xr:uid="{00000000-0005-0000-0000-0000EF200000}"/>
    <cellStyle name="Comma [0] 5 37 2 4 3" xfId="22125" xr:uid="{00000000-0005-0000-0000-0000F0200000}"/>
    <cellStyle name="Comma [0] 5 37 2 4 4" xfId="37617" xr:uid="{00000000-0005-0000-0000-0000F1200000}"/>
    <cellStyle name="Comma [0] 5 37 2 5" xfId="10403" xr:uid="{00000000-0005-0000-0000-0000F2200000}"/>
    <cellStyle name="Comma [0] 5 37 2 5 2" xfId="25995" xr:uid="{00000000-0005-0000-0000-0000F3200000}"/>
    <cellStyle name="Comma [0] 5 37 2 5 3" xfId="41487" xr:uid="{00000000-0005-0000-0000-0000F4200000}"/>
    <cellStyle name="Comma [0] 5 37 2 6" xfId="18255" xr:uid="{00000000-0005-0000-0000-0000F5200000}"/>
    <cellStyle name="Comma [0] 5 37 2 7" xfId="33747" xr:uid="{00000000-0005-0000-0000-0000F6200000}"/>
    <cellStyle name="Comma [0] 5 37 3" xfId="3284" xr:uid="{00000000-0005-0000-0000-0000F7200000}"/>
    <cellStyle name="Comma [0] 5 37 3 2" xfId="5223" xr:uid="{00000000-0005-0000-0000-0000F8200000}"/>
    <cellStyle name="Comma [0] 5 37 3 2 2" xfId="9094" xr:uid="{00000000-0005-0000-0000-0000F9200000}"/>
    <cellStyle name="Comma [0] 5 37 3 2 2 2" xfId="16839" xr:uid="{00000000-0005-0000-0000-0000FA200000}"/>
    <cellStyle name="Comma [0] 5 37 3 2 2 2 2" xfId="32431" xr:uid="{00000000-0005-0000-0000-0000FB200000}"/>
    <cellStyle name="Comma [0] 5 37 3 2 2 2 3" xfId="47923" xr:uid="{00000000-0005-0000-0000-0000FC200000}"/>
    <cellStyle name="Comma [0] 5 37 3 2 2 3" xfId="24691" xr:uid="{00000000-0005-0000-0000-0000FD200000}"/>
    <cellStyle name="Comma [0] 5 37 3 2 2 4" xfId="40183" xr:uid="{00000000-0005-0000-0000-0000FE200000}"/>
    <cellStyle name="Comma [0] 5 37 3 2 3" xfId="12969" xr:uid="{00000000-0005-0000-0000-0000FF200000}"/>
    <cellStyle name="Comma [0] 5 37 3 2 3 2" xfId="28561" xr:uid="{00000000-0005-0000-0000-000000210000}"/>
    <cellStyle name="Comma [0] 5 37 3 2 3 3" xfId="44053" xr:uid="{00000000-0005-0000-0000-000001210000}"/>
    <cellStyle name="Comma [0] 5 37 3 2 4" xfId="20821" xr:uid="{00000000-0005-0000-0000-000002210000}"/>
    <cellStyle name="Comma [0] 5 37 3 2 5" xfId="36313" xr:uid="{00000000-0005-0000-0000-000003210000}"/>
    <cellStyle name="Comma [0] 5 37 3 3" xfId="7167" xr:uid="{00000000-0005-0000-0000-000004210000}"/>
    <cellStyle name="Comma [0] 5 37 3 3 2" xfId="14912" xr:uid="{00000000-0005-0000-0000-000005210000}"/>
    <cellStyle name="Comma [0] 5 37 3 3 2 2" xfId="30504" xr:uid="{00000000-0005-0000-0000-000006210000}"/>
    <cellStyle name="Comma [0] 5 37 3 3 2 3" xfId="45996" xr:uid="{00000000-0005-0000-0000-000007210000}"/>
    <cellStyle name="Comma [0] 5 37 3 3 3" xfId="22764" xr:uid="{00000000-0005-0000-0000-000008210000}"/>
    <cellStyle name="Comma [0] 5 37 3 3 4" xfId="38256" xr:uid="{00000000-0005-0000-0000-000009210000}"/>
    <cellStyle name="Comma [0] 5 37 3 4" xfId="11042" xr:uid="{00000000-0005-0000-0000-00000A210000}"/>
    <cellStyle name="Comma [0] 5 37 3 4 2" xfId="26634" xr:uid="{00000000-0005-0000-0000-00000B210000}"/>
    <cellStyle name="Comma [0] 5 37 3 4 3" xfId="42126" xr:uid="{00000000-0005-0000-0000-00000C210000}"/>
    <cellStyle name="Comma [0] 5 37 3 5" xfId="18894" xr:uid="{00000000-0005-0000-0000-00000D210000}"/>
    <cellStyle name="Comma [0] 5 37 3 6" xfId="34386" xr:uid="{00000000-0005-0000-0000-00000E210000}"/>
    <cellStyle name="Comma [0] 5 37 4" xfId="4275" xr:uid="{00000000-0005-0000-0000-00000F210000}"/>
    <cellStyle name="Comma [0] 5 37 4 2" xfId="8146" xr:uid="{00000000-0005-0000-0000-000010210000}"/>
    <cellStyle name="Comma [0] 5 37 4 2 2" xfId="15891" xr:uid="{00000000-0005-0000-0000-000011210000}"/>
    <cellStyle name="Comma [0] 5 37 4 2 2 2" xfId="31483" xr:uid="{00000000-0005-0000-0000-000012210000}"/>
    <cellStyle name="Comma [0] 5 37 4 2 2 3" xfId="46975" xr:uid="{00000000-0005-0000-0000-000013210000}"/>
    <cellStyle name="Comma [0] 5 37 4 2 3" xfId="23743" xr:uid="{00000000-0005-0000-0000-000014210000}"/>
    <cellStyle name="Comma [0] 5 37 4 2 4" xfId="39235" xr:uid="{00000000-0005-0000-0000-000015210000}"/>
    <cellStyle name="Comma [0] 5 37 4 3" xfId="12021" xr:uid="{00000000-0005-0000-0000-000016210000}"/>
    <cellStyle name="Comma [0] 5 37 4 3 2" xfId="27613" xr:uid="{00000000-0005-0000-0000-000017210000}"/>
    <cellStyle name="Comma [0] 5 37 4 3 3" xfId="43105" xr:uid="{00000000-0005-0000-0000-000018210000}"/>
    <cellStyle name="Comma [0] 5 37 4 4" xfId="19873" xr:uid="{00000000-0005-0000-0000-000019210000}"/>
    <cellStyle name="Comma [0] 5 37 4 5" xfId="35365" xr:uid="{00000000-0005-0000-0000-00001A210000}"/>
    <cellStyle name="Comma [0] 5 37 5" xfId="6219" xr:uid="{00000000-0005-0000-0000-00001B210000}"/>
    <cellStyle name="Comma [0] 5 37 5 2" xfId="13964" xr:uid="{00000000-0005-0000-0000-00001C210000}"/>
    <cellStyle name="Comma [0] 5 37 5 2 2" xfId="29556" xr:uid="{00000000-0005-0000-0000-00001D210000}"/>
    <cellStyle name="Comma [0] 5 37 5 2 3" xfId="45048" xr:uid="{00000000-0005-0000-0000-00001E210000}"/>
    <cellStyle name="Comma [0] 5 37 5 3" xfId="21816" xr:uid="{00000000-0005-0000-0000-00001F210000}"/>
    <cellStyle name="Comma [0] 5 37 5 4" xfId="37308" xr:uid="{00000000-0005-0000-0000-000020210000}"/>
    <cellStyle name="Comma [0] 5 37 6" xfId="10094" xr:uid="{00000000-0005-0000-0000-000021210000}"/>
    <cellStyle name="Comma [0] 5 37 6 2" xfId="25686" xr:uid="{00000000-0005-0000-0000-000022210000}"/>
    <cellStyle name="Comma [0] 5 37 6 3" xfId="41178" xr:uid="{00000000-0005-0000-0000-000023210000}"/>
    <cellStyle name="Comma [0] 5 37 7" xfId="17946" xr:uid="{00000000-0005-0000-0000-000024210000}"/>
    <cellStyle name="Comma [0] 5 37 8" xfId="33438" xr:uid="{00000000-0005-0000-0000-000025210000}"/>
    <cellStyle name="Comma [0] 5 38" xfId="2306" xr:uid="{00000000-0005-0000-0000-000026210000}"/>
    <cellStyle name="Comma [0] 5 38 2" xfId="2621" xr:uid="{00000000-0005-0000-0000-000027210000}"/>
    <cellStyle name="Comma [0] 5 38 2 2" xfId="3629" xr:uid="{00000000-0005-0000-0000-000028210000}"/>
    <cellStyle name="Comma [0] 5 38 2 2 2" xfId="5568" xr:uid="{00000000-0005-0000-0000-000029210000}"/>
    <cellStyle name="Comma [0] 5 38 2 2 2 2" xfId="9439" xr:uid="{00000000-0005-0000-0000-00002A210000}"/>
    <cellStyle name="Comma [0] 5 38 2 2 2 2 2" xfId="17184" xr:uid="{00000000-0005-0000-0000-00002B210000}"/>
    <cellStyle name="Comma [0] 5 38 2 2 2 2 2 2" xfId="32776" xr:uid="{00000000-0005-0000-0000-00002C210000}"/>
    <cellStyle name="Comma [0] 5 38 2 2 2 2 2 3" xfId="48268" xr:uid="{00000000-0005-0000-0000-00002D210000}"/>
    <cellStyle name="Comma [0] 5 38 2 2 2 2 3" xfId="25036" xr:uid="{00000000-0005-0000-0000-00002E210000}"/>
    <cellStyle name="Comma [0] 5 38 2 2 2 2 4" xfId="40528" xr:uid="{00000000-0005-0000-0000-00002F210000}"/>
    <cellStyle name="Comma [0] 5 38 2 2 2 3" xfId="13314" xr:uid="{00000000-0005-0000-0000-000030210000}"/>
    <cellStyle name="Comma [0] 5 38 2 2 2 3 2" xfId="28906" xr:uid="{00000000-0005-0000-0000-000031210000}"/>
    <cellStyle name="Comma [0] 5 38 2 2 2 3 3" xfId="44398" xr:uid="{00000000-0005-0000-0000-000032210000}"/>
    <cellStyle name="Comma [0] 5 38 2 2 2 4" xfId="21166" xr:uid="{00000000-0005-0000-0000-000033210000}"/>
    <cellStyle name="Comma [0] 5 38 2 2 2 5" xfId="36658" xr:uid="{00000000-0005-0000-0000-000034210000}"/>
    <cellStyle name="Comma [0] 5 38 2 2 3" xfId="7512" xr:uid="{00000000-0005-0000-0000-000035210000}"/>
    <cellStyle name="Comma [0] 5 38 2 2 3 2" xfId="15257" xr:uid="{00000000-0005-0000-0000-000036210000}"/>
    <cellStyle name="Comma [0] 5 38 2 2 3 2 2" xfId="30849" xr:uid="{00000000-0005-0000-0000-000037210000}"/>
    <cellStyle name="Comma [0] 5 38 2 2 3 2 3" xfId="46341" xr:uid="{00000000-0005-0000-0000-000038210000}"/>
    <cellStyle name="Comma [0] 5 38 2 2 3 3" xfId="23109" xr:uid="{00000000-0005-0000-0000-000039210000}"/>
    <cellStyle name="Comma [0] 5 38 2 2 3 4" xfId="38601" xr:uid="{00000000-0005-0000-0000-00003A210000}"/>
    <cellStyle name="Comma [0] 5 38 2 2 4" xfId="11387" xr:uid="{00000000-0005-0000-0000-00003B210000}"/>
    <cellStyle name="Comma [0] 5 38 2 2 4 2" xfId="26979" xr:uid="{00000000-0005-0000-0000-00003C210000}"/>
    <cellStyle name="Comma [0] 5 38 2 2 4 3" xfId="42471" xr:uid="{00000000-0005-0000-0000-00003D210000}"/>
    <cellStyle name="Comma [0] 5 38 2 2 5" xfId="19239" xr:uid="{00000000-0005-0000-0000-00003E210000}"/>
    <cellStyle name="Comma [0] 5 38 2 2 6" xfId="34731" xr:uid="{00000000-0005-0000-0000-00003F210000}"/>
    <cellStyle name="Comma [0] 5 38 2 3" xfId="4620" xr:uid="{00000000-0005-0000-0000-000040210000}"/>
    <cellStyle name="Comma [0] 5 38 2 3 2" xfId="8491" xr:uid="{00000000-0005-0000-0000-000041210000}"/>
    <cellStyle name="Comma [0] 5 38 2 3 2 2" xfId="16236" xr:uid="{00000000-0005-0000-0000-000042210000}"/>
    <cellStyle name="Comma [0] 5 38 2 3 2 2 2" xfId="31828" xr:uid="{00000000-0005-0000-0000-000043210000}"/>
    <cellStyle name="Comma [0] 5 38 2 3 2 2 3" xfId="47320" xr:uid="{00000000-0005-0000-0000-000044210000}"/>
    <cellStyle name="Comma [0] 5 38 2 3 2 3" xfId="24088" xr:uid="{00000000-0005-0000-0000-000045210000}"/>
    <cellStyle name="Comma [0] 5 38 2 3 2 4" xfId="39580" xr:uid="{00000000-0005-0000-0000-000046210000}"/>
    <cellStyle name="Comma [0] 5 38 2 3 3" xfId="12366" xr:uid="{00000000-0005-0000-0000-000047210000}"/>
    <cellStyle name="Comma [0] 5 38 2 3 3 2" xfId="27958" xr:uid="{00000000-0005-0000-0000-000048210000}"/>
    <cellStyle name="Comma [0] 5 38 2 3 3 3" xfId="43450" xr:uid="{00000000-0005-0000-0000-000049210000}"/>
    <cellStyle name="Comma [0] 5 38 2 3 4" xfId="20218" xr:uid="{00000000-0005-0000-0000-00004A210000}"/>
    <cellStyle name="Comma [0] 5 38 2 3 5" xfId="35710" xr:uid="{00000000-0005-0000-0000-00004B210000}"/>
    <cellStyle name="Comma [0] 5 38 2 4" xfId="6564" xr:uid="{00000000-0005-0000-0000-00004C210000}"/>
    <cellStyle name="Comma [0] 5 38 2 4 2" xfId="14309" xr:uid="{00000000-0005-0000-0000-00004D210000}"/>
    <cellStyle name="Comma [0] 5 38 2 4 2 2" xfId="29901" xr:uid="{00000000-0005-0000-0000-00004E210000}"/>
    <cellStyle name="Comma [0] 5 38 2 4 2 3" xfId="45393" xr:uid="{00000000-0005-0000-0000-00004F210000}"/>
    <cellStyle name="Comma [0] 5 38 2 4 3" xfId="22161" xr:uid="{00000000-0005-0000-0000-000050210000}"/>
    <cellStyle name="Comma [0] 5 38 2 4 4" xfId="37653" xr:uid="{00000000-0005-0000-0000-000051210000}"/>
    <cellStyle name="Comma [0] 5 38 2 5" xfId="10439" xr:uid="{00000000-0005-0000-0000-000052210000}"/>
    <cellStyle name="Comma [0] 5 38 2 5 2" xfId="26031" xr:uid="{00000000-0005-0000-0000-000053210000}"/>
    <cellStyle name="Comma [0] 5 38 2 5 3" xfId="41523" xr:uid="{00000000-0005-0000-0000-000054210000}"/>
    <cellStyle name="Comma [0] 5 38 2 6" xfId="18291" xr:uid="{00000000-0005-0000-0000-000055210000}"/>
    <cellStyle name="Comma [0] 5 38 2 7" xfId="33783" xr:uid="{00000000-0005-0000-0000-000056210000}"/>
    <cellStyle name="Comma [0] 5 38 3" xfId="3320" xr:uid="{00000000-0005-0000-0000-000057210000}"/>
    <cellStyle name="Comma [0] 5 38 3 2" xfId="5259" xr:uid="{00000000-0005-0000-0000-000058210000}"/>
    <cellStyle name="Comma [0] 5 38 3 2 2" xfId="9130" xr:uid="{00000000-0005-0000-0000-000059210000}"/>
    <cellStyle name="Comma [0] 5 38 3 2 2 2" xfId="16875" xr:uid="{00000000-0005-0000-0000-00005A210000}"/>
    <cellStyle name="Comma [0] 5 38 3 2 2 2 2" xfId="32467" xr:uid="{00000000-0005-0000-0000-00005B210000}"/>
    <cellStyle name="Comma [0] 5 38 3 2 2 2 3" xfId="47959" xr:uid="{00000000-0005-0000-0000-00005C210000}"/>
    <cellStyle name="Comma [0] 5 38 3 2 2 3" xfId="24727" xr:uid="{00000000-0005-0000-0000-00005D210000}"/>
    <cellStyle name="Comma [0] 5 38 3 2 2 4" xfId="40219" xr:uid="{00000000-0005-0000-0000-00005E210000}"/>
    <cellStyle name="Comma [0] 5 38 3 2 3" xfId="13005" xr:uid="{00000000-0005-0000-0000-00005F210000}"/>
    <cellStyle name="Comma [0] 5 38 3 2 3 2" xfId="28597" xr:uid="{00000000-0005-0000-0000-000060210000}"/>
    <cellStyle name="Comma [0] 5 38 3 2 3 3" xfId="44089" xr:uid="{00000000-0005-0000-0000-000061210000}"/>
    <cellStyle name="Comma [0] 5 38 3 2 4" xfId="20857" xr:uid="{00000000-0005-0000-0000-000062210000}"/>
    <cellStyle name="Comma [0] 5 38 3 2 5" xfId="36349" xr:uid="{00000000-0005-0000-0000-000063210000}"/>
    <cellStyle name="Comma [0] 5 38 3 3" xfId="7203" xr:uid="{00000000-0005-0000-0000-000064210000}"/>
    <cellStyle name="Comma [0] 5 38 3 3 2" xfId="14948" xr:uid="{00000000-0005-0000-0000-000065210000}"/>
    <cellStyle name="Comma [0] 5 38 3 3 2 2" xfId="30540" xr:uid="{00000000-0005-0000-0000-000066210000}"/>
    <cellStyle name="Comma [0] 5 38 3 3 2 3" xfId="46032" xr:uid="{00000000-0005-0000-0000-000067210000}"/>
    <cellStyle name="Comma [0] 5 38 3 3 3" xfId="22800" xr:uid="{00000000-0005-0000-0000-000068210000}"/>
    <cellStyle name="Comma [0] 5 38 3 3 4" xfId="38292" xr:uid="{00000000-0005-0000-0000-000069210000}"/>
    <cellStyle name="Comma [0] 5 38 3 4" xfId="11078" xr:uid="{00000000-0005-0000-0000-00006A210000}"/>
    <cellStyle name="Comma [0] 5 38 3 4 2" xfId="26670" xr:uid="{00000000-0005-0000-0000-00006B210000}"/>
    <cellStyle name="Comma [0] 5 38 3 4 3" xfId="42162" xr:uid="{00000000-0005-0000-0000-00006C210000}"/>
    <cellStyle name="Comma [0] 5 38 3 5" xfId="18930" xr:uid="{00000000-0005-0000-0000-00006D210000}"/>
    <cellStyle name="Comma [0] 5 38 3 6" xfId="34422" xr:uid="{00000000-0005-0000-0000-00006E210000}"/>
    <cellStyle name="Comma [0] 5 38 4" xfId="4311" xr:uid="{00000000-0005-0000-0000-00006F210000}"/>
    <cellStyle name="Comma [0] 5 38 4 2" xfId="8182" xr:uid="{00000000-0005-0000-0000-000070210000}"/>
    <cellStyle name="Comma [0] 5 38 4 2 2" xfId="15927" xr:uid="{00000000-0005-0000-0000-000071210000}"/>
    <cellStyle name="Comma [0] 5 38 4 2 2 2" xfId="31519" xr:uid="{00000000-0005-0000-0000-000072210000}"/>
    <cellStyle name="Comma [0] 5 38 4 2 2 3" xfId="47011" xr:uid="{00000000-0005-0000-0000-000073210000}"/>
    <cellStyle name="Comma [0] 5 38 4 2 3" xfId="23779" xr:uid="{00000000-0005-0000-0000-000074210000}"/>
    <cellStyle name="Comma [0] 5 38 4 2 4" xfId="39271" xr:uid="{00000000-0005-0000-0000-000075210000}"/>
    <cellStyle name="Comma [0] 5 38 4 3" xfId="12057" xr:uid="{00000000-0005-0000-0000-000076210000}"/>
    <cellStyle name="Comma [0] 5 38 4 3 2" xfId="27649" xr:uid="{00000000-0005-0000-0000-000077210000}"/>
    <cellStyle name="Comma [0] 5 38 4 3 3" xfId="43141" xr:uid="{00000000-0005-0000-0000-000078210000}"/>
    <cellStyle name="Comma [0] 5 38 4 4" xfId="19909" xr:uid="{00000000-0005-0000-0000-000079210000}"/>
    <cellStyle name="Comma [0] 5 38 4 5" xfId="35401" xr:uid="{00000000-0005-0000-0000-00007A210000}"/>
    <cellStyle name="Comma [0] 5 38 5" xfId="6255" xr:uid="{00000000-0005-0000-0000-00007B210000}"/>
    <cellStyle name="Comma [0] 5 38 5 2" xfId="14000" xr:uid="{00000000-0005-0000-0000-00007C210000}"/>
    <cellStyle name="Comma [0] 5 38 5 2 2" xfId="29592" xr:uid="{00000000-0005-0000-0000-00007D210000}"/>
    <cellStyle name="Comma [0] 5 38 5 2 3" xfId="45084" xr:uid="{00000000-0005-0000-0000-00007E210000}"/>
    <cellStyle name="Comma [0] 5 38 5 3" xfId="21852" xr:uid="{00000000-0005-0000-0000-00007F210000}"/>
    <cellStyle name="Comma [0] 5 38 5 4" xfId="37344" xr:uid="{00000000-0005-0000-0000-000080210000}"/>
    <cellStyle name="Comma [0] 5 38 6" xfId="10130" xr:uid="{00000000-0005-0000-0000-000081210000}"/>
    <cellStyle name="Comma [0] 5 38 6 2" xfId="25722" xr:uid="{00000000-0005-0000-0000-000082210000}"/>
    <cellStyle name="Comma [0] 5 38 6 3" xfId="41214" xr:uid="{00000000-0005-0000-0000-000083210000}"/>
    <cellStyle name="Comma [0] 5 38 7" xfId="17982" xr:uid="{00000000-0005-0000-0000-000084210000}"/>
    <cellStyle name="Comma [0] 5 38 8" xfId="33474" xr:uid="{00000000-0005-0000-0000-000085210000}"/>
    <cellStyle name="Comma [0] 5 39" xfId="2344" xr:uid="{00000000-0005-0000-0000-000086210000}"/>
    <cellStyle name="Comma [0] 5 39 2" xfId="2657" xr:uid="{00000000-0005-0000-0000-000087210000}"/>
    <cellStyle name="Comma [0] 5 39 2 2" xfId="3665" xr:uid="{00000000-0005-0000-0000-000088210000}"/>
    <cellStyle name="Comma [0] 5 39 2 2 2" xfId="5604" xr:uid="{00000000-0005-0000-0000-000089210000}"/>
    <cellStyle name="Comma [0] 5 39 2 2 2 2" xfId="9475" xr:uid="{00000000-0005-0000-0000-00008A210000}"/>
    <cellStyle name="Comma [0] 5 39 2 2 2 2 2" xfId="17220" xr:uid="{00000000-0005-0000-0000-00008B210000}"/>
    <cellStyle name="Comma [0] 5 39 2 2 2 2 2 2" xfId="32812" xr:uid="{00000000-0005-0000-0000-00008C210000}"/>
    <cellStyle name="Comma [0] 5 39 2 2 2 2 2 3" xfId="48304" xr:uid="{00000000-0005-0000-0000-00008D210000}"/>
    <cellStyle name="Comma [0] 5 39 2 2 2 2 3" xfId="25072" xr:uid="{00000000-0005-0000-0000-00008E210000}"/>
    <cellStyle name="Comma [0] 5 39 2 2 2 2 4" xfId="40564" xr:uid="{00000000-0005-0000-0000-00008F210000}"/>
    <cellStyle name="Comma [0] 5 39 2 2 2 3" xfId="13350" xr:uid="{00000000-0005-0000-0000-000090210000}"/>
    <cellStyle name="Comma [0] 5 39 2 2 2 3 2" xfId="28942" xr:uid="{00000000-0005-0000-0000-000091210000}"/>
    <cellStyle name="Comma [0] 5 39 2 2 2 3 3" xfId="44434" xr:uid="{00000000-0005-0000-0000-000092210000}"/>
    <cellStyle name="Comma [0] 5 39 2 2 2 4" xfId="21202" xr:uid="{00000000-0005-0000-0000-000093210000}"/>
    <cellStyle name="Comma [0] 5 39 2 2 2 5" xfId="36694" xr:uid="{00000000-0005-0000-0000-000094210000}"/>
    <cellStyle name="Comma [0] 5 39 2 2 3" xfId="7548" xr:uid="{00000000-0005-0000-0000-000095210000}"/>
    <cellStyle name="Comma [0] 5 39 2 2 3 2" xfId="15293" xr:uid="{00000000-0005-0000-0000-000096210000}"/>
    <cellStyle name="Comma [0] 5 39 2 2 3 2 2" xfId="30885" xr:uid="{00000000-0005-0000-0000-000097210000}"/>
    <cellStyle name="Comma [0] 5 39 2 2 3 2 3" xfId="46377" xr:uid="{00000000-0005-0000-0000-000098210000}"/>
    <cellStyle name="Comma [0] 5 39 2 2 3 3" xfId="23145" xr:uid="{00000000-0005-0000-0000-000099210000}"/>
    <cellStyle name="Comma [0] 5 39 2 2 3 4" xfId="38637" xr:uid="{00000000-0005-0000-0000-00009A210000}"/>
    <cellStyle name="Comma [0] 5 39 2 2 4" xfId="11423" xr:uid="{00000000-0005-0000-0000-00009B210000}"/>
    <cellStyle name="Comma [0] 5 39 2 2 4 2" xfId="27015" xr:uid="{00000000-0005-0000-0000-00009C210000}"/>
    <cellStyle name="Comma [0] 5 39 2 2 4 3" xfId="42507" xr:uid="{00000000-0005-0000-0000-00009D210000}"/>
    <cellStyle name="Comma [0] 5 39 2 2 5" xfId="19275" xr:uid="{00000000-0005-0000-0000-00009E210000}"/>
    <cellStyle name="Comma [0] 5 39 2 2 6" xfId="34767" xr:uid="{00000000-0005-0000-0000-00009F210000}"/>
    <cellStyle name="Comma [0] 5 39 2 3" xfId="4656" xr:uid="{00000000-0005-0000-0000-0000A0210000}"/>
    <cellStyle name="Comma [0] 5 39 2 3 2" xfId="8527" xr:uid="{00000000-0005-0000-0000-0000A1210000}"/>
    <cellStyle name="Comma [0] 5 39 2 3 2 2" xfId="16272" xr:uid="{00000000-0005-0000-0000-0000A2210000}"/>
    <cellStyle name="Comma [0] 5 39 2 3 2 2 2" xfId="31864" xr:uid="{00000000-0005-0000-0000-0000A3210000}"/>
    <cellStyle name="Comma [0] 5 39 2 3 2 2 3" xfId="47356" xr:uid="{00000000-0005-0000-0000-0000A4210000}"/>
    <cellStyle name="Comma [0] 5 39 2 3 2 3" xfId="24124" xr:uid="{00000000-0005-0000-0000-0000A5210000}"/>
    <cellStyle name="Comma [0] 5 39 2 3 2 4" xfId="39616" xr:uid="{00000000-0005-0000-0000-0000A6210000}"/>
    <cellStyle name="Comma [0] 5 39 2 3 3" xfId="12402" xr:uid="{00000000-0005-0000-0000-0000A7210000}"/>
    <cellStyle name="Comma [0] 5 39 2 3 3 2" xfId="27994" xr:uid="{00000000-0005-0000-0000-0000A8210000}"/>
    <cellStyle name="Comma [0] 5 39 2 3 3 3" xfId="43486" xr:uid="{00000000-0005-0000-0000-0000A9210000}"/>
    <cellStyle name="Comma [0] 5 39 2 3 4" xfId="20254" xr:uid="{00000000-0005-0000-0000-0000AA210000}"/>
    <cellStyle name="Comma [0] 5 39 2 3 5" xfId="35746" xr:uid="{00000000-0005-0000-0000-0000AB210000}"/>
    <cellStyle name="Comma [0] 5 39 2 4" xfId="6600" xr:uid="{00000000-0005-0000-0000-0000AC210000}"/>
    <cellStyle name="Comma [0] 5 39 2 4 2" xfId="14345" xr:uid="{00000000-0005-0000-0000-0000AD210000}"/>
    <cellStyle name="Comma [0] 5 39 2 4 2 2" xfId="29937" xr:uid="{00000000-0005-0000-0000-0000AE210000}"/>
    <cellStyle name="Comma [0] 5 39 2 4 2 3" xfId="45429" xr:uid="{00000000-0005-0000-0000-0000AF210000}"/>
    <cellStyle name="Comma [0] 5 39 2 4 3" xfId="22197" xr:uid="{00000000-0005-0000-0000-0000B0210000}"/>
    <cellStyle name="Comma [0] 5 39 2 4 4" xfId="37689" xr:uid="{00000000-0005-0000-0000-0000B1210000}"/>
    <cellStyle name="Comma [0] 5 39 2 5" xfId="10475" xr:uid="{00000000-0005-0000-0000-0000B2210000}"/>
    <cellStyle name="Comma [0] 5 39 2 5 2" xfId="26067" xr:uid="{00000000-0005-0000-0000-0000B3210000}"/>
    <cellStyle name="Comma [0] 5 39 2 5 3" xfId="41559" xr:uid="{00000000-0005-0000-0000-0000B4210000}"/>
    <cellStyle name="Comma [0] 5 39 2 6" xfId="18327" xr:uid="{00000000-0005-0000-0000-0000B5210000}"/>
    <cellStyle name="Comma [0] 5 39 2 7" xfId="33819" xr:uid="{00000000-0005-0000-0000-0000B6210000}"/>
    <cellStyle name="Comma [0] 5 39 3" xfId="3356" xr:uid="{00000000-0005-0000-0000-0000B7210000}"/>
    <cellStyle name="Comma [0] 5 39 3 2" xfId="5295" xr:uid="{00000000-0005-0000-0000-0000B8210000}"/>
    <cellStyle name="Comma [0] 5 39 3 2 2" xfId="9166" xr:uid="{00000000-0005-0000-0000-0000B9210000}"/>
    <cellStyle name="Comma [0] 5 39 3 2 2 2" xfId="16911" xr:uid="{00000000-0005-0000-0000-0000BA210000}"/>
    <cellStyle name="Comma [0] 5 39 3 2 2 2 2" xfId="32503" xr:uid="{00000000-0005-0000-0000-0000BB210000}"/>
    <cellStyle name="Comma [0] 5 39 3 2 2 2 3" xfId="47995" xr:uid="{00000000-0005-0000-0000-0000BC210000}"/>
    <cellStyle name="Comma [0] 5 39 3 2 2 3" xfId="24763" xr:uid="{00000000-0005-0000-0000-0000BD210000}"/>
    <cellStyle name="Comma [0] 5 39 3 2 2 4" xfId="40255" xr:uid="{00000000-0005-0000-0000-0000BE210000}"/>
    <cellStyle name="Comma [0] 5 39 3 2 3" xfId="13041" xr:uid="{00000000-0005-0000-0000-0000BF210000}"/>
    <cellStyle name="Comma [0] 5 39 3 2 3 2" xfId="28633" xr:uid="{00000000-0005-0000-0000-0000C0210000}"/>
    <cellStyle name="Comma [0] 5 39 3 2 3 3" xfId="44125" xr:uid="{00000000-0005-0000-0000-0000C1210000}"/>
    <cellStyle name="Comma [0] 5 39 3 2 4" xfId="20893" xr:uid="{00000000-0005-0000-0000-0000C2210000}"/>
    <cellStyle name="Comma [0] 5 39 3 2 5" xfId="36385" xr:uid="{00000000-0005-0000-0000-0000C3210000}"/>
    <cellStyle name="Comma [0] 5 39 3 3" xfId="7239" xr:uid="{00000000-0005-0000-0000-0000C4210000}"/>
    <cellStyle name="Comma [0] 5 39 3 3 2" xfId="14984" xr:uid="{00000000-0005-0000-0000-0000C5210000}"/>
    <cellStyle name="Comma [0] 5 39 3 3 2 2" xfId="30576" xr:uid="{00000000-0005-0000-0000-0000C6210000}"/>
    <cellStyle name="Comma [0] 5 39 3 3 2 3" xfId="46068" xr:uid="{00000000-0005-0000-0000-0000C7210000}"/>
    <cellStyle name="Comma [0] 5 39 3 3 3" xfId="22836" xr:uid="{00000000-0005-0000-0000-0000C8210000}"/>
    <cellStyle name="Comma [0] 5 39 3 3 4" xfId="38328" xr:uid="{00000000-0005-0000-0000-0000C9210000}"/>
    <cellStyle name="Comma [0] 5 39 3 4" xfId="11114" xr:uid="{00000000-0005-0000-0000-0000CA210000}"/>
    <cellStyle name="Comma [0] 5 39 3 4 2" xfId="26706" xr:uid="{00000000-0005-0000-0000-0000CB210000}"/>
    <cellStyle name="Comma [0] 5 39 3 4 3" xfId="42198" xr:uid="{00000000-0005-0000-0000-0000CC210000}"/>
    <cellStyle name="Comma [0] 5 39 3 5" xfId="18966" xr:uid="{00000000-0005-0000-0000-0000CD210000}"/>
    <cellStyle name="Comma [0] 5 39 3 6" xfId="34458" xr:uid="{00000000-0005-0000-0000-0000CE210000}"/>
    <cellStyle name="Comma [0] 5 39 4" xfId="4347" xr:uid="{00000000-0005-0000-0000-0000CF210000}"/>
    <cellStyle name="Comma [0] 5 39 4 2" xfId="8218" xr:uid="{00000000-0005-0000-0000-0000D0210000}"/>
    <cellStyle name="Comma [0] 5 39 4 2 2" xfId="15963" xr:uid="{00000000-0005-0000-0000-0000D1210000}"/>
    <cellStyle name="Comma [0] 5 39 4 2 2 2" xfId="31555" xr:uid="{00000000-0005-0000-0000-0000D2210000}"/>
    <cellStyle name="Comma [0] 5 39 4 2 2 3" xfId="47047" xr:uid="{00000000-0005-0000-0000-0000D3210000}"/>
    <cellStyle name="Comma [0] 5 39 4 2 3" xfId="23815" xr:uid="{00000000-0005-0000-0000-0000D4210000}"/>
    <cellStyle name="Comma [0] 5 39 4 2 4" xfId="39307" xr:uid="{00000000-0005-0000-0000-0000D5210000}"/>
    <cellStyle name="Comma [0] 5 39 4 3" xfId="12093" xr:uid="{00000000-0005-0000-0000-0000D6210000}"/>
    <cellStyle name="Comma [0] 5 39 4 3 2" xfId="27685" xr:uid="{00000000-0005-0000-0000-0000D7210000}"/>
    <cellStyle name="Comma [0] 5 39 4 3 3" xfId="43177" xr:uid="{00000000-0005-0000-0000-0000D8210000}"/>
    <cellStyle name="Comma [0] 5 39 4 4" xfId="19945" xr:uid="{00000000-0005-0000-0000-0000D9210000}"/>
    <cellStyle name="Comma [0] 5 39 4 5" xfId="35437" xr:uid="{00000000-0005-0000-0000-0000DA210000}"/>
    <cellStyle name="Comma [0] 5 39 5" xfId="6291" xr:uid="{00000000-0005-0000-0000-0000DB210000}"/>
    <cellStyle name="Comma [0] 5 39 5 2" xfId="14036" xr:uid="{00000000-0005-0000-0000-0000DC210000}"/>
    <cellStyle name="Comma [0] 5 39 5 2 2" xfId="29628" xr:uid="{00000000-0005-0000-0000-0000DD210000}"/>
    <cellStyle name="Comma [0] 5 39 5 2 3" xfId="45120" xr:uid="{00000000-0005-0000-0000-0000DE210000}"/>
    <cellStyle name="Comma [0] 5 39 5 3" xfId="21888" xr:uid="{00000000-0005-0000-0000-0000DF210000}"/>
    <cellStyle name="Comma [0] 5 39 5 4" xfId="37380" xr:uid="{00000000-0005-0000-0000-0000E0210000}"/>
    <cellStyle name="Comma [0] 5 39 6" xfId="10166" xr:uid="{00000000-0005-0000-0000-0000E1210000}"/>
    <cellStyle name="Comma [0] 5 39 6 2" xfId="25758" xr:uid="{00000000-0005-0000-0000-0000E2210000}"/>
    <cellStyle name="Comma [0] 5 39 6 3" xfId="41250" xr:uid="{00000000-0005-0000-0000-0000E3210000}"/>
    <cellStyle name="Comma [0] 5 39 7" xfId="18018" xr:uid="{00000000-0005-0000-0000-0000E4210000}"/>
    <cellStyle name="Comma [0] 5 39 8" xfId="33510" xr:uid="{00000000-0005-0000-0000-0000E5210000}"/>
    <cellStyle name="Comma [0] 5 4" xfId="694" xr:uid="{00000000-0005-0000-0000-0000E6210000}"/>
    <cellStyle name="Comma [0] 5 40" xfId="2381" xr:uid="{00000000-0005-0000-0000-0000E7210000}"/>
    <cellStyle name="Comma [0] 5 40 2" xfId="2693" xr:uid="{00000000-0005-0000-0000-0000E8210000}"/>
    <cellStyle name="Comma [0] 5 40 2 2" xfId="3701" xr:uid="{00000000-0005-0000-0000-0000E9210000}"/>
    <cellStyle name="Comma [0] 5 40 2 2 2" xfId="5640" xr:uid="{00000000-0005-0000-0000-0000EA210000}"/>
    <cellStyle name="Comma [0] 5 40 2 2 2 2" xfId="9511" xr:uid="{00000000-0005-0000-0000-0000EB210000}"/>
    <cellStyle name="Comma [0] 5 40 2 2 2 2 2" xfId="17256" xr:uid="{00000000-0005-0000-0000-0000EC210000}"/>
    <cellStyle name="Comma [0] 5 40 2 2 2 2 2 2" xfId="32848" xr:uid="{00000000-0005-0000-0000-0000ED210000}"/>
    <cellStyle name="Comma [0] 5 40 2 2 2 2 2 3" xfId="48340" xr:uid="{00000000-0005-0000-0000-0000EE210000}"/>
    <cellStyle name="Comma [0] 5 40 2 2 2 2 3" xfId="25108" xr:uid="{00000000-0005-0000-0000-0000EF210000}"/>
    <cellStyle name="Comma [0] 5 40 2 2 2 2 4" xfId="40600" xr:uid="{00000000-0005-0000-0000-0000F0210000}"/>
    <cellStyle name="Comma [0] 5 40 2 2 2 3" xfId="13386" xr:uid="{00000000-0005-0000-0000-0000F1210000}"/>
    <cellStyle name="Comma [0] 5 40 2 2 2 3 2" xfId="28978" xr:uid="{00000000-0005-0000-0000-0000F2210000}"/>
    <cellStyle name="Comma [0] 5 40 2 2 2 3 3" xfId="44470" xr:uid="{00000000-0005-0000-0000-0000F3210000}"/>
    <cellStyle name="Comma [0] 5 40 2 2 2 4" xfId="21238" xr:uid="{00000000-0005-0000-0000-0000F4210000}"/>
    <cellStyle name="Comma [0] 5 40 2 2 2 5" xfId="36730" xr:uid="{00000000-0005-0000-0000-0000F5210000}"/>
    <cellStyle name="Comma [0] 5 40 2 2 3" xfId="7584" xr:uid="{00000000-0005-0000-0000-0000F6210000}"/>
    <cellStyle name="Comma [0] 5 40 2 2 3 2" xfId="15329" xr:uid="{00000000-0005-0000-0000-0000F7210000}"/>
    <cellStyle name="Comma [0] 5 40 2 2 3 2 2" xfId="30921" xr:uid="{00000000-0005-0000-0000-0000F8210000}"/>
    <cellStyle name="Comma [0] 5 40 2 2 3 2 3" xfId="46413" xr:uid="{00000000-0005-0000-0000-0000F9210000}"/>
    <cellStyle name="Comma [0] 5 40 2 2 3 3" xfId="23181" xr:uid="{00000000-0005-0000-0000-0000FA210000}"/>
    <cellStyle name="Comma [0] 5 40 2 2 3 4" xfId="38673" xr:uid="{00000000-0005-0000-0000-0000FB210000}"/>
    <cellStyle name="Comma [0] 5 40 2 2 4" xfId="11459" xr:uid="{00000000-0005-0000-0000-0000FC210000}"/>
    <cellStyle name="Comma [0] 5 40 2 2 4 2" xfId="27051" xr:uid="{00000000-0005-0000-0000-0000FD210000}"/>
    <cellStyle name="Comma [0] 5 40 2 2 4 3" xfId="42543" xr:uid="{00000000-0005-0000-0000-0000FE210000}"/>
    <cellStyle name="Comma [0] 5 40 2 2 5" xfId="19311" xr:uid="{00000000-0005-0000-0000-0000FF210000}"/>
    <cellStyle name="Comma [0] 5 40 2 2 6" xfId="34803" xr:uid="{00000000-0005-0000-0000-000000220000}"/>
    <cellStyle name="Comma [0] 5 40 2 3" xfId="4692" xr:uid="{00000000-0005-0000-0000-000001220000}"/>
    <cellStyle name="Comma [0] 5 40 2 3 2" xfId="8563" xr:uid="{00000000-0005-0000-0000-000002220000}"/>
    <cellStyle name="Comma [0] 5 40 2 3 2 2" xfId="16308" xr:uid="{00000000-0005-0000-0000-000003220000}"/>
    <cellStyle name="Comma [0] 5 40 2 3 2 2 2" xfId="31900" xr:uid="{00000000-0005-0000-0000-000004220000}"/>
    <cellStyle name="Comma [0] 5 40 2 3 2 2 3" xfId="47392" xr:uid="{00000000-0005-0000-0000-000005220000}"/>
    <cellStyle name="Comma [0] 5 40 2 3 2 3" xfId="24160" xr:uid="{00000000-0005-0000-0000-000006220000}"/>
    <cellStyle name="Comma [0] 5 40 2 3 2 4" xfId="39652" xr:uid="{00000000-0005-0000-0000-000007220000}"/>
    <cellStyle name="Comma [0] 5 40 2 3 3" xfId="12438" xr:uid="{00000000-0005-0000-0000-000008220000}"/>
    <cellStyle name="Comma [0] 5 40 2 3 3 2" xfId="28030" xr:uid="{00000000-0005-0000-0000-000009220000}"/>
    <cellStyle name="Comma [0] 5 40 2 3 3 3" xfId="43522" xr:uid="{00000000-0005-0000-0000-00000A220000}"/>
    <cellStyle name="Comma [0] 5 40 2 3 4" xfId="20290" xr:uid="{00000000-0005-0000-0000-00000B220000}"/>
    <cellStyle name="Comma [0] 5 40 2 3 5" xfId="35782" xr:uid="{00000000-0005-0000-0000-00000C220000}"/>
    <cellStyle name="Comma [0] 5 40 2 4" xfId="6636" xr:uid="{00000000-0005-0000-0000-00000D220000}"/>
    <cellStyle name="Comma [0] 5 40 2 4 2" xfId="14381" xr:uid="{00000000-0005-0000-0000-00000E220000}"/>
    <cellStyle name="Comma [0] 5 40 2 4 2 2" xfId="29973" xr:uid="{00000000-0005-0000-0000-00000F220000}"/>
    <cellStyle name="Comma [0] 5 40 2 4 2 3" xfId="45465" xr:uid="{00000000-0005-0000-0000-000010220000}"/>
    <cellStyle name="Comma [0] 5 40 2 4 3" xfId="22233" xr:uid="{00000000-0005-0000-0000-000011220000}"/>
    <cellStyle name="Comma [0] 5 40 2 4 4" xfId="37725" xr:uid="{00000000-0005-0000-0000-000012220000}"/>
    <cellStyle name="Comma [0] 5 40 2 5" xfId="10511" xr:uid="{00000000-0005-0000-0000-000013220000}"/>
    <cellStyle name="Comma [0] 5 40 2 5 2" xfId="26103" xr:uid="{00000000-0005-0000-0000-000014220000}"/>
    <cellStyle name="Comma [0] 5 40 2 5 3" xfId="41595" xr:uid="{00000000-0005-0000-0000-000015220000}"/>
    <cellStyle name="Comma [0] 5 40 2 6" xfId="18363" xr:uid="{00000000-0005-0000-0000-000016220000}"/>
    <cellStyle name="Comma [0] 5 40 2 7" xfId="33855" xr:uid="{00000000-0005-0000-0000-000017220000}"/>
    <cellStyle name="Comma [0] 5 40 3" xfId="3392" xr:uid="{00000000-0005-0000-0000-000018220000}"/>
    <cellStyle name="Comma [0] 5 40 3 2" xfId="5331" xr:uid="{00000000-0005-0000-0000-000019220000}"/>
    <cellStyle name="Comma [0] 5 40 3 2 2" xfId="9202" xr:uid="{00000000-0005-0000-0000-00001A220000}"/>
    <cellStyle name="Comma [0] 5 40 3 2 2 2" xfId="16947" xr:uid="{00000000-0005-0000-0000-00001B220000}"/>
    <cellStyle name="Comma [0] 5 40 3 2 2 2 2" xfId="32539" xr:uid="{00000000-0005-0000-0000-00001C220000}"/>
    <cellStyle name="Comma [0] 5 40 3 2 2 2 3" xfId="48031" xr:uid="{00000000-0005-0000-0000-00001D220000}"/>
    <cellStyle name="Comma [0] 5 40 3 2 2 3" xfId="24799" xr:uid="{00000000-0005-0000-0000-00001E220000}"/>
    <cellStyle name="Comma [0] 5 40 3 2 2 4" xfId="40291" xr:uid="{00000000-0005-0000-0000-00001F220000}"/>
    <cellStyle name="Comma [0] 5 40 3 2 3" xfId="13077" xr:uid="{00000000-0005-0000-0000-000020220000}"/>
    <cellStyle name="Comma [0] 5 40 3 2 3 2" xfId="28669" xr:uid="{00000000-0005-0000-0000-000021220000}"/>
    <cellStyle name="Comma [0] 5 40 3 2 3 3" xfId="44161" xr:uid="{00000000-0005-0000-0000-000022220000}"/>
    <cellStyle name="Comma [0] 5 40 3 2 4" xfId="20929" xr:uid="{00000000-0005-0000-0000-000023220000}"/>
    <cellStyle name="Comma [0] 5 40 3 2 5" xfId="36421" xr:uid="{00000000-0005-0000-0000-000024220000}"/>
    <cellStyle name="Comma [0] 5 40 3 3" xfId="7275" xr:uid="{00000000-0005-0000-0000-000025220000}"/>
    <cellStyle name="Comma [0] 5 40 3 3 2" xfId="15020" xr:uid="{00000000-0005-0000-0000-000026220000}"/>
    <cellStyle name="Comma [0] 5 40 3 3 2 2" xfId="30612" xr:uid="{00000000-0005-0000-0000-000027220000}"/>
    <cellStyle name="Comma [0] 5 40 3 3 2 3" xfId="46104" xr:uid="{00000000-0005-0000-0000-000028220000}"/>
    <cellStyle name="Comma [0] 5 40 3 3 3" xfId="22872" xr:uid="{00000000-0005-0000-0000-000029220000}"/>
    <cellStyle name="Comma [0] 5 40 3 3 4" xfId="38364" xr:uid="{00000000-0005-0000-0000-00002A220000}"/>
    <cellStyle name="Comma [0] 5 40 3 4" xfId="11150" xr:uid="{00000000-0005-0000-0000-00002B220000}"/>
    <cellStyle name="Comma [0] 5 40 3 4 2" xfId="26742" xr:uid="{00000000-0005-0000-0000-00002C220000}"/>
    <cellStyle name="Comma [0] 5 40 3 4 3" xfId="42234" xr:uid="{00000000-0005-0000-0000-00002D220000}"/>
    <cellStyle name="Comma [0] 5 40 3 5" xfId="19002" xr:uid="{00000000-0005-0000-0000-00002E220000}"/>
    <cellStyle name="Comma [0] 5 40 3 6" xfId="34494" xr:uid="{00000000-0005-0000-0000-00002F220000}"/>
    <cellStyle name="Comma [0] 5 40 4" xfId="4383" xr:uid="{00000000-0005-0000-0000-000030220000}"/>
    <cellStyle name="Comma [0] 5 40 4 2" xfId="8254" xr:uid="{00000000-0005-0000-0000-000031220000}"/>
    <cellStyle name="Comma [0] 5 40 4 2 2" xfId="15999" xr:uid="{00000000-0005-0000-0000-000032220000}"/>
    <cellStyle name="Comma [0] 5 40 4 2 2 2" xfId="31591" xr:uid="{00000000-0005-0000-0000-000033220000}"/>
    <cellStyle name="Comma [0] 5 40 4 2 2 3" xfId="47083" xr:uid="{00000000-0005-0000-0000-000034220000}"/>
    <cellStyle name="Comma [0] 5 40 4 2 3" xfId="23851" xr:uid="{00000000-0005-0000-0000-000035220000}"/>
    <cellStyle name="Comma [0] 5 40 4 2 4" xfId="39343" xr:uid="{00000000-0005-0000-0000-000036220000}"/>
    <cellStyle name="Comma [0] 5 40 4 3" xfId="12129" xr:uid="{00000000-0005-0000-0000-000037220000}"/>
    <cellStyle name="Comma [0] 5 40 4 3 2" xfId="27721" xr:uid="{00000000-0005-0000-0000-000038220000}"/>
    <cellStyle name="Comma [0] 5 40 4 3 3" xfId="43213" xr:uid="{00000000-0005-0000-0000-000039220000}"/>
    <cellStyle name="Comma [0] 5 40 4 4" xfId="19981" xr:uid="{00000000-0005-0000-0000-00003A220000}"/>
    <cellStyle name="Comma [0] 5 40 4 5" xfId="35473" xr:uid="{00000000-0005-0000-0000-00003B220000}"/>
    <cellStyle name="Comma [0] 5 40 5" xfId="6327" xr:uid="{00000000-0005-0000-0000-00003C220000}"/>
    <cellStyle name="Comma [0] 5 40 5 2" xfId="14072" xr:uid="{00000000-0005-0000-0000-00003D220000}"/>
    <cellStyle name="Comma [0] 5 40 5 2 2" xfId="29664" xr:uid="{00000000-0005-0000-0000-00003E220000}"/>
    <cellStyle name="Comma [0] 5 40 5 2 3" xfId="45156" xr:uid="{00000000-0005-0000-0000-00003F220000}"/>
    <cellStyle name="Comma [0] 5 40 5 3" xfId="21924" xr:uid="{00000000-0005-0000-0000-000040220000}"/>
    <cellStyle name="Comma [0] 5 40 5 4" xfId="37416" xr:uid="{00000000-0005-0000-0000-000041220000}"/>
    <cellStyle name="Comma [0] 5 40 6" xfId="10202" xr:uid="{00000000-0005-0000-0000-000042220000}"/>
    <cellStyle name="Comma [0] 5 40 6 2" xfId="25794" xr:uid="{00000000-0005-0000-0000-000043220000}"/>
    <cellStyle name="Comma [0] 5 40 6 3" xfId="41286" xr:uid="{00000000-0005-0000-0000-000044220000}"/>
    <cellStyle name="Comma [0] 5 40 7" xfId="18054" xr:uid="{00000000-0005-0000-0000-000045220000}"/>
    <cellStyle name="Comma [0] 5 40 8" xfId="33546" xr:uid="{00000000-0005-0000-0000-000046220000}"/>
    <cellStyle name="Comma [0] 5 41" xfId="2419" xr:uid="{00000000-0005-0000-0000-000047220000}"/>
    <cellStyle name="Comma [0] 5 41 2" xfId="2729" xr:uid="{00000000-0005-0000-0000-000048220000}"/>
    <cellStyle name="Comma [0] 5 41 2 2" xfId="3737" xr:uid="{00000000-0005-0000-0000-000049220000}"/>
    <cellStyle name="Comma [0] 5 41 2 2 2" xfId="5676" xr:uid="{00000000-0005-0000-0000-00004A220000}"/>
    <cellStyle name="Comma [0] 5 41 2 2 2 2" xfId="9547" xr:uid="{00000000-0005-0000-0000-00004B220000}"/>
    <cellStyle name="Comma [0] 5 41 2 2 2 2 2" xfId="17292" xr:uid="{00000000-0005-0000-0000-00004C220000}"/>
    <cellStyle name="Comma [0] 5 41 2 2 2 2 2 2" xfId="32884" xr:uid="{00000000-0005-0000-0000-00004D220000}"/>
    <cellStyle name="Comma [0] 5 41 2 2 2 2 2 3" xfId="48376" xr:uid="{00000000-0005-0000-0000-00004E220000}"/>
    <cellStyle name="Comma [0] 5 41 2 2 2 2 3" xfId="25144" xr:uid="{00000000-0005-0000-0000-00004F220000}"/>
    <cellStyle name="Comma [0] 5 41 2 2 2 2 4" xfId="40636" xr:uid="{00000000-0005-0000-0000-000050220000}"/>
    <cellStyle name="Comma [0] 5 41 2 2 2 3" xfId="13422" xr:uid="{00000000-0005-0000-0000-000051220000}"/>
    <cellStyle name="Comma [0] 5 41 2 2 2 3 2" xfId="29014" xr:uid="{00000000-0005-0000-0000-000052220000}"/>
    <cellStyle name="Comma [0] 5 41 2 2 2 3 3" xfId="44506" xr:uid="{00000000-0005-0000-0000-000053220000}"/>
    <cellStyle name="Comma [0] 5 41 2 2 2 4" xfId="21274" xr:uid="{00000000-0005-0000-0000-000054220000}"/>
    <cellStyle name="Comma [0] 5 41 2 2 2 5" xfId="36766" xr:uid="{00000000-0005-0000-0000-000055220000}"/>
    <cellStyle name="Comma [0] 5 41 2 2 3" xfId="7620" xr:uid="{00000000-0005-0000-0000-000056220000}"/>
    <cellStyle name="Comma [0] 5 41 2 2 3 2" xfId="15365" xr:uid="{00000000-0005-0000-0000-000057220000}"/>
    <cellStyle name="Comma [0] 5 41 2 2 3 2 2" xfId="30957" xr:uid="{00000000-0005-0000-0000-000058220000}"/>
    <cellStyle name="Comma [0] 5 41 2 2 3 2 3" xfId="46449" xr:uid="{00000000-0005-0000-0000-000059220000}"/>
    <cellStyle name="Comma [0] 5 41 2 2 3 3" xfId="23217" xr:uid="{00000000-0005-0000-0000-00005A220000}"/>
    <cellStyle name="Comma [0] 5 41 2 2 3 4" xfId="38709" xr:uid="{00000000-0005-0000-0000-00005B220000}"/>
    <cellStyle name="Comma [0] 5 41 2 2 4" xfId="11495" xr:uid="{00000000-0005-0000-0000-00005C220000}"/>
    <cellStyle name="Comma [0] 5 41 2 2 4 2" xfId="27087" xr:uid="{00000000-0005-0000-0000-00005D220000}"/>
    <cellStyle name="Comma [0] 5 41 2 2 4 3" xfId="42579" xr:uid="{00000000-0005-0000-0000-00005E220000}"/>
    <cellStyle name="Comma [0] 5 41 2 2 5" xfId="19347" xr:uid="{00000000-0005-0000-0000-00005F220000}"/>
    <cellStyle name="Comma [0] 5 41 2 2 6" xfId="34839" xr:uid="{00000000-0005-0000-0000-000060220000}"/>
    <cellStyle name="Comma [0] 5 41 2 3" xfId="4728" xr:uid="{00000000-0005-0000-0000-000061220000}"/>
    <cellStyle name="Comma [0] 5 41 2 3 2" xfId="8599" xr:uid="{00000000-0005-0000-0000-000062220000}"/>
    <cellStyle name="Comma [0] 5 41 2 3 2 2" xfId="16344" xr:uid="{00000000-0005-0000-0000-000063220000}"/>
    <cellStyle name="Comma [0] 5 41 2 3 2 2 2" xfId="31936" xr:uid="{00000000-0005-0000-0000-000064220000}"/>
    <cellStyle name="Comma [0] 5 41 2 3 2 2 3" xfId="47428" xr:uid="{00000000-0005-0000-0000-000065220000}"/>
    <cellStyle name="Comma [0] 5 41 2 3 2 3" xfId="24196" xr:uid="{00000000-0005-0000-0000-000066220000}"/>
    <cellStyle name="Comma [0] 5 41 2 3 2 4" xfId="39688" xr:uid="{00000000-0005-0000-0000-000067220000}"/>
    <cellStyle name="Comma [0] 5 41 2 3 3" xfId="12474" xr:uid="{00000000-0005-0000-0000-000068220000}"/>
    <cellStyle name="Comma [0] 5 41 2 3 3 2" xfId="28066" xr:uid="{00000000-0005-0000-0000-000069220000}"/>
    <cellStyle name="Comma [0] 5 41 2 3 3 3" xfId="43558" xr:uid="{00000000-0005-0000-0000-00006A220000}"/>
    <cellStyle name="Comma [0] 5 41 2 3 4" xfId="20326" xr:uid="{00000000-0005-0000-0000-00006B220000}"/>
    <cellStyle name="Comma [0] 5 41 2 3 5" xfId="35818" xr:uid="{00000000-0005-0000-0000-00006C220000}"/>
    <cellStyle name="Comma [0] 5 41 2 4" xfId="6672" xr:uid="{00000000-0005-0000-0000-00006D220000}"/>
    <cellStyle name="Comma [0] 5 41 2 4 2" xfId="14417" xr:uid="{00000000-0005-0000-0000-00006E220000}"/>
    <cellStyle name="Comma [0] 5 41 2 4 2 2" xfId="30009" xr:uid="{00000000-0005-0000-0000-00006F220000}"/>
    <cellStyle name="Comma [0] 5 41 2 4 2 3" xfId="45501" xr:uid="{00000000-0005-0000-0000-000070220000}"/>
    <cellStyle name="Comma [0] 5 41 2 4 3" xfId="22269" xr:uid="{00000000-0005-0000-0000-000071220000}"/>
    <cellStyle name="Comma [0] 5 41 2 4 4" xfId="37761" xr:uid="{00000000-0005-0000-0000-000072220000}"/>
    <cellStyle name="Comma [0] 5 41 2 5" xfId="10547" xr:uid="{00000000-0005-0000-0000-000073220000}"/>
    <cellStyle name="Comma [0] 5 41 2 5 2" xfId="26139" xr:uid="{00000000-0005-0000-0000-000074220000}"/>
    <cellStyle name="Comma [0] 5 41 2 5 3" xfId="41631" xr:uid="{00000000-0005-0000-0000-000075220000}"/>
    <cellStyle name="Comma [0] 5 41 2 6" xfId="18399" xr:uid="{00000000-0005-0000-0000-000076220000}"/>
    <cellStyle name="Comma [0] 5 41 2 7" xfId="33891" xr:uid="{00000000-0005-0000-0000-000077220000}"/>
    <cellStyle name="Comma [0] 5 41 3" xfId="3428" xr:uid="{00000000-0005-0000-0000-000078220000}"/>
    <cellStyle name="Comma [0] 5 41 3 2" xfId="5367" xr:uid="{00000000-0005-0000-0000-000079220000}"/>
    <cellStyle name="Comma [0] 5 41 3 2 2" xfId="9238" xr:uid="{00000000-0005-0000-0000-00007A220000}"/>
    <cellStyle name="Comma [0] 5 41 3 2 2 2" xfId="16983" xr:uid="{00000000-0005-0000-0000-00007B220000}"/>
    <cellStyle name="Comma [0] 5 41 3 2 2 2 2" xfId="32575" xr:uid="{00000000-0005-0000-0000-00007C220000}"/>
    <cellStyle name="Comma [0] 5 41 3 2 2 2 3" xfId="48067" xr:uid="{00000000-0005-0000-0000-00007D220000}"/>
    <cellStyle name="Comma [0] 5 41 3 2 2 3" xfId="24835" xr:uid="{00000000-0005-0000-0000-00007E220000}"/>
    <cellStyle name="Comma [0] 5 41 3 2 2 4" xfId="40327" xr:uid="{00000000-0005-0000-0000-00007F220000}"/>
    <cellStyle name="Comma [0] 5 41 3 2 3" xfId="13113" xr:uid="{00000000-0005-0000-0000-000080220000}"/>
    <cellStyle name="Comma [0] 5 41 3 2 3 2" xfId="28705" xr:uid="{00000000-0005-0000-0000-000081220000}"/>
    <cellStyle name="Comma [0] 5 41 3 2 3 3" xfId="44197" xr:uid="{00000000-0005-0000-0000-000082220000}"/>
    <cellStyle name="Comma [0] 5 41 3 2 4" xfId="20965" xr:uid="{00000000-0005-0000-0000-000083220000}"/>
    <cellStyle name="Comma [0] 5 41 3 2 5" xfId="36457" xr:uid="{00000000-0005-0000-0000-000084220000}"/>
    <cellStyle name="Comma [0] 5 41 3 3" xfId="7311" xr:uid="{00000000-0005-0000-0000-000085220000}"/>
    <cellStyle name="Comma [0] 5 41 3 3 2" xfId="15056" xr:uid="{00000000-0005-0000-0000-000086220000}"/>
    <cellStyle name="Comma [0] 5 41 3 3 2 2" xfId="30648" xr:uid="{00000000-0005-0000-0000-000087220000}"/>
    <cellStyle name="Comma [0] 5 41 3 3 2 3" xfId="46140" xr:uid="{00000000-0005-0000-0000-000088220000}"/>
    <cellStyle name="Comma [0] 5 41 3 3 3" xfId="22908" xr:uid="{00000000-0005-0000-0000-000089220000}"/>
    <cellStyle name="Comma [0] 5 41 3 3 4" xfId="38400" xr:uid="{00000000-0005-0000-0000-00008A220000}"/>
    <cellStyle name="Comma [0] 5 41 3 4" xfId="11186" xr:uid="{00000000-0005-0000-0000-00008B220000}"/>
    <cellStyle name="Comma [0] 5 41 3 4 2" xfId="26778" xr:uid="{00000000-0005-0000-0000-00008C220000}"/>
    <cellStyle name="Comma [0] 5 41 3 4 3" xfId="42270" xr:uid="{00000000-0005-0000-0000-00008D220000}"/>
    <cellStyle name="Comma [0] 5 41 3 5" xfId="19038" xr:uid="{00000000-0005-0000-0000-00008E220000}"/>
    <cellStyle name="Comma [0] 5 41 3 6" xfId="34530" xr:uid="{00000000-0005-0000-0000-00008F220000}"/>
    <cellStyle name="Comma [0] 5 41 4" xfId="4419" xr:uid="{00000000-0005-0000-0000-000090220000}"/>
    <cellStyle name="Comma [0] 5 41 4 2" xfId="8290" xr:uid="{00000000-0005-0000-0000-000091220000}"/>
    <cellStyle name="Comma [0] 5 41 4 2 2" xfId="16035" xr:uid="{00000000-0005-0000-0000-000092220000}"/>
    <cellStyle name="Comma [0] 5 41 4 2 2 2" xfId="31627" xr:uid="{00000000-0005-0000-0000-000093220000}"/>
    <cellStyle name="Comma [0] 5 41 4 2 2 3" xfId="47119" xr:uid="{00000000-0005-0000-0000-000094220000}"/>
    <cellStyle name="Comma [0] 5 41 4 2 3" xfId="23887" xr:uid="{00000000-0005-0000-0000-000095220000}"/>
    <cellStyle name="Comma [0] 5 41 4 2 4" xfId="39379" xr:uid="{00000000-0005-0000-0000-000096220000}"/>
    <cellStyle name="Comma [0] 5 41 4 3" xfId="12165" xr:uid="{00000000-0005-0000-0000-000097220000}"/>
    <cellStyle name="Comma [0] 5 41 4 3 2" xfId="27757" xr:uid="{00000000-0005-0000-0000-000098220000}"/>
    <cellStyle name="Comma [0] 5 41 4 3 3" xfId="43249" xr:uid="{00000000-0005-0000-0000-000099220000}"/>
    <cellStyle name="Comma [0] 5 41 4 4" xfId="20017" xr:uid="{00000000-0005-0000-0000-00009A220000}"/>
    <cellStyle name="Comma [0] 5 41 4 5" xfId="35509" xr:uid="{00000000-0005-0000-0000-00009B220000}"/>
    <cellStyle name="Comma [0] 5 41 5" xfId="6363" xr:uid="{00000000-0005-0000-0000-00009C220000}"/>
    <cellStyle name="Comma [0] 5 41 5 2" xfId="14108" xr:uid="{00000000-0005-0000-0000-00009D220000}"/>
    <cellStyle name="Comma [0] 5 41 5 2 2" xfId="29700" xr:uid="{00000000-0005-0000-0000-00009E220000}"/>
    <cellStyle name="Comma [0] 5 41 5 2 3" xfId="45192" xr:uid="{00000000-0005-0000-0000-00009F220000}"/>
    <cellStyle name="Comma [0] 5 41 5 3" xfId="21960" xr:uid="{00000000-0005-0000-0000-0000A0220000}"/>
    <cellStyle name="Comma [0] 5 41 5 4" xfId="37452" xr:uid="{00000000-0005-0000-0000-0000A1220000}"/>
    <cellStyle name="Comma [0] 5 41 6" xfId="10238" xr:uid="{00000000-0005-0000-0000-0000A2220000}"/>
    <cellStyle name="Comma [0] 5 41 6 2" xfId="25830" xr:uid="{00000000-0005-0000-0000-0000A3220000}"/>
    <cellStyle name="Comma [0] 5 41 6 3" xfId="41322" xr:uid="{00000000-0005-0000-0000-0000A4220000}"/>
    <cellStyle name="Comma [0] 5 41 7" xfId="18090" xr:uid="{00000000-0005-0000-0000-0000A5220000}"/>
    <cellStyle name="Comma [0] 5 41 8" xfId="33582" xr:uid="{00000000-0005-0000-0000-0000A6220000}"/>
    <cellStyle name="Comma [0] 5 42" xfId="2456" xr:uid="{00000000-0005-0000-0000-0000A7220000}"/>
    <cellStyle name="Comma [0] 5 42 2" xfId="2765" xr:uid="{00000000-0005-0000-0000-0000A8220000}"/>
    <cellStyle name="Comma [0] 5 42 2 2" xfId="3773" xr:uid="{00000000-0005-0000-0000-0000A9220000}"/>
    <cellStyle name="Comma [0] 5 42 2 2 2" xfId="5712" xr:uid="{00000000-0005-0000-0000-0000AA220000}"/>
    <cellStyle name="Comma [0] 5 42 2 2 2 2" xfId="9583" xr:uid="{00000000-0005-0000-0000-0000AB220000}"/>
    <cellStyle name="Comma [0] 5 42 2 2 2 2 2" xfId="17328" xr:uid="{00000000-0005-0000-0000-0000AC220000}"/>
    <cellStyle name="Comma [0] 5 42 2 2 2 2 2 2" xfId="32920" xr:uid="{00000000-0005-0000-0000-0000AD220000}"/>
    <cellStyle name="Comma [0] 5 42 2 2 2 2 2 3" xfId="48412" xr:uid="{00000000-0005-0000-0000-0000AE220000}"/>
    <cellStyle name="Comma [0] 5 42 2 2 2 2 3" xfId="25180" xr:uid="{00000000-0005-0000-0000-0000AF220000}"/>
    <cellStyle name="Comma [0] 5 42 2 2 2 2 4" xfId="40672" xr:uid="{00000000-0005-0000-0000-0000B0220000}"/>
    <cellStyle name="Comma [0] 5 42 2 2 2 3" xfId="13458" xr:uid="{00000000-0005-0000-0000-0000B1220000}"/>
    <cellStyle name="Comma [0] 5 42 2 2 2 3 2" xfId="29050" xr:uid="{00000000-0005-0000-0000-0000B2220000}"/>
    <cellStyle name="Comma [0] 5 42 2 2 2 3 3" xfId="44542" xr:uid="{00000000-0005-0000-0000-0000B3220000}"/>
    <cellStyle name="Comma [0] 5 42 2 2 2 4" xfId="21310" xr:uid="{00000000-0005-0000-0000-0000B4220000}"/>
    <cellStyle name="Comma [0] 5 42 2 2 2 5" xfId="36802" xr:uid="{00000000-0005-0000-0000-0000B5220000}"/>
    <cellStyle name="Comma [0] 5 42 2 2 3" xfId="7656" xr:uid="{00000000-0005-0000-0000-0000B6220000}"/>
    <cellStyle name="Comma [0] 5 42 2 2 3 2" xfId="15401" xr:uid="{00000000-0005-0000-0000-0000B7220000}"/>
    <cellStyle name="Comma [0] 5 42 2 2 3 2 2" xfId="30993" xr:uid="{00000000-0005-0000-0000-0000B8220000}"/>
    <cellStyle name="Comma [0] 5 42 2 2 3 2 3" xfId="46485" xr:uid="{00000000-0005-0000-0000-0000B9220000}"/>
    <cellStyle name="Comma [0] 5 42 2 2 3 3" xfId="23253" xr:uid="{00000000-0005-0000-0000-0000BA220000}"/>
    <cellStyle name="Comma [0] 5 42 2 2 3 4" xfId="38745" xr:uid="{00000000-0005-0000-0000-0000BB220000}"/>
    <cellStyle name="Comma [0] 5 42 2 2 4" xfId="11531" xr:uid="{00000000-0005-0000-0000-0000BC220000}"/>
    <cellStyle name="Comma [0] 5 42 2 2 4 2" xfId="27123" xr:uid="{00000000-0005-0000-0000-0000BD220000}"/>
    <cellStyle name="Comma [0] 5 42 2 2 4 3" xfId="42615" xr:uid="{00000000-0005-0000-0000-0000BE220000}"/>
    <cellStyle name="Comma [0] 5 42 2 2 5" xfId="19383" xr:uid="{00000000-0005-0000-0000-0000BF220000}"/>
    <cellStyle name="Comma [0] 5 42 2 2 6" xfId="34875" xr:uid="{00000000-0005-0000-0000-0000C0220000}"/>
    <cellStyle name="Comma [0] 5 42 2 3" xfId="4764" xr:uid="{00000000-0005-0000-0000-0000C1220000}"/>
    <cellStyle name="Comma [0] 5 42 2 3 2" xfId="8635" xr:uid="{00000000-0005-0000-0000-0000C2220000}"/>
    <cellStyle name="Comma [0] 5 42 2 3 2 2" xfId="16380" xr:uid="{00000000-0005-0000-0000-0000C3220000}"/>
    <cellStyle name="Comma [0] 5 42 2 3 2 2 2" xfId="31972" xr:uid="{00000000-0005-0000-0000-0000C4220000}"/>
    <cellStyle name="Comma [0] 5 42 2 3 2 2 3" xfId="47464" xr:uid="{00000000-0005-0000-0000-0000C5220000}"/>
    <cellStyle name="Comma [0] 5 42 2 3 2 3" xfId="24232" xr:uid="{00000000-0005-0000-0000-0000C6220000}"/>
    <cellStyle name="Comma [0] 5 42 2 3 2 4" xfId="39724" xr:uid="{00000000-0005-0000-0000-0000C7220000}"/>
    <cellStyle name="Comma [0] 5 42 2 3 3" xfId="12510" xr:uid="{00000000-0005-0000-0000-0000C8220000}"/>
    <cellStyle name="Comma [0] 5 42 2 3 3 2" xfId="28102" xr:uid="{00000000-0005-0000-0000-0000C9220000}"/>
    <cellStyle name="Comma [0] 5 42 2 3 3 3" xfId="43594" xr:uid="{00000000-0005-0000-0000-0000CA220000}"/>
    <cellStyle name="Comma [0] 5 42 2 3 4" xfId="20362" xr:uid="{00000000-0005-0000-0000-0000CB220000}"/>
    <cellStyle name="Comma [0] 5 42 2 3 5" xfId="35854" xr:uid="{00000000-0005-0000-0000-0000CC220000}"/>
    <cellStyle name="Comma [0] 5 42 2 4" xfId="6708" xr:uid="{00000000-0005-0000-0000-0000CD220000}"/>
    <cellStyle name="Comma [0] 5 42 2 4 2" xfId="14453" xr:uid="{00000000-0005-0000-0000-0000CE220000}"/>
    <cellStyle name="Comma [0] 5 42 2 4 2 2" xfId="30045" xr:uid="{00000000-0005-0000-0000-0000CF220000}"/>
    <cellStyle name="Comma [0] 5 42 2 4 2 3" xfId="45537" xr:uid="{00000000-0005-0000-0000-0000D0220000}"/>
    <cellStyle name="Comma [0] 5 42 2 4 3" xfId="22305" xr:uid="{00000000-0005-0000-0000-0000D1220000}"/>
    <cellStyle name="Comma [0] 5 42 2 4 4" xfId="37797" xr:uid="{00000000-0005-0000-0000-0000D2220000}"/>
    <cellStyle name="Comma [0] 5 42 2 5" xfId="10583" xr:uid="{00000000-0005-0000-0000-0000D3220000}"/>
    <cellStyle name="Comma [0] 5 42 2 5 2" xfId="26175" xr:uid="{00000000-0005-0000-0000-0000D4220000}"/>
    <cellStyle name="Comma [0] 5 42 2 5 3" xfId="41667" xr:uid="{00000000-0005-0000-0000-0000D5220000}"/>
    <cellStyle name="Comma [0] 5 42 2 6" xfId="18435" xr:uid="{00000000-0005-0000-0000-0000D6220000}"/>
    <cellStyle name="Comma [0] 5 42 2 7" xfId="33927" xr:uid="{00000000-0005-0000-0000-0000D7220000}"/>
    <cellStyle name="Comma [0] 5 42 3" xfId="3464" xr:uid="{00000000-0005-0000-0000-0000D8220000}"/>
    <cellStyle name="Comma [0] 5 42 3 2" xfId="5403" xr:uid="{00000000-0005-0000-0000-0000D9220000}"/>
    <cellStyle name="Comma [0] 5 42 3 2 2" xfId="9274" xr:uid="{00000000-0005-0000-0000-0000DA220000}"/>
    <cellStyle name="Comma [0] 5 42 3 2 2 2" xfId="17019" xr:uid="{00000000-0005-0000-0000-0000DB220000}"/>
    <cellStyle name="Comma [0] 5 42 3 2 2 2 2" xfId="32611" xr:uid="{00000000-0005-0000-0000-0000DC220000}"/>
    <cellStyle name="Comma [0] 5 42 3 2 2 2 3" xfId="48103" xr:uid="{00000000-0005-0000-0000-0000DD220000}"/>
    <cellStyle name="Comma [0] 5 42 3 2 2 3" xfId="24871" xr:uid="{00000000-0005-0000-0000-0000DE220000}"/>
    <cellStyle name="Comma [0] 5 42 3 2 2 4" xfId="40363" xr:uid="{00000000-0005-0000-0000-0000DF220000}"/>
    <cellStyle name="Comma [0] 5 42 3 2 3" xfId="13149" xr:uid="{00000000-0005-0000-0000-0000E0220000}"/>
    <cellStyle name="Comma [0] 5 42 3 2 3 2" xfId="28741" xr:uid="{00000000-0005-0000-0000-0000E1220000}"/>
    <cellStyle name="Comma [0] 5 42 3 2 3 3" xfId="44233" xr:uid="{00000000-0005-0000-0000-0000E2220000}"/>
    <cellStyle name="Comma [0] 5 42 3 2 4" xfId="21001" xr:uid="{00000000-0005-0000-0000-0000E3220000}"/>
    <cellStyle name="Comma [0] 5 42 3 2 5" xfId="36493" xr:uid="{00000000-0005-0000-0000-0000E4220000}"/>
    <cellStyle name="Comma [0] 5 42 3 3" xfId="7347" xr:uid="{00000000-0005-0000-0000-0000E5220000}"/>
    <cellStyle name="Comma [0] 5 42 3 3 2" xfId="15092" xr:uid="{00000000-0005-0000-0000-0000E6220000}"/>
    <cellStyle name="Comma [0] 5 42 3 3 2 2" xfId="30684" xr:uid="{00000000-0005-0000-0000-0000E7220000}"/>
    <cellStyle name="Comma [0] 5 42 3 3 2 3" xfId="46176" xr:uid="{00000000-0005-0000-0000-0000E8220000}"/>
    <cellStyle name="Comma [0] 5 42 3 3 3" xfId="22944" xr:uid="{00000000-0005-0000-0000-0000E9220000}"/>
    <cellStyle name="Comma [0] 5 42 3 3 4" xfId="38436" xr:uid="{00000000-0005-0000-0000-0000EA220000}"/>
    <cellStyle name="Comma [0] 5 42 3 4" xfId="11222" xr:uid="{00000000-0005-0000-0000-0000EB220000}"/>
    <cellStyle name="Comma [0] 5 42 3 4 2" xfId="26814" xr:uid="{00000000-0005-0000-0000-0000EC220000}"/>
    <cellStyle name="Comma [0] 5 42 3 4 3" xfId="42306" xr:uid="{00000000-0005-0000-0000-0000ED220000}"/>
    <cellStyle name="Comma [0] 5 42 3 5" xfId="19074" xr:uid="{00000000-0005-0000-0000-0000EE220000}"/>
    <cellStyle name="Comma [0] 5 42 3 6" xfId="34566" xr:uid="{00000000-0005-0000-0000-0000EF220000}"/>
    <cellStyle name="Comma [0] 5 42 4" xfId="4455" xr:uid="{00000000-0005-0000-0000-0000F0220000}"/>
    <cellStyle name="Comma [0] 5 42 4 2" xfId="8326" xr:uid="{00000000-0005-0000-0000-0000F1220000}"/>
    <cellStyle name="Comma [0] 5 42 4 2 2" xfId="16071" xr:uid="{00000000-0005-0000-0000-0000F2220000}"/>
    <cellStyle name="Comma [0] 5 42 4 2 2 2" xfId="31663" xr:uid="{00000000-0005-0000-0000-0000F3220000}"/>
    <cellStyle name="Comma [0] 5 42 4 2 2 3" xfId="47155" xr:uid="{00000000-0005-0000-0000-0000F4220000}"/>
    <cellStyle name="Comma [0] 5 42 4 2 3" xfId="23923" xr:uid="{00000000-0005-0000-0000-0000F5220000}"/>
    <cellStyle name="Comma [0] 5 42 4 2 4" xfId="39415" xr:uid="{00000000-0005-0000-0000-0000F6220000}"/>
    <cellStyle name="Comma [0] 5 42 4 3" xfId="12201" xr:uid="{00000000-0005-0000-0000-0000F7220000}"/>
    <cellStyle name="Comma [0] 5 42 4 3 2" xfId="27793" xr:uid="{00000000-0005-0000-0000-0000F8220000}"/>
    <cellStyle name="Comma [0] 5 42 4 3 3" xfId="43285" xr:uid="{00000000-0005-0000-0000-0000F9220000}"/>
    <cellStyle name="Comma [0] 5 42 4 4" xfId="20053" xr:uid="{00000000-0005-0000-0000-0000FA220000}"/>
    <cellStyle name="Comma [0] 5 42 4 5" xfId="35545" xr:uid="{00000000-0005-0000-0000-0000FB220000}"/>
    <cellStyle name="Comma [0] 5 42 5" xfId="6399" xr:uid="{00000000-0005-0000-0000-0000FC220000}"/>
    <cellStyle name="Comma [0] 5 42 5 2" xfId="14144" xr:uid="{00000000-0005-0000-0000-0000FD220000}"/>
    <cellStyle name="Comma [0] 5 42 5 2 2" xfId="29736" xr:uid="{00000000-0005-0000-0000-0000FE220000}"/>
    <cellStyle name="Comma [0] 5 42 5 2 3" xfId="45228" xr:uid="{00000000-0005-0000-0000-0000FF220000}"/>
    <cellStyle name="Comma [0] 5 42 5 3" xfId="21996" xr:uid="{00000000-0005-0000-0000-000000230000}"/>
    <cellStyle name="Comma [0] 5 42 5 4" xfId="37488" xr:uid="{00000000-0005-0000-0000-000001230000}"/>
    <cellStyle name="Comma [0] 5 42 6" xfId="10274" xr:uid="{00000000-0005-0000-0000-000002230000}"/>
    <cellStyle name="Comma [0] 5 42 6 2" xfId="25866" xr:uid="{00000000-0005-0000-0000-000003230000}"/>
    <cellStyle name="Comma [0] 5 42 6 3" xfId="41358" xr:uid="{00000000-0005-0000-0000-000004230000}"/>
    <cellStyle name="Comma [0] 5 42 7" xfId="18126" xr:uid="{00000000-0005-0000-0000-000005230000}"/>
    <cellStyle name="Comma [0] 5 42 8" xfId="33618" xr:uid="{00000000-0005-0000-0000-000006230000}"/>
    <cellStyle name="Comma [0] 5 43" xfId="2802" xr:uid="{00000000-0005-0000-0000-000007230000}"/>
    <cellStyle name="Comma [0] 5 43 2" xfId="3809" xr:uid="{00000000-0005-0000-0000-000008230000}"/>
    <cellStyle name="Comma [0] 5 43 2 2" xfId="5748" xr:uid="{00000000-0005-0000-0000-000009230000}"/>
    <cellStyle name="Comma [0] 5 43 2 2 2" xfId="9619" xr:uid="{00000000-0005-0000-0000-00000A230000}"/>
    <cellStyle name="Comma [0] 5 43 2 2 2 2" xfId="17364" xr:uid="{00000000-0005-0000-0000-00000B230000}"/>
    <cellStyle name="Comma [0] 5 43 2 2 2 2 2" xfId="32956" xr:uid="{00000000-0005-0000-0000-00000C230000}"/>
    <cellStyle name="Comma [0] 5 43 2 2 2 2 3" xfId="48448" xr:uid="{00000000-0005-0000-0000-00000D230000}"/>
    <cellStyle name="Comma [0] 5 43 2 2 2 3" xfId="25216" xr:uid="{00000000-0005-0000-0000-00000E230000}"/>
    <cellStyle name="Comma [0] 5 43 2 2 2 4" xfId="40708" xr:uid="{00000000-0005-0000-0000-00000F230000}"/>
    <cellStyle name="Comma [0] 5 43 2 2 3" xfId="13494" xr:uid="{00000000-0005-0000-0000-000010230000}"/>
    <cellStyle name="Comma [0] 5 43 2 2 3 2" xfId="29086" xr:uid="{00000000-0005-0000-0000-000011230000}"/>
    <cellStyle name="Comma [0] 5 43 2 2 3 3" xfId="44578" xr:uid="{00000000-0005-0000-0000-000012230000}"/>
    <cellStyle name="Comma [0] 5 43 2 2 4" xfId="21346" xr:uid="{00000000-0005-0000-0000-000013230000}"/>
    <cellStyle name="Comma [0] 5 43 2 2 5" xfId="36838" xr:uid="{00000000-0005-0000-0000-000014230000}"/>
    <cellStyle name="Comma [0] 5 43 2 3" xfId="7692" xr:uid="{00000000-0005-0000-0000-000015230000}"/>
    <cellStyle name="Comma [0] 5 43 2 3 2" xfId="15437" xr:uid="{00000000-0005-0000-0000-000016230000}"/>
    <cellStyle name="Comma [0] 5 43 2 3 2 2" xfId="31029" xr:uid="{00000000-0005-0000-0000-000017230000}"/>
    <cellStyle name="Comma [0] 5 43 2 3 2 3" xfId="46521" xr:uid="{00000000-0005-0000-0000-000018230000}"/>
    <cellStyle name="Comma [0] 5 43 2 3 3" xfId="23289" xr:uid="{00000000-0005-0000-0000-000019230000}"/>
    <cellStyle name="Comma [0] 5 43 2 3 4" xfId="38781" xr:uid="{00000000-0005-0000-0000-00001A230000}"/>
    <cellStyle name="Comma [0] 5 43 2 4" xfId="11567" xr:uid="{00000000-0005-0000-0000-00001B230000}"/>
    <cellStyle name="Comma [0] 5 43 2 4 2" xfId="27159" xr:uid="{00000000-0005-0000-0000-00001C230000}"/>
    <cellStyle name="Comma [0] 5 43 2 4 3" xfId="42651" xr:uid="{00000000-0005-0000-0000-00001D230000}"/>
    <cellStyle name="Comma [0] 5 43 2 5" xfId="19419" xr:uid="{00000000-0005-0000-0000-00001E230000}"/>
    <cellStyle name="Comma [0] 5 43 2 6" xfId="34911" xr:uid="{00000000-0005-0000-0000-00001F230000}"/>
    <cellStyle name="Comma [0] 5 43 3" xfId="4800" xr:uid="{00000000-0005-0000-0000-000020230000}"/>
    <cellStyle name="Comma [0] 5 43 3 2" xfId="8671" xr:uid="{00000000-0005-0000-0000-000021230000}"/>
    <cellStyle name="Comma [0] 5 43 3 2 2" xfId="16416" xr:uid="{00000000-0005-0000-0000-000022230000}"/>
    <cellStyle name="Comma [0] 5 43 3 2 2 2" xfId="32008" xr:uid="{00000000-0005-0000-0000-000023230000}"/>
    <cellStyle name="Comma [0] 5 43 3 2 2 3" xfId="47500" xr:uid="{00000000-0005-0000-0000-000024230000}"/>
    <cellStyle name="Comma [0] 5 43 3 2 3" xfId="24268" xr:uid="{00000000-0005-0000-0000-000025230000}"/>
    <cellStyle name="Comma [0] 5 43 3 2 4" xfId="39760" xr:uid="{00000000-0005-0000-0000-000026230000}"/>
    <cellStyle name="Comma [0] 5 43 3 3" xfId="12546" xr:uid="{00000000-0005-0000-0000-000027230000}"/>
    <cellStyle name="Comma [0] 5 43 3 3 2" xfId="28138" xr:uid="{00000000-0005-0000-0000-000028230000}"/>
    <cellStyle name="Comma [0] 5 43 3 3 3" xfId="43630" xr:uid="{00000000-0005-0000-0000-000029230000}"/>
    <cellStyle name="Comma [0] 5 43 3 4" xfId="20398" xr:uid="{00000000-0005-0000-0000-00002A230000}"/>
    <cellStyle name="Comma [0] 5 43 3 5" xfId="35890" xr:uid="{00000000-0005-0000-0000-00002B230000}"/>
    <cellStyle name="Comma [0] 5 43 4" xfId="6744" xr:uid="{00000000-0005-0000-0000-00002C230000}"/>
    <cellStyle name="Comma [0] 5 43 4 2" xfId="14489" xr:uid="{00000000-0005-0000-0000-00002D230000}"/>
    <cellStyle name="Comma [0] 5 43 4 2 2" xfId="30081" xr:uid="{00000000-0005-0000-0000-00002E230000}"/>
    <cellStyle name="Comma [0] 5 43 4 2 3" xfId="45573" xr:uid="{00000000-0005-0000-0000-00002F230000}"/>
    <cellStyle name="Comma [0] 5 43 4 3" xfId="22341" xr:uid="{00000000-0005-0000-0000-000030230000}"/>
    <cellStyle name="Comma [0] 5 43 4 4" xfId="37833" xr:uid="{00000000-0005-0000-0000-000031230000}"/>
    <cellStyle name="Comma [0] 5 43 5" xfId="10619" xr:uid="{00000000-0005-0000-0000-000032230000}"/>
    <cellStyle name="Comma [0] 5 43 5 2" xfId="26211" xr:uid="{00000000-0005-0000-0000-000033230000}"/>
    <cellStyle name="Comma [0] 5 43 5 3" xfId="41703" xr:uid="{00000000-0005-0000-0000-000034230000}"/>
    <cellStyle name="Comma [0] 5 43 6" xfId="18471" xr:uid="{00000000-0005-0000-0000-000035230000}"/>
    <cellStyle name="Comma [0] 5 43 7" xfId="33963" xr:uid="{00000000-0005-0000-0000-000036230000}"/>
    <cellStyle name="Comma [0] 5 44" xfId="2841" xr:uid="{00000000-0005-0000-0000-000037230000}"/>
    <cellStyle name="Comma [0] 5 44 2" xfId="3847" xr:uid="{00000000-0005-0000-0000-000038230000}"/>
    <cellStyle name="Comma [0] 5 44 2 2" xfId="5786" xr:uid="{00000000-0005-0000-0000-000039230000}"/>
    <cellStyle name="Comma [0] 5 44 2 2 2" xfId="9657" xr:uid="{00000000-0005-0000-0000-00003A230000}"/>
    <cellStyle name="Comma [0] 5 44 2 2 2 2" xfId="17402" xr:uid="{00000000-0005-0000-0000-00003B230000}"/>
    <cellStyle name="Comma [0] 5 44 2 2 2 2 2" xfId="32994" xr:uid="{00000000-0005-0000-0000-00003C230000}"/>
    <cellStyle name="Comma [0] 5 44 2 2 2 2 3" xfId="48486" xr:uid="{00000000-0005-0000-0000-00003D230000}"/>
    <cellStyle name="Comma [0] 5 44 2 2 2 3" xfId="25254" xr:uid="{00000000-0005-0000-0000-00003E230000}"/>
    <cellStyle name="Comma [0] 5 44 2 2 2 4" xfId="40746" xr:uid="{00000000-0005-0000-0000-00003F230000}"/>
    <cellStyle name="Comma [0] 5 44 2 2 3" xfId="13532" xr:uid="{00000000-0005-0000-0000-000040230000}"/>
    <cellStyle name="Comma [0] 5 44 2 2 3 2" xfId="29124" xr:uid="{00000000-0005-0000-0000-000041230000}"/>
    <cellStyle name="Comma [0] 5 44 2 2 3 3" xfId="44616" xr:uid="{00000000-0005-0000-0000-000042230000}"/>
    <cellStyle name="Comma [0] 5 44 2 2 4" xfId="21384" xr:uid="{00000000-0005-0000-0000-000043230000}"/>
    <cellStyle name="Comma [0] 5 44 2 2 5" xfId="36876" xr:uid="{00000000-0005-0000-0000-000044230000}"/>
    <cellStyle name="Comma [0] 5 44 2 3" xfId="7730" xr:uid="{00000000-0005-0000-0000-000045230000}"/>
    <cellStyle name="Comma [0] 5 44 2 3 2" xfId="15475" xr:uid="{00000000-0005-0000-0000-000046230000}"/>
    <cellStyle name="Comma [0] 5 44 2 3 2 2" xfId="31067" xr:uid="{00000000-0005-0000-0000-000047230000}"/>
    <cellStyle name="Comma [0] 5 44 2 3 2 3" xfId="46559" xr:uid="{00000000-0005-0000-0000-000048230000}"/>
    <cellStyle name="Comma [0] 5 44 2 3 3" xfId="23327" xr:uid="{00000000-0005-0000-0000-000049230000}"/>
    <cellStyle name="Comma [0] 5 44 2 3 4" xfId="38819" xr:uid="{00000000-0005-0000-0000-00004A230000}"/>
    <cellStyle name="Comma [0] 5 44 2 4" xfId="11605" xr:uid="{00000000-0005-0000-0000-00004B230000}"/>
    <cellStyle name="Comma [0] 5 44 2 4 2" xfId="27197" xr:uid="{00000000-0005-0000-0000-00004C230000}"/>
    <cellStyle name="Comma [0] 5 44 2 4 3" xfId="42689" xr:uid="{00000000-0005-0000-0000-00004D230000}"/>
    <cellStyle name="Comma [0] 5 44 2 5" xfId="19457" xr:uid="{00000000-0005-0000-0000-00004E230000}"/>
    <cellStyle name="Comma [0] 5 44 2 6" xfId="34949" xr:uid="{00000000-0005-0000-0000-00004F230000}"/>
    <cellStyle name="Comma [0] 5 44 3" xfId="4838" xr:uid="{00000000-0005-0000-0000-000050230000}"/>
    <cellStyle name="Comma [0] 5 44 3 2" xfId="8709" xr:uid="{00000000-0005-0000-0000-000051230000}"/>
    <cellStyle name="Comma [0] 5 44 3 2 2" xfId="16454" xr:uid="{00000000-0005-0000-0000-000052230000}"/>
    <cellStyle name="Comma [0] 5 44 3 2 2 2" xfId="32046" xr:uid="{00000000-0005-0000-0000-000053230000}"/>
    <cellStyle name="Comma [0] 5 44 3 2 2 3" xfId="47538" xr:uid="{00000000-0005-0000-0000-000054230000}"/>
    <cellStyle name="Comma [0] 5 44 3 2 3" xfId="24306" xr:uid="{00000000-0005-0000-0000-000055230000}"/>
    <cellStyle name="Comma [0] 5 44 3 2 4" xfId="39798" xr:uid="{00000000-0005-0000-0000-000056230000}"/>
    <cellStyle name="Comma [0] 5 44 3 3" xfId="12584" xr:uid="{00000000-0005-0000-0000-000057230000}"/>
    <cellStyle name="Comma [0] 5 44 3 3 2" xfId="28176" xr:uid="{00000000-0005-0000-0000-000058230000}"/>
    <cellStyle name="Comma [0] 5 44 3 3 3" xfId="43668" xr:uid="{00000000-0005-0000-0000-000059230000}"/>
    <cellStyle name="Comma [0] 5 44 3 4" xfId="20436" xr:uid="{00000000-0005-0000-0000-00005A230000}"/>
    <cellStyle name="Comma [0] 5 44 3 5" xfId="35928" xr:uid="{00000000-0005-0000-0000-00005B230000}"/>
    <cellStyle name="Comma [0] 5 44 4" xfId="6782" xr:uid="{00000000-0005-0000-0000-00005C230000}"/>
    <cellStyle name="Comma [0] 5 44 4 2" xfId="14527" xr:uid="{00000000-0005-0000-0000-00005D230000}"/>
    <cellStyle name="Comma [0] 5 44 4 2 2" xfId="30119" xr:uid="{00000000-0005-0000-0000-00005E230000}"/>
    <cellStyle name="Comma [0] 5 44 4 2 3" xfId="45611" xr:uid="{00000000-0005-0000-0000-00005F230000}"/>
    <cellStyle name="Comma [0] 5 44 4 3" xfId="22379" xr:uid="{00000000-0005-0000-0000-000060230000}"/>
    <cellStyle name="Comma [0] 5 44 4 4" xfId="37871" xr:uid="{00000000-0005-0000-0000-000061230000}"/>
    <cellStyle name="Comma [0] 5 44 5" xfId="10657" xr:uid="{00000000-0005-0000-0000-000062230000}"/>
    <cellStyle name="Comma [0] 5 44 5 2" xfId="26249" xr:uid="{00000000-0005-0000-0000-000063230000}"/>
    <cellStyle name="Comma [0] 5 44 5 3" xfId="41741" xr:uid="{00000000-0005-0000-0000-000064230000}"/>
    <cellStyle name="Comma [0] 5 44 6" xfId="18509" xr:uid="{00000000-0005-0000-0000-000065230000}"/>
    <cellStyle name="Comma [0] 5 44 7" xfId="34001" xr:uid="{00000000-0005-0000-0000-000066230000}"/>
    <cellStyle name="Comma [0] 5 45" xfId="2878" xr:uid="{00000000-0005-0000-0000-000067230000}"/>
    <cellStyle name="Comma [0] 5 45 2" xfId="3883" xr:uid="{00000000-0005-0000-0000-000068230000}"/>
    <cellStyle name="Comma [0] 5 45 2 2" xfId="5822" xr:uid="{00000000-0005-0000-0000-000069230000}"/>
    <cellStyle name="Comma [0] 5 45 2 2 2" xfId="9693" xr:uid="{00000000-0005-0000-0000-00006A230000}"/>
    <cellStyle name="Comma [0] 5 45 2 2 2 2" xfId="17438" xr:uid="{00000000-0005-0000-0000-00006B230000}"/>
    <cellStyle name="Comma [0] 5 45 2 2 2 2 2" xfId="33030" xr:uid="{00000000-0005-0000-0000-00006C230000}"/>
    <cellStyle name="Comma [0] 5 45 2 2 2 2 3" xfId="48522" xr:uid="{00000000-0005-0000-0000-00006D230000}"/>
    <cellStyle name="Comma [0] 5 45 2 2 2 3" xfId="25290" xr:uid="{00000000-0005-0000-0000-00006E230000}"/>
    <cellStyle name="Comma [0] 5 45 2 2 2 4" xfId="40782" xr:uid="{00000000-0005-0000-0000-00006F230000}"/>
    <cellStyle name="Comma [0] 5 45 2 2 3" xfId="13568" xr:uid="{00000000-0005-0000-0000-000070230000}"/>
    <cellStyle name="Comma [0] 5 45 2 2 3 2" xfId="29160" xr:uid="{00000000-0005-0000-0000-000071230000}"/>
    <cellStyle name="Comma [0] 5 45 2 2 3 3" xfId="44652" xr:uid="{00000000-0005-0000-0000-000072230000}"/>
    <cellStyle name="Comma [0] 5 45 2 2 4" xfId="21420" xr:uid="{00000000-0005-0000-0000-000073230000}"/>
    <cellStyle name="Comma [0] 5 45 2 2 5" xfId="36912" xr:uid="{00000000-0005-0000-0000-000074230000}"/>
    <cellStyle name="Comma [0] 5 45 2 3" xfId="7766" xr:uid="{00000000-0005-0000-0000-000075230000}"/>
    <cellStyle name="Comma [0] 5 45 2 3 2" xfId="15511" xr:uid="{00000000-0005-0000-0000-000076230000}"/>
    <cellStyle name="Comma [0] 5 45 2 3 2 2" xfId="31103" xr:uid="{00000000-0005-0000-0000-000077230000}"/>
    <cellStyle name="Comma [0] 5 45 2 3 2 3" xfId="46595" xr:uid="{00000000-0005-0000-0000-000078230000}"/>
    <cellStyle name="Comma [0] 5 45 2 3 3" xfId="23363" xr:uid="{00000000-0005-0000-0000-000079230000}"/>
    <cellStyle name="Comma [0] 5 45 2 3 4" xfId="38855" xr:uid="{00000000-0005-0000-0000-00007A230000}"/>
    <cellStyle name="Comma [0] 5 45 2 4" xfId="11641" xr:uid="{00000000-0005-0000-0000-00007B230000}"/>
    <cellStyle name="Comma [0] 5 45 2 4 2" xfId="27233" xr:uid="{00000000-0005-0000-0000-00007C230000}"/>
    <cellStyle name="Comma [0] 5 45 2 4 3" xfId="42725" xr:uid="{00000000-0005-0000-0000-00007D230000}"/>
    <cellStyle name="Comma [0] 5 45 2 5" xfId="19493" xr:uid="{00000000-0005-0000-0000-00007E230000}"/>
    <cellStyle name="Comma [0] 5 45 2 6" xfId="34985" xr:uid="{00000000-0005-0000-0000-00007F230000}"/>
    <cellStyle name="Comma [0] 5 45 3" xfId="4874" xr:uid="{00000000-0005-0000-0000-000080230000}"/>
    <cellStyle name="Comma [0] 5 45 3 2" xfId="8745" xr:uid="{00000000-0005-0000-0000-000081230000}"/>
    <cellStyle name="Comma [0] 5 45 3 2 2" xfId="16490" xr:uid="{00000000-0005-0000-0000-000082230000}"/>
    <cellStyle name="Comma [0] 5 45 3 2 2 2" xfId="32082" xr:uid="{00000000-0005-0000-0000-000083230000}"/>
    <cellStyle name="Comma [0] 5 45 3 2 2 3" xfId="47574" xr:uid="{00000000-0005-0000-0000-000084230000}"/>
    <cellStyle name="Comma [0] 5 45 3 2 3" xfId="24342" xr:uid="{00000000-0005-0000-0000-000085230000}"/>
    <cellStyle name="Comma [0] 5 45 3 2 4" xfId="39834" xr:uid="{00000000-0005-0000-0000-000086230000}"/>
    <cellStyle name="Comma [0] 5 45 3 3" xfId="12620" xr:uid="{00000000-0005-0000-0000-000087230000}"/>
    <cellStyle name="Comma [0] 5 45 3 3 2" xfId="28212" xr:uid="{00000000-0005-0000-0000-000088230000}"/>
    <cellStyle name="Comma [0] 5 45 3 3 3" xfId="43704" xr:uid="{00000000-0005-0000-0000-000089230000}"/>
    <cellStyle name="Comma [0] 5 45 3 4" xfId="20472" xr:uid="{00000000-0005-0000-0000-00008A230000}"/>
    <cellStyle name="Comma [0] 5 45 3 5" xfId="35964" xr:uid="{00000000-0005-0000-0000-00008B230000}"/>
    <cellStyle name="Comma [0] 5 45 4" xfId="6818" xr:uid="{00000000-0005-0000-0000-00008C230000}"/>
    <cellStyle name="Comma [0] 5 45 4 2" xfId="14563" xr:uid="{00000000-0005-0000-0000-00008D230000}"/>
    <cellStyle name="Comma [0] 5 45 4 2 2" xfId="30155" xr:uid="{00000000-0005-0000-0000-00008E230000}"/>
    <cellStyle name="Comma [0] 5 45 4 2 3" xfId="45647" xr:uid="{00000000-0005-0000-0000-00008F230000}"/>
    <cellStyle name="Comma [0] 5 45 4 3" xfId="22415" xr:uid="{00000000-0005-0000-0000-000090230000}"/>
    <cellStyle name="Comma [0] 5 45 4 4" xfId="37907" xr:uid="{00000000-0005-0000-0000-000091230000}"/>
    <cellStyle name="Comma [0] 5 45 5" xfId="10693" xr:uid="{00000000-0005-0000-0000-000092230000}"/>
    <cellStyle name="Comma [0] 5 45 5 2" xfId="26285" xr:uid="{00000000-0005-0000-0000-000093230000}"/>
    <cellStyle name="Comma [0] 5 45 5 3" xfId="41777" xr:uid="{00000000-0005-0000-0000-000094230000}"/>
    <cellStyle name="Comma [0] 5 45 6" xfId="18545" xr:uid="{00000000-0005-0000-0000-000095230000}"/>
    <cellStyle name="Comma [0] 5 45 7" xfId="34037" xr:uid="{00000000-0005-0000-0000-000096230000}"/>
    <cellStyle name="Comma [0] 5 46" xfId="2915" xr:uid="{00000000-0005-0000-0000-000097230000}"/>
    <cellStyle name="Comma [0] 5 46 2" xfId="3919" xr:uid="{00000000-0005-0000-0000-000098230000}"/>
    <cellStyle name="Comma [0] 5 46 2 2" xfId="5858" xr:uid="{00000000-0005-0000-0000-000099230000}"/>
    <cellStyle name="Comma [0] 5 46 2 2 2" xfId="9729" xr:uid="{00000000-0005-0000-0000-00009A230000}"/>
    <cellStyle name="Comma [0] 5 46 2 2 2 2" xfId="17474" xr:uid="{00000000-0005-0000-0000-00009B230000}"/>
    <cellStyle name="Comma [0] 5 46 2 2 2 2 2" xfId="33066" xr:uid="{00000000-0005-0000-0000-00009C230000}"/>
    <cellStyle name="Comma [0] 5 46 2 2 2 2 3" xfId="48558" xr:uid="{00000000-0005-0000-0000-00009D230000}"/>
    <cellStyle name="Comma [0] 5 46 2 2 2 3" xfId="25326" xr:uid="{00000000-0005-0000-0000-00009E230000}"/>
    <cellStyle name="Comma [0] 5 46 2 2 2 4" xfId="40818" xr:uid="{00000000-0005-0000-0000-00009F230000}"/>
    <cellStyle name="Comma [0] 5 46 2 2 3" xfId="13604" xr:uid="{00000000-0005-0000-0000-0000A0230000}"/>
    <cellStyle name="Comma [0] 5 46 2 2 3 2" xfId="29196" xr:uid="{00000000-0005-0000-0000-0000A1230000}"/>
    <cellStyle name="Comma [0] 5 46 2 2 3 3" xfId="44688" xr:uid="{00000000-0005-0000-0000-0000A2230000}"/>
    <cellStyle name="Comma [0] 5 46 2 2 4" xfId="21456" xr:uid="{00000000-0005-0000-0000-0000A3230000}"/>
    <cellStyle name="Comma [0] 5 46 2 2 5" xfId="36948" xr:uid="{00000000-0005-0000-0000-0000A4230000}"/>
    <cellStyle name="Comma [0] 5 46 2 3" xfId="7802" xr:uid="{00000000-0005-0000-0000-0000A5230000}"/>
    <cellStyle name="Comma [0] 5 46 2 3 2" xfId="15547" xr:uid="{00000000-0005-0000-0000-0000A6230000}"/>
    <cellStyle name="Comma [0] 5 46 2 3 2 2" xfId="31139" xr:uid="{00000000-0005-0000-0000-0000A7230000}"/>
    <cellStyle name="Comma [0] 5 46 2 3 2 3" xfId="46631" xr:uid="{00000000-0005-0000-0000-0000A8230000}"/>
    <cellStyle name="Comma [0] 5 46 2 3 3" xfId="23399" xr:uid="{00000000-0005-0000-0000-0000A9230000}"/>
    <cellStyle name="Comma [0] 5 46 2 3 4" xfId="38891" xr:uid="{00000000-0005-0000-0000-0000AA230000}"/>
    <cellStyle name="Comma [0] 5 46 2 4" xfId="11677" xr:uid="{00000000-0005-0000-0000-0000AB230000}"/>
    <cellStyle name="Comma [0] 5 46 2 4 2" xfId="27269" xr:uid="{00000000-0005-0000-0000-0000AC230000}"/>
    <cellStyle name="Comma [0] 5 46 2 4 3" xfId="42761" xr:uid="{00000000-0005-0000-0000-0000AD230000}"/>
    <cellStyle name="Comma [0] 5 46 2 5" xfId="19529" xr:uid="{00000000-0005-0000-0000-0000AE230000}"/>
    <cellStyle name="Comma [0] 5 46 2 6" xfId="35021" xr:uid="{00000000-0005-0000-0000-0000AF230000}"/>
    <cellStyle name="Comma [0] 5 46 3" xfId="4910" xr:uid="{00000000-0005-0000-0000-0000B0230000}"/>
    <cellStyle name="Comma [0] 5 46 3 2" xfId="8781" xr:uid="{00000000-0005-0000-0000-0000B1230000}"/>
    <cellStyle name="Comma [0] 5 46 3 2 2" xfId="16526" xr:uid="{00000000-0005-0000-0000-0000B2230000}"/>
    <cellStyle name="Comma [0] 5 46 3 2 2 2" xfId="32118" xr:uid="{00000000-0005-0000-0000-0000B3230000}"/>
    <cellStyle name="Comma [0] 5 46 3 2 2 3" xfId="47610" xr:uid="{00000000-0005-0000-0000-0000B4230000}"/>
    <cellStyle name="Comma [0] 5 46 3 2 3" xfId="24378" xr:uid="{00000000-0005-0000-0000-0000B5230000}"/>
    <cellStyle name="Comma [0] 5 46 3 2 4" xfId="39870" xr:uid="{00000000-0005-0000-0000-0000B6230000}"/>
    <cellStyle name="Comma [0] 5 46 3 3" xfId="12656" xr:uid="{00000000-0005-0000-0000-0000B7230000}"/>
    <cellStyle name="Comma [0] 5 46 3 3 2" xfId="28248" xr:uid="{00000000-0005-0000-0000-0000B8230000}"/>
    <cellStyle name="Comma [0] 5 46 3 3 3" xfId="43740" xr:uid="{00000000-0005-0000-0000-0000B9230000}"/>
    <cellStyle name="Comma [0] 5 46 3 4" xfId="20508" xr:uid="{00000000-0005-0000-0000-0000BA230000}"/>
    <cellStyle name="Comma [0] 5 46 3 5" xfId="36000" xr:uid="{00000000-0005-0000-0000-0000BB230000}"/>
    <cellStyle name="Comma [0] 5 46 4" xfId="6854" xr:uid="{00000000-0005-0000-0000-0000BC230000}"/>
    <cellStyle name="Comma [0] 5 46 4 2" xfId="14599" xr:uid="{00000000-0005-0000-0000-0000BD230000}"/>
    <cellStyle name="Comma [0] 5 46 4 2 2" xfId="30191" xr:uid="{00000000-0005-0000-0000-0000BE230000}"/>
    <cellStyle name="Comma [0] 5 46 4 2 3" xfId="45683" xr:uid="{00000000-0005-0000-0000-0000BF230000}"/>
    <cellStyle name="Comma [0] 5 46 4 3" xfId="22451" xr:uid="{00000000-0005-0000-0000-0000C0230000}"/>
    <cellStyle name="Comma [0] 5 46 4 4" xfId="37943" xr:uid="{00000000-0005-0000-0000-0000C1230000}"/>
    <cellStyle name="Comma [0] 5 46 5" xfId="10729" xr:uid="{00000000-0005-0000-0000-0000C2230000}"/>
    <cellStyle name="Comma [0] 5 46 5 2" xfId="26321" xr:uid="{00000000-0005-0000-0000-0000C3230000}"/>
    <cellStyle name="Comma [0] 5 46 5 3" xfId="41813" xr:uid="{00000000-0005-0000-0000-0000C4230000}"/>
    <cellStyle name="Comma [0] 5 46 6" xfId="18581" xr:uid="{00000000-0005-0000-0000-0000C5230000}"/>
    <cellStyle name="Comma [0] 5 46 7" xfId="34073" xr:uid="{00000000-0005-0000-0000-0000C6230000}"/>
    <cellStyle name="Comma [0] 5 47" xfId="2954" xr:uid="{00000000-0005-0000-0000-0000C7230000}"/>
    <cellStyle name="Comma [0] 5 47 2" xfId="3955" xr:uid="{00000000-0005-0000-0000-0000C8230000}"/>
    <cellStyle name="Comma [0] 5 47 2 2" xfId="5894" xr:uid="{00000000-0005-0000-0000-0000C9230000}"/>
    <cellStyle name="Comma [0] 5 47 2 2 2" xfId="9765" xr:uid="{00000000-0005-0000-0000-0000CA230000}"/>
    <cellStyle name="Comma [0] 5 47 2 2 2 2" xfId="17510" xr:uid="{00000000-0005-0000-0000-0000CB230000}"/>
    <cellStyle name="Comma [0] 5 47 2 2 2 2 2" xfId="33102" xr:uid="{00000000-0005-0000-0000-0000CC230000}"/>
    <cellStyle name="Comma [0] 5 47 2 2 2 2 3" xfId="48594" xr:uid="{00000000-0005-0000-0000-0000CD230000}"/>
    <cellStyle name="Comma [0] 5 47 2 2 2 3" xfId="25362" xr:uid="{00000000-0005-0000-0000-0000CE230000}"/>
    <cellStyle name="Comma [0] 5 47 2 2 2 4" xfId="40854" xr:uid="{00000000-0005-0000-0000-0000CF230000}"/>
    <cellStyle name="Comma [0] 5 47 2 2 3" xfId="13640" xr:uid="{00000000-0005-0000-0000-0000D0230000}"/>
    <cellStyle name="Comma [0] 5 47 2 2 3 2" xfId="29232" xr:uid="{00000000-0005-0000-0000-0000D1230000}"/>
    <cellStyle name="Comma [0] 5 47 2 2 3 3" xfId="44724" xr:uid="{00000000-0005-0000-0000-0000D2230000}"/>
    <cellStyle name="Comma [0] 5 47 2 2 4" xfId="21492" xr:uid="{00000000-0005-0000-0000-0000D3230000}"/>
    <cellStyle name="Comma [0] 5 47 2 2 5" xfId="36984" xr:uid="{00000000-0005-0000-0000-0000D4230000}"/>
    <cellStyle name="Comma [0] 5 47 2 3" xfId="7838" xr:uid="{00000000-0005-0000-0000-0000D5230000}"/>
    <cellStyle name="Comma [0] 5 47 2 3 2" xfId="15583" xr:uid="{00000000-0005-0000-0000-0000D6230000}"/>
    <cellStyle name="Comma [0] 5 47 2 3 2 2" xfId="31175" xr:uid="{00000000-0005-0000-0000-0000D7230000}"/>
    <cellStyle name="Comma [0] 5 47 2 3 2 3" xfId="46667" xr:uid="{00000000-0005-0000-0000-0000D8230000}"/>
    <cellStyle name="Comma [0] 5 47 2 3 3" xfId="23435" xr:uid="{00000000-0005-0000-0000-0000D9230000}"/>
    <cellStyle name="Comma [0] 5 47 2 3 4" xfId="38927" xr:uid="{00000000-0005-0000-0000-0000DA230000}"/>
    <cellStyle name="Comma [0] 5 47 2 4" xfId="11713" xr:uid="{00000000-0005-0000-0000-0000DB230000}"/>
    <cellStyle name="Comma [0] 5 47 2 4 2" xfId="27305" xr:uid="{00000000-0005-0000-0000-0000DC230000}"/>
    <cellStyle name="Comma [0] 5 47 2 4 3" xfId="42797" xr:uid="{00000000-0005-0000-0000-0000DD230000}"/>
    <cellStyle name="Comma [0] 5 47 2 5" xfId="19565" xr:uid="{00000000-0005-0000-0000-0000DE230000}"/>
    <cellStyle name="Comma [0] 5 47 2 6" xfId="35057" xr:uid="{00000000-0005-0000-0000-0000DF230000}"/>
    <cellStyle name="Comma [0] 5 47 3" xfId="4946" xr:uid="{00000000-0005-0000-0000-0000E0230000}"/>
    <cellStyle name="Comma [0] 5 47 3 2" xfId="8817" xr:uid="{00000000-0005-0000-0000-0000E1230000}"/>
    <cellStyle name="Comma [0] 5 47 3 2 2" xfId="16562" xr:uid="{00000000-0005-0000-0000-0000E2230000}"/>
    <cellStyle name="Comma [0] 5 47 3 2 2 2" xfId="32154" xr:uid="{00000000-0005-0000-0000-0000E3230000}"/>
    <cellStyle name="Comma [0] 5 47 3 2 2 3" xfId="47646" xr:uid="{00000000-0005-0000-0000-0000E4230000}"/>
    <cellStyle name="Comma [0] 5 47 3 2 3" xfId="24414" xr:uid="{00000000-0005-0000-0000-0000E5230000}"/>
    <cellStyle name="Comma [0] 5 47 3 2 4" xfId="39906" xr:uid="{00000000-0005-0000-0000-0000E6230000}"/>
    <cellStyle name="Comma [0] 5 47 3 3" xfId="12692" xr:uid="{00000000-0005-0000-0000-0000E7230000}"/>
    <cellStyle name="Comma [0] 5 47 3 3 2" xfId="28284" xr:uid="{00000000-0005-0000-0000-0000E8230000}"/>
    <cellStyle name="Comma [0] 5 47 3 3 3" xfId="43776" xr:uid="{00000000-0005-0000-0000-0000E9230000}"/>
    <cellStyle name="Comma [0] 5 47 3 4" xfId="20544" xr:uid="{00000000-0005-0000-0000-0000EA230000}"/>
    <cellStyle name="Comma [0] 5 47 3 5" xfId="36036" xr:uid="{00000000-0005-0000-0000-0000EB230000}"/>
    <cellStyle name="Comma [0] 5 47 4" xfId="6890" xr:uid="{00000000-0005-0000-0000-0000EC230000}"/>
    <cellStyle name="Comma [0] 5 47 4 2" xfId="14635" xr:uid="{00000000-0005-0000-0000-0000ED230000}"/>
    <cellStyle name="Comma [0] 5 47 4 2 2" xfId="30227" xr:uid="{00000000-0005-0000-0000-0000EE230000}"/>
    <cellStyle name="Comma [0] 5 47 4 2 3" xfId="45719" xr:uid="{00000000-0005-0000-0000-0000EF230000}"/>
    <cellStyle name="Comma [0] 5 47 4 3" xfId="22487" xr:uid="{00000000-0005-0000-0000-0000F0230000}"/>
    <cellStyle name="Comma [0] 5 47 4 4" xfId="37979" xr:uid="{00000000-0005-0000-0000-0000F1230000}"/>
    <cellStyle name="Comma [0] 5 47 5" xfId="10765" xr:uid="{00000000-0005-0000-0000-0000F2230000}"/>
    <cellStyle name="Comma [0] 5 47 5 2" xfId="26357" xr:uid="{00000000-0005-0000-0000-0000F3230000}"/>
    <cellStyle name="Comma [0] 5 47 5 3" xfId="41849" xr:uid="{00000000-0005-0000-0000-0000F4230000}"/>
    <cellStyle name="Comma [0] 5 47 6" xfId="18617" xr:uid="{00000000-0005-0000-0000-0000F5230000}"/>
    <cellStyle name="Comma [0] 5 47 7" xfId="34109" xr:uid="{00000000-0005-0000-0000-0000F6230000}"/>
    <cellStyle name="Comma [0] 5 48" xfId="2994" xr:uid="{00000000-0005-0000-0000-0000F7230000}"/>
    <cellStyle name="Comma [0] 5 48 2" xfId="3991" xr:uid="{00000000-0005-0000-0000-0000F8230000}"/>
    <cellStyle name="Comma [0] 5 48 2 2" xfId="5930" xr:uid="{00000000-0005-0000-0000-0000F9230000}"/>
    <cellStyle name="Comma [0] 5 48 2 2 2" xfId="9801" xr:uid="{00000000-0005-0000-0000-0000FA230000}"/>
    <cellStyle name="Comma [0] 5 48 2 2 2 2" xfId="17546" xr:uid="{00000000-0005-0000-0000-0000FB230000}"/>
    <cellStyle name="Comma [0] 5 48 2 2 2 2 2" xfId="33138" xr:uid="{00000000-0005-0000-0000-0000FC230000}"/>
    <cellStyle name="Comma [0] 5 48 2 2 2 2 3" xfId="48630" xr:uid="{00000000-0005-0000-0000-0000FD230000}"/>
    <cellStyle name="Comma [0] 5 48 2 2 2 3" xfId="25398" xr:uid="{00000000-0005-0000-0000-0000FE230000}"/>
    <cellStyle name="Comma [0] 5 48 2 2 2 4" xfId="40890" xr:uid="{00000000-0005-0000-0000-0000FF230000}"/>
    <cellStyle name="Comma [0] 5 48 2 2 3" xfId="13676" xr:uid="{00000000-0005-0000-0000-000000240000}"/>
    <cellStyle name="Comma [0] 5 48 2 2 3 2" xfId="29268" xr:uid="{00000000-0005-0000-0000-000001240000}"/>
    <cellStyle name="Comma [0] 5 48 2 2 3 3" xfId="44760" xr:uid="{00000000-0005-0000-0000-000002240000}"/>
    <cellStyle name="Comma [0] 5 48 2 2 4" xfId="21528" xr:uid="{00000000-0005-0000-0000-000003240000}"/>
    <cellStyle name="Comma [0] 5 48 2 2 5" xfId="37020" xr:uid="{00000000-0005-0000-0000-000004240000}"/>
    <cellStyle name="Comma [0] 5 48 2 3" xfId="7874" xr:uid="{00000000-0005-0000-0000-000005240000}"/>
    <cellStyle name="Comma [0] 5 48 2 3 2" xfId="15619" xr:uid="{00000000-0005-0000-0000-000006240000}"/>
    <cellStyle name="Comma [0] 5 48 2 3 2 2" xfId="31211" xr:uid="{00000000-0005-0000-0000-000007240000}"/>
    <cellStyle name="Comma [0] 5 48 2 3 2 3" xfId="46703" xr:uid="{00000000-0005-0000-0000-000008240000}"/>
    <cellStyle name="Comma [0] 5 48 2 3 3" xfId="23471" xr:uid="{00000000-0005-0000-0000-000009240000}"/>
    <cellStyle name="Comma [0] 5 48 2 3 4" xfId="38963" xr:uid="{00000000-0005-0000-0000-00000A240000}"/>
    <cellStyle name="Comma [0] 5 48 2 4" xfId="11749" xr:uid="{00000000-0005-0000-0000-00000B240000}"/>
    <cellStyle name="Comma [0] 5 48 2 4 2" xfId="27341" xr:uid="{00000000-0005-0000-0000-00000C240000}"/>
    <cellStyle name="Comma [0] 5 48 2 4 3" xfId="42833" xr:uid="{00000000-0005-0000-0000-00000D240000}"/>
    <cellStyle name="Comma [0] 5 48 2 5" xfId="19601" xr:uid="{00000000-0005-0000-0000-00000E240000}"/>
    <cellStyle name="Comma [0] 5 48 2 6" xfId="35093" xr:uid="{00000000-0005-0000-0000-00000F240000}"/>
    <cellStyle name="Comma [0] 5 48 3" xfId="4982" xr:uid="{00000000-0005-0000-0000-000010240000}"/>
    <cellStyle name="Comma [0] 5 48 3 2" xfId="8853" xr:uid="{00000000-0005-0000-0000-000011240000}"/>
    <cellStyle name="Comma [0] 5 48 3 2 2" xfId="16598" xr:uid="{00000000-0005-0000-0000-000012240000}"/>
    <cellStyle name="Comma [0] 5 48 3 2 2 2" xfId="32190" xr:uid="{00000000-0005-0000-0000-000013240000}"/>
    <cellStyle name="Comma [0] 5 48 3 2 2 3" xfId="47682" xr:uid="{00000000-0005-0000-0000-000014240000}"/>
    <cellStyle name="Comma [0] 5 48 3 2 3" xfId="24450" xr:uid="{00000000-0005-0000-0000-000015240000}"/>
    <cellStyle name="Comma [0] 5 48 3 2 4" xfId="39942" xr:uid="{00000000-0005-0000-0000-000016240000}"/>
    <cellStyle name="Comma [0] 5 48 3 3" xfId="12728" xr:uid="{00000000-0005-0000-0000-000017240000}"/>
    <cellStyle name="Comma [0] 5 48 3 3 2" xfId="28320" xr:uid="{00000000-0005-0000-0000-000018240000}"/>
    <cellStyle name="Comma [0] 5 48 3 3 3" xfId="43812" xr:uid="{00000000-0005-0000-0000-000019240000}"/>
    <cellStyle name="Comma [0] 5 48 3 4" xfId="20580" xr:uid="{00000000-0005-0000-0000-00001A240000}"/>
    <cellStyle name="Comma [0] 5 48 3 5" xfId="36072" xr:uid="{00000000-0005-0000-0000-00001B240000}"/>
    <cellStyle name="Comma [0] 5 48 4" xfId="6926" xr:uid="{00000000-0005-0000-0000-00001C240000}"/>
    <cellStyle name="Comma [0] 5 48 4 2" xfId="14671" xr:uid="{00000000-0005-0000-0000-00001D240000}"/>
    <cellStyle name="Comma [0] 5 48 4 2 2" xfId="30263" xr:uid="{00000000-0005-0000-0000-00001E240000}"/>
    <cellStyle name="Comma [0] 5 48 4 2 3" xfId="45755" xr:uid="{00000000-0005-0000-0000-00001F240000}"/>
    <cellStyle name="Comma [0] 5 48 4 3" xfId="22523" xr:uid="{00000000-0005-0000-0000-000020240000}"/>
    <cellStyle name="Comma [0] 5 48 4 4" xfId="38015" xr:uid="{00000000-0005-0000-0000-000021240000}"/>
    <cellStyle name="Comma [0] 5 48 5" xfId="10801" xr:uid="{00000000-0005-0000-0000-000022240000}"/>
    <cellStyle name="Comma [0] 5 48 5 2" xfId="26393" xr:uid="{00000000-0005-0000-0000-000023240000}"/>
    <cellStyle name="Comma [0] 5 48 5 3" xfId="41885" xr:uid="{00000000-0005-0000-0000-000024240000}"/>
    <cellStyle name="Comma [0] 5 48 6" xfId="18653" xr:uid="{00000000-0005-0000-0000-000025240000}"/>
    <cellStyle name="Comma [0] 5 48 7" xfId="34145" xr:uid="{00000000-0005-0000-0000-000026240000}"/>
    <cellStyle name="Comma [0] 5 49" xfId="3032" xr:uid="{00000000-0005-0000-0000-000027240000}"/>
    <cellStyle name="Comma [0] 5 49 2" xfId="4027" xr:uid="{00000000-0005-0000-0000-000028240000}"/>
    <cellStyle name="Comma [0] 5 49 2 2" xfId="5966" xr:uid="{00000000-0005-0000-0000-000029240000}"/>
    <cellStyle name="Comma [0] 5 49 2 2 2" xfId="9837" xr:uid="{00000000-0005-0000-0000-00002A240000}"/>
    <cellStyle name="Comma [0] 5 49 2 2 2 2" xfId="17582" xr:uid="{00000000-0005-0000-0000-00002B240000}"/>
    <cellStyle name="Comma [0] 5 49 2 2 2 2 2" xfId="33174" xr:uid="{00000000-0005-0000-0000-00002C240000}"/>
    <cellStyle name="Comma [0] 5 49 2 2 2 2 3" xfId="48666" xr:uid="{00000000-0005-0000-0000-00002D240000}"/>
    <cellStyle name="Comma [0] 5 49 2 2 2 3" xfId="25434" xr:uid="{00000000-0005-0000-0000-00002E240000}"/>
    <cellStyle name="Comma [0] 5 49 2 2 2 4" xfId="40926" xr:uid="{00000000-0005-0000-0000-00002F240000}"/>
    <cellStyle name="Comma [0] 5 49 2 2 3" xfId="13712" xr:uid="{00000000-0005-0000-0000-000030240000}"/>
    <cellStyle name="Comma [0] 5 49 2 2 3 2" xfId="29304" xr:uid="{00000000-0005-0000-0000-000031240000}"/>
    <cellStyle name="Comma [0] 5 49 2 2 3 3" xfId="44796" xr:uid="{00000000-0005-0000-0000-000032240000}"/>
    <cellStyle name="Comma [0] 5 49 2 2 4" xfId="21564" xr:uid="{00000000-0005-0000-0000-000033240000}"/>
    <cellStyle name="Comma [0] 5 49 2 2 5" xfId="37056" xr:uid="{00000000-0005-0000-0000-000034240000}"/>
    <cellStyle name="Comma [0] 5 49 2 3" xfId="7910" xr:uid="{00000000-0005-0000-0000-000035240000}"/>
    <cellStyle name="Comma [0] 5 49 2 3 2" xfId="15655" xr:uid="{00000000-0005-0000-0000-000036240000}"/>
    <cellStyle name="Comma [0] 5 49 2 3 2 2" xfId="31247" xr:uid="{00000000-0005-0000-0000-000037240000}"/>
    <cellStyle name="Comma [0] 5 49 2 3 2 3" xfId="46739" xr:uid="{00000000-0005-0000-0000-000038240000}"/>
    <cellStyle name="Comma [0] 5 49 2 3 3" xfId="23507" xr:uid="{00000000-0005-0000-0000-000039240000}"/>
    <cellStyle name="Comma [0] 5 49 2 3 4" xfId="38999" xr:uid="{00000000-0005-0000-0000-00003A240000}"/>
    <cellStyle name="Comma [0] 5 49 2 4" xfId="11785" xr:uid="{00000000-0005-0000-0000-00003B240000}"/>
    <cellStyle name="Comma [0] 5 49 2 4 2" xfId="27377" xr:uid="{00000000-0005-0000-0000-00003C240000}"/>
    <cellStyle name="Comma [0] 5 49 2 4 3" xfId="42869" xr:uid="{00000000-0005-0000-0000-00003D240000}"/>
    <cellStyle name="Comma [0] 5 49 2 5" xfId="19637" xr:uid="{00000000-0005-0000-0000-00003E240000}"/>
    <cellStyle name="Comma [0] 5 49 2 6" xfId="35129" xr:uid="{00000000-0005-0000-0000-00003F240000}"/>
    <cellStyle name="Comma [0] 5 49 3" xfId="5018" xr:uid="{00000000-0005-0000-0000-000040240000}"/>
    <cellStyle name="Comma [0] 5 49 3 2" xfId="8889" xr:uid="{00000000-0005-0000-0000-000041240000}"/>
    <cellStyle name="Comma [0] 5 49 3 2 2" xfId="16634" xr:uid="{00000000-0005-0000-0000-000042240000}"/>
    <cellStyle name="Comma [0] 5 49 3 2 2 2" xfId="32226" xr:uid="{00000000-0005-0000-0000-000043240000}"/>
    <cellStyle name="Comma [0] 5 49 3 2 2 3" xfId="47718" xr:uid="{00000000-0005-0000-0000-000044240000}"/>
    <cellStyle name="Comma [0] 5 49 3 2 3" xfId="24486" xr:uid="{00000000-0005-0000-0000-000045240000}"/>
    <cellStyle name="Comma [0] 5 49 3 2 4" xfId="39978" xr:uid="{00000000-0005-0000-0000-000046240000}"/>
    <cellStyle name="Comma [0] 5 49 3 3" xfId="12764" xr:uid="{00000000-0005-0000-0000-000047240000}"/>
    <cellStyle name="Comma [0] 5 49 3 3 2" xfId="28356" xr:uid="{00000000-0005-0000-0000-000048240000}"/>
    <cellStyle name="Comma [0] 5 49 3 3 3" xfId="43848" xr:uid="{00000000-0005-0000-0000-000049240000}"/>
    <cellStyle name="Comma [0] 5 49 3 4" xfId="20616" xr:uid="{00000000-0005-0000-0000-00004A240000}"/>
    <cellStyle name="Comma [0] 5 49 3 5" xfId="36108" xr:uid="{00000000-0005-0000-0000-00004B240000}"/>
    <cellStyle name="Comma [0] 5 49 4" xfId="6962" xr:uid="{00000000-0005-0000-0000-00004C240000}"/>
    <cellStyle name="Comma [0] 5 49 4 2" xfId="14707" xr:uid="{00000000-0005-0000-0000-00004D240000}"/>
    <cellStyle name="Comma [0] 5 49 4 2 2" xfId="30299" xr:uid="{00000000-0005-0000-0000-00004E240000}"/>
    <cellStyle name="Comma [0] 5 49 4 2 3" xfId="45791" xr:uid="{00000000-0005-0000-0000-00004F240000}"/>
    <cellStyle name="Comma [0] 5 49 4 3" xfId="22559" xr:uid="{00000000-0005-0000-0000-000050240000}"/>
    <cellStyle name="Comma [0] 5 49 4 4" xfId="38051" xr:uid="{00000000-0005-0000-0000-000051240000}"/>
    <cellStyle name="Comma [0] 5 49 5" xfId="10837" xr:uid="{00000000-0005-0000-0000-000052240000}"/>
    <cellStyle name="Comma [0] 5 49 5 2" xfId="26429" xr:uid="{00000000-0005-0000-0000-000053240000}"/>
    <cellStyle name="Comma [0] 5 49 5 3" xfId="41921" xr:uid="{00000000-0005-0000-0000-000054240000}"/>
    <cellStyle name="Comma [0] 5 49 6" xfId="18689" xr:uid="{00000000-0005-0000-0000-000055240000}"/>
    <cellStyle name="Comma [0] 5 49 7" xfId="34181" xr:uid="{00000000-0005-0000-0000-000056240000}"/>
    <cellStyle name="Comma [0] 5 5" xfId="695" xr:uid="{00000000-0005-0000-0000-000057240000}"/>
    <cellStyle name="Comma [0] 5 50" xfId="3069" xr:uid="{00000000-0005-0000-0000-000058240000}"/>
    <cellStyle name="Comma [0] 5 50 2" xfId="4063" xr:uid="{00000000-0005-0000-0000-000059240000}"/>
    <cellStyle name="Comma [0] 5 50 2 2" xfId="6002" xr:uid="{00000000-0005-0000-0000-00005A240000}"/>
    <cellStyle name="Comma [0] 5 50 2 2 2" xfId="9873" xr:uid="{00000000-0005-0000-0000-00005B240000}"/>
    <cellStyle name="Comma [0] 5 50 2 2 2 2" xfId="17618" xr:uid="{00000000-0005-0000-0000-00005C240000}"/>
    <cellStyle name="Comma [0] 5 50 2 2 2 2 2" xfId="33210" xr:uid="{00000000-0005-0000-0000-00005D240000}"/>
    <cellStyle name="Comma [0] 5 50 2 2 2 2 3" xfId="48702" xr:uid="{00000000-0005-0000-0000-00005E240000}"/>
    <cellStyle name="Comma [0] 5 50 2 2 2 3" xfId="25470" xr:uid="{00000000-0005-0000-0000-00005F240000}"/>
    <cellStyle name="Comma [0] 5 50 2 2 2 4" xfId="40962" xr:uid="{00000000-0005-0000-0000-000060240000}"/>
    <cellStyle name="Comma [0] 5 50 2 2 3" xfId="13748" xr:uid="{00000000-0005-0000-0000-000061240000}"/>
    <cellStyle name="Comma [0] 5 50 2 2 3 2" xfId="29340" xr:uid="{00000000-0005-0000-0000-000062240000}"/>
    <cellStyle name="Comma [0] 5 50 2 2 3 3" xfId="44832" xr:uid="{00000000-0005-0000-0000-000063240000}"/>
    <cellStyle name="Comma [0] 5 50 2 2 4" xfId="21600" xr:uid="{00000000-0005-0000-0000-000064240000}"/>
    <cellStyle name="Comma [0] 5 50 2 2 5" xfId="37092" xr:uid="{00000000-0005-0000-0000-000065240000}"/>
    <cellStyle name="Comma [0] 5 50 2 3" xfId="7946" xr:uid="{00000000-0005-0000-0000-000066240000}"/>
    <cellStyle name="Comma [0] 5 50 2 3 2" xfId="15691" xr:uid="{00000000-0005-0000-0000-000067240000}"/>
    <cellStyle name="Comma [0] 5 50 2 3 2 2" xfId="31283" xr:uid="{00000000-0005-0000-0000-000068240000}"/>
    <cellStyle name="Comma [0] 5 50 2 3 2 3" xfId="46775" xr:uid="{00000000-0005-0000-0000-000069240000}"/>
    <cellStyle name="Comma [0] 5 50 2 3 3" xfId="23543" xr:uid="{00000000-0005-0000-0000-00006A240000}"/>
    <cellStyle name="Comma [0] 5 50 2 3 4" xfId="39035" xr:uid="{00000000-0005-0000-0000-00006B240000}"/>
    <cellStyle name="Comma [0] 5 50 2 4" xfId="11821" xr:uid="{00000000-0005-0000-0000-00006C240000}"/>
    <cellStyle name="Comma [0] 5 50 2 4 2" xfId="27413" xr:uid="{00000000-0005-0000-0000-00006D240000}"/>
    <cellStyle name="Comma [0] 5 50 2 4 3" xfId="42905" xr:uid="{00000000-0005-0000-0000-00006E240000}"/>
    <cellStyle name="Comma [0] 5 50 2 5" xfId="19673" xr:uid="{00000000-0005-0000-0000-00006F240000}"/>
    <cellStyle name="Comma [0] 5 50 2 6" xfId="35165" xr:uid="{00000000-0005-0000-0000-000070240000}"/>
    <cellStyle name="Comma [0] 5 50 3" xfId="5054" xr:uid="{00000000-0005-0000-0000-000071240000}"/>
    <cellStyle name="Comma [0] 5 50 3 2" xfId="8925" xr:uid="{00000000-0005-0000-0000-000072240000}"/>
    <cellStyle name="Comma [0] 5 50 3 2 2" xfId="16670" xr:uid="{00000000-0005-0000-0000-000073240000}"/>
    <cellStyle name="Comma [0] 5 50 3 2 2 2" xfId="32262" xr:uid="{00000000-0005-0000-0000-000074240000}"/>
    <cellStyle name="Comma [0] 5 50 3 2 2 3" xfId="47754" xr:uid="{00000000-0005-0000-0000-000075240000}"/>
    <cellStyle name="Comma [0] 5 50 3 2 3" xfId="24522" xr:uid="{00000000-0005-0000-0000-000076240000}"/>
    <cellStyle name="Comma [0] 5 50 3 2 4" xfId="40014" xr:uid="{00000000-0005-0000-0000-000077240000}"/>
    <cellStyle name="Comma [0] 5 50 3 3" xfId="12800" xr:uid="{00000000-0005-0000-0000-000078240000}"/>
    <cellStyle name="Comma [0] 5 50 3 3 2" xfId="28392" xr:uid="{00000000-0005-0000-0000-000079240000}"/>
    <cellStyle name="Comma [0] 5 50 3 3 3" xfId="43884" xr:uid="{00000000-0005-0000-0000-00007A240000}"/>
    <cellStyle name="Comma [0] 5 50 3 4" xfId="20652" xr:uid="{00000000-0005-0000-0000-00007B240000}"/>
    <cellStyle name="Comma [0] 5 50 3 5" xfId="36144" xr:uid="{00000000-0005-0000-0000-00007C240000}"/>
    <cellStyle name="Comma [0] 5 50 4" xfId="6998" xr:uid="{00000000-0005-0000-0000-00007D240000}"/>
    <cellStyle name="Comma [0] 5 50 4 2" xfId="14743" xr:uid="{00000000-0005-0000-0000-00007E240000}"/>
    <cellStyle name="Comma [0] 5 50 4 2 2" xfId="30335" xr:uid="{00000000-0005-0000-0000-00007F240000}"/>
    <cellStyle name="Comma [0] 5 50 4 2 3" xfId="45827" xr:uid="{00000000-0005-0000-0000-000080240000}"/>
    <cellStyle name="Comma [0] 5 50 4 3" xfId="22595" xr:uid="{00000000-0005-0000-0000-000081240000}"/>
    <cellStyle name="Comma [0] 5 50 4 4" xfId="38087" xr:uid="{00000000-0005-0000-0000-000082240000}"/>
    <cellStyle name="Comma [0] 5 50 5" xfId="10873" xr:uid="{00000000-0005-0000-0000-000083240000}"/>
    <cellStyle name="Comma [0] 5 50 5 2" xfId="26465" xr:uid="{00000000-0005-0000-0000-000084240000}"/>
    <cellStyle name="Comma [0] 5 50 5 3" xfId="41957" xr:uid="{00000000-0005-0000-0000-000085240000}"/>
    <cellStyle name="Comma [0] 5 50 6" xfId="18725" xr:uid="{00000000-0005-0000-0000-000086240000}"/>
    <cellStyle name="Comma [0] 5 50 7" xfId="34217" xr:uid="{00000000-0005-0000-0000-000087240000}"/>
    <cellStyle name="Comma [0] 5 51" xfId="3116" xr:uid="{00000000-0005-0000-0000-000088240000}"/>
    <cellStyle name="Comma [0] 5 51 2" xfId="4099" xr:uid="{00000000-0005-0000-0000-000089240000}"/>
    <cellStyle name="Comma [0] 5 51 2 2" xfId="6038" xr:uid="{00000000-0005-0000-0000-00008A240000}"/>
    <cellStyle name="Comma [0] 5 51 2 2 2" xfId="9909" xr:uid="{00000000-0005-0000-0000-00008B240000}"/>
    <cellStyle name="Comma [0] 5 51 2 2 2 2" xfId="17654" xr:uid="{00000000-0005-0000-0000-00008C240000}"/>
    <cellStyle name="Comma [0] 5 51 2 2 2 2 2" xfId="33246" xr:uid="{00000000-0005-0000-0000-00008D240000}"/>
    <cellStyle name="Comma [0] 5 51 2 2 2 2 3" xfId="48738" xr:uid="{00000000-0005-0000-0000-00008E240000}"/>
    <cellStyle name="Comma [0] 5 51 2 2 2 3" xfId="25506" xr:uid="{00000000-0005-0000-0000-00008F240000}"/>
    <cellStyle name="Comma [0] 5 51 2 2 2 4" xfId="40998" xr:uid="{00000000-0005-0000-0000-000090240000}"/>
    <cellStyle name="Comma [0] 5 51 2 2 3" xfId="13784" xr:uid="{00000000-0005-0000-0000-000091240000}"/>
    <cellStyle name="Comma [0] 5 51 2 2 3 2" xfId="29376" xr:uid="{00000000-0005-0000-0000-000092240000}"/>
    <cellStyle name="Comma [0] 5 51 2 2 3 3" xfId="44868" xr:uid="{00000000-0005-0000-0000-000093240000}"/>
    <cellStyle name="Comma [0] 5 51 2 2 4" xfId="21636" xr:uid="{00000000-0005-0000-0000-000094240000}"/>
    <cellStyle name="Comma [0] 5 51 2 2 5" xfId="37128" xr:uid="{00000000-0005-0000-0000-000095240000}"/>
    <cellStyle name="Comma [0] 5 51 2 3" xfId="7982" xr:uid="{00000000-0005-0000-0000-000096240000}"/>
    <cellStyle name="Comma [0] 5 51 2 3 2" xfId="15727" xr:uid="{00000000-0005-0000-0000-000097240000}"/>
    <cellStyle name="Comma [0] 5 51 2 3 2 2" xfId="31319" xr:uid="{00000000-0005-0000-0000-000098240000}"/>
    <cellStyle name="Comma [0] 5 51 2 3 2 3" xfId="46811" xr:uid="{00000000-0005-0000-0000-000099240000}"/>
    <cellStyle name="Comma [0] 5 51 2 3 3" xfId="23579" xr:uid="{00000000-0005-0000-0000-00009A240000}"/>
    <cellStyle name="Comma [0] 5 51 2 3 4" xfId="39071" xr:uid="{00000000-0005-0000-0000-00009B240000}"/>
    <cellStyle name="Comma [0] 5 51 2 4" xfId="11857" xr:uid="{00000000-0005-0000-0000-00009C240000}"/>
    <cellStyle name="Comma [0] 5 51 2 4 2" xfId="27449" xr:uid="{00000000-0005-0000-0000-00009D240000}"/>
    <cellStyle name="Comma [0] 5 51 2 4 3" xfId="42941" xr:uid="{00000000-0005-0000-0000-00009E240000}"/>
    <cellStyle name="Comma [0] 5 51 2 5" xfId="19709" xr:uid="{00000000-0005-0000-0000-00009F240000}"/>
    <cellStyle name="Comma [0] 5 51 2 6" xfId="35201" xr:uid="{00000000-0005-0000-0000-0000A0240000}"/>
    <cellStyle name="Comma [0] 5 51 3" xfId="5090" xr:uid="{00000000-0005-0000-0000-0000A1240000}"/>
    <cellStyle name="Comma [0] 5 51 3 2" xfId="8961" xr:uid="{00000000-0005-0000-0000-0000A2240000}"/>
    <cellStyle name="Comma [0] 5 51 3 2 2" xfId="16706" xr:uid="{00000000-0005-0000-0000-0000A3240000}"/>
    <cellStyle name="Comma [0] 5 51 3 2 2 2" xfId="32298" xr:uid="{00000000-0005-0000-0000-0000A4240000}"/>
    <cellStyle name="Comma [0] 5 51 3 2 2 3" xfId="47790" xr:uid="{00000000-0005-0000-0000-0000A5240000}"/>
    <cellStyle name="Comma [0] 5 51 3 2 3" xfId="24558" xr:uid="{00000000-0005-0000-0000-0000A6240000}"/>
    <cellStyle name="Comma [0] 5 51 3 2 4" xfId="40050" xr:uid="{00000000-0005-0000-0000-0000A7240000}"/>
    <cellStyle name="Comma [0] 5 51 3 3" xfId="12836" xr:uid="{00000000-0005-0000-0000-0000A8240000}"/>
    <cellStyle name="Comma [0] 5 51 3 3 2" xfId="28428" xr:uid="{00000000-0005-0000-0000-0000A9240000}"/>
    <cellStyle name="Comma [0] 5 51 3 3 3" xfId="43920" xr:uid="{00000000-0005-0000-0000-0000AA240000}"/>
    <cellStyle name="Comma [0] 5 51 3 4" xfId="20688" xr:uid="{00000000-0005-0000-0000-0000AB240000}"/>
    <cellStyle name="Comma [0] 5 51 3 5" xfId="36180" xr:uid="{00000000-0005-0000-0000-0000AC240000}"/>
    <cellStyle name="Comma [0] 5 51 4" xfId="7034" xr:uid="{00000000-0005-0000-0000-0000AD240000}"/>
    <cellStyle name="Comma [0] 5 51 4 2" xfId="14779" xr:uid="{00000000-0005-0000-0000-0000AE240000}"/>
    <cellStyle name="Comma [0] 5 51 4 2 2" xfId="30371" xr:uid="{00000000-0005-0000-0000-0000AF240000}"/>
    <cellStyle name="Comma [0] 5 51 4 2 3" xfId="45863" xr:uid="{00000000-0005-0000-0000-0000B0240000}"/>
    <cellStyle name="Comma [0] 5 51 4 3" xfId="22631" xr:uid="{00000000-0005-0000-0000-0000B1240000}"/>
    <cellStyle name="Comma [0] 5 51 4 4" xfId="38123" xr:uid="{00000000-0005-0000-0000-0000B2240000}"/>
    <cellStyle name="Comma [0] 5 51 5" xfId="10909" xr:uid="{00000000-0005-0000-0000-0000B3240000}"/>
    <cellStyle name="Comma [0] 5 51 5 2" xfId="26501" xr:uid="{00000000-0005-0000-0000-0000B4240000}"/>
    <cellStyle name="Comma [0] 5 51 5 3" xfId="41993" xr:uid="{00000000-0005-0000-0000-0000B5240000}"/>
    <cellStyle name="Comma [0] 5 51 6" xfId="18761" xr:uid="{00000000-0005-0000-0000-0000B6240000}"/>
    <cellStyle name="Comma [0] 5 51 7" xfId="34253" xr:uid="{00000000-0005-0000-0000-0000B7240000}"/>
    <cellStyle name="Comma [0] 5 52" xfId="17783" xr:uid="{00000000-0005-0000-0000-0000B8240000}"/>
    <cellStyle name="Comma [0] 5 6" xfId="696" xr:uid="{00000000-0005-0000-0000-0000B9240000}"/>
    <cellStyle name="Comma [0] 5 7" xfId="697" xr:uid="{00000000-0005-0000-0000-0000BA240000}"/>
    <cellStyle name="Comma [0] 5 8" xfId="698" xr:uid="{00000000-0005-0000-0000-0000BB240000}"/>
    <cellStyle name="Comma [0] 5 9" xfId="699" xr:uid="{00000000-0005-0000-0000-0000BC240000}"/>
    <cellStyle name="Comma [0] 6" xfId="700" xr:uid="{00000000-0005-0000-0000-0000BD240000}"/>
    <cellStyle name="Comma [0] 6 10" xfId="701" xr:uid="{00000000-0005-0000-0000-0000BE240000}"/>
    <cellStyle name="Comma [0] 6 11" xfId="702" xr:uid="{00000000-0005-0000-0000-0000BF240000}"/>
    <cellStyle name="Comma [0] 6 12" xfId="703" xr:uid="{00000000-0005-0000-0000-0000C0240000}"/>
    <cellStyle name="Comma [0] 6 13" xfId="4154" xr:uid="{00000000-0005-0000-0000-0000C1240000}"/>
    <cellStyle name="Comma [0] 6 13 2" xfId="17780" xr:uid="{00000000-0005-0000-0000-0000C2240000}"/>
    <cellStyle name="Comma [0] 6 2" xfId="704" xr:uid="{00000000-0005-0000-0000-0000C3240000}"/>
    <cellStyle name="Comma [0] 6 3" xfId="705" xr:uid="{00000000-0005-0000-0000-0000C4240000}"/>
    <cellStyle name="Comma [0] 6 4" xfId="706" xr:uid="{00000000-0005-0000-0000-0000C5240000}"/>
    <cellStyle name="Comma [0] 6 5" xfId="707" xr:uid="{00000000-0005-0000-0000-0000C6240000}"/>
    <cellStyle name="Comma [0] 6 6" xfId="708" xr:uid="{00000000-0005-0000-0000-0000C7240000}"/>
    <cellStyle name="Comma [0] 6 7" xfId="709" xr:uid="{00000000-0005-0000-0000-0000C8240000}"/>
    <cellStyle name="Comma [0] 6 8" xfId="710" xr:uid="{00000000-0005-0000-0000-0000C9240000}"/>
    <cellStyle name="Comma [0] 6 9" xfId="711" xr:uid="{00000000-0005-0000-0000-0000CA240000}"/>
    <cellStyle name="Comma [0] 7" xfId="712" xr:uid="{00000000-0005-0000-0000-0000CB240000}"/>
    <cellStyle name="Comma [0] 7 10" xfId="713" xr:uid="{00000000-0005-0000-0000-0000CC240000}"/>
    <cellStyle name="Comma [0] 7 10 10" xfId="714" xr:uid="{00000000-0005-0000-0000-0000CD240000}"/>
    <cellStyle name="Comma [0] 7 10 11" xfId="715" xr:uid="{00000000-0005-0000-0000-0000CE240000}"/>
    <cellStyle name="Comma [0] 7 10 12" xfId="716" xr:uid="{00000000-0005-0000-0000-0000CF240000}"/>
    <cellStyle name="Comma [0] 7 10 13" xfId="717" xr:uid="{00000000-0005-0000-0000-0000D0240000}"/>
    <cellStyle name="Comma [0] 7 10 14" xfId="718" xr:uid="{00000000-0005-0000-0000-0000D1240000}"/>
    <cellStyle name="Comma [0] 7 10 15" xfId="719" xr:uid="{00000000-0005-0000-0000-0000D2240000}"/>
    <cellStyle name="Comma [0] 7 10 16" xfId="720" xr:uid="{00000000-0005-0000-0000-0000D3240000}"/>
    <cellStyle name="Comma [0] 7 10 17" xfId="721" xr:uid="{00000000-0005-0000-0000-0000D4240000}"/>
    <cellStyle name="Comma [0] 7 10 18" xfId="722" xr:uid="{00000000-0005-0000-0000-0000D5240000}"/>
    <cellStyle name="Comma [0] 7 10 19" xfId="723" xr:uid="{00000000-0005-0000-0000-0000D6240000}"/>
    <cellStyle name="Comma [0] 7 10 2" xfId="724" xr:uid="{00000000-0005-0000-0000-0000D7240000}"/>
    <cellStyle name="Comma [0] 7 10 20" xfId="725" xr:uid="{00000000-0005-0000-0000-0000D8240000}"/>
    <cellStyle name="Comma [0] 7 10 21" xfId="726" xr:uid="{00000000-0005-0000-0000-0000D9240000}"/>
    <cellStyle name="Comma [0] 7 10 22" xfId="727" xr:uid="{00000000-0005-0000-0000-0000DA240000}"/>
    <cellStyle name="Comma [0] 7 10 23" xfId="728" xr:uid="{00000000-0005-0000-0000-0000DB240000}"/>
    <cellStyle name="Comma [0] 7 10 24" xfId="2167" xr:uid="{00000000-0005-0000-0000-0000DC240000}"/>
    <cellStyle name="Comma [0] 7 10 3" xfId="729" xr:uid="{00000000-0005-0000-0000-0000DD240000}"/>
    <cellStyle name="Comma [0] 7 10 4" xfId="730" xr:uid="{00000000-0005-0000-0000-0000DE240000}"/>
    <cellStyle name="Comma [0] 7 10 5" xfId="731" xr:uid="{00000000-0005-0000-0000-0000DF240000}"/>
    <cellStyle name="Comma [0] 7 10 6" xfId="732" xr:uid="{00000000-0005-0000-0000-0000E0240000}"/>
    <cellStyle name="Comma [0] 7 10 7" xfId="733" xr:uid="{00000000-0005-0000-0000-0000E1240000}"/>
    <cellStyle name="Comma [0] 7 10 8" xfId="734" xr:uid="{00000000-0005-0000-0000-0000E2240000}"/>
    <cellStyle name="Comma [0] 7 10 9" xfId="735" xr:uid="{00000000-0005-0000-0000-0000E3240000}"/>
    <cellStyle name="Comma [0] 7 11" xfId="736" xr:uid="{00000000-0005-0000-0000-0000E4240000}"/>
    <cellStyle name="Comma [0] 7 11 10" xfId="737" xr:uid="{00000000-0005-0000-0000-0000E5240000}"/>
    <cellStyle name="Comma [0] 7 11 11" xfId="738" xr:uid="{00000000-0005-0000-0000-0000E6240000}"/>
    <cellStyle name="Comma [0] 7 11 12" xfId="739" xr:uid="{00000000-0005-0000-0000-0000E7240000}"/>
    <cellStyle name="Comma [0] 7 11 13" xfId="740" xr:uid="{00000000-0005-0000-0000-0000E8240000}"/>
    <cellStyle name="Comma [0] 7 11 14" xfId="741" xr:uid="{00000000-0005-0000-0000-0000E9240000}"/>
    <cellStyle name="Comma [0] 7 11 15" xfId="742" xr:uid="{00000000-0005-0000-0000-0000EA240000}"/>
    <cellStyle name="Comma [0] 7 11 16" xfId="743" xr:uid="{00000000-0005-0000-0000-0000EB240000}"/>
    <cellStyle name="Comma [0] 7 11 17" xfId="744" xr:uid="{00000000-0005-0000-0000-0000EC240000}"/>
    <cellStyle name="Comma [0] 7 11 18" xfId="745" xr:uid="{00000000-0005-0000-0000-0000ED240000}"/>
    <cellStyle name="Comma [0] 7 11 19" xfId="746" xr:uid="{00000000-0005-0000-0000-0000EE240000}"/>
    <cellStyle name="Comma [0] 7 11 2" xfId="747" xr:uid="{00000000-0005-0000-0000-0000EF240000}"/>
    <cellStyle name="Comma [0] 7 11 20" xfId="748" xr:uid="{00000000-0005-0000-0000-0000F0240000}"/>
    <cellStyle name="Comma [0] 7 11 21" xfId="749" xr:uid="{00000000-0005-0000-0000-0000F1240000}"/>
    <cellStyle name="Comma [0] 7 11 22" xfId="750" xr:uid="{00000000-0005-0000-0000-0000F2240000}"/>
    <cellStyle name="Comma [0] 7 11 23" xfId="751" xr:uid="{00000000-0005-0000-0000-0000F3240000}"/>
    <cellStyle name="Comma [0] 7 11 24" xfId="2168" xr:uid="{00000000-0005-0000-0000-0000F4240000}"/>
    <cellStyle name="Comma [0] 7 11 3" xfId="752" xr:uid="{00000000-0005-0000-0000-0000F5240000}"/>
    <cellStyle name="Comma [0] 7 11 4" xfId="753" xr:uid="{00000000-0005-0000-0000-0000F6240000}"/>
    <cellStyle name="Comma [0] 7 11 5" xfId="754" xr:uid="{00000000-0005-0000-0000-0000F7240000}"/>
    <cellStyle name="Comma [0] 7 11 6" xfId="755" xr:uid="{00000000-0005-0000-0000-0000F8240000}"/>
    <cellStyle name="Comma [0] 7 11 7" xfId="756" xr:uid="{00000000-0005-0000-0000-0000F9240000}"/>
    <cellStyle name="Comma [0] 7 11 8" xfId="757" xr:uid="{00000000-0005-0000-0000-0000FA240000}"/>
    <cellStyle name="Comma [0] 7 11 9" xfId="758" xr:uid="{00000000-0005-0000-0000-0000FB240000}"/>
    <cellStyle name="Comma [0] 7 12" xfId="759" xr:uid="{00000000-0005-0000-0000-0000FC240000}"/>
    <cellStyle name="Comma [0] 7 2" xfId="760" xr:uid="{00000000-0005-0000-0000-0000FD240000}"/>
    <cellStyle name="Comma [0] 7 3" xfId="761" xr:uid="{00000000-0005-0000-0000-0000FE240000}"/>
    <cellStyle name="Comma [0] 7 4" xfId="762" xr:uid="{00000000-0005-0000-0000-0000FF240000}"/>
    <cellStyle name="Comma [0] 7 5" xfId="763" xr:uid="{00000000-0005-0000-0000-000000250000}"/>
    <cellStyle name="Comma [0] 7 6" xfId="764" xr:uid="{00000000-0005-0000-0000-000001250000}"/>
    <cellStyle name="Comma [0] 7 7" xfId="765" xr:uid="{00000000-0005-0000-0000-000002250000}"/>
    <cellStyle name="Comma [0] 7 8" xfId="766" xr:uid="{00000000-0005-0000-0000-000003250000}"/>
    <cellStyle name="Comma [0] 7 9" xfId="767" xr:uid="{00000000-0005-0000-0000-000004250000}"/>
    <cellStyle name="Comma [0] 8" xfId="768" xr:uid="{00000000-0005-0000-0000-000005250000}"/>
    <cellStyle name="Comma [0] 9" xfId="769" xr:uid="{00000000-0005-0000-0000-000006250000}"/>
    <cellStyle name="Comma 10" xfId="770" xr:uid="{00000000-0005-0000-0000-000007250000}"/>
    <cellStyle name="Comma 10 10" xfId="771" xr:uid="{00000000-0005-0000-0000-000008250000}"/>
    <cellStyle name="Comma 10 11" xfId="772" xr:uid="{00000000-0005-0000-0000-000009250000}"/>
    <cellStyle name="Comma 10 12" xfId="773" xr:uid="{00000000-0005-0000-0000-00000A250000}"/>
    <cellStyle name="Comma 10 13" xfId="774" xr:uid="{00000000-0005-0000-0000-00000B250000}"/>
    <cellStyle name="Comma 10 14" xfId="775" xr:uid="{00000000-0005-0000-0000-00000C250000}"/>
    <cellStyle name="Comma 10 15" xfId="776" xr:uid="{00000000-0005-0000-0000-00000D250000}"/>
    <cellStyle name="Comma 10 16" xfId="777" xr:uid="{00000000-0005-0000-0000-00000E250000}"/>
    <cellStyle name="Comma 10 17" xfId="778" xr:uid="{00000000-0005-0000-0000-00000F250000}"/>
    <cellStyle name="Comma 10 18" xfId="779" xr:uid="{00000000-0005-0000-0000-000010250000}"/>
    <cellStyle name="Comma 10 19" xfId="780" xr:uid="{00000000-0005-0000-0000-000011250000}"/>
    <cellStyle name="Comma 10 2" xfId="781" xr:uid="{00000000-0005-0000-0000-000012250000}"/>
    <cellStyle name="Comma 10 2 2" xfId="48952" xr:uid="{00000000-0005-0000-0000-000013250000}"/>
    <cellStyle name="Comma 10 2 3" xfId="48953" xr:uid="{00000000-0005-0000-0000-000014250000}"/>
    <cellStyle name="Comma 10 2 3 2" xfId="49048" xr:uid="{A5980944-7507-4AA0-8D2D-616A9C2DDCE0}"/>
    <cellStyle name="Comma 10 20" xfId="782" xr:uid="{00000000-0005-0000-0000-000015250000}"/>
    <cellStyle name="Comma 10 21" xfId="783" xr:uid="{00000000-0005-0000-0000-000016250000}"/>
    <cellStyle name="Comma 10 22" xfId="784" xr:uid="{00000000-0005-0000-0000-000017250000}"/>
    <cellStyle name="Comma 10 23" xfId="785" xr:uid="{00000000-0005-0000-0000-000018250000}"/>
    <cellStyle name="Comma 10 24" xfId="786" xr:uid="{00000000-0005-0000-0000-000019250000}"/>
    <cellStyle name="Comma 10 25" xfId="2169" xr:uid="{00000000-0005-0000-0000-00001A250000}"/>
    <cellStyle name="Comma 10 25 2" xfId="2512" xr:uid="{00000000-0005-0000-0000-00001B250000}"/>
    <cellStyle name="Comma 10 25 2 2" xfId="3520" xr:uid="{00000000-0005-0000-0000-00001C250000}"/>
    <cellStyle name="Comma 10 25 2 2 2" xfId="5459" xr:uid="{00000000-0005-0000-0000-00001D250000}"/>
    <cellStyle name="Comma 10 25 2 2 2 2" xfId="9330" xr:uid="{00000000-0005-0000-0000-00001E250000}"/>
    <cellStyle name="Comma 10 25 2 2 2 2 2" xfId="17075" xr:uid="{00000000-0005-0000-0000-00001F250000}"/>
    <cellStyle name="Comma 10 25 2 2 2 2 2 2" xfId="32667" xr:uid="{00000000-0005-0000-0000-000020250000}"/>
    <cellStyle name="Comma 10 25 2 2 2 2 2 3" xfId="48159" xr:uid="{00000000-0005-0000-0000-000021250000}"/>
    <cellStyle name="Comma 10 25 2 2 2 2 3" xfId="24927" xr:uid="{00000000-0005-0000-0000-000022250000}"/>
    <cellStyle name="Comma 10 25 2 2 2 2 4" xfId="40419" xr:uid="{00000000-0005-0000-0000-000023250000}"/>
    <cellStyle name="Comma 10 25 2 2 2 3" xfId="13205" xr:uid="{00000000-0005-0000-0000-000024250000}"/>
    <cellStyle name="Comma 10 25 2 2 2 3 2" xfId="28797" xr:uid="{00000000-0005-0000-0000-000025250000}"/>
    <cellStyle name="Comma 10 25 2 2 2 3 3" xfId="44289" xr:uid="{00000000-0005-0000-0000-000026250000}"/>
    <cellStyle name="Comma 10 25 2 2 2 4" xfId="21057" xr:uid="{00000000-0005-0000-0000-000027250000}"/>
    <cellStyle name="Comma 10 25 2 2 2 5" xfId="36549" xr:uid="{00000000-0005-0000-0000-000028250000}"/>
    <cellStyle name="Comma 10 25 2 2 3" xfId="7403" xr:uid="{00000000-0005-0000-0000-000029250000}"/>
    <cellStyle name="Comma 10 25 2 2 3 2" xfId="15148" xr:uid="{00000000-0005-0000-0000-00002A250000}"/>
    <cellStyle name="Comma 10 25 2 2 3 2 2" xfId="30740" xr:uid="{00000000-0005-0000-0000-00002B250000}"/>
    <cellStyle name="Comma 10 25 2 2 3 2 3" xfId="46232" xr:uid="{00000000-0005-0000-0000-00002C250000}"/>
    <cellStyle name="Comma 10 25 2 2 3 3" xfId="23000" xr:uid="{00000000-0005-0000-0000-00002D250000}"/>
    <cellStyle name="Comma 10 25 2 2 3 4" xfId="38492" xr:uid="{00000000-0005-0000-0000-00002E250000}"/>
    <cellStyle name="Comma 10 25 2 2 4" xfId="11278" xr:uid="{00000000-0005-0000-0000-00002F250000}"/>
    <cellStyle name="Comma 10 25 2 2 4 2" xfId="26870" xr:uid="{00000000-0005-0000-0000-000030250000}"/>
    <cellStyle name="Comma 10 25 2 2 4 3" xfId="42362" xr:uid="{00000000-0005-0000-0000-000031250000}"/>
    <cellStyle name="Comma 10 25 2 2 5" xfId="19130" xr:uid="{00000000-0005-0000-0000-000032250000}"/>
    <cellStyle name="Comma 10 25 2 2 6" xfId="34622" xr:uid="{00000000-0005-0000-0000-000033250000}"/>
    <cellStyle name="Comma 10 25 2 3" xfId="4511" xr:uid="{00000000-0005-0000-0000-000034250000}"/>
    <cellStyle name="Comma 10 25 2 3 2" xfId="8382" xr:uid="{00000000-0005-0000-0000-000035250000}"/>
    <cellStyle name="Comma 10 25 2 3 2 2" xfId="16127" xr:uid="{00000000-0005-0000-0000-000036250000}"/>
    <cellStyle name="Comma 10 25 2 3 2 2 2" xfId="31719" xr:uid="{00000000-0005-0000-0000-000037250000}"/>
    <cellStyle name="Comma 10 25 2 3 2 2 3" xfId="47211" xr:uid="{00000000-0005-0000-0000-000038250000}"/>
    <cellStyle name="Comma 10 25 2 3 2 3" xfId="23979" xr:uid="{00000000-0005-0000-0000-000039250000}"/>
    <cellStyle name="Comma 10 25 2 3 2 4" xfId="39471" xr:uid="{00000000-0005-0000-0000-00003A250000}"/>
    <cellStyle name="Comma 10 25 2 3 3" xfId="12257" xr:uid="{00000000-0005-0000-0000-00003B250000}"/>
    <cellStyle name="Comma 10 25 2 3 3 2" xfId="27849" xr:uid="{00000000-0005-0000-0000-00003C250000}"/>
    <cellStyle name="Comma 10 25 2 3 3 3" xfId="43341" xr:uid="{00000000-0005-0000-0000-00003D250000}"/>
    <cellStyle name="Comma 10 25 2 3 4" xfId="20109" xr:uid="{00000000-0005-0000-0000-00003E250000}"/>
    <cellStyle name="Comma 10 25 2 3 5" xfId="35601" xr:uid="{00000000-0005-0000-0000-00003F250000}"/>
    <cellStyle name="Comma 10 25 2 4" xfId="6455" xr:uid="{00000000-0005-0000-0000-000040250000}"/>
    <cellStyle name="Comma 10 25 2 4 2" xfId="14200" xr:uid="{00000000-0005-0000-0000-000041250000}"/>
    <cellStyle name="Comma 10 25 2 4 2 2" xfId="29792" xr:uid="{00000000-0005-0000-0000-000042250000}"/>
    <cellStyle name="Comma 10 25 2 4 2 3" xfId="45284" xr:uid="{00000000-0005-0000-0000-000043250000}"/>
    <cellStyle name="Comma 10 25 2 4 3" xfId="22052" xr:uid="{00000000-0005-0000-0000-000044250000}"/>
    <cellStyle name="Comma 10 25 2 4 4" xfId="37544" xr:uid="{00000000-0005-0000-0000-000045250000}"/>
    <cellStyle name="Comma 10 25 2 5" xfId="10330" xr:uid="{00000000-0005-0000-0000-000046250000}"/>
    <cellStyle name="Comma 10 25 2 5 2" xfId="25922" xr:uid="{00000000-0005-0000-0000-000047250000}"/>
    <cellStyle name="Comma 10 25 2 5 3" xfId="41414" xr:uid="{00000000-0005-0000-0000-000048250000}"/>
    <cellStyle name="Comma 10 25 2 6" xfId="18182" xr:uid="{00000000-0005-0000-0000-000049250000}"/>
    <cellStyle name="Comma 10 25 2 7" xfId="33674" xr:uid="{00000000-0005-0000-0000-00004A250000}"/>
    <cellStyle name="Comma 10 25 3" xfId="3211" xr:uid="{00000000-0005-0000-0000-00004B250000}"/>
    <cellStyle name="Comma 10 25 3 2" xfId="5150" xr:uid="{00000000-0005-0000-0000-00004C250000}"/>
    <cellStyle name="Comma 10 25 3 2 2" xfId="9021" xr:uid="{00000000-0005-0000-0000-00004D250000}"/>
    <cellStyle name="Comma 10 25 3 2 2 2" xfId="16766" xr:uid="{00000000-0005-0000-0000-00004E250000}"/>
    <cellStyle name="Comma 10 25 3 2 2 2 2" xfId="32358" xr:uid="{00000000-0005-0000-0000-00004F250000}"/>
    <cellStyle name="Comma 10 25 3 2 2 2 3" xfId="47850" xr:uid="{00000000-0005-0000-0000-000050250000}"/>
    <cellStyle name="Comma 10 25 3 2 2 3" xfId="24618" xr:uid="{00000000-0005-0000-0000-000051250000}"/>
    <cellStyle name="Comma 10 25 3 2 2 4" xfId="40110" xr:uid="{00000000-0005-0000-0000-000052250000}"/>
    <cellStyle name="Comma 10 25 3 2 3" xfId="12896" xr:uid="{00000000-0005-0000-0000-000053250000}"/>
    <cellStyle name="Comma 10 25 3 2 3 2" xfId="28488" xr:uid="{00000000-0005-0000-0000-000054250000}"/>
    <cellStyle name="Comma 10 25 3 2 3 3" xfId="43980" xr:uid="{00000000-0005-0000-0000-000055250000}"/>
    <cellStyle name="Comma 10 25 3 2 4" xfId="20748" xr:uid="{00000000-0005-0000-0000-000056250000}"/>
    <cellStyle name="Comma 10 25 3 2 5" xfId="36240" xr:uid="{00000000-0005-0000-0000-000057250000}"/>
    <cellStyle name="Comma 10 25 3 3" xfId="7094" xr:uid="{00000000-0005-0000-0000-000058250000}"/>
    <cellStyle name="Comma 10 25 3 3 2" xfId="14839" xr:uid="{00000000-0005-0000-0000-000059250000}"/>
    <cellStyle name="Comma 10 25 3 3 2 2" xfId="30431" xr:uid="{00000000-0005-0000-0000-00005A250000}"/>
    <cellStyle name="Comma 10 25 3 3 2 3" xfId="45923" xr:uid="{00000000-0005-0000-0000-00005B250000}"/>
    <cellStyle name="Comma 10 25 3 3 3" xfId="22691" xr:uid="{00000000-0005-0000-0000-00005C250000}"/>
    <cellStyle name="Comma 10 25 3 3 4" xfId="38183" xr:uid="{00000000-0005-0000-0000-00005D250000}"/>
    <cellStyle name="Comma 10 25 3 4" xfId="10969" xr:uid="{00000000-0005-0000-0000-00005E250000}"/>
    <cellStyle name="Comma 10 25 3 4 2" xfId="26561" xr:uid="{00000000-0005-0000-0000-00005F250000}"/>
    <cellStyle name="Comma 10 25 3 4 3" xfId="42053" xr:uid="{00000000-0005-0000-0000-000060250000}"/>
    <cellStyle name="Comma 10 25 3 5" xfId="18821" xr:uid="{00000000-0005-0000-0000-000061250000}"/>
    <cellStyle name="Comma 10 25 3 6" xfId="34313" xr:uid="{00000000-0005-0000-0000-000062250000}"/>
    <cellStyle name="Comma 10 25 4" xfId="4202" xr:uid="{00000000-0005-0000-0000-000063250000}"/>
    <cellStyle name="Comma 10 25 4 2" xfId="8073" xr:uid="{00000000-0005-0000-0000-000064250000}"/>
    <cellStyle name="Comma 10 25 4 2 2" xfId="15818" xr:uid="{00000000-0005-0000-0000-000065250000}"/>
    <cellStyle name="Comma 10 25 4 2 2 2" xfId="31410" xr:uid="{00000000-0005-0000-0000-000066250000}"/>
    <cellStyle name="Comma 10 25 4 2 2 3" xfId="46902" xr:uid="{00000000-0005-0000-0000-000067250000}"/>
    <cellStyle name="Comma 10 25 4 2 3" xfId="23670" xr:uid="{00000000-0005-0000-0000-000068250000}"/>
    <cellStyle name="Comma 10 25 4 2 4" xfId="39162" xr:uid="{00000000-0005-0000-0000-000069250000}"/>
    <cellStyle name="Comma 10 25 4 3" xfId="11948" xr:uid="{00000000-0005-0000-0000-00006A250000}"/>
    <cellStyle name="Comma 10 25 4 3 2" xfId="27540" xr:uid="{00000000-0005-0000-0000-00006B250000}"/>
    <cellStyle name="Comma 10 25 4 3 3" xfId="43032" xr:uid="{00000000-0005-0000-0000-00006C250000}"/>
    <cellStyle name="Comma 10 25 4 4" xfId="19800" xr:uid="{00000000-0005-0000-0000-00006D250000}"/>
    <cellStyle name="Comma 10 25 4 5" xfId="35292" xr:uid="{00000000-0005-0000-0000-00006E250000}"/>
    <cellStyle name="Comma 10 25 5" xfId="6146" xr:uid="{00000000-0005-0000-0000-00006F250000}"/>
    <cellStyle name="Comma 10 25 5 2" xfId="13891" xr:uid="{00000000-0005-0000-0000-000070250000}"/>
    <cellStyle name="Comma 10 25 5 2 2" xfId="29483" xr:uid="{00000000-0005-0000-0000-000071250000}"/>
    <cellStyle name="Comma 10 25 5 2 3" xfId="44975" xr:uid="{00000000-0005-0000-0000-000072250000}"/>
    <cellStyle name="Comma 10 25 5 3" xfId="21743" xr:uid="{00000000-0005-0000-0000-000073250000}"/>
    <cellStyle name="Comma 10 25 5 4" xfId="37235" xr:uid="{00000000-0005-0000-0000-000074250000}"/>
    <cellStyle name="Comma 10 25 6" xfId="10021" xr:uid="{00000000-0005-0000-0000-000075250000}"/>
    <cellStyle name="Comma 10 25 6 2" xfId="25613" xr:uid="{00000000-0005-0000-0000-000076250000}"/>
    <cellStyle name="Comma 10 25 6 3" xfId="41105" xr:uid="{00000000-0005-0000-0000-000077250000}"/>
    <cellStyle name="Comma 10 25 7" xfId="17873" xr:uid="{00000000-0005-0000-0000-000078250000}"/>
    <cellStyle name="Comma 10 25 8" xfId="33365" xr:uid="{00000000-0005-0000-0000-000079250000}"/>
    <cellStyle name="Comma 10 25 9" xfId="49049" xr:uid="{7A0130C9-20A8-42E4-A940-1310B3CFB9A1}"/>
    <cellStyle name="Comma 10 26" xfId="2233" xr:uid="{00000000-0005-0000-0000-00007A250000}"/>
    <cellStyle name="Comma 10 26 2" xfId="2550" xr:uid="{00000000-0005-0000-0000-00007B250000}"/>
    <cellStyle name="Comma 10 26 2 2" xfId="3558" xr:uid="{00000000-0005-0000-0000-00007C250000}"/>
    <cellStyle name="Comma 10 26 2 2 2" xfId="5497" xr:uid="{00000000-0005-0000-0000-00007D250000}"/>
    <cellStyle name="Comma 10 26 2 2 2 2" xfId="9368" xr:uid="{00000000-0005-0000-0000-00007E250000}"/>
    <cellStyle name="Comma 10 26 2 2 2 2 2" xfId="17113" xr:uid="{00000000-0005-0000-0000-00007F250000}"/>
    <cellStyle name="Comma 10 26 2 2 2 2 2 2" xfId="32705" xr:uid="{00000000-0005-0000-0000-000080250000}"/>
    <cellStyle name="Comma 10 26 2 2 2 2 2 3" xfId="48197" xr:uid="{00000000-0005-0000-0000-000081250000}"/>
    <cellStyle name="Comma 10 26 2 2 2 2 3" xfId="24965" xr:uid="{00000000-0005-0000-0000-000082250000}"/>
    <cellStyle name="Comma 10 26 2 2 2 2 4" xfId="40457" xr:uid="{00000000-0005-0000-0000-000083250000}"/>
    <cellStyle name="Comma 10 26 2 2 2 3" xfId="13243" xr:uid="{00000000-0005-0000-0000-000084250000}"/>
    <cellStyle name="Comma 10 26 2 2 2 3 2" xfId="28835" xr:uid="{00000000-0005-0000-0000-000085250000}"/>
    <cellStyle name="Comma 10 26 2 2 2 3 3" xfId="44327" xr:uid="{00000000-0005-0000-0000-000086250000}"/>
    <cellStyle name="Comma 10 26 2 2 2 4" xfId="21095" xr:uid="{00000000-0005-0000-0000-000087250000}"/>
    <cellStyle name="Comma 10 26 2 2 2 5" xfId="36587" xr:uid="{00000000-0005-0000-0000-000088250000}"/>
    <cellStyle name="Comma 10 26 2 2 3" xfId="7441" xr:uid="{00000000-0005-0000-0000-000089250000}"/>
    <cellStyle name="Comma 10 26 2 2 3 2" xfId="15186" xr:uid="{00000000-0005-0000-0000-00008A250000}"/>
    <cellStyle name="Comma 10 26 2 2 3 2 2" xfId="30778" xr:uid="{00000000-0005-0000-0000-00008B250000}"/>
    <cellStyle name="Comma 10 26 2 2 3 2 3" xfId="46270" xr:uid="{00000000-0005-0000-0000-00008C250000}"/>
    <cellStyle name="Comma 10 26 2 2 3 3" xfId="23038" xr:uid="{00000000-0005-0000-0000-00008D250000}"/>
    <cellStyle name="Comma 10 26 2 2 3 4" xfId="38530" xr:uid="{00000000-0005-0000-0000-00008E250000}"/>
    <cellStyle name="Comma 10 26 2 2 4" xfId="11316" xr:uid="{00000000-0005-0000-0000-00008F250000}"/>
    <cellStyle name="Comma 10 26 2 2 4 2" xfId="26908" xr:uid="{00000000-0005-0000-0000-000090250000}"/>
    <cellStyle name="Comma 10 26 2 2 4 3" xfId="42400" xr:uid="{00000000-0005-0000-0000-000091250000}"/>
    <cellStyle name="Comma 10 26 2 2 5" xfId="19168" xr:uid="{00000000-0005-0000-0000-000092250000}"/>
    <cellStyle name="Comma 10 26 2 2 6" xfId="34660" xr:uid="{00000000-0005-0000-0000-000093250000}"/>
    <cellStyle name="Comma 10 26 2 3" xfId="4549" xr:uid="{00000000-0005-0000-0000-000094250000}"/>
    <cellStyle name="Comma 10 26 2 3 2" xfId="8420" xr:uid="{00000000-0005-0000-0000-000095250000}"/>
    <cellStyle name="Comma 10 26 2 3 2 2" xfId="16165" xr:uid="{00000000-0005-0000-0000-000096250000}"/>
    <cellStyle name="Comma 10 26 2 3 2 2 2" xfId="31757" xr:uid="{00000000-0005-0000-0000-000097250000}"/>
    <cellStyle name="Comma 10 26 2 3 2 2 3" xfId="47249" xr:uid="{00000000-0005-0000-0000-000098250000}"/>
    <cellStyle name="Comma 10 26 2 3 2 3" xfId="24017" xr:uid="{00000000-0005-0000-0000-000099250000}"/>
    <cellStyle name="Comma 10 26 2 3 2 4" xfId="39509" xr:uid="{00000000-0005-0000-0000-00009A250000}"/>
    <cellStyle name="Comma 10 26 2 3 3" xfId="12295" xr:uid="{00000000-0005-0000-0000-00009B250000}"/>
    <cellStyle name="Comma 10 26 2 3 3 2" xfId="27887" xr:uid="{00000000-0005-0000-0000-00009C250000}"/>
    <cellStyle name="Comma 10 26 2 3 3 3" xfId="43379" xr:uid="{00000000-0005-0000-0000-00009D250000}"/>
    <cellStyle name="Comma 10 26 2 3 4" xfId="20147" xr:uid="{00000000-0005-0000-0000-00009E250000}"/>
    <cellStyle name="Comma 10 26 2 3 5" xfId="35639" xr:uid="{00000000-0005-0000-0000-00009F250000}"/>
    <cellStyle name="Comma 10 26 2 4" xfId="6493" xr:uid="{00000000-0005-0000-0000-0000A0250000}"/>
    <cellStyle name="Comma 10 26 2 4 2" xfId="14238" xr:uid="{00000000-0005-0000-0000-0000A1250000}"/>
    <cellStyle name="Comma 10 26 2 4 2 2" xfId="29830" xr:uid="{00000000-0005-0000-0000-0000A2250000}"/>
    <cellStyle name="Comma 10 26 2 4 2 3" xfId="45322" xr:uid="{00000000-0005-0000-0000-0000A3250000}"/>
    <cellStyle name="Comma 10 26 2 4 3" xfId="22090" xr:uid="{00000000-0005-0000-0000-0000A4250000}"/>
    <cellStyle name="Comma 10 26 2 4 4" xfId="37582" xr:uid="{00000000-0005-0000-0000-0000A5250000}"/>
    <cellStyle name="Comma 10 26 2 5" xfId="10368" xr:uid="{00000000-0005-0000-0000-0000A6250000}"/>
    <cellStyle name="Comma 10 26 2 5 2" xfId="25960" xr:uid="{00000000-0005-0000-0000-0000A7250000}"/>
    <cellStyle name="Comma 10 26 2 5 3" xfId="41452" xr:uid="{00000000-0005-0000-0000-0000A8250000}"/>
    <cellStyle name="Comma 10 26 2 6" xfId="18220" xr:uid="{00000000-0005-0000-0000-0000A9250000}"/>
    <cellStyle name="Comma 10 26 2 7" xfId="33712" xr:uid="{00000000-0005-0000-0000-0000AA250000}"/>
    <cellStyle name="Comma 10 26 3" xfId="3249" xr:uid="{00000000-0005-0000-0000-0000AB250000}"/>
    <cellStyle name="Comma 10 26 3 2" xfId="5188" xr:uid="{00000000-0005-0000-0000-0000AC250000}"/>
    <cellStyle name="Comma 10 26 3 2 2" xfId="9059" xr:uid="{00000000-0005-0000-0000-0000AD250000}"/>
    <cellStyle name="Comma 10 26 3 2 2 2" xfId="16804" xr:uid="{00000000-0005-0000-0000-0000AE250000}"/>
    <cellStyle name="Comma 10 26 3 2 2 2 2" xfId="32396" xr:uid="{00000000-0005-0000-0000-0000AF250000}"/>
    <cellStyle name="Comma 10 26 3 2 2 2 3" xfId="47888" xr:uid="{00000000-0005-0000-0000-0000B0250000}"/>
    <cellStyle name="Comma 10 26 3 2 2 3" xfId="24656" xr:uid="{00000000-0005-0000-0000-0000B1250000}"/>
    <cellStyle name="Comma 10 26 3 2 2 4" xfId="40148" xr:uid="{00000000-0005-0000-0000-0000B2250000}"/>
    <cellStyle name="Comma 10 26 3 2 3" xfId="12934" xr:uid="{00000000-0005-0000-0000-0000B3250000}"/>
    <cellStyle name="Comma 10 26 3 2 3 2" xfId="28526" xr:uid="{00000000-0005-0000-0000-0000B4250000}"/>
    <cellStyle name="Comma 10 26 3 2 3 3" xfId="44018" xr:uid="{00000000-0005-0000-0000-0000B5250000}"/>
    <cellStyle name="Comma 10 26 3 2 4" xfId="20786" xr:uid="{00000000-0005-0000-0000-0000B6250000}"/>
    <cellStyle name="Comma 10 26 3 2 5" xfId="36278" xr:uid="{00000000-0005-0000-0000-0000B7250000}"/>
    <cellStyle name="Comma 10 26 3 3" xfId="7132" xr:uid="{00000000-0005-0000-0000-0000B8250000}"/>
    <cellStyle name="Comma 10 26 3 3 2" xfId="14877" xr:uid="{00000000-0005-0000-0000-0000B9250000}"/>
    <cellStyle name="Comma 10 26 3 3 2 2" xfId="30469" xr:uid="{00000000-0005-0000-0000-0000BA250000}"/>
    <cellStyle name="Comma 10 26 3 3 2 3" xfId="45961" xr:uid="{00000000-0005-0000-0000-0000BB250000}"/>
    <cellStyle name="Comma 10 26 3 3 3" xfId="22729" xr:uid="{00000000-0005-0000-0000-0000BC250000}"/>
    <cellStyle name="Comma 10 26 3 3 4" xfId="38221" xr:uid="{00000000-0005-0000-0000-0000BD250000}"/>
    <cellStyle name="Comma 10 26 3 4" xfId="11007" xr:uid="{00000000-0005-0000-0000-0000BE250000}"/>
    <cellStyle name="Comma 10 26 3 4 2" xfId="26599" xr:uid="{00000000-0005-0000-0000-0000BF250000}"/>
    <cellStyle name="Comma 10 26 3 4 3" xfId="42091" xr:uid="{00000000-0005-0000-0000-0000C0250000}"/>
    <cellStyle name="Comma 10 26 3 5" xfId="18859" xr:uid="{00000000-0005-0000-0000-0000C1250000}"/>
    <cellStyle name="Comma 10 26 3 6" xfId="34351" xr:uid="{00000000-0005-0000-0000-0000C2250000}"/>
    <cellStyle name="Comma 10 26 4" xfId="4240" xr:uid="{00000000-0005-0000-0000-0000C3250000}"/>
    <cellStyle name="Comma 10 26 4 2" xfId="8111" xr:uid="{00000000-0005-0000-0000-0000C4250000}"/>
    <cellStyle name="Comma 10 26 4 2 2" xfId="15856" xr:uid="{00000000-0005-0000-0000-0000C5250000}"/>
    <cellStyle name="Comma 10 26 4 2 2 2" xfId="31448" xr:uid="{00000000-0005-0000-0000-0000C6250000}"/>
    <cellStyle name="Comma 10 26 4 2 2 3" xfId="46940" xr:uid="{00000000-0005-0000-0000-0000C7250000}"/>
    <cellStyle name="Comma 10 26 4 2 3" xfId="23708" xr:uid="{00000000-0005-0000-0000-0000C8250000}"/>
    <cellStyle name="Comma 10 26 4 2 4" xfId="39200" xr:uid="{00000000-0005-0000-0000-0000C9250000}"/>
    <cellStyle name="Comma 10 26 4 3" xfId="11986" xr:uid="{00000000-0005-0000-0000-0000CA250000}"/>
    <cellStyle name="Comma 10 26 4 3 2" xfId="27578" xr:uid="{00000000-0005-0000-0000-0000CB250000}"/>
    <cellStyle name="Comma 10 26 4 3 3" xfId="43070" xr:uid="{00000000-0005-0000-0000-0000CC250000}"/>
    <cellStyle name="Comma 10 26 4 4" xfId="19838" xr:uid="{00000000-0005-0000-0000-0000CD250000}"/>
    <cellStyle name="Comma 10 26 4 5" xfId="35330" xr:uid="{00000000-0005-0000-0000-0000CE250000}"/>
    <cellStyle name="Comma 10 26 5" xfId="6184" xr:uid="{00000000-0005-0000-0000-0000CF250000}"/>
    <cellStyle name="Comma 10 26 5 2" xfId="13929" xr:uid="{00000000-0005-0000-0000-0000D0250000}"/>
    <cellStyle name="Comma 10 26 5 2 2" xfId="29521" xr:uid="{00000000-0005-0000-0000-0000D1250000}"/>
    <cellStyle name="Comma 10 26 5 2 3" xfId="45013" xr:uid="{00000000-0005-0000-0000-0000D2250000}"/>
    <cellStyle name="Comma 10 26 5 3" xfId="21781" xr:uid="{00000000-0005-0000-0000-0000D3250000}"/>
    <cellStyle name="Comma 10 26 5 4" xfId="37273" xr:uid="{00000000-0005-0000-0000-0000D4250000}"/>
    <cellStyle name="Comma 10 26 6" xfId="10059" xr:uid="{00000000-0005-0000-0000-0000D5250000}"/>
    <cellStyle name="Comma 10 26 6 2" xfId="25651" xr:uid="{00000000-0005-0000-0000-0000D6250000}"/>
    <cellStyle name="Comma 10 26 6 3" xfId="41143" xr:uid="{00000000-0005-0000-0000-0000D7250000}"/>
    <cellStyle name="Comma 10 26 7" xfId="17911" xr:uid="{00000000-0005-0000-0000-0000D8250000}"/>
    <cellStyle name="Comma 10 26 8" xfId="33403" xr:uid="{00000000-0005-0000-0000-0000D9250000}"/>
    <cellStyle name="Comma 10 27" xfId="2270" xr:uid="{00000000-0005-0000-0000-0000DA250000}"/>
    <cellStyle name="Comma 10 27 2" xfId="2586" xr:uid="{00000000-0005-0000-0000-0000DB250000}"/>
    <cellStyle name="Comma 10 27 2 2" xfId="3594" xr:uid="{00000000-0005-0000-0000-0000DC250000}"/>
    <cellStyle name="Comma 10 27 2 2 2" xfId="5533" xr:uid="{00000000-0005-0000-0000-0000DD250000}"/>
    <cellStyle name="Comma 10 27 2 2 2 2" xfId="9404" xr:uid="{00000000-0005-0000-0000-0000DE250000}"/>
    <cellStyle name="Comma 10 27 2 2 2 2 2" xfId="17149" xr:uid="{00000000-0005-0000-0000-0000DF250000}"/>
    <cellStyle name="Comma 10 27 2 2 2 2 2 2" xfId="32741" xr:uid="{00000000-0005-0000-0000-0000E0250000}"/>
    <cellStyle name="Comma 10 27 2 2 2 2 2 3" xfId="48233" xr:uid="{00000000-0005-0000-0000-0000E1250000}"/>
    <cellStyle name="Comma 10 27 2 2 2 2 3" xfId="25001" xr:uid="{00000000-0005-0000-0000-0000E2250000}"/>
    <cellStyle name="Comma 10 27 2 2 2 2 4" xfId="40493" xr:uid="{00000000-0005-0000-0000-0000E3250000}"/>
    <cellStyle name="Comma 10 27 2 2 2 3" xfId="13279" xr:uid="{00000000-0005-0000-0000-0000E4250000}"/>
    <cellStyle name="Comma 10 27 2 2 2 3 2" xfId="28871" xr:uid="{00000000-0005-0000-0000-0000E5250000}"/>
    <cellStyle name="Comma 10 27 2 2 2 3 3" xfId="44363" xr:uid="{00000000-0005-0000-0000-0000E6250000}"/>
    <cellStyle name="Comma 10 27 2 2 2 4" xfId="21131" xr:uid="{00000000-0005-0000-0000-0000E7250000}"/>
    <cellStyle name="Comma 10 27 2 2 2 5" xfId="36623" xr:uid="{00000000-0005-0000-0000-0000E8250000}"/>
    <cellStyle name="Comma 10 27 2 2 3" xfId="7477" xr:uid="{00000000-0005-0000-0000-0000E9250000}"/>
    <cellStyle name="Comma 10 27 2 2 3 2" xfId="15222" xr:uid="{00000000-0005-0000-0000-0000EA250000}"/>
    <cellStyle name="Comma 10 27 2 2 3 2 2" xfId="30814" xr:uid="{00000000-0005-0000-0000-0000EB250000}"/>
    <cellStyle name="Comma 10 27 2 2 3 2 3" xfId="46306" xr:uid="{00000000-0005-0000-0000-0000EC250000}"/>
    <cellStyle name="Comma 10 27 2 2 3 3" xfId="23074" xr:uid="{00000000-0005-0000-0000-0000ED250000}"/>
    <cellStyle name="Comma 10 27 2 2 3 4" xfId="38566" xr:uid="{00000000-0005-0000-0000-0000EE250000}"/>
    <cellStyle name="Comma 10 27 2 2 4" xfId="11352" xr:uid="{00000000-0005-0000-0000-0000EF250000}"/>
    <cellStyle name="Comma 10 27 2 2 4 2" xfId="26944" xr:uid="{00000000-0005-0000-0000-0000F0250000}"/>
    <cellStyle name="Comma 10 27 2 2 4 3" xfId="42436" xr:uid="{00000000-0005-0000-0000-0000F1250000}"/>
    <cellStyle name="Comma 10 27 2 2 5" xfId="19204" xr:uid="{00000000-0005-0000-0000-0000F2250000}"/>
    <cellStyle name="Comma 10 27 2 2 6" xfId="34696" xr:uid="{00000000-0005-0000-0000-0000F3250000}"/>
    <cellStyle name="Comma 10 27 2 3" xfId="4585" xr:uid="{00000000-0005-0000-0000-0000F4250000}"/>
    <cellStyle name="Comma 10 27 2 3 2" xfId="8456" xr:uid="{00000000-0005-0000-0000-0000F5250000}"/>
    <cellStyle name="Comma 10 27 2 3 2 2" xfId="16201" xr:uid="{00000000-0005-0000-0000-0000F6250000}"/>
    <cellStyle name="Comma 10 27 2 3 2 2 2" xfId="31793" xr:uid="{00000000-0005-0000-0000-0000F7250000}"/>
    <cellStyle name="Comma 10 27 2 3 2 2 3" xfId="47285" xr:uid="{00000000-0005-0000-0000-0000F8250000}"/>
    <cellStyle name="Comma 10 27 2 3 2 3" xfId="24053" xr:uid="{00000000-0005-0000-0000-0000F9250000}"/>
    <cellStyle name="Comma 10 27 2 3 2 4" xfId="39545" xr:uid="{00000000-0005-0000-0000-0000FA250000}"/>
    <cellStyle name="Comma 10 27 2 3 3" xfId="12331" xr:uid="{00000000-0005-0000-0000-0000FB250000}"/>
    <cellStyle name="Comma 10 27 2 3 3 2" xfId="27923" xr:uid="{00000000-0005-0000-0000-0000FC250000}"/>
    <cellStyle name="Comma 10 27 2 3 3 3" xfId="43415" xr:uid="{00000000-0005-0000-0000-0000FD250000}"/>
    <cellStyle name="Comma 10 27 2 3 4" xfId="20183" xr:uid="{00000000-0005-0000-0000-0000FE250000}"/>
    <cellStyle name="Comma 10 27 2 3 5" xfId="35675" xr:uid="{00000000-0005-0000-0000-0000FF250000}"/>
    <cellStyle name="Comma 10 27 2 4" xfId="6529" xr:uid="{00000000-0005-0000-0000-000000260000}"/>
    <cellStyle name="Comma 10 27 2 4 2" xfId="14274" xr:uid="{00000000-0005-0000-0000-000001260000}"/>
    <cellStyle name="Comma 10 27 2 4 2 2" xfId="29866" xr:uid="{00000000-0005-0000-0000-000002260000}"/>
    <cellStyle name="Comma 10 27 2 4 2 3" xfId="45358" xr:uid="{00000000-0005-0000-0000-000003260000}"/>
    <cellStyle name="Comma 10 27 2 4 3" xfId="22126" xr:uid="{00000000-0005-0000-0000-000004260000}"/>
    <cellStyle name="Comma 10 27 2 4 4" xfId="37618" xr:uid="{00000000-0005-0000-0000-000005260000}"/>
    <cellStyle name="Comma 10 27 2 5" xfId="10404" xr:uid="{00000000-0005-0000-0000-000006260000}"/>
    <cellStyle name="Comma 10 27 2 5 2" xfId="25996" xr:uid="{00000000-0005-0000-0000-000007260000}"/>
    <cellStyle name="Comma 10 27 2 5 3" xfId="41488" xr:uid="{00000000-0005-0000-0000-000008260000}"/>
    <cellStyle name="Comma 10 27 2 6" xfId="18256" xr:uid="{00000000-0005-0000-0000-000009260000}"/>
    <cellStyle name="Comma 10 27 2 7" xfId="33748" xr:uid="{00000000-0005-0000-0000-00000A260000}"/>
    <cellStyle name="Comma 10 27 3" xfId="3285" xr:uid="{00000000-0005-0000-0000-00000B260000}"/>
    <cellStyle name="Comma 10 27 3 2" xfId="5224" xr:uid="{00000000-0005-0000-0000-00000C260000}"/>
    <cellStyle name="Comma 10 27 3 2 2" xfId="9095" xr:uid="{00000000-0005-0000-0000-00000D260000}"/>
    <cellStyle name="Comma 10 27 3 2 2 2" xfId="16840" xr:uid="{00000000-0005-0000-0000-00000E260000}"/>
    <cellStyle name="Comma 10 27 3 2 2 2 2" xfId="32432" xr:uid="{00000000-0005-0000-0000-00000F260000}"/>
    <cellStyle name="Comma 10 27 3 2 2 2 3" xfId="47924" xr:uid="{00000000-0005-0000-0000-000010260000}"/>
    <cellStyle name="Comma 10 27 3 2 2 3" xfId="24692" xr:uid="{00000000-0005-0000-0000-000011260000}"/>
    <cellStyle name="Comma 10 27 3 2 2 4" xfId="40184" xr:uid="{00000000-0005-0000-0000-000012260000}"/>
    <cellStyle name="Comma 10 27 3 2 3" xfId="12970" xr:uid="{00000000-0005-0000-0000-000013260000}"/>
    <cellStyle name="Comma 10 27 3 2 3 2" xfId="28562" xr:uid="{00000000-0005-0000-0000-000014260000}"/>
    <cellStyle name="Comma 10 27 3 2 3 3" xfId="44054" xr:uid="{00000000-0005-0000-0000-000015260000}"/>
    <cellStyle name="Comma 10 27 3 2 4" xfId="20822" xr:uid="{00000000-0005-0000-0000-000016260000}"/>
    <cellStyle name="Comma 10 27 3 2 5" xfId="36314" xr:uid="{00000000-0005-0000-0000-000017260000}"/>
    <cellStyle name="Comma 10 27 3 3" xfId="7168" xr:uid="{00000000-0005-0000-0000-000018260000}"/>
    <cellStyle name="Comma 10 27 3 3 2" xfId="14913" xr:uid="{00000000-0005-0000-0000-000019260000}"/>
    <cellStyle name="Comma 10 27 3 3 2 2" xfId="30505" xr:uid="{00000000-0005-0000-0000-00001A260000}"/>
    <cellStyle name="Comma 10 27 3 3 2 3" xfId="45997" xr:uid="{00000000-0005-0000-0000-00001B260000}"/>
    <cellStyle name="Comma 10 27 3 3 3" xfId="22765" xr:uid="{00000000-0005-0000-0000-00001C260000}"/>
    <cellStyle name="Comma 10 27 3 3 4" xfId="38257" xr:uid="{00000000-0005-0000-0000-00001D260000}"/>
    <cellStyle name="Comma 10 27 3 4" xfId="11043" xr:uid="{00000000-0005-0000-0000-00001E260000}"/>
    <cellStyle name="Comma 10 27 3 4 2" xfId="26635" xr:uid="{00000000-0005-0000-0000-00001F260000}"/>
    <cellStyle name="Comma 10 27 3 4 3" xfId="42127" xr:uid="{00000000-0005-0000-0000-000020260000}"/>
    <cellStyle name="Comma 10 27 3 5" xfId="18895" xr:uid="{00000000-0005-0000-0000-000021260000}"/>
    <cellStyle name="Comma 10 27 3 6" xfId="34387" xr:uid="{00000000-0005-0000-0000-000022260000}"/>
    <cellStyle name="Comma 10 27 4" xfId="4276" xr:uid="{00000000-0005-0000-0000-000023260000}"/>
    <cellStyle name="Comma 10 27 4 2" xfId="8147" xr:uid="{00000000-0005-0000-0000-000024260000}"/>
    <cellStyle name="Comma 10 27 4 2 2" xfId="15892" xr:uid="{00000000-0005-0000-0000-000025260000}"/>
    <cellStyle name="Comma 10 27 4 2 2 2" xfId="31484" xr:uid="{00000000-0005-0000-0000-000026260000}"/>
    <cellStyle name="Comma 10 27 4 2 2 3" xfId="46976" xr:uid="{00000000-0005-0000-0000-000027260000}"/>
    <cellStyle name="Comma 10 27 4 2 3" xfId="23744" xr:uid="{00000000-0005-0000-0000-000028260000}"/>
    <cellStyle name="Comma 10 27 4 2 4" xfId="39236" xr:uid="{00000000-0005-0000-0000-000029260000}"/>
    <cellStyle name="Comma 10 27 4 3" xfId="12022" xr:uid="{00000000-0005-0000-0000-00002A260000}"/>
    <cellStyle name="Comma 10 27 4 3 2" xfId="27614" xr:uid="{00000000-0005-0000-0000-00002B260000}"/>
    <cellStyle name="Comma 10 27 4 3 3" xfId="43106" xr:uid="{00000000-0005-0000-0000-00002C260000}"/>
    <cellStyle name="Comma 10 27 4 4" xfId="19874" xr:uid="{00000000-0005-0000-0000-00002D260000}"/>
    <cellStyle name="Comma 10 27 4 5" xfId="35366" xr:uid="{00000000-0005-0000-0000-00002E260000}"/>
    <cellStyle name="Comma 10 27 5" xfId="6220" xr:uid="{00000000-0005-0000-0000-00002F260000}"/>
    <cellStyle name="Comma 10 27 5 2" xfId="13965" xr:uid="{00000000-0005-0000-0000-000030260000}"/>
    <cellStyle name="Comma 10 27 5 2 2" xfId="29557" xr:uid="{00000000-0005-0000-0000-000031260000}"/>
    <cellStyle name="Comma 10 27 5 2 3" xfId="45049" xr:uid="{00000000-0005-0000-0000-000032260000}"/>
    <cellStyle name="Comma 10 27 5 3" xfId="21817" xr:uid="{00000000-0005-0000-0000-000033260000}"/>
    <cellStyle name="Comma 10 27 5 4" xfId="37309" xr:uid="{00000000-0005-0000-0000-000034260000}"/>
    <cellStyle name="Comma 10 27 6" xfId="10095" xr:uid="{00000000-0005-0000-0000-000035260000}"/>
    <cellStyle name="Comma 10 27 6 2" xfId="25687" xr:uid="{00000000-0005-0000-0000-000036260000}"/>
    <cellStyle name="Comma 10 27 6 3" xfId="41179" xr:uid="{00000000-0005-0000-0000-000037260000}"/>
    <cellStyle name="Comma 10 27 7" xfId="17947" xr:uid="{00000000-0005-0000-0000-000038260000}"/>
    <cellStyle name="Comma 10 27 8" xfId="33439" xr:uid="{00000000-0005-0000-0000-000039260000}"/>
    <cellStyle name="Comma 10 28" xfId="2307" xr:uid="{00000000-0005-0000-0000-00003A260000}"/>
    <cellStyle name="Comma 10 28 2" xfId="2622" xr:uid="{00000000-0005-0000-0000-00003B260000}"/>
    <cellStyle name="Comma 10 28 2 2" xfId="3630" xr:uid="{00000000-0005-0000-0000-00003C260000}"/>
    <cellStyle name="Comma 10 28 2 2 2" xfId="5569" xr:uid="{00000000-0005-0000-0000-00003D260000}"/>
    <cellStyle name="Comma 10 28 2 2 2 2" xfId="9440" xr:uid="{00000000-0005-0000-0000-00003E260000}"/>
    <cellStyle name="Comma 10 28 2 2 2 2 2" xfId="17185" xr:uid="{00000000-0005-0000-0000-00003F260000}"/>
    <cellStyle name="Comma 10 28 2 2 2 2 2 2" xfId="32777" xr:uid="{00000000-0005-0000-0000-000040260000}"/>
    <cellStyle name="Comma 10 28 2 2 2 2 2 3" xfId="48269" xr:uid="{00000000-0005-0000-0000-000041260000}"/>
    <cellStyle name="Comma 10 28 2 2 2 2 3" xfId="25037" xr:uid="{00000000-0005-0000-0000-000042260000}"/>
    <cellStyle name="Comma 10 28 2 2 2 2 4" xfId="40529" xr:uid="{00000000-0005-0000-0000-000043260000}"/>
    <cellStyle name="Comma 10 28 2 2 2 3" xfId="13315" xr:uid="{00000000-0005-0000-0000-000044260000}"/>
    <cellStyle name="Comma 10 28 2 2 2 3 2" xfId="28907" xr:uid="{00000000-0005-0000-0000-000045260000}"/>
    <cellStyle name="Comma 10 28 2 2 2 3 3" xfId="44399" xr:uid="{00000000-0005-0000-0000-000046260000}"/>
    <cellStyle name="Comma 10 28 2 2 2 4" xfId="21167" xr:uid="{00000000-0005-0000-0000-000047260000}"/>
    <cellStyle name="Comma 10 28 2 2 2 5" xfId="36659" xr:uid="{00000000-0005-0000-0000-000048260000}"/>
    <cellStyle name="Comma 10 28 2 2 3" xfId="7513" xr:uid="{00000000-0005-0000-0000-000049260000}"/>
    <cellStyle name="Comma 10 28 2 2 3 2" xfId="15258" xr:uid="{00000000-0005-0000-0000-00004A260000}"/>
    <cellStyle name="Comma 10 28 2 2 3 2 2" xfId="30850" xr:uid="{00000000-0005-0000-0000-00004B260000}"/>
    <cellStyle name="Comma 10 28 2 2 3 2 3" xfId="46342" xr:uid="{00000000-0005-0000-0000-00004C260000}"/>
    <cellStyle name="Comma 10 28 2 2 3 3" xfId="23110" xr:uid="{00000000-0005-0000-0000-00004D260000}"/>
    <cellStyle name="Comma 10 28 2 2 3 4" xfId="38602" xr:uid="{00000000-0005-0000-0000-00004E260000}"/>
    <cellStyle name="Comma 10 28 2 2 4" xfId="11388" xr:uid="{00000000-0005-0000-0000-00004F260000}"/>
    <cellStyle name="Comma 10 28 2 2 4 2" xfId="26980" xr:uid="{00000000-0005-0000-0000-000050260000}"/>
    <cellStyle name="Comma 10 28 2 2 4 3" xfId="42472" xr:uid="{00000000-0005-0000-0000-000051260000}"/>
    <cellStyle name="Comma 10 28 2 2 5" xfId="19240" xr:uid="{00000000-0005-0000-0000-000052260000}"/>
    <cellStyle name="Comma 10 28 2 2 6" xfId="34732" xr:uid="{00000000-0005-0000-0000-000053260000}"/>
    <cellStyle name="Comma 10 28 2 3" xfId="4621" xr:uid="{00000000-0005-0000-0000-000054260000}"/>
    <cellStyle name="Comma 10 28 2 3 2" xfId="8492" xr:uid="{00000000-0005-0000-0000-000055260000}"/>
    <cellStyle name="Comma 10 28 2 3 2 2" xfId="16237" xr:uid="{00000000-0005-0000-0000-000056260000}"/>
    <cellStyle name="Comma 10 28 2 3 2 2 2" xfId="31829" xr:uid="{00000000-0005-0000-0000-000057260000}"/>
    <cellStyle name="Comma 10 28 2 3 2 2 3" xfId="47321" xr:uid="{00000000-0005-0000-0000-000058260000}"/>
    <cellStyle name="Comma 10 28 2 3 2 3" xfId="24089" xr:uid="{00000000-0005-0000-0000-000059260000}"/>
    <cellStyle name="Comma 10 28 2 3 2 4" xfId="39581" xr:uid="{00000000-0005-0000-0000-00005A260000}"/>
    <cellStyle name="Comma 10 28 2 3 3" xfId="12367" xr:uid="{00000000-0005-0000-0000-00005B260000}"/>
    <cellStyle name="Comma 10 28 2 3 3 2" xfId="27959" xr:uid="{00000000-0005-0000-0000-00005C260000}"/>
    <cellStyle name="Comma 10 28 2 3 3 3" xfId="43451" xr:uid="{00000000-0005-0000-0000-00005D260000}"/>
    <cellStyle name="Comma 10 28 2 3 4" xfId="20219" xr:uid="{00000000-0005-0000-0000-00005E260000}"/>
    <cellStyle name="Comma 10 28 2 3 5" xfId="35711" xr:uid="{00000000-0005-0000-0000-00005F260000}"/>
    <cellStyle name="Comma 10 28 2 4" xfId="6565" xr:uid="{00000000-0005-0000-0000-000060260000}"/>
    <cellStyle name="Comma 10 28 2 4 2" xfId="14310" xr:uid="{00000000-0005-0000-0000-000061260000}"/>
    <cellStyle name="Comma 10 28 2 4 2 2" xfId="29902" xr:uid="{00000000-0005-0000-0000-000062260000}"/>
    <cellStyle name="Comma 10 28 2 4 2 3" xfId="45394" xr:uid="{00000000-0005-0000-0000-000063260000}"/>
    <cellStyle name="Comma 10 28 2 4 3" xfId="22162" xr:uid="{00000000-0005-0000-0000-000064260000}"/>
    <cellStyle name="Comma 10 28 2 4 4" xfId="37654" xr:uid="{00000000-0005-0000-0000-000065260000}"/>
    <cellStyle name="Comma 10 28 2 5" xfId="10440" xr:uid="{00000000-0005-0000-0000-000066260000}"/>
    <cellStyle name="Comma 10 28 2 5 2" xfId="26032" xr:uid="{00000000-0005-0000-0000-000067260000}"/>
    <cellStyle name="Comma 10 28 2 5 3" xfId="41524" xr:uid="{00000000-0005-0000-0000-000068260000}"/>
    <cellStyle name="Comma 10 28 2 6" xfId="18292" xr:uid="{00000000-0005-0000-0000-000069260000}"/>
    <cellStyle name="Comma 10 28 2 7" xfId="33784" xr:uid="{00000000-0005-0000-0000-00006A260000}"/>
    <cellStyle name="Comma 10 28 3" xfId="3321" xr:uid="{00000000-0005-0000-0000-00006B260000}"/>
    <cellStyle name="Comma 10 28 3 2" xfId="5260" xr:uid="{00000000-0005-0000-0000-00006C260000}"/>
    <cellStyle name="Comma 10 28 3 2 2" xfId="9131" xr:uid="{00000000-0005-0000-0000-00006D260000}"/>
    <cellStyle name="Comma 10 28 3 2 2 2" xfId="16876" xr:uid="{00000000-0005-0000-0000-00006E260000}"/>
    <cellStyle name="Comma 10 28 3 2 2 2 2" xfId="32468" xr:uid="{00000000-0005-0000-0000-00006F260000}"/>
    <cellStyle name="Comma 10 28 3 2 2 2 3" xfId="47960" xr:uid="{00000000-0005-0000-0000-000070260000}"/>
    <cellStyle name="Comma 10 28 3 2 2 3" xfId="24728" xr:uid="{00000000-0005-0000-0000-000071260000}"/>
    <cellStyle name="Comma 10 28 3 2 2 4" xfId="40220" xr:uid="{00000000-0005-0000-0000-000072260000}"/>
    <cellStyle name="Comma 10 28 3 2 3" xfId="13006" xr:uid="{00000000-0005-0000-0000-000073260000}"/>
    <cellStyle name="Comma 10 28 3 2 3 2" xfId="28598" xr:uid="{00000000-0005-0000-0000-000074260000}"/>
    <cellStyle name="Comma 10 28 3 2 3 3" xfId="44090" xr:uid="{00000000-0005-0000-0000-000075260000}"/>
    <cellStyle name="Comma 10 28 3 2 4" xfId="20858" xr:uid="{00000000-0005-0000-0000-000076260000}"/>
    <cellStyle name="Comma 10 28 3 2 5" xfId="36350" xr:uid="{00000000-0005-0000-0000-000077260000}"/>
    <cellStyle name="Comma 10 28 3 3" xfId="7204" xr:uid="{00000000-0005-0000-0000-000078260000}"/>
    <cellStyle name="Comma 10 28 3 3 2" xfId="14949" xr:uid="{00000000-0005-0000-0000-000079260000}"/>
    <cellStyle name="Comma 10 28 3 3 2 2" xfId="30541" xr:uid="{00000000-0005-0000-0000-00007A260000}"/>
    <cellStyle name="Comma 10 28 3 3 2 3" xfId="46033" xr:uid="{00000000-0005-0000-0000-00007B260000}"/>
    <cellStyle name="Comma 10 28 3 3 3" xfId="22801" xr:uid="{00000000-0005-0000-0000-00007C260000}"/>
    <cellStyle name="Comma 10 28 3 3 4" xfId="38293" xr:uid="{00000000-0005-0000-0000-00007D260000}"/>
    <cellStyle name="Comma 10 28 3 4" xfId="11079" xr:uid="{00000000-0005-0000-0000-00007E260000}"/>
    <cellStyle name="Comma 10 28 3 4 2" xfId="26671" xr:uid="{00000000-0005-0000-0000-00007F260000}"/>
    <cellStyle name="Comma 10 28 3 4 3" xfId="42163" xr:uid="{00000000-0005-0000-0000-000080260000}"/>
    <cellStyle name="Comma 10 28 3 5" xfId="18931" xr:uid="{00000000-0005-0000-0000-000081260000}"/>
    <cellStyle name="Comma 10 28 3 6" xfId="34423" xr:uid="{00000000-0005-0000-0000-000082260000}"/>
    <cellStyle name="Comma 10 28 4" xfId="4312" xr:uid="{00000000-0005-0000-0000-000083260000}"/>
    <cellStyle name="Comma 10 28 4 2" xfId="8183" xr:uid="{00000000-0005-0000-0000-000084260000}"/>
    <cellStyle name="Comma 10 28 4 2 2" xfId="15928" xr:uid="{00000000-0005-0000-0000-000085260000}"/>
    <cellStyle name="Comma 10 28 4 2 2 2" xfId="31520" xr:uid="{00000000-0005-0000-0000-000086260000}"/>
    <cellStyle name="Comma 10 28 4 2 2 3" xfId="47012" xr:uid="{00000000-0005-0000-0000-000087260000}"/>
    <cellStyle name="Comma 10 28 4 2 3" xfId="23780" xr:uid="{00000000-0005-0000-0000-000088260000}"/>
    <cellStyle name="Comma 10 28 4 2 4" xfId="39272" xr:uid="{00000000-0005-0000-0000-000089260000}"/>
    <cellStyle name="Comma 10 28 4 3" xfId="12058" xr:uid="{00000000-0005-0000-0000-00008A260000}"/>
    <cellStyle name="Comma 10 28 4 3 2" xfId="27650" xr:uid="{00000000-0005-0000-0000-00008B260000}"/>
    <cellStyle name="Comma 10 28 4 3 3" xfId="43142" xr:uid="{00000000-0005-0000-0000-00008C260000}"/>
    <cellStyle name="Comma 10 28 4 4" xfId="19910" xr:uid="{00000000-0005-0000-0000-00008D260000}"/>
    <cellStyle name="Comma 10 28 4 5" xfId="35402" xr:uid="{00000000-0005-0000-0000-00008E260000}"/>
    <cellStyle name="Comma 10 28 5" xfId="6256" xr:uid="{00000000-0005-0000-0000-00008F260000}"/>
    <cellStyle name="Comma 10 28 5 2" xfId="14001" xr:uid="{00000000-0005-0000-0000-000090260000}"/>
    <cellStyle name="Comma 10 28 5 2 2" xfId="29593" xr:uid="{00000000-0005-0000-0000-000091260000}"/>
    <cellStyle name="Comma 10 28 5 2 3" xfId="45085" xr:uid="{00000000-0005-0000-0000-000092260000}"/>
    <cellStyle name="Comma 10 28 5 3" xfId="21853" xr:uid="{00000000-0005-0000-0000-000093260000}"/>
    <cellStyle name="Comma 10 28 5 4" xfId="37345" xr:uid="{00000000-0005-0000-0000-000094260000}"/>
    <cellStyle name="Comma 10 28 6" xfId="10131" xr:uid="{00000000-0005-0000-0000-000095260000}"/>
    <cellStyle name="Comma 10 28 6 2" xfId="25723" xr:uid="{00000000-0005-0000-0000-000096260000}"/>
    <cellStyle name="Comma 10 28 6 3" xfId="41215" xr:uid="{00000000-0005-0000-0000-000097260000}"/>
    <cellStyle name="Comma 10 28 7" xfId="17983" xr:uid="{00000000-0005-0000-0000-000098260000}"/>
    <cellStyle name="Comma 10 28 8" xfId="33475" xr:uid="{00000000-0005-0000-0000-000099260000}"/>
    <cellStyle name="Comma 10 29" xfId="2345" xr:uid="{00000000-0005-0000-0000-00009A260000}"/>
    <cellStyle name="Comma 10 29 2" xfId="2658" xr:uid="{00000000-0005-0000-0000-00009B260000}"/>
    <cellStyle name="Comma 10 29 2 2" xfId="3666" xr:uid="{00000000-0005-0000-0000-00009C260000}"/>
    <cellStyle name="Comma 10 29 2 2 2" xfId="5605" xr:uid="{00000000-0005-0000-0000-00009D260000}"/>
    <cellStyle name="Comma 10 29 2 2 2 2" xfId="9476" xr:uid="{00000000-0005-0000-0000-00009E260000}"/>
    <cellStyle name="Comma 10 29 2 2 2 2 2" xfId="17221" xr:uid="{00000000-0005-0000-0000-00009F260000}"/>
    <cellStyle name="Comma 10 29 2 2 2 2 2 2" xfId="32813" xr:uid="{00000000-0005-0000-0000-0000A0260000}"/>
    <cellStyle name="Comma 10 29 2 2 2 2 2 3" xfId="48305" xr:uid="{00000000-0005-0000-0000-0000A1260000}"/>
    <cellStyle name="Comma 10 29 2 2 2 2 3" xfId="25073" xr:uid="{00000000-0005-0000-0000-0000A2260000}"/>
    <cellStyle name="Comma 10 29 2 2 2 2 4" xfId="40565" xr:uid="{00000000-0005-0000-0000-0000A3260000}"/>
    <cellStyle name="Comma 10 29 2 2 2 3" xfId="13351" xr:uid="{00000000-0005-0000-0000-0000A4260000}"/>
    <cellStyle name="Comma 10 29 2 2 2 3 2" xfId="28943" xr:uid="{00000000-0005-0000-0000-0000A5260000}"/>
    <cellStyle name="Comma 10 29 2 2 2 3 3" xfId="44435" xr:uid="{00000000-0005-0000-0000-0000A6260000}"/>
    <cellStyle name="Comma 10 29 2 2 2 4" xfId="21203" xr:uid="{00000000-0005-0000-0000-0000A7260000}"/>
    <cellStyle name="Comma 10 29 2 2 2 5" xfId="36695" xr:uid="{00000000-0005-0000-0000-0000A8260000}"/>
    <cellStyle name="Comma 10 29 2 2 3" xfId="7549" xr:uid="{00000000-0005-0000-0000-0000A9260000}"/>
    <cellStyle name="Comma 10 29 2 2 3 2" xfId="15294" xr:uid="{00000000-0005-0000-0000-0000AA260000}"/>
    <cellStyle name="Comma 10 29 2 2 3 2 2" xfId="30886" xr:uid="{00000000-0005-0000-0000-0000AB260000}"/>
    <cellStyle name="Comma 10 29 2 2 3 2 3" xfId="46378" xr:uid="{00000000-0005-0000-0000-0000AC260000}"/>
    <cellStyle name="Comma 10 29 2 2 3 3" xfId="23146" xr:uid="{00000000-0005-0000-0000-0000AD260000}"/>
    <cellStyle name="Comma 10 29 2 2 3 4" xfId="38638" xr:uid="{00000000-0005-0000-0000-0000AE260000}"/>
    <cellStyle name="Comma 10 29 2 2 4" xfId="11424" xr:uid="{00000000-0005-0000-0000-0000AF260000}"/>
    <cellStyle name="Comma 10 29 2 2 4 2" xfId="27016" xr:uid="{00000000-0005-0000-0000-0000B0260000}"/>
    <cellStyle name="Comma 10 29 2 2 4 3" xfId="42508" xr:uid="{00000000-0005-0000-0000-0000B1260000}"/>
    <cellStyle name="Comma 10 29 2 2 5" xfId="19276" xr:uid="{00000000-0005-0000-0000-0000B2260000}"/>
    <cellStyle name="Comma 10 29 2 2 6" xfId="34768" xr:uid="{00000000-0005-0000-0000-0000B3260000}"/>
    <cellStyle name="Comma 10 29 2 3" xfId="4657" xr:uid="{00000000-0005-0000-0000-0000B4260000}"/>
    <cellStyle name="Comma 10 29 2 3 2" xfId="8528" xr:uid="{00000000-0005-0000-0000-0000B5260000}"/>
    <cellStyle name="Comma 10 29 2 3 2 2" xfId="16273" xr:uid="{00000000-0005-0000-0000-0000B6260000}"/>
    <cellStyle name="Comma 10 29 2 3 2 2 2" xfId="31865" xr:uid="{00000000-0005-0000-0000-0000B7260000}"/>
    <cellStyle name="Comma 10 29 2 3 2 2 3" xfId="47357" xr:uid="{00000000-0005-0000-0000-0000B8260000}"/>
    <cellStyle name="Comma 10 29 2 3 2 3" xfId="24125" xr:uid="{00000000-0005-0000-0000-0000B9260000}"/>
    <cellStyle name="Comma 10 29 2 3 2 4" xfId="39617" xr:uid="{00000000-0005-0000-0000-0000BA260000}"/>
    <cellStyle name="Comma 10 29 2 3 3" xfId="12403" xr:uid="{00000000-0005-0000-0000-0000BB260000}"/>
    <cellStyle name="Comma 10 29 2 3 3 2" xfId="27995" xr:uid="{00000000-0005-0000-0000-0000BC260000}"/>
    <cellStyle name="Comma 10 29 2 3 3 3" xfId="43487" xr:uid="{00000000-0005-0000-0000-0000BD260000}"/>
    <cellStyle name="Comma 10 29 2 3 4" xfId="20255" xr:uid="{00000000-0005-0000-0000-0000BE260000}"/>
    <cellStyle name="Comma 10 29 2 3 5" xfId="35747" xr:uid="{00000000-0005-0000-0000-0000BF260000}"/>
    <cellStyle name="Comma 10 29 2 4" xfId="6601" xr:uid="{00000000-0005-0000-0000-0000C0260000}"/>
    <cellStyle name="Comma 10 29 2 4 2" xfId="14346" xr:uid="{00000000-0005-0000-0000-0000C1260000}"/>
    <cellStyle name="Comma 10 29 2 4 2 2" xfId="29938" xr:uid="{00000000-0005-0000-0000-0000C2260000}"/>
    <cellStyle name="Comma 10 29 2 4 2 3" xfId="45430" xr:uid="{00000000-0005-0000-0000-0000C3260000}"/>
    <cellStyle name="Comma 10 29 2 4 3" xfId="22198" xr:uid="{00000000-0005-0000-0000-0000C4260000}"/>
    <cellStyle name="Comma 10 29 2 4 4" xfId="37690" xr:uid="{00000000-0005-0000-0000-0000C5260000}"/>
    <cellStyle name="Comma 10 29 2 5" xfId="10476" xr:uid="{00000000-0005-0000-0000-0000C6260000}"/>
    <cellStyle name="Comma 10 29 2 5 2" xfId="26068" xr:uid="{00000000-0005-0000-0000-0000C7260000}"/>
    <cellStyle name="Comma 10 29 2 5 3" xfId="41560" xr:uid="{00000000-0005-0000-0000-0000C8260000}"/>
    <cellStyle name="Comma 10 29 2 6" xfId="18328" xr:uid="{00000000-0005-0000-0000-0000C9260000}"/>
    <cellStyle name="Comma 10 29 2 7" xfId="33820" xr:uid="{00000000-0005-0000-0000-0000CA260000}"/>
    <cellStyle name="Comma 10 29 3" xfId="3357" xr:uid="{00000000-0005-0000-0000-0000CB260000}"/>
    <cellStyle name="Comma 10 29 3 2" xfId="5296" xr:uid="{00000000-0005-0000-0000-0000CC260000}"/>
    <cellStyle name="Comma 10 29 3 2 2" xfId="9167" xr:uid="{00000000-0005-0000-0000-0000CD260000}"/>
    <cellStyle name="Comma 10 29 3 2 2 2" xfId="16912" xr:uid="{00000000-0005-0000-0000-0000CE260000}"/>
    <cellStyle name="Comma 10 29 3 2 2 2 2" xfId="32504" xr:uid="{00000000-0005-0000-0000-0000CF260000}"/>
    <cellStyle name="Comma 10 29 3 2 2 2 3" xfId="47996" xr:uid="{00000000-0005-0000-0000-0000D0260000}"/>
    <cellStyle name="Comma 10 29 3 2 2 3" xfId="24764" xr:uid="{00000000-0005-0000-0000-0000D1260000}"/>
    <cellStyle name="Comma 10 29 3 2 2 4" xfId="40256" xr:uid="{00000000-0005-0000-0000-0000D2260000}"/>
    <cellStyle name="Comma 10 29 3 2 3" xfId="13042" xr:uid="{00000000-0005-0000-0000-0000D3260000}"/>
    <cellStyle name="Comma 10 29 3 2 3 2" xfId="28634" xr:uid="{00000000-0005-0000-0000-0000D4260000}"/>
    <cellStyle name="Comma 10 29 3 2 3 3" xfId="44126" xr:uid="{00000000-0005-0000-0000-0000D5260000}"/>
    <cellStyle name="Comma 10 29 3 2 4" xfId="20894" xr:uid="{00000000-0005-0000-0000-0000D6260000}"/>
    <cellStyle name="Comma 10 29 3 2 5" xfId="36386" xr:uid="{00000000-0005-0000-0000-0000D7260000}"/>
    <cellStyle name="Comma 10 29 3 3" xfId="7240" xr:uid="{00000000-0005-0000-0000-0000D8260000}"/>
    <cellStyle name="Comma 10 29 3 3 2" xfId="14985" xr:uid="{00000000-0005-0000-0000-0000D9260000}"/>
    <cellStyle name="Comma 10 29 3 3 2 2" xfId="30577" xr:uid="{00000000-0005-0000-0000-0000DA260000}"/>
    <cellStyle name="Comma 10 29 3 3 2 3" xfId="46069" xr:uid="{00000000-0005-0000-0000-0000DB260000}"/>
    <cellStyle name="Comma 10 29 3 3 3" xfId="22837" xr:uid="{00000000-0005-0000-0000-0000DC260000}"/>
    <cellStyle name="Comma 10 29 3 3 4" xfId="38329" xr:uid="{00000000-0005-0000-0000-0000DD260000}"/>
    <cellStyle name="Comma 10 29 3 4" xfId="11115" xr:uid="{00000000-0005-0000-0000-0000DE260000}"/>
    <cellStyle name="Comma 10 29 3 4 2" xfId="26707" xr:uid="{00000000-0005-0000-0000-0000DF260000}"/>
    <cellStyle name="Comma 10 29 3 4 3" xfId="42199" xr:uid="{00000000-0005-0000-0000-0000E0260000}"/>
    <cellStyle name="Comma 10 29 3 5" xfId="18967" xr:uid="{00000000-0005-0000-0000-0000E1260000}"/>
    <cellStyle name="Comma 10 29 3 6" xfId="34459" xr:uid="{00000000-0005-0000-0000-0000E2260000}"/>
    <cellStyle name="Comma 10 29 4" xfId="4348" xr:uid="{00000000-0005-0000-0000-0000E3260000}"/>
    <cellStyle name="Comma 10 29 4 2" xfId="8219" xr:uid="{00000000-0005-0000-0000-0000E4260000}"/>
    <cellStyle name="Comma 10 29 4 2 2" xfId="15964" xr:uid="{00000000-0005-0000-0000-0000E5260000}"/>
    <cellStyle name="Comma 10 29 4 2 2 2" xfId="31556" xr:uid="{00000000-0005-0000-0000-0000E6260000}"/>
    <cellStyle name="Comma 10 29 4 2 2 3" xfId="47048" xr:uid="{00000000-0005-0000-0000-0000E7260000}"/>
    <cellStyle name="Comma 10 29 4 2 3" xfId="23816" xr:uid="{00000000-0005-0000-0000-0000E8260000}"/>
    <cellStyle name="Comma 10 29 4 2 4" xfId="39308" xr:uid="{00000000-0005-0000-0000-0000E9260000}"/>
    <cellStyle name="Comma 10 29 4 3" xfId="12094" xr:uid="{00000000-0005-0000-0000-0000EA260000}"/>
    <cellStyle name="Comma 10 29 4 3 2" xfId="27686" xr:uid="{00000000-0005-0000-0000-0000EB260000}"/>
    <cellStyle name="Comma 10 29 4 3 3" xfId="43178" xr:uid="{00000000-0005-0000-0000-0000EC260000}"/>
    <cellStyle name="Comma 10 29 4 4" xfId="19946" xr:uid="{00000000-0005-0000-0000-0000ED260000}"/>
    <cellStyle name="Comma 10 29 4 5" xfId="35438" xr:uid="{00000000-0005-0000-0000-0000EE260000}"/>
    <cellStyle name="Comma 10 29 5" xfId="6292" xr:uid="{00000000-0005-0000-0000-0000EF260000}"/>
    <cellStyle name="Comma 10 29 5 2" xfId="14037" xr:uid="{00000000-0005-0000-0000-0000F0260000}"/>
    <cellStyle name="Comma 10 29 5 2 2" xfId="29629" xr:uid="{00000000-0005-0000-0000-0000F1260000}"/>
    <cellStyle name="Comma 10 29 5 2 3" xfId="45121" xr:uid="{00000000-0005-0000-0000-0000F2260000}"/>
    <cellStyle name="Comma 10 29 5 3" xfId="21889" xr:uid="{00000000-0005-0000-0000-0000F3260000}"/>
    <cellStyle name="Comma 10 29 5 4" xfId="37381" xr:uid="{00000000-0005-0000-0000-0000F4260000}"/>
    <cellStyle name="Comma 10 29 6" xfId="10167" xr:uid="{00000000-0005-0000-0000-0000F5260000}"/>
    <cellStyle name="Comma 10 29 6 2" xfId="25759" xr:uid="{00000000-0005-0000-0000-0000F6260000}"/>
    <cellStyle name="Comma 10 29 6 3" xfId="41251" xr:uid="{00000000-0005-0000-0000-0000F7260000}"/>
    <cellStyle name="Comma 10 29 7" xfId="18019" xr:uid="{00000000-0005-0000-0000-0000F8260000}"/>
    <cellStyle name="Comma 10 29 8" xfId="33511" xr:uid="{00000000-0005-0000-0000-0000F9260000}"/>
    <cellStyle name="Comma 10 3" xfId="787" xr:uid="{00000000-0005-0000-0000-0000FA260000}"/>
    <cellStyle name="Comma 10 3 2" xfId="48954" xr:uid="{00000000-0005-0000-0000-0000FB260000}"/>
    <cellStyle name="Comma 10 30" xfId="2382" xr:uid="{00000000-0005-0000-0000-0000FC260000}"/>
    <cellStyle name="Comma 10 30 2" xfId="2694" xr:uid="{00000000-0005-0000-0000-0000FD260000}"/>
    <cellStyle name="Comma 10 30 2 2" xfId="3702" xr:uid="{00000000-0005-0000-0000-0000FE260000}"/>
    <cellStyle name="Comma 10 30 2 2 2" xfId="5641" xr:uid="{00000000-0005-0000-0000-0000FF260000}"/>
    <cellStyle name="Comma 10 30 2 2 2 2" xfId="9512" xr:uid="{00000000-0005-0000-0000-000000270000}"/>
    <cellStyle name="Comma 10 30 2 2 2 2 2" xfId="17257" xr:uid="{00000000-0005-0000-0000-000001270000}"/>
    <cellStyle name="Comma 10 30 2 2 2 2 2 2" xfId="32849" xr:uid="{00000000-0005-0000-0000-000002270000}"/>
    <cellStyle name="Comma 10 30 2 2 2 2 2 3" xfId="48341" xr:uid="{00000000-0005-0000-0000-000003270000}"/>
    <cellStyle name="Comma 10 30 2 2 2 2 3" xfId="25109" xr:uid="{00000000-0005-0000-0000-000004270000}"/>
    <cellStyle name="Comma 10 30 2 2 2 2 4" xfId="40601" xr:uid="{00000000-0005-0000-0000-000005270000}"/>
    <cellStyle name="Comma 10 30 2 2 2 3" xfId="13387" xr:uid="{00000000-0005-0000-0000-000006270000}"/>
    <cellStyle name="Comma 10 30 2 2 2 3 2" xfId="28979" xr:uid="{00000000-0005-0000-0000-000007270000}"/>
    <cellStyle name="Comma 10 30 2 2 2 3 3" xfId="44471" xr:uid="{00000000-0005-0000-0000-000008270000}"/>
    <cellStyle name="Comma 10 30 2 2 2 4" xfId="21239" xr:uid="{00000000-0005-0000-0000-000009270000}"/>
    <cellStyle name="Comma 10 30 2 2 2 5" xfId="36731" xr:uid="{00000000-0005-0000-0000-00000A270000}"/>
    <cellStyle name="Comma 10 30 2 2 3" xfId="7585" xr:uid="{00000000-0005-0000-0000-00000B270000}"/>
    <cellStyle name="Comma 10 30 2 2 3 2" xfId="15330" xr:uid="{00000000-0005-0000-0000-00000C270000}"/>
    <cellStyle name="Comma 10 30 2 2 3 2 2" xfId="30922" xr:uid="{00000000-0005-0000-0000-00000D270000}"/>
    <cellStyle name="Comma 10 30 2 2 3 2 3" xfId="46414" xr:uid="{00000000-0005-0000-0000-00000E270000}"/>
    <cellStyle name="Comma 10 30 2 2 3 3" xfId="23182" xr:uid="{00000000-0005-0000-0000-00000F270000}"/>
    <cellStyle name="Comma 10 30 2 2 3 4" xfId="38674" xr:uid="{00000000-0005-0000-0000-000010270000}"/>
    <cellStyle name="Comma 10 30 2 2 4" xfId="11460" xr:uid="{00000000-0005-0000-0000-000011270000}"/>
    <cellStyle name="Comma 10 30 2 2 4 2" xfId="27052" xr:uid="{00000000-0005-0000-0000-000012270000}"/>
    <cellStyle name="Comma 10 30 2 2 4 3" xfId="42544" xr:uid="{00000000-0005-0000-0000-000013270000}"/>
    <cellStyle name="Comma 10 30 2 2 5" xfId="19312" xr:uid="{00000000-0005-0000-0000-000014270000}"/>
    <cellStyle name="Comma 10 30 2 2 6" xfId="34804" xr:uid="{00000000-0005-0000-0000-000015270000}"/>
    <cellStyle name="Comma 10 30 2 3" xfId="4693" xr:uid="{00000000-0005-0000-0000-000016270000}"/>
    <cellStyle name="Comma 10 30 2 3 2" xfId="8564" xr:uid="{00000000-0005-0000-0000-000017270000}"/>
    <cellStyle name="Comma 10 30 2 3 2 2" xfId="16309" xr:uid="{00000000-0005-0000-0000-000018270000}"/>
    <cellStyle name="Comma 10 30 2 3 2 2 2" xfId="31901" xr:uid="{00000000-0005-0000-0000-000019270000}"/>
    <cellStyle name="Comma 10 30 2 3 2 2 3" xfId="47393" xr:uid="{00000000-0005-0000-0000-00001A270000}"/>
    <cellStyle name="Comma 10 30 2 3 2 3" xfId="24161" xr:uid="{00000000-0005-0000-0000-00001B270000}"/>
    <cellStyle name="Comma 10 30 2 3 2 4" xfId="39653" xr:uid="{00000000-0005-0000-0000-00001C270000}"/>
    <cellStyle name="Comma 10 30 2 3 3" xfId="12439" xr:uid="{00000000-0005-0000-0000-00001D270000}"/>
    <cellStyle name="Comma 10 30 2 3 3 2" xfId="28031" xr:uid="{00000000-0005-0000-0000-00001E270000}"/>
    <cellStyle name="Comma 10 30 2 3 3 3" xfId="43523" xr:uid="{00000000-0005-0000-0000-00001F270000}"/>
    <cellStyle name="Comma 10 30 2 3 4" xfId="20291" xr:uid="{00000000-0005-0000-0000-000020270000}"/>
    <cellStyle name="Comma 10 30 2 3 5" xfId="35783" xr:uid="{00000000-0005-0000-0000-000021270000}"/>
    <cellStyle name="Comma 10 30 2 4" xfId="6637" xr:uid="{00000000-0005-0000-0000-000022270000}"/>
    <cellStyle name="Comma 10 30 2 4 2" xfId="14382" xr:uid="{00000000-0005-0000-0000-000023270000}"/>
    <cellStyle name="Comma 10 30 2 4 2 2" xfId="29974" xr:uid="{00000000-0005-0000-0000-000024270000}"/>
    <cellStyle name="Comma 10 30 2 4 2 3" xfId="45466" xr:uid="{00000000-0005-0000-0000-000025270000}"/>
    <cellStyle name="Comma 10 30 2 4 3" xfId="22234" xr:uid="{00000000-0005-0000-0000-000026270000}"/>
    <cellStyle name="Comma 10 30 2 4 4" xfId="37726" xr:uid="{00000000-0005-0000-0000-000027270000}"/>
    <cellStyle name="Comma 10 30 2 5" xfId="10512" xr:uid="{00000000-0005-0000-0000-000028270000}"/>
    <cellStyle name="Comma 10 30 2 5 2" xfId="26104" xr:uid="{00000000-0005-0000-0000-000029270000}"/>
    <cellStyle name="Comma 10 30 2 5 3" xfId="41596" xr:uid="{00000000-0005-0000-0000-00002A270000}"/>
    <cellStyle name="Comma 10 30 2 6" xfId="18364" xr:uid="{00000000-0005-0000-0000-00002B270000}"/>
    <cellStyle name="Comma 10 30 2 7" xfId="33856" xr:uid="{00000000-0005-0000-0000-00002C270000}"/>
    <cellStyle name="Comma 10 30 3" xfId="3393" xr:uid="{00000000-0005-0000-0000-00002D270000}"/>
    <cellStyle name="Comma 10 30 3 2" xfId="5332" xr:uid="{00000000-0005-0000-0000-00002E270000}"/>
    <cellStyle name="Comma 10 30 3 2 2" xfId="9203" xr:uid="{00000000-0005-0000-0000-00002F270000}"/>
    <cellStyle name="Comma 10 30 3 2 2 2" xfId="16948" xr:uid="{00000000-0005-0000-0000-000030270000}"/>
    <cellStyle name="Comma 10 30 3 2 2 2 2" xfId="32540" xr:uid="{00000000-0005-0000-0000-000031270000}"/>
    <cellStyle name="Comma 10 30 3 2 2 2 3" xfId="48032" xr:uid="{00000000-0005-0000-0000-000032270000}"/>
    <cellStyle name="Comma 10 30 3 2 2 3" xfId="24800" xr:uid="{00000000-0005-0000-0000-000033270000}"/>
    <cellStyle name="Comma 10 30 3 2 2 4" xfId="40292" xr:uid="{00000000-0005-0000-0000-000034270000}"/>
    <cellStyle name="Comma 10 30 3 2 3" xfId="13078" xr:uid="{00000000-0005-0000-0000-000035270000}"/>
    <cellStyle name="Comma 10 30 3 2 3 2" xfId="28670" xr:uid="{00000000-0005-0000-0000-000036270000}"/>
    <cellStyle name="Comma 10 30 3 2 3 3" xfId="44162" xr:uid="{00000000-0005-0000-0000-000037270000}"/>
    <cellStyle name="Comma 10 30 3 2 4" xfId="20930" xr:uid="{00000000-0005-0000-0000-000038270000}"/>
    <cellStyle name="Comma 10 30 3 2 5" xfId="36422" xr:uid="{00000000-0005-0000-0000-000039270000}"/>
    <cellStyle name="Comma 10 30 3 3" xfId="7276" xr:uid="{00000000-0005-0000-0000-00003A270000}"/>
    <cellStyle name="Comma 10 30 3 3 2" xfId="15021" xr:uid="{00000000-0005-0000-0000-00003B270000}"/>
    <cellStyle name="Comma 10 30 3 3 2 2" xfId="30613" xr:uid="{00000000-0005-0000-0000-00003C270000}"/>
    <cellStyle name="Comma 10 30 3 3 2 3" xfId="46105" xr:uid="{00000000-0005-0000-0000-00003D270000}"/>
    <cellStyle name="Comma 10 30 3 3 3" xfId="22873" xr:uid="{00000000-0005-0000-0000-00003E270000}"/>
    <cellStyle name="Comma 10 30 3 3 4" xfId="38365" xr:uid="{00000000-0005-0000-0000-00003F270000}"/>
    <cellStyle name="Comma 10 30 3 4" xfId="11151" xr:uid="{00000000-0005-0000-0000-000040270000}"/>
    <cellStyle name="Comma 10 30 3 4 2" xfId="26743" xr:uid="{00000000-0005-0000-0000-000041270000}"/>
    <cellStyle name="Comma 10 30 3 4 3" xfId="42235" xr:uid="{00000000-0005-0000-0000-000042270000}"/>
    <cellStyle name="Comma 10 30 3 5" xfId="19003" xr:uid="{00000000-0005-0000-0000-000043270000}"/>
    <cellStyle name="Comma 10 30 3 6" xfId="34495" xr:uid="{00000000-0005-0000-0000-000044270000}"/>
    <cellStyle name="Comma 10 30 4" xfId="4384" xr:uid="{00000000-0005-0000-0000-000045270000}"/>
    <cellStyle name="Comma 10 30 4 2" xfId="8255" xr:uid="{00000000-0005-0000-0000-000046270000}"/>
    <cellStyle name="Comma 10 30 4 2 2" xfId="16000" xr:uid="{00000000-0005-0000-0000-000047270000}"/>
    <cellStyle name="Comma 10 30 4 2 2 2" xfId="31592" xr:uid="{00000000-0005-0000-0000-000048270000}"/>
    <cellStyle name="Comma 10 30 4 2 2 3" xfId="47084" xr:uid="{00000000-0005-0000-0000-000049270000}"/>
    <cellStyle name="Comma 10 30 4 2 3" xfId="23852" xr:uid="{00000000-0005-0000-0000-00004A270000}"/>
    <cellStyle name="Comma 10 30 4 2 4" xfId="39344" xr:uid="{00000000-0005-0000-0000-00004B270000}"/>
    <cellStyle name="Comma 10 30 4 3" xfId="12130" xr:uid="{00000000-0005-0000-0000-00004C270000}"/>
    <cellStyle name="Comma 10 30 4 3 2" xfId="27722" xr:uid="{00000000-0005-0000-0000-00004D270000}"/>
    <cellStyle name="Comma 10 30 4 3 3" xfId="43214" xr:uid="{00000000-0005-0000-0000-00004E270000}"/>
    <cellStyle name="Comma 10 30 4 4" xfId="19982" xr:uid="{00000000-0005-0000-0000-00004F270000}"/>
    <cellStyle name="Comma 10 30 4 5" xfId="35474" xr:uid="{00000000-0005-0000-0000-000050270000}"/>
    <cellStyle name="Comma 10 30 5" xfId="6328" xr:uid="{00000000-0005-0000-0000-000051270000}"/>
    <cellStyle name="Comma 10 30 5 2" xfId="14073" xr:uid="{00000000-0005-0000-0000-000052270000}"/>
    <cellStyle name="Comma 10 30 5 2 2" xfId="29665" xr:uid="{00000000-0005-0000-0000-000053270000}"/>
    <cellStyle name="Comma 10 30 5 2 3" xfId="45157" xr:uid="{00000000-0005-0000-0000-000054270000}"/>
    <cellStyle name="Comma 10 30 5 3" xfId="21925" xr:uid="{00000000-0005-0000-0000-000055270000}"/>
    <cellStyle name="Comma 10 30 5 4" xfId="37417" xr:uid="{00000000-0005-0000-0000-000056270000}"/>
    <cellStyle name="Comma 10 30 6" xfId="10203" xr:uid="{00000000-0005-0000-0000-000057270000}"/>
    <cellStyle name="Comma 10 30 6 2" xfId="25795" xr:uid="{00000000-0005-0000-0000-000058270000}"/>
    <cellStyle name="Comma 10 30 6 3" xfId="41287" xr:uid="{00000000-0005-0000-0000-000059270000}"/>
    <cellStyle name="Comma 10 30 7" xfId="18055" xr:uid="{00000000-0005-0000-0000-00005A270000}"/>
    <cellStyle name="Comma 10 30 8" xfId="33547" xr:uid="{00000000-0005-0000-0000-00005B270000}"/>
    <cellStyle name="Comma 10 31" xfId="2420" xr:uid="{00000000-0005-0000-0000-00005C270000}"/>
    <cellStyle name="Comma 10 31 2" xfId="2730" xr:uid="{00000000-0005-0000-0000-00005D270000}"/>
    <cellStyle name="Comma 10 31 2 2" xfId="3738" xr:uid="{00000000-0005-0000-0000-00005E270000}"/>
    <cellStyle name="Comma 10 31 2 2 2" xfId="5677" xr:uid="{00000000-0005-0000-0000-00005F270000}"/>
    <cellStyle name="Comma 10 31 2 2 2 2" xfId="9548" xr:uid="{00000000-0005-0000-0000-000060270000}"/>
    <cellStyle name="Comma 10 31 2 2 2 2 2" xfId="17293" xr:uid="{00000000-0005-0000-0000-000061270000}"/>
    <cellStyle name="Comma 10 31 2 2 2 2 2 2" xfId="32885" xr:uid="{00000000-0005-0000-0000-000062270000}"/>
    <cellStyle name="Comma 10 31 2 2 2 2 2 3" xfId="48377" xr:uid="{00000000-0005-0000-0000-000063270000}"/>
    <cellStyle name="Comma 10 31 2 2 2 2 3" xfId="25145" xr:uid="{00000000-0005-0000-0000-000064270000}"/>
    <cellStyle name="Comma 10 31 2 2 2 2 4" xfId="40637" xr:uid="{00000000-0005-0000-0000-000065270000}"/>
    <cellStyle name="Comma 10 31 2 2 2 3" xfId="13423" xr:uid="{00000000-0005-0000-0000-000066270000}"/>
    <cellStyle name="Comma 10 31 2 2 2 3 2" xfId="29015" xr:uid="{00000000-0005-0000-0000-000067270000}"/>
    <cellStyle name="Comma 10 31 2 2 2 3 3" xfId="44507" xr:uid="{00000000-0005-0000-0000-000068270000}"/>
    <cellStyle name="Comma 10 31 2 2 2 4" xfId="21275" xr:uid="{00000000-0005-0000-0000-000069270000}"/>
    <cellStyle name="Comma 10 31 2 2 2 5" xfId="36767" xr:uid="{00000000-0005-0000-0000-00006A270000}"/>
    <cellStyle name="Comma 10 31 2 2 3" xfId="7621" xr:uid="{00000000-0005-0000-0000-00006B270000}"/>
    <cellStyle name="Comma 10 31 2 2 3 2" xfId="15366" xr:uid="{00000000-0005-0000-0000-00006C270000}"/>
    <cellStyle name="Comma 10 31 2 2 3 2 2" xfId="30958" xr:uid="{00000000-0005-0000-0000-00006D270000}"/>
    <cellStyle name="Comma 10 31 2 2 3 2 3" xfId="46450" xr:uid="{00000000-0005-0000-0000-00006E270000}"/>
    <cellStyle name="Comma 10 31 2 2 3 3" xfId="23218" xr:uid="{00000000-0005-0000-0000-00006F270000}"/>
    <cellStyle name="Comma 10 31 2 2 3 4" xfId="38710" xr:uid="{00000000-0005-0000-0000-000070270000}"/>
    <cellStyle name="Comma 10 31 2 2 4" xfId="11496" xr:uid="{00000000-0005-0000-0000-000071270000}"/>
    <cellStyle name="Comma 10 31 2 2 4 2" xfId="27088" xr:uid="{00000000-0005-0000-0000-000072270000}"/>
    <cellStyle name="Comma 10 31 2 2 4 3" xfId="42580" xr:uid="{00000000-0005-0000-0000-000073270000}"/>
    <cellStyle name="Comma 10 31 2 2 5" xfId="19348" xr:uid="{00000000-0005-0000-0000-000074270000}"/>
    <cellStyle name="Comma 10 31 2 2 6" xfId="34840" xr:uid="{00000000-0005-0000-0000-000075270000}"/>
    <cellStyle name="Comma 10 31 2 3" xfId="4729" xr:uid="{00000000-0005-0000-0000-000076270000}"/>
    <cellStyle name="Comma 10 31 2 3 2" xfId="8600" xr:uid="{00000000-0005-0000-0000-000077270000}"/>
    <cellStyle name="Comma 10 31 2 3 2 2" xfId="16345" xr:uid="{00000000-0005-0000-0000-000078270000}"/>
    <cellStyle name="Comma 10 31 2 3 2 2 2" xfId="31937" xr:uid="{00000000-0005-0000-0000-000079270000}"/>
    <cellStyle name="Comma 10 31 2 3 2 2 3" xfId="47429" xr:uid="{00000000-0005-0000-0000-00007A270000}"/>
    <cellStyle name="Comma 10 31 2 3 2 3" xfId="24197" xr:uid="{00000000-0005-0000-0000-00007B270000}"/>
    <cellStyle name="Comma 10 31 2 3 2 4" xfId="39689" xr:uid="{00000000-0005-0000-0000-00007C270000}"/>
    <cellStyle name="Comma 10 31 2 3 3" xfId="12475" xr:uid="{00000000-0005-0000-0000-00007D270000}"/>
    <cellStyle name="Comma 10 31 2 3 3 2" xfId="28067" xr:uid="{00000000-0005-0000-0000-00007E270000}"/>
    <cellStyle name="Comma 10 31 2 3 3 3" xfId="43559" xr:uid="{00000000-0005-0000-0000-00007F270000}"/>
    <cellStyle name="Comma 10 31 2 3 4" xfId="20327" xr:uid="{00000000-0005-0000-0000-000080270000}"/>
    <cellStyle name="Comma 10 31 2 3 5" xfId="35819" xr:uid="{00000000-0005-0000-0000-000081270000}"/>
    <cellStyle name="Comma 10 31 2 4" xfId="6673" xr:uid="{00000000-0005-0000-0000-000082270000}"/>
    <cellStyle name="Comma 10 31 2 4 2" xfId="14418" xr:uid="{00000000-0005-0000-0000-000083270000}"/>
    <cellStyle name="Comma 10 31 2 4 2 2" xfId="30010" xr:uid="{00000000-0005-0000-0000-000084270000}"/>
    <cellStyle name="Comma 10 31 2 4 2 3" xfId="45502" xr:uid="{00000000-0005-0000-0000-000085270000}"/>
    <cellStyle name="Comma 10 31 2 4 3" xfId="22270" xr:uid="{00000000-0005-0000-0000-000086270000}"/>
    <cellStyle name="Comma 10 31 2 4 4" xfId="37762" xr:uid="{00000000-0005-0000-0000-000087270000}"/>
    <cellStyle name="Comma 10 31 2 5" xfId="10548" xr:uid="{00000000-0005-0000-0000-000088270000}"/>
    <cellStyle name="Comma 10 31 2 5 2" xfId="26140" xr:uid="{00000000-0005-0000-0000-000089270000}"/>
    <cellStyle name="Comma 10 31 2 5 3" xfId="41632" xr:uid="{00000000-0005-0000-0000-00008A270000}"/>
    <cellStyle name="Comma 10 31 2 6" xfId="18400" xr:uid="{00000000-0005-0000-0000-00008B270000}"/>
    <cellStyle name="Comma 10 31 2 7" xfId="33892" xr:uid="{00000000-0005-0000-0000-00008C270000}"/>
    <cellStyle name="Comma 10 31 3" xfId="3429" xr:uid="{00000000-0005-0000-0000-00008D270000}"/>
    <cellStyle name="Comma 10 31 3 2" xfId="5368" xr:uid="{00000000-0005-0000-0000-00008E270000}"/>
    <cellStyle name="Comma 10 31 3 2 2" xfId="9239" xr:uid="{00000000-0005-0000-0000-00008F270000}"/>
    <cellStyle name="Comma 10 31 3 2 2 2" xfId="16984" xr:uid="{00000000-0005-0000-0000-000090270000}"/>
    <cellStyle name="Comma 10 31 3 2 2 2 2" xfId="32576" xr:uid="{00000000-0005-0000-0000-000091270000}"/>
    <cellStyle name="Comma 10 31 3 2 2 2 3" xfId="48068" xr:uid="{00000000-0005-0000-0000-000092270000}"/>
    <cellStyle name="Comma 10 31 3 2 2 3" xfId="24836" xr:uid="{00000000-0005-0000-0000-000093270000}"/>
    <cellStyle name="Comma 10 31 3 2 2 4" xfId="40328" xr:uid="{00000000-0005-0000-0000-000094270000}"/>
    <cellStyle name="Comma 10 31 3 2 3" xfId="13114" xr:uid="{00000000-0005-0000-0000-000095270000}"/>
    <cellStyle name="Comma 10 31 3 2 3 2" xfId="28706" xr:uid="{00000000-0005-0000-0000-000096270000}"/>
    <cellStyle name="Comma 10 31 3 2 3 3" xfId="44198" xr:uid="{00000000-0005-0000-0000-000097270000}"/>
    <cellStyle name="Comma 10 31 3 2 4" xfId="20966" xr:uid="{00000000-0005-0000-0000-000098270000}"/>
    <cellStyle name="Comma 10 31 3 2 5" xfId="36458" xr:uid="{00000000-0005-0000-0000-000099270000}"/>
    <cellStyle name="Comma 10 31 3 3" xfId="7312" xr:uid="{00000000-0005-0000-0000-00009A270000}"/>
    <cellStyle name="Comma 10 31 3 3 2" xfId="15057" xr:uid="{00000000-0005-0000-0000-00009B270000}"/>
    <cellStyle name="Comma 10 31 3 3 2 2" xfId="30649" xr:uid="{00000000-0005-0000-0000-00009C270000}"/>
    <cellStyle name="Comma 10 31 3 3 2 3" xfId="46141" xr:uid="{00000000-0005-0000-0000-00009D270000}"/>
    <cellStyle name="Comma 10 31 3 3 3" xfId="22909" xr:uid="{00000000-0005-0000-0000-00009E270000}"/>
    <cellStyle name="Comma 10 31 3 3 4" xfId="38401" xr:uid="{00000000-0005-0000-0000-00009F270000}"/>
    <cellStyle name="Comma 10 31 3 4" xfId="11187" xr:uid="{00000000-0005-0000-0000-0000A0270000}"/>
    <cellStyle name="Comma 10 31 3 4 2" xfId="26779" xr:uid="{00000000-0005-0000-0000-0000A1270000}"/>
    <cellStyle name="Comma 10 31 3 4 3" xfId="42271" xr:uid="{00000000-0005-0000-0000-0000A2270000}"/>
    <cellStyle name="Comma 10 31 3 5" xfId="19039" xr:uid="{00000000-0005-0000-0000-0000A3270000}"/>
    <cellStyle name="Comma 10 31 3 6" xfId="34531" xr:uid="{00000000-0005-0000-0000-0000A4270000}"/>
    <cellStyle name="Comma 10 31 4" xfId="4420" xr:uid="{00000000-0005-0000-0000-0000A5270000}"/>
    <cellStyle name="Comma 10 31 4 2" xfId="8291" xr:uid="{00000000-0005-0000-0000-0000A6270000}"/>
    <cellStyle name="Comma 10 31 4 2 2" xfId="16036" xr:uid="{00000000-0005-0000-0000-0000A7270000}"/>
    <cellStyle name="Comma 10 31 4 2 2 2" xfId="31628" xr:uid="{00000000-0005-0000-0000-0000A8270000}"/>
    <cellStyle name="Comma 10 31 4 2 2 3" xfId="47120" xr:uid="{00000000-0005-0000-0000-0000A9270000}"/>
    <cellStyle name="Comma 10 31 4 2 3" xfId="23888" xr:uid="{00000000-0005-0000-0000-0000AA270000}"/>
    <cellStyle name="Comma 10 31 4 2 4" xfId="39380" xr:uid="{00000000-0005-0000-0000-0000AB270000}"/>
    <cellStyle name="Comma 10 31 4 3" xfId="12166" xr:uid="{00000000-0005-0000-0000-0000AC270000}"/>
    <cellStyle name="Comma 10 31 4 3 2" xfId="27758" xr:uid="{00000000-0005-0000-0000-0000AD270000}"/>
    <cellStyle name="Comma 10 31 4 3 3" xfId="43250" xr:uid="{00000000-0005-0000-0000-0000AE270000}"/>
    <cellStyle name="Comma 10 31 4 4" xfId="20018" xr:uid="{00000000-0005-0000-0000-0000AF270000}"/>
    <cellStyle name="Comma 10 31 4 5" xfId="35510" xr:uid="{00000000-0005-0000-0000-0000B0270000}"/>
    <cellStyle name="Comma 10 31 5" xfId="6364" xr:uid="{00000000-0005-0000-0000-0000B1270000}"/>
    <cellStyle name="Comma 10 31 5 2" xfId="14109" xr:uid="{00000000-0005-0000-0000-0000B2270000}"/>
    <cellStyle name="Comma 10 31 5 2 2" xfId="29701" xr:uid="{00000000-0005-0000-0000-0000B3270000}"/>
    <cellStyle name="Comma 10 31 5 2 3" xfId="45193" xr:uid="{00000000-0005-0000-0000-0000B4270000}"/>
    <cellStyle name="Comma 10 31 5 3" xfId="21961" xr:uid="{00000000-0005-0000-0000-0000B5270000}"/>
    <cellStyle name="Comma 10 31 5 4" xfId="37453" xr:uid="{00000000-0005-0000-0000-0000B6270000}"/>
    <cellStyle name="Comma 10 31 6" xfId="10239" xr:uid="{00000000-0005-0000-0000-0000B7270000}"/>
    <cellStyle name="Comma 10 31 6 2" xfId="25831" xr:uid="{00000000-0005-0000-0000-0000B8270000}"/>
    <cellStyle name="Comma 10 31 6 3" xfId="41323" xr:uid="{00000000-0005-0000-0000-0000B9270000}"/>
    <cellStyle name="Comma 10 31 7" xfId="18091" xr:uid="{00000000-0005-0000-0000-0000BA270000}"/>
    <cellStyle name="Comma 10 31 8" xfId="33583" xr:uid="{00000000-0005-0000-0000-0000BB270000}"/>
    <cellStyle name="Comma 10 32" xfId="2457" xr:uid="{00000000-0005-0000-0000-0000BC270000}"/>
    <cellStyle name="Comma 10 32 2" xfId="2766" xr:uid="{00000000-0005-0000-0000-0000BD270000}"/>
    <cellStyle name="Comma 10 32 2 2" xfId="3774" xr:uid="{00000000-0005-0000-0000-0000BE270000}"/>
    <cellStyle name="Comma 10 32 2 2 2" xfId="5713" xr:uid="{00000000-0005-0000-0000-0000BF270000}"/>
    <cellStyle name="Comma 10 32 2 2 2 2" xfId="9584" xr:uid="{00000000-0005-0000-0000-0000C0270000}"/>
    <cellStyle name="Comma 10 32 2 2 2 2 2" xfId="17329" xr:uid="{00000000-0005-0000-0000-0000C1270000}"/>
    <cellStyle name="Comma 10 32 2 2 2 2 2 2" xfId="32921" xr:uid="{00000000-0005-0000-0000-0000C2270000}"/>
    <cellStyle name="Comma 10 32 2 2 2 2 2 3" xfId="48413" xr:uid="{00000000-0005-0000-0000-0000C3270000}"/>
    <cellStyle name="Comma 10 32 2 2 2 2 3" xfId="25181" xr:uid="{00000000-0005-0000-0000-0000C4270000}"/>
    <cellStyle name="Comma 10 32 2 2 2 2 4" xfId="40673" xr:uid="{00000000-0005-0000-0000-0000C5270000}"/>
    <cellStyle name="Comma 10 32 2 2 2 3" xfId="13459" xr:uid="{00000000-0005-0000-0000-0000C6270000}"/>
    <cellStyle name="Comma 10 32 2 2 2 3 2" xfId="29051" xr:uid="{00000000-0005-0000-0000-0000C7270000}"/>
    <cellStyle name="Comma 10 32 2 2 2 3 3" xfId="44543" xr:uid="{00000000-0005-0000-0000-0000C8270000}"/>
    <cellStyle name="Comma 10 32 2 2 2 4" xfId="21311" xr:uid="{00000000-0005-0000-0000-0000C9270000}"/>
    <cellStyle name="Comma 10 32 2 2 2 5" xfId="36803" xr:uid="{00000000-0005-0000-0000-0000CA270000}"/>
    <cellStyle name="Comma 10 32 2 2 3" xfId="7657" xr:uid="{00000000-0005-0000-0000-0000CB270000}"/>
    <cellStyle name="Comma 10 32 2 2 3 2" xfId="15402" xr:uid="{00000000-0005-0000-0000-0000CC270000}"/>
    <cellStyle name="Comma 10 32 2 2 3 2 2" xfId="30994" xr:uid="{00000000-0005-0000-0000-0000CD270000}"/>
    <cellStyle name="Comma 10 32 2 2 3 2 3" xfId="46486" xr:uid="{00000000-0005-0000-0000-0000CE270000}"/>
    <cellStyle name="Comma 10 32 2 2 3 3" xfId="23254" xr:uid="{00000000-0005-0000-0000-0000CF270000}"/>
    <cellStyle name="Comma 10 32 2 2 3 4" xfId="38746" xr:uid="{00000000-0005-0000-0000-0000D0270000}"/>
    <cellStyle name="Comma 10 32 2 2 4" xfId="11532" xr:uid="{00000000-0005-0000-0000-0000D1270000}"/>
    <cellStyle name="Comma 10 32 2 2 4 2" xfId="27124" xr:uid="{00000000-0005-0000-0000-0000D2270000}"/>
    <cellStyle name="Comma 10 32 2 2 4 3" xfId="42616" xr:uid="{00000000-0005-0000-0000-0000D3270000}"/>
    <cellStyle name="Comma 10 32 2 2 5" xfId="19384" xr:uid="{00000000-0005-0000-0000-0000D4270000}"/>
    <cellStyle name="Comma 10 32 2 2 6" xfId="34876" xr:uid="{00000000-0005-0000-0000-0000D5270000}"/>
    <cellStyle name="Comma 10 32 2 3" xfId="4765" xr:uid="{00000000-0005-0000-0000-0000D6270000}"/>
    <cellStyle name="Comma 10 32 2 3 2" xfId="8636" xr:uid="{00000000-0005-0000-0000-0000D7270000}"/>
    <cellStyle name="Comma 10 32 2 3 2 2" xfId="16381" xr:uid="{00000000-0005-0000-0000-0000D8270000}"/>
    <cellStyle name="Comma 10 32 2 3 2 2 2" xfId="31973" xr:uid="{00000000-0005-0000-0000-0000D9270000}"/>
    <cellStyle name="Comma 10 32 2 3 2 2 3" xfId="47465" xr:uid="{00000000-0005-0000-0000-0000DA270000}"/>
    <cellStyle name="Comma 10 32 2 3 2 3" xfId="24233" xr:uid="{00000000-0005-0000-0000-0000DB270000}"/>
    <cellStyle name="Comma 10 32 2 3 2 4" xfId="39725" xr:uid="{00000000-0005-0000-0000-0000DC270000}"/>
    <cellStyle name="Comma 10 32 2 3 3" xfId="12511" xr:uid="{00000000-0005-0000-0000-0000DD270000}"/>
    <cellStyle name="Comma 10 32 2 3 3 2" xfId="28103" xr:uid="{00000000-0005-0000-0000-0000DE270000}"/>
    <cellStyle name="Comma 10 32 2 3 3 3" xfId="43595" xr:uid="{00000000-0005-0000-0000-0000DF270000}"/>
    <cellStyle name="Comma 10 32 2 3 4" xfId="20363" xr:uid="{00000000-0005-0000-0000-0000E0270000}"/>
    <cellStyle name="Comma 10 32 2 3 5" xfId="35855" xr:uid="{00000000-0005-0000-0000-0000E1270000}"/>
    <cellStyle name="Comma 10 32 2 4" xfId="6709" xr:uid="{00000000-0005-0000-0000-0000E2270000}"/>
    <cellStyle name="Comma 10 32 2 4 2" xfId="14454" xr:uid="{00000000-0005-0000-0000-0000E3270000}"/>
    <cellStyle name="Comma 10 32 2 4 2 2" xfId="30046" xr:uid="{00000000-0005-0000-0000-0000E4270000}"/>
    <cellStyle name="Comma 10 32 2 4 2 3" xfId="45538" xr:uid="{00000000-0005-0000-0000-0000E5270000}"/>
    <cellStyle name="Comma 10 32 2 4 3" xfId="22306" xr:uid="{00000000-0005-0000-0000-0000E6270000}"/>
    <cellStyle name="Comma 10 32 2 4 4" xfId="37798" xr:uid="{00000000-0005-0000-0000-0000E7270000}"/>
    <cellStyle name="Comma 10 32 2 5" xfId="10584" xr:uid="{00000000-0005-0000-0000-0000E8270000}"/>
    <cellStyle name="Comma 10 32 2 5 2" xfId="26176" xr:uid="{00000000-0005-0000-0000-0000E9270000}"/>
    <cellStyle name="Comma 10 32 2 5 3" xfId="41668" xr:uid="{00000000-0005-0000-0000-0000EA270000}"/>
    <cellStyle name="Comma 10 32 2 6" xfId="18436" xr:uid="{00000000-0005-0000-0000-0000EB270000}"/>
    <cellStyle name="Comma 10 32 2 7" xfId="33928" xr:uid="{00000000-0005-0000-0000-0000EC270000}"/>
    <cellStyle name="Comma 10 32 3" xfId="3465" xr:uid="{00000000-0005-0000-0000-0000ED270000}"/>
    <cellStyle name="Comma 10 32 3 2" xfId="5404" xr:uid="{00000000-0005-0000-0000-0000EE270000}"/>
    <cellStyle name="Comma 10 32 3 2 2" xfId="9275" xr:uid="{00000000-0005-0000-0000-0000EF270000}"/>
    <cellStyle name="Comma 10 32 3 2 2 2" xfId="17020" xr:uid="{00000000-0005-0000-0000-0000F0270000}"/>
    <cellStyle name="Comma 10 32 3 2 2 2 2" xfId="32612" xr:uid="{00000000-0005-0000-0000-0000F1270000}"/>
    <cellStyle name="Comma 10 32 3 2 2 2 3" xfId="48104" xr:uid="{00000000-0005-0000-0000-0000F2270000}"/>
    <cellStyle name="Comma 10 32 3 2 2 3" xfId="24872" xr:uid="{00000000-0005-0000-0000-0000F3270000}"/>
    <cellStyle name="Comma 10 32 3 2 2 4" xfId="40364" xr:uid="{00000000-0005-0000-0000-0000F4270000}"/>
    <cellStyle name="Comma 10 32 3 2 3" xfId="13150" xr:uid="{00000000-0005-0000-0000-0000F5270000}"/>
    <cellStyle name="Comma 10 32 3 2 3 2" xfId="28742" xr:uid="{00000000-0005-0000-0000-0000F6270000}"/>
    <cellStyle name="Comma 10 32 3 2 3 3" xfId="44234" xr:uid="{00000000-0005-0000-0000-0000F7270000}"/>
    <cellStyle name="Comma 10 32 3 2 4" xfId="21002" xr:uid="{00000000-0005-0000-0000-0000F8270000}"/>
    <cellStyle name="Comma 10 32 3 2 5" xfId="36494" xr:uid="{00000000-0005-0000-0000-0000F9270000}"/>
    <cellStyle name="Comma 10 32 3 3" xfId="7348" xr:uid="{00000000-0005-0000-0000-0000FA270000}"/>
    <cellStyle name="Comma 10 32 3 3 2" xfId="15093" xr:uid="{00000000-0005-0000-0000-0000FB270000}"/>
    <cellStyle name="Comma 10 32 3 3 2 2" xfId="30685" xr:uid="{00000000-0005-0000-0000-0000FC270000}"/>
    <cellStyle name="Comma 10 32 3 3 2 3" xfId="46177" xr:uid="{00000000-0005-0000-0000-0000FD270000}"/>
    <cellStyle name="Comma 10 32 3 3 3" xfId="22945" xr:uid="{00000000-0005-0000-0000-0000FE270000}"/>
    <cellStyle name="Comma 10 32 3 3 4" xfId="38437" xr:uid="{00000000-0005-0000-0000-0000FF270000}"/>
    <cellStyle name="Comma 10 32 3 4" xfId="11223" xr:uid="{00000000-0005-0000-0000-000000280000}"/>
    <cellStyle name="Comma 10 32 3 4 2" xfId="26815" xr:uid="{00000000-0005-0000-0000-000001280000}"/>
    <cellStyle name="Comma 10 32 3 4 3" xfId="42307" xr:uid="{00000000-0005-0000-0000-000002280000}"/>
    <cellStyle name="Comma 10 32 3 5" xfId="19075" xr:uid="{00000000-0005-0000-0000-000003280000}"/>
    <cellStyle name="Comma 10 32 3 6" xfId="34567" xr:uid="{00000000-0005-0000-0000-000004280000}"/>
    <cellStyle name="Comma 10 32 4" xfId="4456" xr:uid="{00000000-0005-0000-0000-000005280000}"/>
    <cellStyle name="Comma 10 32 4 2" xfId="8327" xr:uid="{00000000-0005-0000-0000-000006280000}"/>
    <cellStyle name="Comma 10 32 4 2 2" xfId="16072" xr:uid="{00000000-0005-0000-0000-000007280000}"/>
    <cellStyle name="Comma 10 32 4 2 2 2" xfId="31664" xr:uid="{00000000-0005-0000-0000-000008280000}"/>
    <cellStyle name="Comma 10 32 4 2 2 3" xfId="47156" xr:uid="{00000000-0005-0000-0000-000009280000}"/>
    <cellStyle name="Comma 10 32 4 2 3" xfId="23924" xr:uid="{00000000-0005-0000-0000-00000A280000}"/>
    <cellStyle name="Comma 10 32 4 2 4" xfId="39416" xr:uid="{00000000-0005-0000-0000-00000B280000}"/>
    <cellStyle name="Comma 10 32 4 3" xfId="12202" xr:uid="{00000000-0005-0000-0000-00000C280000}"/>
    <cellStyle name="Comma 10 32 4 3 2" xfId="27794" xr:uid="{00000000-0005-0000-0000-00000D280000}"/>
    <cellStyle name="Comma 10 32 4 3 3" xfId="43286" xr:uid="{00000000-0005-0000-0000-00000E280000}"/>
    <cellStyle name="Comma 10 32 4 4" xfId="20054" xr:uid="{00000000-0005-0000-0000-00000F280000}"/>
    <cellStyle name="Comma 10 32 4 5" xfId="35546" xr:uid="{00000000-0005-0000-0000-000010280000}"/>
    <cellStyle name="Comma 10 32 5" xfId="6400" xr:uid="{00000000-0005-0000-0000-000011280000}"/>
    <cellStyle name="Comma 10 32 5 2" xfId="14145" xr:uid="{00000000-0005-0000-0000-000012280000}"/>
    <cellStyle name="Comma 10 32 5 2 2" xfId="29737" xr:uid="{00000000-0005-0000-0000-000013280000}"/>
    <cellStyle name="Comma 10 32 5 2 3" xfId="45229" xr:uid="{00000000-0005-0000-0000-000014280000}"/>
    <cellStyle name="Comma 10 32 5 3" xfId="21997" xr:uid="{00000000-0005-0000-0000-000015280000}"/>
    <cellStyle name="Comma 10 32 5 4" xfId="37489" xr:uid="{00000000-0005-0000-0000-000016280000}"/>
    <cellStyle name="Comma 10 32 6" xfId="10275" xr:uid="{00000000-0005-0000-0000-000017280000}"/>
    <cellStyle name="Comma 10 32 6 2" xfId="25867" xr:uid="{00000000-0005-0000-0000-000018280000}"/>
    <cellStyle name="Comma 10 32 6 3" xfId="41359" xr:uid="{00000000-0005-0000-0000-000019280000}"/>
    <cellStyle name="Comma 10 32 7" xfId="18127" xr:uid="{00000000-0005-0000-0000-00001A280000}"/>
    <cellStyle name="Comma 10 32 8" xfId="33619" xr:uid="{00000000-0005-0000-0000-00001B280000}"/>
    <cellStyle name="Comma 10 33" xfId="2803" xr:uid="{00000000-0005-0000-0000-00001C280000}"/>
    <cellStyle name="Comma 10 33 2" xfId="3810" xr:uid="{00000000-0005-0000-0000-00001D280000}"/>
    <cellStyle name="Comma 10 33 2 2" xfId="5749" xr:uid="{00000000-0005-0000-0000-00001E280000}"/>
    <cellStyle name="Comma 10 33 2 2 2" xfId="9620" xr:uid="{00000000-0005-0000-0000-00001F280000}"/>
    <cellStyle name="Comma 10 33 2 2 2 2" xfId="17365" xr:uid="{00000000-0005-0000-0000-000020280000}"/>
    <cellStyle name="Comma 10 33 2 2 2 2 2" xfId="32957" xr:uid="{00000000-0005-0000-0000-000021280000}"/>
    <cellStyle name="Comma 10 33 2 2 2 2 3" xfId="48449" xr:uid="{00000000-0005-0000-0000-000022280000}"/>
    <cellStyle name="Comma 10 33 2 2 2 3" xfId="25217" xr:uid="{00000000-0005-0000-0000-000023280000}"/>
    <cellStyle name="Comma 10 33 2 2 2 4" xfId="40709" xr:uid="{00000000-0005-0000-0000-000024280000}"/>
    <cellStyle name="Comma 10 33 2 2 3" xfId="13495" xr:uid="{00000000-0005-0000-0000-000025280000}"/>
    <cellStyle name="Comma 10 33 2 2 3 2" xfId="29087" xr:uid="{00000000-0005-0000-0000-000026280000}"/>
    <cellStyle name="Comma 10 33 2 2 3 3" xfId="44579" xr:uid="{00000000-0005-0000-0000-000027280000}"/>
    <cellStyle name="Comma 10 33 2 2 4" xfId="21347" xr:uid="{00000000-0005-0000-0000-000028280000}"/>
    <cellStyle name="Comma 10 33 2 2 5" xfId="36839" xr:uid="{00000000-0005-0000-0000-000029280000}"/>
    <cellStyle name="Comma 10 33 2 3" xfId="7693" xr:uid="{00000000-0005-0000-0000-00002A280000}"/>
    <cellStyle name="Comma 10 33 2 3 2" xfId="15438" xr:uid="{00000000-0005-0000-0000-00002B280000}"/>
    <cellStyle name="Comma 10 33 2 3 2 2" xfId="31030" xr:uid="{00000000-0005-0000-0000-00002C280000}"/>
    <cellStyle name="Comma 10 33 2 3 2 3" xfId="46522" xr:uid="{00000000-0005-0000-0000-00002D280000}"/>
    <cellStyle name="Comma 10 33 2 3 3" xfId="23290" xr:uid="{00000000-0005-0000-0000-00002E280000}"/>
    <cellStyle name="Comma 10 33 2 3 4" xfId="38782" xr:uid="{00000000-0005-0000-0000-00002F280000}"/>
    <cellStyle name="Comma 10 33 2 4" xfId="11568" xr:uid="{00000000-0005-0000-0000-000030280000}"/>
    <cellStyle name="Comma 10 33 2 4 2" xfId="27160" xr:uid="{00000000-0005-0000-0000-000031280000}"/>
    <cellStyle name="Comma 10 33 2 4 3" xfId="42652" xr:uid="{00000000-0005-0000-0000-000032280000}"/>
    <cellStyle name="Comma 10 33 2 5" xfId="19420" xr:uid="{00000000-0005-0000-0000-000033280000}"/>
    <cellStyle name="Comma 10 33 2 6" xfId="34912" xr:uid="{00000000-0005-0000-0000-000034280000}"/>
    <cellStyle name="Comma 10 33 3" xfId="4801" xr:uid="{00000000-0005-0000-0000-000035280000}"/>
    <cellStyle name="Comma 10 33 3 2" xfId="8672" xr:uid="{00000000-0005-0000-0000-000036280000}"/>
    <cellStyle name="Comma 10 33 3 2 2" xfId="16417" xr:uid="{00000000-0005-0000-0000-000037280000}"/>
    <cellStyle name="Comma 10 33 3 2 2 2" xfId="32009" xr:uid="{00000000-0005-0000-0000-000038280000}"/>
    <cellStyle name="Comma 10 33 3 2 2 3" xfId="47501" xr:uid="{00000000-0005-0000-0000-000039280000}"/>
    <cellStyle name="Comma 10 33 3 2 3" xfId="24269" xr:uid="{00000000-0005-0000-0000-00003A280000}"/>
    <cellStyle name="Comma 10 33 3 2 4" xfId="39761" xr:uid="{00000000-0005-0000-0000-00003B280000}"/>
    <cellStyle name="Comma 10 33 3 3" xfId="12547" xr:uid="{00000000-0005-0000-0000-00003C280000}"/>
    <cellStyle name="Comma 10 33 3 3 2" xfId="28139" xr:uid="{00000000-0005-0000-0000-00003D280000}"/>
    <cellStyle name="Comma 10 33 3 3 3" xfId="43631" xr:uid="{00000000-0005-0000-0000-00003E280000}"/>
    <cellStyle name="Comma 10 33 3 4" xfId="20399" xr:uid="{00000000-0005-0000-0000-00003F280000}"/>
    <cellStyle name="Comma 10 33 3 5" xfId="35891" xr:uid="{00000000-0005-0000-0000-000040280000}"/>
    <cellStyle name="Comma 10 33 4" xfId="6745" xr:uid="{00000000-0005-0000-0000-000041280000}"/>
    <cellStyle name="Comma 10 33 4 2" xfId="14490" xr:uid="{00000000-0005-0000-0000-000042280000}"/>
    <cellStyle name="Comma 10 33 4 2 2" xfId="30082" xr:uid="{00000000-0005-0000-0000-000043280000}"/>
    <cellStyle name="Comma 10 33 4 2 3" xfId="45574" xr:uid="{00000000-0005-0000-0000-000044280000}"/>
    <cellStyle name="Comma 10 33 4 3" xfId="22342" xr:uid="{00000000-0005-0000-0000-000045280000}"/>
    <cellStyle name="Comma 10 33 4 4" xfId="37834" xr:uid="{00000000-0005-0000-0000-000046280000}"/>
    <cellStyle name="Comma 10 33 5" xfId="10620" xr:uid="{00000000-0005-0000-0000-000047280000}"/>
    <cellStyle name="Comma 10 33 5 2" xfId="26212" xr:uid="{00000000-0005-0000-0000-000048280000}"/>
    <cellStyle name="Comma 10 33 5 3" xfId="41704" xr:uid="{00000000-0005-0000-0000-000049280000}"/>
    <cellStyle name="Comma 10 33 6" xfId="18472" xr:uid="{00000000-0005-0000-0000-00004A280000}"/>
    <cellStyle name="Comma 10 33 7" xfId="33964" xr:uid="{00000000-0005-0000-0000-00004B280000}"/>
    <cellStyle name="Comma 10 34" xfId="2842" xr:uid="{00000000-0005-0000-0000-00004C280000}"/>
    <cellStyle name="Comma 10 34 2" xfId="3848" xr:uid="{00000000-0005-0000-0000-00004D280000}"/>
    <cellStyle name="Comma 10 34 2 2" xfId="5787" xr:uid="{00000000-0005-0000-0000-00004E280000}"/>
    <cellStyle name="Comma 10 34 2 2 2" xfId="9658" xr:uid="{00000000-0005-0000-0000-00004F280000}"/>
    <cellStyle name="Comma 10 34 2 2 2 2" xfId="17403" xr:uid="{00000000-0005-0000-0000-000050280000}"/>
    <cellStyle name="Comma 10 34 2 2 2 2 2" xfId="32995" xr:uid="{00000000-0005-0000-0000-000051280000}"/>
    <cellStyle name="Comma 10 34 2 2 2 2 3" xfId="48487" xr:uid="{00000000-0005-0000-0000-000052280000}"/>
    <cellStyle name="Comma 10 34 2 2 2 3" xfId="25255" xr:uid="{00000000-0005-0000-0000-000053280000}"/>
    <cellStyle name="Comma 10 34 2 2 2 4" xfId="40747" xr:uid="{00000000-0005-0000-0000-000054280000}"/>
    <cellStyle name="Comma 10 34 2 2 3" xfId="13533" xr:uid="{00000000-0005-0000-0000-000055280000}"/>
    <cellStyle name="Comma 10 34 2 2 3 2" xfId="29125" xr:uid="{00000000-0005-0000-0000-000056280000}"/>
    <cellStyle name="Comma 10 34 2 2 3 3" xfId="44617" xr:uid="{00000000-0005-0000-0000-000057280000}"/>
    <cellStyle name="Comma 10 34 2 2 4" xfId="21385" xr:uid="{00000000-0005-0000-0000-000058280000}"/>
    <cellStyle name="Comma 10 34 2 2 5" xfId="36877" xr:uid="{00000000-0005-0000-0000-000059280000}"/>
    <cellStyle name="Comma 10 34 2 3" xfId="7731" xr:uid="{00000000-0005-0000-0000-00005A280000}"/>
    <cellStyle name="Comma 10 34 2 3 2" xfId="15476" xr:uid="{00000000-0005-0000-0000-00005B280000}"/>
    <cellStyle name="Comma 10 34 2 3 2 2" xfId="31068" xr:uid="{00000000-0005-0000-0000-00005C280000}"/>
    <cellStyle name="Comma 10 34 2 3 2 3" xfId="46560" xr:uid="{00000000-0005-0000-0000-00005D280000}"/>
    <cellStyle name="Comma 10 34 2 3 3" xfId="23328" xr:uid="{00000000-0005-0000-0000-00005E280000}"/>
    <cellStyle name="Comma 10 34 2 3 4" xfId="38820" xr:uid="{00000000-0005-0000-0000-00005F280000}"/>
    <cellStyle name="Comma 10 34 2 4" xfId="11606" xr:uid="{00000000-0005-0000-0000-000060280000}"/>
    <cellStyle name="Comma 10 34 2 4 2" xfId="27198" xr:uid="{00000000-0005-0000-0000-000061280000}"/>
    <cellStyle name="Comma 10 34 2 4 3" xfId="42690" xr:uid="{00000000-0005-0000-0000-000062280000}"/>
    <cellStyle name="Comma 10 34 2 5" xfId="19458" xr:uid="{00000000-0005-0000-0000-000063280000}"/>
    <cellStyle name="Comma 10 34 2 6" xfId="34950" xr:uid="{00000000-0005-0000-0000-000064280000}"/>
    <cellStyle name="Comma 10 34 3" xfId="4839" xr:uid="{00000000-0005-0000-0000-000065280000}"/>
    <cellStyle name="Comma 10 34 3 2" xfId="8710" xr:uid="{00000000-0005-0000-0000-000066280000}"/>
    <cellStyle name="Comma 10 34 3 2 2" xfId="16455" xr:uid="{00000000-0005-0000-0000-000067280000}"/>
    <cellStyle name="Comma 10 34 3 2 2 2" xfId="32047" xr:uid="{00000000-0005-0000-0000-000068280000}"/>
    <cellStyle name="Comma 10 34 3 2 2 3" xfId="47539" xr:uid="{00000000-0005-0000-0000-000069280000}"/>
    <cellStyle name="Comma 10 34 3 2 3" xfId="24307" xr:uid="{00000000-0005-0000-0000-00006A280000}"/>
    <cellStyle name="Comma 10 34 3 2 4" xfId="39799" xr:uid="{00000000-0005-0000-0000-00006B280000}"/>
    <cellStyle name="Comma 10 34 3 3" xfId="12585" xr:uid="{00000000-0005-0000-0000-00006C280000}"/>
    <cellStyle name="Comma 10 34 3 3 2" xfId="28177" xr:uid="{00000000-0005-0000-0000-00006D280000}"/>
    <cellStyle name="Comma 10 34 3 3 3" xfId="43669" xr:uid="{00000000-0005-0000-0000-00006E280000}"/>
    <cellStyle name="Comma 10 34 3 4" xfId="20437" xr:uid="{00000000-0005-0000-0000-00006F280000}"/>
    <cellStyle name="Comma 10 34 3 5" xfId="35929" xr:uid="{00000000-0005-0000-0000-000070280000}"/>
    <cellStyle name="Comma 10 34 4" xfId="6783" xr:uid="{00000000-0005-0000-0000-000071280000}"/>
    <cellStyle name="Comma 10 34 4 2" xfId="14528" xr:uid="{00000000-0005-0000-0000-000072280000}"/>
    <cellStyle name="Comma 10 34 4 2 2" xfId="30120" xr:uid="{00000000-0005-0000-0000-000073280000}"/>
    <cellStyle name="Comma 10 34 4 2 3" xfId="45612" xr:uid="{00000000-0005-0000-0000-000074280000}"/>
    <cellStyle name="Comma 10 34 4 3" xfId="22380" xr:uid="{00000000-0005-0000-0000-000075280000}"/>
    <cellStyle name="Comma 10 34 4 4" xfId="37872" xr:uid="{00000000-0005-0000-0000-000076280000}"/>
    <cellStyle name="Comma 10 34 5" xfId="10658" xr:uid="{00000000-0005-0000-0000-000077280000}"/>
    <cellStyle name="Comma 10 34 5 2" xfId="26250" xr:uid="{00000000-0005-0000-0000-000078280000}"/>
    <cellStyle name="Comma 10 34 5 3" xfId="41742" xr:uid="{00000000-0005-0000-0000-000079280000}"/>
    <cellStyle name="Comma 10 34 6" xfId="18510" xr:uid="{00000000-0005-0000-0000-00007A280000}"/>
    <cellStyle name="Comma 10 34 7" xfId="34002" xr:uid="{00000000-0005-0000-0000-00007B280000}"/>
    <cellStyle name="Comma 10 35" xfId="2879" xr:uid="{00000000-0005-0000-0000-00007C280000}"/>
    <cellStyle name="Comma 10 35 2" xfId="3884" xr:uid="{00000000-0005-0000-0000-00007D280000}"/>
    <cellStyle name="Comma 10 35 2 2" xfId="5823" xr:uid="{00000000-0005-0000-0000-00007E280000}"/>
    <cellStyle name="Comma 10 35 2 2 2" xfId="9694" xr:uid="{00000000-0005-0000-0000-00007F280000}"/>
    <cellStyle name="Comma 10 35 2 2 2 2" xfId="17439" xr:uid="{00000000-0005-0000-0000-000080280000}"/>
    <cellStyle name="Comma 10 35 2 2 2 2 2" xfId="33031" xr:uid="{00000000-0005-0000-0000-000081280000}"/>
    <cellStyle name="Comma 10 35 2 2 2 2 3" xfId="48523" xr:uid="{00000000-0005-0000-0000-000082280000}"/>
    <cellStyle name="Comma 10 35 2 2 2 3" xfId="25291" xr:uid="{00000000-0005-0000-0000-000083280000}"/>
    <cellStyle name="Comma 10 35 2 2 2 4" xfId="40783" xr:uid="{00000000-0005-0000-0000-000084280000}"/>
    <cellStyle name="Comma 10 35 2 2 3" xfId="13569" xr:uid="{00000000-0005-0000-0000-000085280000}"/>
    <cellStyle name="Comma 10 35 2 2 3 2" xfId="29161" xr:uid="{00000000-0005-0000-0000-000086280000}"/>
    <cellStyle name="Comma 10 35 2 2 3 3" xfId="44653" xr:uid="{00000000-0005-0000-0000-000087280000}"/>
    <cellStyle name="Comma 10 35 2 2 4" xfId="21421" xr:uid="{00000000-0005-0000-0000-000088280000}"/>
    <cellStyle name="Comma 10 35 2 2 5" xfId="36913" xr:uid="{00000000-0005-0000-0000-000089280000}"/>
    <cellStyle name="Comma 10 35 2 3" xfId="7767" xr:uid="{00000000-0005-0000-0000-00008A280000}"/>
    <cellStyle name="Comma 10 35 2 3 2" xfId="15512" xr:uid="{00000000-0005-0000-0000-00008B280000}"/>
    <cellStyle name="Comma 10 35 2 3 2 2" xfId="31104" xr:uid="{00000000-0005-0000-0000-00008C280000}"/>
    <cellStyle name="Comma 10 35 2 3 2 3" xfId="46596" xr:uid="{00000000-0005-0000-0000-00008D280000}"/>
    <cellStyle name="Comma 10 35 2 3 3" xfId="23364" xr:uid="{00000000-0005-0000-0000-00008E280000}"/>
    <cellStyle name="Comma 10 35 2 3 4" xfId="38856" xr:uid="{00000000-0005-0000-0000-00008F280000}"/>
    <cellStyle name="Comma 10 35 2 4" xfId="11642" xr:uid="{00000000-0005-0000-0000-000090280000}"/>
    <cellStyle name="Comma 10 35 2 4 2" xfId="27234" xr:uid="{00000000-0005-0000-0000-000091280000}"/>
    <cellStyle name="Comma 10 35 2 4 3" xfId="42726" xr:uid="{00000000-0005-0000-0000-000092280000}"/>
    <cellStyle name="Comma 10 35 2 5" xfId="19494" xr:uid="{00000000-0005-0000-0000-000093280000}"/>
    <cellStyle name="Comma 10 35 2 6" xfId="34986" xr:uid="{00000000-0005-0000-0000-000094280000}"/>
    <cellStyle name="Comma 10 35 3" xfId="4875" xr:uid="{00000000-0005-0000-0000-000095280000}"/>
    <cellStyle name="Comma 10 35 3 2" xfId="8746" xr:uid="{00000000-0005-0000-0000-000096280000}"/>
    <cellStyle name="Comma 10 35 3 2 2" xfId="16491" xr:uid="{00000000-0005-0000-0000-000097280000}"/>
    <cellStyle name="Comma 10 35 3 2 2 2" xfId="32083" xr:uid="{00000000-0005-0000-0000-000098280000}"/>
    <cellStyle name="Comma 10 35 3 2 2 3" xfId="47575" xr:uid="{00000000-0005-0000-0000-000099280000}"/>
    <cellStyle name="Comma 10 35 3 2 3" xfId="24343" xr:uid="{00000000-0005-0000-0000-00009A280000}"/>
    <cellStyle name="Comma 10 35 3 2 4" xfId="39835" xr:uid="{00000000-0005-0000-0000-00009B280000}"/>
    <cellStyle name="Comma 10 35 3 3" xfId="12621" xr:uid="{00000000-0005-0000-0000-00009C280000}"/>
    <cellStyle name="Comma 10 35 3 3 2" xfId="28213" xr:uid="{00000000-0005-0000-0000-00009D280000}"/>
    <cellStyle name="Comma 10 35 3 3 3" xfId="43705" xr:uid="{00000000-0005-0000-0000-00009E280000}"/>
    <cellStyle name="Comma 10 35 3 4" xfId="20473" xr:uid="{00000000-0005-0000-0000-00009F280000}"/>
    <cellStyle name="Comma 10 35 3 5" xfId="35965" xr:uid="{00000000-0005-0000-0000-0000A0280000}"/>
    <cellStyle name="Comma 10 35 4" xfId="6819" xr:uid="{00000000-0005-0000-0000-0000A1280000}"/>
    <cellStyle name="Comma 10 35 4 2" xfId="14564" xr:uid="{00000000-0005-0000-0000-0000A2280000}"/>
    <cellStyle name="Comma 10 35 4 2 2" xfId="30156" xr:uid="{00000000-0005-0000-0000-0000A3280000}"/>
    <cellStyle name="Comma 10 35 4 2 3" xfId="45648" xr:uid="{00000000-0005-0000-0000-0000A4280000}"/>
    <cellStyle name="Comma 10 35 4 3" xfId="22416" xr:uid="{00000000-0005-0000-0000-0000A5280000}"/>
    <cellStyle name="Comma 10 35 4 4" xfId="37908" xr:uid="{00000000-0005-0000-0000-0000A6280000}"/>
    <cellStyle name="Comma 10 35 5" xfId="10694" xr:uid="{00000000-0005-0000-0000-0000A7280000}"/>
    <cellStyle name="Comma 10 35 5 2" xfId="26286" xr:uid="{00000000-0005-0000-0000-0000A8280000}"/>
    <cellStyle name="Comma 10 35 5 3" xfId="41778" xr:uid="{00000000-0005-0000-0000-0000A9280000}"/>
    <cellStyle name="Comma 10 35 6" xfId="18546" xr:uid="{00000000-0005-0000-0000-0000AA280000}"/>
    <cellStyle name="Comma 10 35 7" xfId="34038" xr:uid="{00000000-0005-0000-0000-0000AB280000}"/>
    <cellStyle name="Comma 10 36" xfId="2916" xr:uid="{00000000-0005-0000-0000-0000AC280000}"/>
    <cellStyle name="Comma 10 36 2" xfId="3920" xr:uid="{00000000-0005-0000-0000-0000AD280000}"/>
    <cellStyle name="Comma 10 36 2 2" xfId="5859" xr:uid="{00000000-0005-0000-0000-0000AE280000}"/>
    <cellStyle name="Comma 10 36 2 2 2" xfId="9730" xr:uid="{00000000-0005-0000-0000-0000AF280000}"/>
    <cellStyle name="Comma 10 36 2 2 2 2" xfId="17475" xr:uid="{00000000-0005-0000-0000-0000B0280000}"/>
    <cellStyle name="Comma 10 36 2 2 2 2 2" xfId="33067" xr:uid="{00000000-0005-0000-0000-0000B1280000}"/>
    <cellStyle name="Comma 10 36 2 2 2 2 3" xfId="48559" xr:uid="{00000000-0005-0000-0000-0000B2280000}"/>
    <cellStyle name="Comma 10 36 2 2 2 3" xfId="25327" xr:uid="{00000000-0005-0000-0000-0000B3280000}"/>
    <cellStyle name="Comma 10 36 2 2 2 4" xfId="40819" xr:uid="{00000000-0005-0000-0000-0000B4280000}"/>
    <cellStyle name="Comma 10 36 2 2 3" xfId="13605" xr:uid="{00000000-0005-0000-0000-0000B5280000}"/>
    <cellStyle name="Comma 10 36 2 2 3 2" xfId="29197" xr:uid="{00000000-0005-0000-0000-0000B6280000}"/>
    <cellStyle name="Comma 10 36 2 2 3 3" xfId="44689" xr:uid="{00000000-0005-0000-0000-0000B7280000}"/>
    <cellStyle name="Comma 10 36 2 2 4" xfId="21457" xr:uid="{00000000-0005-0000-0000-0000B8280000}"/>
    <cellStyle name="Comma 10 36 2 2 5" xfId="36949" xr:uid="{00000000-0005-0000-0000-0000B9280000}"/>
    <cellStyle name="Comma 10 36 2 3" xfId="7803" xr:uid="{00000000-0005-0000-0000-0000BA280000}"/>
    <cellStyle name="Comma 10 36 2 3 2" xfId="15548" xr:uid="{00000000-0005-0000-0000-0000BB280000}"/>
    <cellStyle name="Comma 10 36 2 3 2 2" xfId="31140" xr:uid="{00000000-0005-0000-0000-0000BC280000}"/>
    <cellStyle name="Comma 10 36 2 3 2 3" xfId="46632" xr:uid="{00000000-0005-0000-0000-0000BD280000}"/>
    <cellStyle name="Comma 10 36 2 3 3" xfId="23400" xr:uid="{00000000-0005-0000-0000-0000BE280000}"/>
    <cellStyle name="Comma 10 36 2 3 4" xfId="38892" xr:uid="{00000000-0005-0000-0000-0000BF280000}"/>
    <cellStyle name="Comma 10 36 2 4" xfId="11678" xr:uid="{00000000-0005-0000-0000-0000C0280000}"/>
    <cellStyle name="Comma 10 36 2 4 2" xfId="27270" xr:uid="{00000000-0005-0000-0000-0000C1280000}"/>
    <cellStyle name="Comma 10 36 2 4 3" xfId="42762" xr:uid="{00000000-0005-0000-0000-0000C2280000}"/>
    <cellStyle name="Comma 10 36 2 5" xfId="19530" xr:uid="{00000000-0005-0000-0000-0000C3280000}"/>
    <cellStyle name="Comma 10 36 2 6" xfId="35022" xr:uid="{00000000-0005-0000-0000-0000C4280000}"/>
    <cellStyle name="Comma 10 36 3" xfId="4911" xr:uid="{00000000-0005-0000-0000-0000C5280000}"/>
    <cellStyle name="Comma 10 36 3 2" xfId="8782" xr:uid="{00000000-0005-0000-0000-0000C6280000}"/>
    <cellStyle name="Comma 10 36 3 2 2" xfId="16527" xr:uid="{00000000-0005-0000-0000-0000C7280000}"/>
    <cellStyle name="Comma 10 36 3 2 2 2" xfId="32119" xr:uid="{00000000-0005-0000-0000-0000C8280000}"/>
    <cellStyle name="Comma 10 36 3 2 2 3" xfId="47611" xr:uid="{00000000-0005-0000-0000-0000C9280000}"/>
    <cellStyle name="Comma 10 36 3 2 3" xfId="24379" xr:uid="{00000000-0005-0000-0000-0000CA280000}"/>
    <cellStyle name="Comma 10 36 3 2 4" xfId="39871" xr:uid="{00000000-0005-0000-0000-0000CB280000}"/>
    <cellStyle name="Comma 10 36 3 3" xfId="12657" xr:uid="{00000000-0005-0000-0000-0000CC280000}"/>
    <cellStyle name="Comma 10 36 3 3 2" xfId="28249" xr:uid="{00000000-0005-0000-0000-0000CD280000}"/>
    <cellStyle name="Comma 10 36 3 3 3" xfId="43741" xr:uid="{00000000-0005-0000-0000-0000CE280000}"/>
    <cellStyle name="Comma 10 36 3 4" xfId="20509" xr:uid="{00000000-0005-0000-0000-0000CF280000}"/>
    <cellStyle name="Comma 10 36 3 5" xfId="36001" xr:uid="{00000000-0005-0000-0000-0000D0280000}"/>
    <cellStyle name="Comma 10 36 4" xfId="6855" xr:uid="{00000000-0005-0000-0000-0000D1280000}"/>
    <cellStyle name="Comma 10 36 4 2" xfId="14600" xr:uid="{00000000-0005-0000-0000-0000D2280000}"/>
    <cellStyle name="Comma 10 36 4 2 2" xfId="30192" xr:uid="{00000000-0005-0000-0000-0000D3280000}"/>
    <cellStyle name="Comma 10 36 4 2 3" xfId="45684" xr:uid="{00000000-0005-0000-0000-0000D4280000}"/>
    <cellStyle name="Comma 10 36 4 3" xfId="22452" xr:uid="{00000000-0005-0000-0000-0000D5280000}"/>
    <cellStyle name="Comma 10 36 4 4" xfId="37944" xr:uid="{00000000-0005-0000-0000-0000D6280000}"/>
    <cellStyle name="Comma 10 36 5" xfId="10730" xr:uid="{00000000-0005-0000-0000-0000D7280000}"/>
    <cellStyle name="Comma 10 36 5 2" xfId="26322" xr:uid="{00000000-0005-0000-0000-0000D8280000}"/>
    <cellStyle name="Comma 10 36 5 3" xfId="41814" xr:uid="{00000000-0005-0000-0000-0000D9280000}"/>
    <cellStyle name="Comma 10 36 6" xfId="18582" xr:uid="{00000000-0005-0000-0000-0000DA280000}"/>
    <cellStyle name="Comma 10 36 7" xfId="34074" xr:uid="{00000000-0005-0000-0000-0000DB280000}"/>
    <cellStyle name="Comma 10 37" xfId="2955" xr:uid="{00000000-0005-0000-0000-0000DC280000}"/>
    <cellStyle name="Comma 10 37 2" xfId="3956" xr:uid="{00000000-0005-0000-0000-0000DD280000}"/>
    <cellStyle name="Comma 10 37 2 2" xfId="5895" xr:uid="{00000000-0005-0000-0000-0000DE280000}"/>
    <cellStyle name="Comma 10 37 2 2 2" xfId="9766" xr:uid="{00000000-0005-0000-0000-0000DF280000}"/>
    <cellStyle name="Comma 10 37 2 2 2 2" xfId="17511" xr:uid="{00000000-0005-0000-0000-0000E0280000}"/>
    <cellStyle name="Comma 10 37 2 2 2 2 2" xfId="33103" xr:uid="{00000000-0005-0000-0000-0000E1280000}"/>
    <cellStyle name="Comma 10 37 2 2 2 2 3" xfId="48595" xr:uid="{00000000-0005-0000-0000-0000E2280000}"/>
    <cellStyle name="Comma 10 37 2 2 2 3" xfId="25363" xr:uid="{00000000-0005-0000-0000-0000E3280000}"/>
    <cellStyle name="Comma 10 37 2 2 2 4" xfId="40855" xr:uid="{00000000-0005-0000-0000-0000E4280000}"/>
    <cellStyle name="Comma 10 37 2 2 3" xfId="13641" xr:uid="{00000000-0005-0000-0000-0000E5280000}"/>
    <cellStyle name="Comma 10 37 2 2 3 2" xfId="29233" xr:uid="{00000000-0005-0000-0000-0000E6280000}"/>
    <cellStyle name="Comma 10 37 2 2 3 3" xfId="44725" xr:uid="{00000000-0005-0000-0000-0000E7280000}"/>
    <cellStyle name="Comma 10 37 2 2 4" xfId="21493" xr:uid="{00000000-0005-0000-0000-0000E8280000}"/>
    <cellStyle name="Comma 10 37 2 2 5" xfId="36985" xr:uid="{00000000-0005-0000-0000-0000E9280000}"/>
    <cellStyle name="Comma 10 37 2 3" xfId="7839" xr:uid="{00000000-0005-0000-0000-0000EA280000}"/>
    <cellStyle name="Comma 10 37 2 3 2" xfId="15584" xr:uid="{00000000-0005-0000-0000-0000EB280000}"/>
    <cellStyle name="Comma 10 37 2 3 2 2" xfId="31176" xr:uid="{00000000-0005-0000-0000-0000EC280000}"/>
    <cellStyle name="Comma 10 37 2 3 2 3" xfId="46668" xr:uid="{00000000-0005-0000-0000-0000ED280000}"/>
    <cellStyle name="Comma 10 37 2 3 3" xfId="23436" xr:uid="{00000000-0005-0000-0000-0000EE280000}"/>
    <cellStyle name="Comma 10 37 2 3 4" xfId="38928" xr:uid="{00000000-0005-0000-0000-0000EF280000}"/>
    <cellStyle name="Comma 10 37 2 4" xfId="11714" xr:uid="{00000000-0005-0000-0000-0000F0280000}"/>
    <cellStyle name="Comma 10 37 2 4 2" xfId="27306" xr:uid="{00000000-0005-0000-0000-0000F1280000}"/>
    <cellStyle name="Comma 10 37 2 4 3" xfId="42798" xr:uid="{00000000-0005-0000-0000-0000F2280000}"/>
    <cellStyle name="Comma 10 37 2 5" xfId="19566" xr:uid="{00000000-0005-0000-0000-0000F3280000}"/>
    <cellStyle name="Comma 10 37 2 6" xfId="35058" xr:uid="{00000000-0005-0000-0000-0000F4280000}"/>
    <cellStyle name="Comma 10 37 3" xfId="4947" xr:uid="{00000000-0005-0000-0000-0000F5280000}"/>
    <cellStyle name="Comma 10 37 3 2" xfId="8818" xr:uid="{00000000-0005-0000-0000-0000F6280000}"/>
    <cellStyle name="Comma 10 37 3 2 2" xfId="16563" xr:uid="{00000000-0005-0000-0000-0000F7280000}"/>
    <cellStyle name="Comma 10 37 3 2 2 2" xfId="32155" xr:uid="{00000000-0005-0000-0000-0000F8280000}"/>
    <cellStyle name="Comma 10 37 3 2 2 3" xfId="47647" xr:uid="{00000000-0005-0000-0000-0000F9280000}"/>
    <cellStyle name="Comma 10 37 3 2 3" xfId="24415" xr:uid="{00000000-0005-0000-0000-0000FA280000}"/>
    <cellStyle name="Comma 10 37 3 2 4" xfId="39907" xr:uid="{00000000-0005-0000-0000-0000FB280000}"/>
    <cellStyle name="Comma 10 37 3 3" xfId="12693" xr:uid="{00000000-0005-0000-0000-0000FC280000}"/>
    <cellStyle name="Comma 10 37 3 3 2" xfId="28285" xr:uid="{00000000-0005-0000-0000-0000FD280000}"/>
    <cellStyle name="Comma 10 37 3 3 3" xfId="43777" xr:uid="{00000000-0005-0000-0000-0000FE280000}"/>
    <cellStyle name="Comma 10 37 3 4" xfId="20545" xr:uid="{00000000-0005-0000-0000-0000FF280000}"/>
    <cellStyle name="Comma 10 37 3 5" xfId="36037" xr:uid="{00000000-0005-0000-0000-000000290000}"/>
    <cellStyle name="Comma 10 37 4" xfId="6891" xr:uid="{00000000-0005-0000-0000-000001290000}"/>
    <cellStyle name="Comma 10 37 4 2" xfId="14636" xr:uid="{00000000-0005-0000-0000-000002290000}"/>
    <cellStyle name="Comma 10 37 4 2 2" xfId="30228" xr:uid="{00000000-0005-0000-0000-000003290000}"/>
    <cellStyle name="Comma 10 37 4 2 3" xfId="45720" xr:uid="{00000000-0005-0000-0000-000004290000}"/>
    <cellStyle name="Comma 10 37 4 3" xfId="22488" xr:uid="{00000000-0005-0000-0000-000005290000}"/>
    <cellStyle name="Comma 10 37 4 4" xfId="37980" xr:uid="{00000000-0005-0000-0000-000006290000}"/>
    <cellStyle name="Comma 10 37 5" xfId="10766" xr:uid="{00000000-0005-0000-0000-000007290000}"/>
    <cellStyle name="Comma 10 37 5 2" xfId="26358" xr:uid="{00000000-0005-0000-0000-000008290000}"/>
    <cellStyle name="Comma 10 37 5 3" xfId="41850" xr:uid="{00000000-0005-0000-0000-000009290000}"/>
    <cellStyle name="Comma 10 37 6" xfId="18618" xr:uid="{00000000-0005-0000-0000-00000A290000}"/>
    <cellStyle name="Comma 10 37 7" xfId="34110" xr:uid="{00000000-0005-0000-0000-00000B290000}"/>
    <cellStyle name="Comma 10 38" xfId="2995" xr:uid="{00000000-0005-0000-0000-00000C290000}"/>
    <cellStyle name="Comma 10 38 2" xfId="3992" xr:uid="{00000000-0005-0000-0000-00000D290000}"/>
    <cellStyle name="Comma 10 38 2 2" xfId="5931" xr:uid="{00000000-0005-0000-0000-00000E290000}"/>
    <cellStyle name="Comma 10 38 2 2 2" xfId="9802" xr:uid="{00000000-0005-0000-0000-00000F290000}"/>
    <cellStyle name="Comma 10 38 2 2 2 2" xfId="17547" xr:uid="{00000000-0005-0000-0000-000010290000}"/>
    <cellStyle name="Comma 10 38 2 2 2 2 2" xfId="33139" xr:uid="{00000000-0005-0000-0000-000011290000}"/>
    <cellStyle name="Comma 10 38 2 2 2 2 3" xfId="48631" xr:uid="{00000000-0005-0000-0000-000012290000}"/>
    <cellStyle name="Comma 10 38 2 2 2 3" xfId="25399" xr:uid="{00000000-0005-0000-0000-000013290000}"/>
    <cellStyle name="Comma 10 38 2 2 2 4" xfId="40891" xr:uid="{00000000-0005-0000-0000-000014290000}"/>
    <cellStyle name="Comma 10 38 2 2 3" xfId="13677" xr:uid="{00000000-0005-0000-0000-000015290000}"/>
    <cellStyle name="Comma 10 38 2 2 3 2" xfId="29269" xr:uid="{00000000-0005-0000-0000-000016290000}"/>
    <cellStyle name="Comma 10 38 2 2 3 3" xfId="44761" xr:uid="{00000000-0005-0000-0000-000017290000}"/>
    <cellStyle name="Comma 10 38 2 2 4" xfId="21529" xr:uid="{00000000-0005-0000-0000-000018290000}"/>
    <cellStyle name="Comma 10 38 2 2 5" xfId="37021" xr:uid="{00000000-0005-0000-0000-000019290000}"/>
    <cellStyle name="Comma 10 38 2 3" xfId="7875" xr:uid="{00000000-0005-0000-0000-00001A290000}"/>
    <cellStyle name="Comma 10 38 2 3 2" xfId="15620" xr:uid="{00000000-0005-0000-0000-00001B290000}"/>
    <cellStyle name="Comma 10 38 2 3 2 2" xfId="31212" xr:uid="{00000000-0005-0000-0000-00001C290000}"/>
    <cellStyle name="Comma 10 38 2 3 2 3" xfId="46704" xr:uid="{00000000-0005-0000-0000-00001D290000}"/>
    <cellStyle name="Comma 10 38 2 3 3" xfId="23472" xr:uid="{00000000-0005-0000-0000-00001E290000}"/>
    <cellStyle name="Comma 10 38 2 3 4" xfId="38964" xr:uid="{00000000-0005-0000-0000-00001F290000}"/>
    <cellStyle name="Comma 10 38 2 4" xfId="11750" xr:uid="{00000000-0005-0000-0000-000020290000}"/>
    <cellStyle name="Comma 10 38 2 4 2" xfId="27342" xr:uid="{00000000-0005-0000-0000-000021290000}"/>
    <cellStyle name="Comma 10 38 2 4 3" xfId="42834" xr:uid="{00000000-0005-0000-0000-000022290000}"/>
    <cellStyle name="Comma 10 38 2 5" xfId="19602" xr:uid="{00000000-0005-0000-0000-000023290000}"/>
    <cellStyle name="Comma 10 38 2 6" xfId="35094" xr:uid="{00000000-0005-0000-0000-000024290000}"/>
    <cellStyle name="Comma 10 38 3" xfId="4983" xr:uid="{00000000-0005-0000-0000-000025290000}"/>
    <cellStyle name="Comma 10 38 3 2" xfId="8854" xr:uid="{00000000-0005-0000-0000-000026290000}"/>
    <cellStyle name="Comma 10 38 3 2 2" xfId="16599" xr:uid="{00000000-0005-0000-0000-000027290000}"/>
    <cellStyle name="Comma 10 38 3 2 2 2" xfId="32191" xr:uid="{00000000-0005-0000-0000-000028290000}"/>
    <cellStyle name="Comma 10 38 3 2 2 3" xfId="47683" xr:uid="{00000000-0005-0000-0000-000029290000}"/>
    <cellStyle name="Comma 10 38 3 2 3" xfId="24451" xr:uid="{00000000-0005-0000-0000-00002A290000}"/>
    <cellStyle name="Comma 10 38 3 2 4" xfId="39943" xr:uid="{00000000-0005-0000-0000-00002B290000}"/>
    <cellStyle name="Comma 10 38 3 3" xfId="12729" xr:uid="{00000000-0005-0000-0000-00002C290000}"/>
    <cellStyle name="Comma 10 38 3 3 2" xfId="28321" xr:uid="{00000000-0005-0000-0000-00002D290000}"/>
    <cellStyle name="Comma 10 38 3 3 3" xfId="43813" xr:uid="{00000000-0005-0000-0000-00002E290000}"/>
    <cellStyle name="Comma 10 38 3 4" xfId="20581" xr:uid="{00000000-0005-0000-0000-00002F290000}"/>
    <cellStyle name="Comma 10 38 3 5" xfId="36073" xr:uid="{00000000-0005-0000-0000-000030290000}"/>
    <cellStyle name="Comma 10 38 4" xfId="6927" xr:uid="{00000000-0005-0000-0000-000031290000}"/>
    <cellStyle name="Comma 10 38 4 2" xfId="14672" xr:uid="{00000000-0005-0000-0000-000032290000}"/>
    <cellStyle name="Comma 10 38 4 2 2" xfId="30264" xr:uid="{00000000-0005-0000-0000-000033290000}"/>
    <cellStyle name="Comma 10 38 4 2 3" xfId="45756" xr:uid="{00000000-0005-0000-0000-000034290000}"/>
    <cellStyle name="Comma 10 38 4 3" xfId="22524" xr:uid="{00000000-0005-0000-0000-000035290000}"/>
    <cellStyle name="Comma 10 38 4 4" xfId="38016" xr:uid="{00000000-0005-0000-0000-000036290000}"/>
    <cellStyle name="Comma 10 38 5" xfId="10802" xr:uid="{00000000-0005-0000-0000-000037290000}"/>
    <cellStyle name="Comma 10 38 5 2" xfId="26394" xr:uid="{00000000-0005-0000-0000-000038290000}"/>
    <cellStyle name="Comma 10 38 5 3" xfId="41886" xr:uid="{00000000-0005-0000-0000-000039290000}"/>
    <cellStyle name="Comma 10 38 6" xfId="18654" xr:uid="{00000000-0005-0000-0000-00003A290000}"/>
    <cellStyle name="Comma 10 38 7" xfId="34146" xr:uid="{00000000-0005-0000-0000-00003B290000}"/>
    <cellStyle name="Comma 10 39" xfId="3033" xr:uid="{00000000-0005-0000-0000-00003C290000}"/>
    <cellStyle name="Comma 10 39 2" xfId="4028" xr:uid="{00000000-0005-0000-0000-00003D290000}"/>
    <cellStyle name="Comma 10 39 2 2" xfId="5967" xr:uid="{00000000-0005-0000-0000-00003E290000}"/>
    <cellStyle name="Comma 10 39 2 2 2" xfId="9838" xr:uid="{00000000-0005-0000-0000-00003F290000}"/>
    <cellStyle name="Comma 10 39 2 2 2 2" xfId="17583" xr:uid="{00000000-0005-0000-0000-000040290000}"/>
    <cellStyle name="Comma 10 39 2 2 2 2 2" xfId="33175" xr:uid="{00000000-0005-0000-0000-000041290000}"/>
    <cellStyle name="Comma 10 39 2 2 2 2 3" xfId="48667" xr:uid="{00000000-0005-0000-0000-000042290000}"/>
    <cellStyle name="Comma 10 39 2 2 2 3" xfId="25435" xr:uid="{00000000-0005-0000-0000-000043290000}"/>
    <cellStyle name="Comma 10 39 2 2 2 4" xfId="40927" xr:uid="{00000000-0005-0000-0000-000044290000}"/>
    <cellStyle name="Comma 10 39 2 2 3" xfId="13713" xr:uid="{00000000-0005-0000-0000-000045290000}"/>
    <cellStyle name="Comma 10 39 2 2 3 2" xfId="29305" xr:uid="{00000000-0005-0000-0000-000046290000}"/>
    <cellStyle name="Comma 10 39 2 2 3 3" xfId="44797" xr:uid="{00000000-0005-0000-0000-000047290000}"/>
    <cellStyle name="Comma 10 39 2 2 4" xfId="21565" xr:uid="{00000000-0005-0000-0000-000048290000}"/>
    <cellStyle name="Comma 10 39 2 2 5" xfId="37057" xr:uid="{00000000-0005-0000-0000-000049290000}"/>
    <cellStyle name="Comma 10 39 2 3" xfId="7911" xr:uid="{00000000-0005-0000-0000-00004A290000}"/>
    <cellStyle name="Comma 10 39 2 3 2" xfId="15656" xr:uid="{00000000-0005-0000-0000-00004B290000}"/>
    <cellStyle name="Comma 10 39 2 3 2 2" xfId="31248" xr:uid="{00000000-0005-0000-0000-00004C290000}"/>
    <cellStyle name="Comma 10 39 2 3 2 3" xfId="46740" xr:uid="{00000000-0005-0000-0000-00004D290000}"/>
    <cellStyle name="Comma 10 39 2 3 3" xfId="23508" xr:uid="{00000000-0005-0000-0000-00004E290000}"/>
    <cellStyle name="Comma 10 39 2 3 4" xfId="39000" xr:uid="{00000000-0005-0000-0000-00004F290000}"/>
    <cellStyle name="Comma 10 39 2 4" xfId="11786" xr:uid="{00000000-0005-0000-0000-000050290000}"/>
    <cellStyle name="Comma 10 39 2 4 2" xfId="27378" xr:uid="{00000000-0005-0000-0000-000051290000}"/>
    <cellStyle name="Comma 10 39 2 4 3" xfId="42870" xr:uid="{00000000-0005-0000-0000-000052290000}"/>
    <cellStyle name="Comma 10 39 2 5" xfId="19638" xr:uid="{00000000-0005-0000-0000-000053290000}"/>
    <cellStyle name="Comma 10 39 2 6" xfId="35130" xr:uid="{00000000-0005-0000-0000-000054290000}"/>
    <cellStyle name="Comma 10 39 3" xfId="5019" xr:uid="{00000000-0005-0000-0000-000055290000}"/>
    <cellStyle name="Comma 10 39 3 2" xfId="8890" xr:uid="{00000000-0005-0000-0000-000056290000}"/>
    <cellStyle name="Comma 10 39 3 2 2" xfId="16635" xr:uid="{00000000-0005-0000-0000-000057290000}"/>
    <cellStyle name="Comma 10 39 3 2 2 2" xfId="32227" xr:uid="{00000000-0005-0000-0000-000058290000}"/>
    <cellStyle name="Comma 10 39 3 2 2 3" xfId="47719" xr:uid="{00000000-0005-0000-0000-000059290000}"/>
    <cellStyle name="Comma 10 39 3 2 3" xfId="24487" xr:uid="{00000000-0005-0000-0000-00005A290000}"/>
    <cellStyle name="Comma 10 39 3 2 4" xfId="39979" xr:uid="{00000000-0005-0000-0000-00005B290000}"/>
    <cellStyle name="Comma 10 39 3 3" xfId="12765" xr:uid="{00000000-0005-0000-0000-00005C290000}"/>
    <cellStyle name="Comma 10 39 3 3 2" xfId="28357" xr:uid="{00000000-0005-0000-0000-00005D290000}"/>
    <cellStyle name="Comma 10 39 3 3 3" xfId="43849" xr:uid="{00000000-0005-0000-0000-00005E290000}"/>
    <cellStyle name="Comma 10 39 3 4" xfId="20617" xr:uid="{00000000-0005-0000-0000-00005F290000}"/>
    <cellStyle name="Comma 10 39 3 5" xfId="36109" xr:uid="{00000000-0005-0000-0000-000060290000}"/>
    <cellStyle name="Comma 10 39 4" xfId="6963" xr:uid="{00000000-0005-0000-0000-000061290000}"/>
    <cellStyle name="Comma 10 39 4 2" xfId="14708" xr:uid="{00000000-0005-0000-0000-000062290000}"/>
    <cellStyle name="Comma 10 39 4 2 2" xfId="30300" xr:uid="{00000000-0005-0000-0000-000063290000}"/>
    <cellStyle name="Comma 10 39 4 2 3" xfId="45792" xr:uid="{00000000-0005-0000-0000-000064290000}"/>
    <cellStyle name="Comma 10 39 4 3" xfId="22560" xr:uid="{00000000-0005-0000-0000-000065290000}"/>
    <cellStyle name="Comma 10 39 4 4" xfId="38052" xr:uid="{00000000-0005-0000-0000-000066290000}"/>
    <cellStyle name="Comma 10 39 5" xfId="10838" xr:uid="{00000000-0005-0000-0000-000067290000}"/>
    <cellStyle name="Comma 10 39 5 2" xfId="26430" xr:uid="{00000000-0005-0000-0000-000068290000}"/>
    <cellStyle name="Comma 10 39 5 3" xfId="41922" xr:uid="{00000000-0005-0000-0000-000069290000}"/>
    <cellStyle name="Comma 10 39 6" xfId="18690" xr:uid="{00000000-0005-0000-0000-00006A290000}"/>
    <cellStyle name="Comma 10 39 7" xfId="34182" xr:uid="{00000000-0005-0000-0000-00006B290000}"/>
    <cellStyle name="Comma 10 4" xfId="788" xr:uid="{00000000-0005-0000-0000-00006C290000}"/>
    <cellStyle name="Comma 10 40" xfId="3070" xr:uid="{00000000-0005-0000-0000-00006D290000}"/>
    <cellStyle name="Comma 10 40 2" xfId="4064" xr:uid="{00000000-0005-0000-0000-00006E290000}"/>
    <cellStyle name="Comma 10 40 2 2" xfId="6003" xr:uid="{00000000-0005-0000-0000-00006F290000}"/>
    <cellStyle name="Comma 10 40 2 2 2" xfId="9874" xr:uid="{00000000-0005-0000-0000-000070290000}"/>
    <cellStyle name="Comma 10 40 2 2 2 2" xfId="17619" xr:uid="{00000000-0005-0000-0000-000071290000}"/>
    <cellStyle name="Comma 10 40 2 2 2 2 2" xfId="33211" xr:uid="{00000000-0005-0000-0000-000072290000}"/>
    <cellStyle name="Comma 10 40 2 2 2 2 3" xfId="48703" xr:uid="{00000000-0005-0000-0000-000073290000}"/>
    <cellStyle name="Comma 10 40 2 2 2 3" xfId="25471" xr:uid="{00000000-0005-0000-0000-000074290000}"/>
    <cellStyle name="Comma 10 40 2 2 2 4" xfId="40963" xr:uid="{00000000-0005-0000-0000-000075290000}"/>
    <cellStyle name="Comma 10 40 2 2 3" xfId="13749" xr:uid="{00000000-0005-0000-0000-000076290000}"/>
    <cellStyle name="Comma 10 40 2 2 3 2" xfId="29341" xr:uid="{00000000-0005-0000-0000-000077290000}"/>
    <cellStyle name="Comma 10 40 2 2 3 3" xfId="44833" xr:uid="{00000000-0005-0000-0000-000078290000}"/>
    <cellStyle name="Comma 10 40 2 2 4" xfId="21601" xr:uid="{00000000-0005-0000-0000-000079290000}"/>
    <cellStyle name="Comma 10 40 2 2 5" xfId="37093" xr:uid="{00000000-0005-0000-0000-00007A290000}"/>
    <cellStyle name="Comma 10 40 2 3" xfId="7947" xr:uid="{00000000-0005-0000-0000-00007B290000}"/>
    <cellStyle name="Comma 10 40 2 3 2" xfId="15692" xr:uid="{00000000-0005-0000-0000-00007C290000}"/>
    <cellStyle name="Comma 10 40 2 3 2 2" xfId="31284" xr:uid="{00000000-0005-0000-0000-00007D290000}"/>
    <cellStyle name="Comma 10 40 2 3 2 3" xfId="46776" xr:uid="{00000000-0005-0000-0000-00007E290000}"/>
    <cellStyle name="Comma 10 40 2 3 3" xfId="23544" xr:uid="{00000000-0005-0000-0000-00007F290000}"/>
    <cellStyle name="Comma 10 40 2 3 4" xfId="39036" xr:uid="{00000000-0005-0000-0000-000080290000}"/>
    <cellStyle name="Comma 10 40 2 4" xfId="11822" xr:uid="{00000000-0005-0000-0000-000081290000}"/>
    <cellStyle name="Comma 10 40 2 4 2" xfId="27414" xr:uid="{00000000-0005-0000-0000-000082290000}"/>
    <cellStyle name="Comma 10 40 2 4 3" xfId="42906" xr:uid="{00000000-0005-0000-0000-000083290000}"/>
    <cellStyle name="Comma 10 40 2 5" xfId="19674" xr:uid="{00000000-0005-0000-0000-000084290000}"/>
    <cellStyle name="Comma 10 40 2 6" xfId="35166" xr:uid="{00000000-0005-0000-0000-000085290000}"/>
    <cellStyle name="Comma 10 40 3" xfId="5055" xr:uid="{00000000-0005-0000-0000-000086290000}"/>
    <cellStyle name="Comma 10 40 3 2" xfId="8926" xr:uid="{00000000-0005-0000-0000-000087290000}"/>
    <cellStyle name="Comma 10 40 3 2 2" xfId="16671" xr:uid="{00000000-0005-0000-0000-000088290000}"/>
    <cellStyle name="Comma 10 40 3 2 2 2" xfId="32263" xr:uid="{00000000-0005-0000-0000-000089290000}"/>
    <cellStyle name="Comma 10 40 3 2 2 3" xfId="47755" xr:uid="{00000000-0005-0000-0000-00008A290000}"/>
    <cellStyle name="Comma 10 40 3 2 3" xfId="24523" xr:uid="{00000000-0005-0000-0000-00008B290000}"/>
    <cellStyle name="Comma 10 40 3 2 4" xfId="40015" xr:uid="{00000000-0005-0000-0000-00008C290000}"/>
    <cellStyle name="Comma 10 40 3 3" xfId="12801" xr:uid="{00000000-0005-0000-0000-00008D290000}"/>
    <cellStyle name="Comma 10 40 3 3 2" xfId="28393" xr:uid="{00000000-0005-0000-0000-00008E290000}"/>
    <cellStyle name="Comma 10 40 3 3 3" xfId="43885" xr:uid="{00000000-0005-0000-0000-00008F290000}"/>
    <cellStyle name="Comma 10 40 3 4" xfId="20653" xr:uid="{00000000-0005-0000-0000-000090290000}"/>
    <cellStyle name="Comma 10 40 3 5" xfId="36145" xr:uid="{00000000-0005-0000-0000-000091290000}"/>
    <cellStyle name="Comma 10 40 4" xfId="6999" xr:uid="{00000000-0005-0000-0000-000092290000}"/>
    <cellStyle name="Comma 10 40 4 2" xfId="14744" xr:uid="{00000000-0005-0000-0000-000093290000}"/>
    <cellStyle name="Comma 10 40 4 2 2" xfId="30336" xr:uid="{00000000-0005-0000-0000-000094290000}"/>
    <cellStyle name="Comma 10 40 4 2 3" xfId="45828" xr:uid="{00000000-0005-0000-0000-000095290000}"/>
    <cellStyle name="Comma 10 40 4 3" xfId="22596" xr:uid="{00000000-0005-0000-0000-000096290000}"/>
    <cellStyle name="Comma 10 40 4 4" xfId="38088" xr:uid="{00000000-0005-0000-0000-000097290000}"/>
    <cellStyle name="Comma 10 40 5" xfId="10874" xr:uid="{00000000-0005-0000-0000-000098290000}"/>
    <cellStyle name="Comma 10 40 5 2" xfId="26466" xr:uid="{00000000-0005-0000-0000-000099290000}"/>
    <cellStyle name="Comma 10 40 5 3" xfId="41958" xr:uid="{00000000-0005-0000-0000-00009A290000}"/>
    <cellStyle name="Comma 10 40 6" xfId="18726" xr:uid="{00000000-0005-0000-0000-00009B290000}"/>
    <cellStyle name="Comma 10 40 7" xfId="34218" xr:uid="{00000000-0005-0000-0000-00009C290000}"/>
    <cellStyle name="Comma 10 41" xfId="3117" xr:uid="{00000000-0005-0000-0000-00009D290000}"/>
    <cellStyle name="Comma 10 41 2" xfId="4100" xr:uid="{00000000-0005-0000-0000-00009E290000}"/>
    <cellStyle name="Comma 10 41 2 2" xfId="6039" xr:uid="{00000000-0005-0000-0000-00009F290000}"/>
    <cellStyle name="Comma 10 41 2 2 2" xfId="9910" xr:uid="{00000000-0005-0000-0000-0000A0290000}"/>
    <cellStyle name="Comma 10 41 2 2 2 2" xfId="17655" xr:uid="{00000000-0005-0000-0000-0000A1290000}"/>
    <cellStyle name="Comma 10 41 2 2 2 2 2" xfId="33247" xr:uid="{00000000-0005-0000-0000-0000A2290000}"/>
    <cellStyle name="Comma 10 41 2 2 2 2 3" xfId="48739" xr:uid="{00000000-0005-0000-0000-0000A3290000}"/>
    <cellStyle name="Comma 10 41 2 2 2 3" xfId="25507" xr:uid="{00000000-0005-0000-0000-0000A4290000}"/>
    <cellStyle name="Comma 10 41 2 2 2 4" xfId="40999" xr:uid="{00000000-0005-0000-0000-0000A5290000}"/>
    <cellStyle name="Comma 10 41 2 2 3" xfId="13785" xr:uid="{00000000-0005-0000-0000-0000A6290000}"/>
    <cellStyle name="Comma 10 41 2 2 3 2" xfId="29377" xr:uid="{00000000-0005-0000-0000-0000A7290000}"/>
    <cellStyle name="Comma 10 41 2 2 3 3" xfId="44869" xr:uid="{00000000-0005-0000-0000-0000A8290000}"/>
    <cellStyle name="Comma 10 41 2 2 4" xfId="21637" xr:uid="{00000000-0005-0000-0000-0000A9290000}"/>
    <cellStyle name="Comma 10 41 2 2 5" xfId="37129" xr:uid="{00000000-0005-0000-0000-0000AA290000}"/>
    <cellStyle name="Comma 10 41 2 3" xfId="7983" xr:uid="{00000000-0005-0000-0000-0000AB290000}"/>
    <cellStyle name="Comma 10 41 2 3 2" xfId="15728" xr:uid="{00000000-0005-0000-0000-0000AC290000}"/>
    <cellStyle name="Comma 10 41 2 3 2 2" xfId="31320" xr:uid="{00000000-0005-0000-0000-0000AD290000}"/>
    <cellStyle name="Comma 10 41 2 3 2 3" xfId="46812" xr:uid="{00000000-0005-0000-0000-0000AE290000}"/>
    <cellStyle name="Comma 10 41 2 3 3" xfId="23580" xr:uid="{00000000-0005-0000-0000-0000AF290000}"/>
    <cellStyle name="Comma 10 41 2 3 4" xfId="39072" xr:uid="{00000000-0005-0000-0000-0000B0290000}"/>
    <cellStyle name="Comma 10 41 2 4" xfId="11858" xr:uid="{00000000-0005-0000-0000-0000B1290000}"/>
    <cellStyle name="Comma 10 41 2 4 2" xfId="27450" xr:uid="{00000000-0005-0000-0000-0000B2290000}"/>
    <cellStyle name="Comma 10 41 2 4 3" xfId="42942" xr:uid="{00000000-0005-0000-0000-0000B3290000}"/>
    <cellStyle name="Comma 10 41 2 5" xfId="19710" xr:uid="{00000000-0005-0000-0000-0000B4290000}"/>
    <cellStyle name="Comma 10 41 2 6" xfId="35202" xr:uid="{00000000-0005-0000-0000-0000B5290000}"/>
    <cellStyle name="Comma 10 41 3" xfId="5091" xr:uid="{00000000-0005-0000-0000-0000B6290000}"/>
    <cellStyle name="Comma 10 41 3 2" xfId="8962" xr:uid="{00000000-0005-0000-0000-0000B7290000}"/>
    <cellStyle name="Comma 10 41 3 2 2" xfId="16707" xr:uid="{00000000-0005-0000-0000-0000B8290000}"/>
    <cellStyle name="Comma 10 41 3 2 2 2" xfId="32299" xr:uid="{00000000-0005-0000-0000-0000B9290000}"/>
    <cellStyle name="Comma 10 41 3 2 2 3" xfId="47791" xr:uid="{00000000-0005-0000-0000-0000BA290000}"/>
    <cellStyle name="Comma 10 41 3 2 3" xfId="24559" xr:uid="{00000000-0005-0000-0000-0000BB290000}"/>
    <cellStyle name="Comma 10 41 3 2 4" xfId="40051" xr:uid="{00000000-0005-0000-0000-0000BC290000}"/>
    <cellStyle name="Comma 10 41 3 3" xfId="12837" xr:uid="{00000000-0005-0000-0000-0000BD290000}"/>
    <cellStyle name="Comma 10 41 3 3 2" xfId="28429" xr:uid="{00000000-0005-0000-0000-0000BE290000}"/>
    <cellStyle name="Comma 10 41 3 3 3" xfId="43921" xr:uid="{00000000-0005-0000-0000-0000BF290000}"/>
    <cellStyle name="Comma 10 41 3 4" xfId="20689" xr:uid="{00000000-0005-0000-0000-0000C0290000}"/>
    <cellStyle name="Comma 10 41 3 5" xfId="36181" xr:uid="{00000000-0005-0000-0000-0000C1290000}"/>
    <cellStyle name="Comma 10 41 4" xfId="7035" xr:uid="{00000000-0005-0000-0000-0000C2290000}"/>
    <cellStyle name="Comma 10 41 4 2" xfId="14780" xr:uid="{00000000-0005-0000-0000-0000C3290000}"/>
    <cellStyle name="Comma 10 41 4 2 2" xfId="30372" xr:uid="{00000000-0005-0000-0000-0000C4290000}"/>
    <cellStyle name="Comma 10 41 4 2 3" xfId="45864" xr:uid="{00000000-0005-0000-0000-0000C5290000}"/>
    <cellStyle name="Comma 10 41 4 3" xfId="22632" xr:uid="{00000000-0005-0000-0000-0000C6290000}"/>
    <cellStyle name="Comma 10 41 4 4" xfId="38124" xr:uid="{00000000-0005-0000-0000-0000C7290000}"/>
    <cellStyle name="Comma 10 41 5" xfId="10910" xr:uid="{00000000-0005-0000-0000-0000C8290000}"/>
    <cellStyle name="Comma 10 41 5 2" xfId="26502" xr:uid="{00000000-0005-0000-0000-0000C9290000}"/>
    <cellStyle name="Comma 10 41 5 3" xfId="41994" xr:uid="{00000000-0005-0000-0000-0000CA290000}"/>
    <cellStyle name="Comma 10 41 6" xfId="18762" xr:uid="{00000000-0005-0000-0000-0000CB290000}"/>
    <cellStyle name="Comma 10 41 7" xfId="34254" xr:uid="{00000000-0005-0000-0000-0000CC290000}"/>
    <cellStyle name="Comma 10 5" xfId="789" xr:uid="{00000000-0005-0000-0000-0000CD290000}"/>
    <cellStyle name="Comma 10 55" xfId="3148" xr:uid="{00000000-0005-0000-0000-0000CE290000}"/>
    <cellStyle name="Comma 10 55 2" xfId="4129" xr:uid="{00000000-0005-0000-0000-0000CF290000}"/>
    <cellStyle name="Comma 10 55 2 2" xfId="6068" xr:uid="{00000000-0005-0000-0000-0000D0290000}"/>
    <cellStyle name="Comma 10 55 2 2 2" xfId="9939" xr:uid="{00000000-0005-0000-0000-0000D1290000}"/>
    <cellStyle name="Comma 10 55 2 2 2 2" xfId="17684" xr:uid="{00000000-0005-0000-0000-0000D2290000}"/>
    <cellStyle name="Comma 10 55 2 2 2 2 2" xfId="33276" xr:uid="{00000000-0005-0000-0000-0000D3290000}"/>
    <cellStyle name="Comma 10 55 2 2 2 2 3" xfId="48768" xr:uid="{00000000-0005-0000-0000-0000D4290000}"/>
    <cellStyle name="Comma 10 55 2 2 2 3" xfId="25536" xr:uid="{00000000-0005-0000-0000-0000D5290000}"/>
    <cellStyle name="Comma 10 55 2 2 2 4" xfId="41028" xr:uid="{00000000-0005-0000-0000-0000D6290000}"/>
    <cellStyle name="Comma 10 55 2 2 3" xfId="13814" xr:uid="{00000000-0005-0000-0000-0000D7290000}"/>
    <cellStyle name="Comma 10 55 2 2 3 2" xfId="29406" xr:uid="{00000000-0005-0000-0000-0000D8290000}"/>
    <cellStyle name="Comma 10 55 2 2 3 3" xfId="44898" xr:uid="{00000000-0005-0000-0000-0000D9290000}"/>
    <cellStyle name="Comma 10 55 2 2 4" xfId="21666" xr:uid="{00000000-0005-0000-0000-0000DA290000}"/>
    <cellStyle name="Comma 10 55 2 2 5" xfId="37158" xr:uid="{00000000-0005-0000-0000-0000DB290000}"/>
    <cellStyle name="Comma 10 55 2 3" xfId="8012" xr:uid="{00000000-0005-0000-0000-0000DC290000}"/>
    <cellStyle name="Comma 10 55 2 3 2" xfId="15757" xr:uid="{00000000-0005-0000-0000-0000DD290000}"/>
    <cellStyle name="Comma 10 55 2 3 2 2" xfId="31349" xr:uid="{00000000-0005-0000-0000-0000DE290000}"/>
    <cellStyle name="Comma 10 55 2 3 2 3" xfId="46841" xr:uid="{00000000-0005-0000-0000-0000DF290000}"/>
    <cellStyle name="Comma 10 55 2 3 3" xfId="23609" xr:uid="{00000000-0005-0000-0000-0000E0290000}"/>
    <cellStyle name="Comma 10 55 2 3 4" xfId="39101" xr:uid="{00000000-0005-0000-0000-0000E1290000}"/>
    <cellStyle name="Comma 10 55 2 4" xfId="11887" xr:uid="{00000000-0005-0000-0000-0000E2290000}"/>
    <cellStyle name="Comma 10 55 2 4 2" xfId="27479" xr:uid="{00000000-0005-0000-0000-0000E3290000}"/>
    <cellStyle name="Comma 10 55 2 4 3" xfId="42971" xr:uid="{00000000-0005-0000-0000-0000E4290000}"/>
    <cellStyle name="Comma 10 55 2 5" xfId="19739" xr:uid="{00000000-0005-0000-0000-0000E5290000}"/>
    <cellStyle name="Comma 10 55 2 6" xfId="35231" xr:uid="{00000000-0005-0000-0000-0000E6290000}"/>
    <cellStyle name="Comma 10 55 3" xfId="5120" xr:uid="{00000000-0005-0000-0000-0000E7290000}"/>
    <cellStyle name="Comma 10 55 3 2" xfId="8991" xr:uid="{00000000-0005-0000-0000-0000E8290000}"/>
    <cellStyle name="Comma 10 55 3 2 2" xfId="16736" xr:uid="{00000000-0005-0000-0000-0000E9290000}"/>
    <cellStyle name="Comma 10 55 3 2 2 2" xfId="32328" xr:uid="{00000000-0005-0000-0000-0000EA290000}"/>
    <cellStyle name="Comma 10 55 3 2 2 3" xfId="47820" xr:uid="{00000000-0005-0000-0000-0000EB290000}"/>
    <cellStyle name="Comma 10 55 3 2 3" xfId="24588" xr:uid="{00000000-0005-0000-0000-0000EC290000}"/>
    <cellStyle name="Comma 10 55 3 2 4" xfId="40080" xr:uid="{00000000-0005-0000-0000-0000ED290000}"/>
    <cellStyle name="Comma 10 55 3 3" xfId="12866" xr:uid="{00000000-0005-0000-0000-0000EE290000}"/>
    <cellStyle name="Comma 10 55 3 3 2" xfId="28458" xr:uid="{00000000-0005-0000-0000-0000EF290000}"/>
    <cellStyle name="Comma 10 55 3 3 3" xfId="43950" xr:uid="{00000000-0005-0000-0000-0000F0290000}"/>
    <cellStyle name="Comma 10 55 3 4" xfId="20718" xr:uid="{00000000-0005-0000-0000-0000F1290000}"/>
    <cellStyle name="Comma 10 55 3 5" xfId="36210" xr:uid="{00000000-0005-0000-0000-0000F2290000}"/>
    <cellStyle name="Comma 10 55 4" xfId="7064" xr:uid="{00000000-0005-0000-0000-0000F3290000}"/>
    <cellStyle name="Comma 10 55 4 2" xfId="14809" xr:uid="{00000000-0005-0000-0000-0000F4290000}"/>
    <cellStyle name="Comma 10 55 4 2 2" xfId="30401" xr:uid="{00000000-0005-0000-0000-0000F5290000}"/>
    <cellStyle name="Comma 10 55 4 2 3" xfId="45893" xr:uid="{00000000-0005-0000-0000-0000F6290000}"/>
    <cellStyle name="Comma 10 55 4 3" xfId="22661" xr:uid="{00000000-0005-0000-0000-0000F7290000}"/>
    <cellStyle name="Comma 10 55 4 4" xfId="38153" xr:uid="{00000000-0005-0000-0000-0000F8290000}"/>
    <cellStyle name="Comma 10 55 5" xfId="10939" xr:uid="{00000000-0005-0000-0000-0000F9290000}"/>
    <cellStyle name="Comma 10 55 5 2" xfId="26531" xr:uid="{00000000-0005-0000-0000-0000FA290000}"/>
    <cellStyle name="Comma 10 55 5 3" xfId="42023" xr:uid="{00000000-0005-0000-0000-0000FB290000}"/>
    <cellStyle name="Comma 10 55 6" xfId="18791" xr:uid="{00000000-0005-0000-0000-0000FC290000}"/>
    <cellStyle name="Comma 10 55 7" xfId="34283" xr:uid="{00000000-0005-0000-0000-0000FD290000}"/>
    <cellStyle name="Comma 10 6" xfId="790" xr:uid="{00000000-0005-0000-0000-0000FE290000}"/>
    <cellStyle name="Comma 10 7" xfId="791" xr:uid="{00000000-0005-0000-0000-0000FF290000}"/>
    <cellStyle name="Comma 10 8" xfId="792" xr:uid="{00000000-0005-0000-0000-0000002A0000}"/>
    <cellStyle name="Comma 10 9" xfId="793" xr:uid="{00000000-0005-0000-0000-0000012A0000}"/>
    <cellStyle name="Comma 100" xfId="3181" xr:uid="{00000000-0005-0000-0000-0000022A0000}"/>
    <cellStyle name="Comma 100 2" xfId="49050" xr:uid="{E06F03D9-D499-412C-9169-9302E03CBF0F}"/>
    <cellStyle name="Comma 101" xfId="3179" xr:uid="{00000000-0005-0000-0000-0000032A0000}"/>
    <cellStyle name="Comma 102" xfId="3176" xr:uid="{00000000-0005-0000-0000-0000042A0000}"/>
    <cellStyle name="Comma 103" xfId="3178" xr:uid="{00000000-0005-0000-0000-0000052A0000}"/>
    <cellStyle name="Comma 104" xfId="3180" xr:uid="{00000000-0005-0000-0000-0000062A0000}"/>
    <cellStyle name="Comma 105" xfId="3182" xr:uid="{00000000-0005-0000-0000-0000072A0000}"/>
    <cellStyle name="Comma 106" xfId="3170" xr:uid="{00000000-0005-0000-0000-0000082A0000}"/>
    <cellStyle name="Comma 107" xfId="3177" xr:uid="{00000000-0005-0000-0000-0000092A0000}"/>
    <cellStyle name="Comma 108" xfId="3183" xr:uid="{00000000-0005-0000-0000-00000A2A0000}"/>
    <cellStyle name="Comma 109" xfId="3184" xr:uid="{00000000-0005-0000-0000-00000B2A0000}"/>
    <cellStyle name="Comma 11" xfId="794" xr:uid="{00000000-0005-0000-0000-00000C2A0000}"/>
    <cellStyle name="Comma 11 10" xfId="795" xr:uid="{00000000-0005-0000-0000-00000D2A0000}"/>
    <cellStyle name="Comma 11 11" xfId="796" xr:uid="{00000000-0005-0000-0000-00000E2A0000}"/>
    <cellStyle name="Comma 11 12" xfId="797" xr:uid="{00000000-0005-0000-0000-00000F2A0000}"/>
    <cellStyle name="Comma 11 13" xfId="798" xr:uid="{00000000-0005-0000-0000-0000102A0000}"/>
    <cellStyle name="Comma 11 14" xfId="799" xr:uid="{00000000-0005-0000-0000-0000112A0000}"/>
    <cellStyle name="Comma 11 15" xfId="800" xr:uid="{00000000-0005-0000-0000-0000122A0000}"/>
    <cellStyle name="Comma 11 16" xfId="801" xr:uid="{00000000-0005-0000-0000-0000132A0000}"/>
    <cellStyle name="Comma 11 17" xfId="802" xr:uid="{00000000-0005-0000-0000-0000142A0000}"/>
    <cellStyle name="Comma 11 18" xfId="803" xr:uid="{00000000-0005-0000-0000-0000152A0000}"/>
    <cellStyle name="Comma 11 19" xfId="804" xr:uid="{00000000-0005-0000-0000-0000162A0000}"/>
    <cellStyle name="Comma 11 2" xfId="805" xr:uid="{00000000-0005-0000-0000-0000172A0000}"/>
    <cellStyle name="Comma 11 2 2" xfId="48955" xr:uid="{00000000-0005-0000-0000-0000182A0000}"/>
    <cellStyle name="Comma 11 2 3" xfId="48956" xr:uid="{00000000-0005-0000-0000-0000192A0000}"/>
    <cellStyle name="Comma 11 20" xfId="806" xr:uid="{00000000-0005-0000-0000-00001A2A0000}"/>
    <cellStyle name="Comma 11 21" xfId="807" xr:uid="{00000000-0005-0000-0000-00001B2A0000}"/>
    <cellStyle name="Comma 11 22" xfId="808" xr:uid="{00000000-0005-0000-0000-00001C2A0000}"/>
    <cellStyle name="Comma 11 23" xfId="809" xr:uid="{00000000-0005-0000-0000-00001D2A0000}"/>
    <cellStyle name="Comma 11 24" xfId="810" xr:uid="{00000000-0005-0000-0000-00001E2A0000}"/>
    <cellStyle name="Comma 11 25" xfId="2170" xr:uid="{00000000-0005-0000-0000-00001F2A0000}"/>
    <cellStyle name="Comma 11 25 2" xfId="2513" xr:uid="{00000000-0005-0000-0000-0000202A0000}"/>
    <cellStyle name="Comma 11 25 2 2" xfId="3521" xr:uid="{00000000-0005-0000-0000-0000212A0000}"/>
    <cellStyle name="Comma 11 25 2 2 2" xfId="5460" xr:uid="{00000000-0005-0000-0000-0000222A0000}"/>
    <cellStyle name="Comma 11 25 2 2 2 2" xfId="9331" xr:uid="{00000000-0005-0000-0000-0000232A0000}"/>
    <cellStyle name="Comma 11 25 2 2 2 2 2" xfId="17076" xr:uid="{00000000-0005-0000-0000-0000242A0000}"/>
    <cellStyle name="Comma 11 25 2 2 2 2 2 2" xfId="32668" xr:uid="{00000000-0005-0000-0000-0000252A0000}"/>
    <cellStyle name="Comma 11 25 2 2 2 2 2 3" xfId="48160" xr:uid="{00000000-0005-0000-0000-0000262A0000}"/>
    <cellStyle name="Comma 11 25 2 2 2 2 3" xfId="24928" xr:uid="{00000000-0005-0000-0000-0000272A0000}"/>
    <cellStyle name="Comma 11 25 2 2 2 2 4" xfId="40420" xr:uid="{00000000-0005-0000-0000-0000282A0000}"/>
    <cellStyle name="Comma 11 25 2 2 2 3" xfId="13206" xr:uid="{00000000-0005-0000-0000-0000292A0000}"/>
    <cellStyle name="Comma 11 25 2 2 2 3 2" xfId="28798" xr:uid="{00000000-0005-0000-0000-00002A2A0000}"/>
    <cellStyle name="Comma 11 25 2 2 2 3 3" xfId="44290" xr:uid="{00000000-0005-0000-0000-00002B2A0000}"/>
    <cellStyle name="Comma 11 25 2 2 2 4" xfId="21058" xr:uid="{00000000-0005-0000-0000-00002C2A0000}"/>
    <cellStyle name="Comma 11 25 2 2 2 5" xfId="36550" xr:uid="{00000000-0005-0000-0000-00002D2A0000}"/>
    <cellStyle name="Comma 11 25 2 2 3" xfId="7404" xr:uid="{00000000-0005-0000-0000-00002E2A0000}"/>
    <cellStyle name="Comma 11 25 2 2 3 2" xfId="15149" xr:uid="{00000000-0005-0000-0000-00002F2A0000}"/>
    <cellStyle name="Comma 11 25 2 2 3 2 2" xfId="30741" xr:uid="{00000000-0005-0000-0000-0000302A0000}"/>
    <cellStyle name="Comma 11 25 2 2 3 2 3" xfId="46233" xr:uid="{00000000-0005-0000-0000-0000312A0000}"/>
    <cellStyle name="Comma 11 25 2 2 3 3" xfId="23001" xr:uid="{00000000-0005-0000-0000-0000322A0000}"/>
    <cellStyle name="Comma 11 25 2 2 3 4" xfId="38493" xr:uid="{00000000-0005-0000-0000-0000332A0000}"/>
    <cellStyle name="Comma 11 25 2 2 4" xfId="11279" xr:uid="{00000000-0005-0000-0000-0000342A0000}"/>
    <cellStyle name="Comma 11 25 2 2 4 2" xfId="26871" xr:uid="{00000000-0005-0000-0000-0000352A0000}"/>
    <cellStyle name="Comma 11 25 2 2 4 3" xfId="42363" xr:uid="{00000000-0005-0000-0000-0000362A0000}"/>
    <cellStyle name="Comma 11 25 2 2 5" xfId="19131" xr:uid="{00000000-0005-0000-0000-0000372A0000}"/>
    <cellStyle name="Comma 11 25 2 2 6" xfId="34623" xr:uid="{00000000-0005-0000-0000-0000382A0000}"/>
    <cellStyle name="Comma 11 25 2 3" xfId="4512" xr:uid="{00000000-0005-0000-0000-0000392A0000}"/>
    <cellStyle name="Comma 11 25 2 3 2" xfId="8383" xr:uid="{00000000-0005-0000-0000-00003A2A0000}"/>
    <cellStyle name="Comma 11 25 2 3 2 2" xfId="16128" xr:uid="{00000000-0005-0000-0000-00003B2A0000}"/>
    <cellStyle name="Comma 11 25 2 3 2 2 2" xfId="31720" xr:uid="{00000000-0005-0000-0000-00003C2A0000}"/>
    <cellStyle name="Comma 11 25 2 3 2 2 3" xfId="47212" xr:uid="{00000000-0005-0000-0000-00003D2A0000}"/>
    <cellStyle name="Comma 11 25 2 3 2 3" xfId="23980" xr:uid="{00000000-0005-0000-0000-00003E2A0000}"/>
    <cellStyle name="Comma 11 25 2 3 2 4" xfId="39472" xr:uid="{00000000-0005-0000-0000-00003F2A0000}"/>
    <cellStyle name="Comma 11 25 2 3 3" xfId="12258" xr:uid="{00000000-0005-0000-0000-0000402A0000}"/>
    <cellStyle name="Comma 11 25 2 3 3 2" xfId="27850" xr:uid="{00000000-0005-0000-0000-0000412A0000}"/>
    <cellStyle name="Comma 11 25 2 3 3 3" xfId="43342" xr:uid="{00000000-0005-0000-0000-0000422A0000}"/>
    <cellStyle name="Comma 11 25 2 3 4" xfId="20110" xr:uid="{00000000-0005-0000-0000-0000432A0000}"/>
    <cellStyle name="Comma 11 25 2 3 5" xfId="35602" xr:uid="{00000000-0005-0000-0000-0000442A0000}"/>
    <cellStyle name="Comma 11 25 2 4" xfId="6456" xr:uid="{00000000-0005-0000-0000-0000452A0000}"/>
    <cellStyle name="Comma 11 25 2 4 2" xfId="14201" xr:uid="{00000000-0005-0000-0000-0000462A0000}"/>
    <cellStyle name="Comma 11 25 2 4 2 2" xfId="29793" xr:uid="{00000000-0005-0000-0000-0000472A0000}"/>
    <cellStyle name="Comma 11 25 2 4 2 3" xfId="45285" xr:uid="{00000000-0005-0000-0000-0000482A0000}"/>
    <cellStyle name="Comma 11 25 2 4 3" xfId="22053" xr:uid="{00000000-0005-0000-0000-0000492A0000}"/>
    <cellStyle name="Comma 11 25 2 4 4" xfId="37545" xr:uid="{00000000-0005-0000-0000-00004A2A0000}"/>
    <cellStyle name="Comma 11 25 2 5" xfId="10331" xr:uid="{00000000-0005-0000-0000-00004B2A0000}"/>
    <cellStyle name="Comma 11 25 2 5 2" xfId="25923" xr:uid="{00000000-0005-0000-0000-00004C2A0000}"/>
    <cellStyle name="Comma 11 25 2 5 3" xfId="41415" xr:uid="{00000000-0005-0000-0000-00004D2A0000}"/>
    <cellStyle name="Comma 11 25 2 6" xfId="18183" xr:uid="{00000000-0005-0000-0000-00004E2A0000}"/>
    <cellStyle name="Comma 11 25 2 7" xfId="33675" xr:uid="{00000000-0005-0000-0000-00004F2A0000}"/>
    <cellStyle name="Comma 11 25 3" xfId="3212" xr:uid="{00000000-0005-0000-0000-0000502A0000}"/>
    <cellStyle name="Comma 11 25 3 2" xfId="5151" xr:uid="{00000000-0005-0000-0000-0000512A0000}"/>
    <cellStyle name="Comma 11 25 3 2 2" xfId="9022" xr:uid="{00000000-0005-0000-0000-0000522A0000}"/>
    <cellStyle name="Comma 11 25 3 2 2 2" xfId="16767" xr:uid="{00000000-0005-0000-0000-0000532A0000}"/>
    <cellStyle name="Comma 11 25 3 2 2 2 2" xfId="32359" xr:uid="{00000000-0005-0000-0000-0000542A0000}"/>
    <cellStyle name="Comma 11 25 3 2 2 2 3" xfId="47851" xr:uid="{00000000-0005-0000-0000-0000552A0000}"/>
    <cellStyle name="Comma 11 25 3 2 2 3" xfId="24619" xr:uid="{00000000-0005-0000-0000-0000562A0000}"/>
    <cellStyle name="Comma 11 25 3 2 2 4" xfId="40111" xr:uid="{00000000-0005-0000-0000-0000572A0000}"/>
    <cellStyle name="Comma 11 25 3 2 3" xfId="12897" xr:uid="{00000000-0005-0000-0000-0000582A0000}"/>
    <cellStyle name="Comma 11 25 3 2 3 2" xfId="28489" xr:uid="{00000000-0005-0000-0000-0000592A0000}"/>
    <cellStyle name="Comma 11 25 3 2 3 3" xfId="43981" xr:uid="{00000000-0005-0000-0000-00005A2A0000}"/>
    <cellStyle name="Comma 11 25 3 2 4" xfId="20749" xr:uid="{00000000-0005-0000-0000-00005B2A0000}"/>
    <cellStyle name="Comma 11 25 3 2 5" xfId="36241" xr:uid="{00000000-0005-0000-0000-00005C2A0000}"/>
    <cellStyle name="Comma 11 25 3 3" xfId="7095" xr:uid="{00000000-0005-0000-0000-00005D2A0000}"/>
    <cellStyle name="Comma 11 25 3 3 2" xfId="14840" xr:uid="{00000000-0005-0000-0000-00005E2A0000}"/>
    <cellStyle name="Comma 11 25 3 3 2 2" xfId="30432" xr:uid="{00000000-0005-0000-0000-00005F2A0000}"/>
    <cellStyle name="Comma 11 25 3 3 2 3" xfId="45924" xr:uid="{00000000-0005-0000-0000-0000602A0000}"/>
    <cellStyle name="Comma 11 25 3 3 3" xfId="22692" xr:uid="{00000000-0005-0000-0000-0000612A0000}"/>
    <cellStyle name="Comma 11 25 3 3 4" xfId="38184" xr:uid="{00000000-0005-0000-0000-0000622A0000}"/>
    <cellStyle name="Comma 11 25 3 4" xfId="10970" xr:uid="{00000000-0005-0000-0000-0000632A0000}"/>
    <cellStyle name="Comma 11 25 3 4 2" xfId="26562" xr:uid="{00000000-0005-0000-0000-0000642A0000}"/>
    <cellStyle name="Comma 11 25 3 4 3" xfId="42054" xr:uid="{00000000-0005-0000-0000-0000652A0000}"/>
    <cellStyle name="Comma 11 25 3 5" xfId="18822" xr:uid="{00000000-0005-0000-0000-0000662A0000}"/>
    <cellStyle name="Comma 11 25 3 6" xfId="34314" xr:uid="{00000000-0005-0000-0000-0000672A0000}"/>
    <cellStyle name="Comma 11 25 4" xfId="4203" xr:uid="{00000000-0005-0000-0000-0000682A0000}"/>
    <cellStyle name="Comma 11 25 4 2" xfId="8074" xr:uid="{00000000-0005-0000-0000-0000692A0000}"/>
    <cellStyle name="Comma 11 25 4 2 2" xfId="15819" xr:uid="{00000000-0005-0000-0000-00006A2A0000}"/>
    <cellStyle name="Comma 11 25 4 2 2 2" xfId="31411" xr:uid="{00000000-0005-0000-0000-00006B2A0000}"/>
    <cellStyle name="Comma 11 25 4 2 2 3" xfId="46903" xr:uid="{00000000-0005-0000-0000-00006C2A0000}"/>
    <cellStyle name="Comma 11 25 4 2 3" xfId="23671" xr:uid="{00000000-0005-0000-0000-00006D2A0000}"/>
    <cellStyle name="Comma 11 25 4 2 4" xfId="39163" xr:uid="{00000000-0005-0000-0000-00006E2A0000}"/>
    <cellStyle name="Comma 11 25 4 3" xfId="11949" xr:uid="{00000000-0005-0000-0000-00006F2A0000}"/>
    <cellStyle name="Comma 11 25 4 3 2" xfId="27541" xr:uid="{00000000-0005-0000-0000-0000702A0000}"/>
    <cellStyle name="Comma 11 25 4 3 3" xfId="43033" xr:uid="{00000000-0005-0000-0000-0000712A0000}"/>
    <cellStyle name="Comma 11 25 4 4" xfId="19801" xr:uid="{00000000-0005-0000-0000-0000722A0000}"/>
    <cellStyle name="Comma 11 25 4 5" xfId="35293" xr:uid="{00000000-0005-0000-0000-0000732A0000}"/>
    <cellStyle name="Comma 11 25 5" xfId="6147" xr:uid="{00000000-0005-0000-0000-0000742A0000}"/>
    <cellStyle name="Comma 11 25 5 2" xfId="13892" xr:uid="{00000000-0005-0000-0000-0000752A0000}"/>
    <cellStyle name="Comma 11 25 5 2 2" xfId="29484" xr:uid="{00000000-0005-0000-0000-0000762A0000}"/>
    <cellStyle name="Comma 11 25 5 2 3" xfId="44976" xr:uid="{00000000-0005-0000-0000-0000772A0000}"/>
    <cellStyle name="Comma 11 25 5 3" xfId="21744" xr:uid="{00000000-0005-0000-0000-0000782A0000}"/>
    <cellStyle name="Comma 11 25 5 4" xfId="37236" xr:uid="{00000000-0005-0000-0000-0000792A0000}"/>
    <cellStyle name="Comma 11 25 6" xfId="10022" xr:uid="{00000000-0005-0000-0000-00007A2A0000}"/>
    <cellStyle name="Comma 11 25 6 2" xfId="25614" xr:uid="{00000000-0005-0000-0000-00007B2A0000}"/>
    <cellStyle name="Comma 11 25 6 3" xfId="41106" xr:uid="{00000000-0005-0000-0000-00007C2A0000}"/>
    <cellStyle name="Comma 11 25 7" xfId="17874" xr:uid="{00000000-0005-0000-0000-00007D2A0000}"/>
    <cellStyle name="Comma 11 25 8" xfId="33366" xr:uid="{00000000-0005-0000-0000-00007E2A0000}"/>
    <cellStyle name="Comma 11 26" xfId="2234" xr:uid="{00000000-0005-0000-0000-00007F2A0000}"/>
    <cellStyle name="Comma 11 26 2" xfId="2551" xr:uid="{00000000-0005-0000-0000-0000802A0000}"/>
    <cellStyle name="Comma 11 26 2 2" xfId="3559" xr:uid="{00000000-0005-0000-0000-0000812A0000}"/>
    <cellStyle name="Comma 11 26 2 2 2" xfId="5498" xr:uid="{00000000-0005-0000-0000-0000822A0000}"/>
    <cellStyle name="Comma 11 26 2 2 2 2" xfId="9369" xr:uid="{00000000-0005-0000-0000-0000832A0000}"/>
    <cellStyle name="Comma 11 26 2 2 2 2 2" xfId="17114" xr:uid="{00000000-0005-0000-0000-0000842A0000}"/>
    <cellStyle name="Comma 11 26 2 2 2 2 2 2" xfId="32706" xr:uid="{00000000-0005-0000-0000-0000852A0000}"/>
    <cellStyle name="Comma 11 26 2 2 2 2 2 3" xfId="48198" xr:uid="{00000000-0005-0000-0000-0000862A0000}"/>
    <cellStyle name="Comma 11 26 2 2 2 2 3" xfId="24966" xr:uid="{00000000-0005-0000-0000-0000872A0000}"/>
    <cellStyle name="Comma 11 26 2 2 2 2 4" xfId="40458" xr:uid="{00000000-0005-0000-0000-0000882A0000}"/>
    <cellStyle name="Comma 11 26 2 2 2 3" xfId="13244" xr:uid="{00000000-0005-0000-0000-0000892A0000}"/>
    <cellStyle name="Comma 11 26 2 2 2 3 2" xfId="28836" xr:uid="{00000000-0005-0000-0000-00008A2A0000}"/>
    <cellStyle name="Comma 11 26 2 2 2 3 3" xfId="44328" xr:uid="{00000000-0005-0000-0000-00008B2A0000}"/>
    <cellStyle name="Comma 11 26 2 2 2 4" xfId="21096" xr:uid="{00000000-0005-0000-0000-00008C2A0000}"/>
    <cellStyle name="Comma 11 26 2 2 2 5" xfId="36588" xr:uid="{00000000-0005-0000-0000-00008D2A0000}"/>
    <cellStyle name="Comma 11 26 2 2 3" xfId="7442" xr:uid="{00000000-0005-0000-0000-00008E2A0000}"/>
    <cellStyle name="Comma 11 26 2 2 3 2" xfId="15187" xr:uid="{00000000-0005-0000-0000-00008F2A0000}"/>
    <cellStyle name="Comma 11 26 2 2 3 2 2" xfId="30779" xr:uid="{00000000-0005-0000-0000-0000902A0000}"/>
    <cellStyle name="Comma 11 26 2 2 3 2 3" xfId="46271" xr:uid="{00000000-0005-0000-0000-0000912A0000}"/>
    <cellStyle name="Comma 11 26 2 2 3 3" xfId="23039" xr:uid="{00000000-0005-0000-0000-0000922A0000}"/>
    <cellStyle name="Comma 11 26 2 2 3 4" xfId="38531" xr:uid="{00000000-0005-0000-0000-0000932A0000}"/>
    <cellStyle name="Comma 11 26 2 2 4" xfId="11317" xr:uid="{00000000-0005-0000-0000-0000942A0000}"/>
    <cellStyle name="Comma 11 26 2 2 4 2" xfId="26909" xr:uid="{00000000-0005-0000-0000-0000952A0000}"/>
    <cellStyle name="Comma 11 26 2 2 4 3" xfId="42401" xr:uid="{00000000-0005-0000-0000-0000962A0000}"/>
    <cellStyle name="Comma 11 26 2 2 5" xfId="19169" xr:uid="{00000000-0005-0000-0000-0000972A0000}"/>
    <cellStyle name="Comma 11 26 2 2 6" xfId="34661" xr:uid="{00000000-0005-0000-0000-0000982A0000}"/>
    <cellStyle name="Comma 11 26 2 3" xfId="4550" xr:uid="{00000000-0005-0000-0000-0000992A0000}"/>
    <cellStyle name="Comma 11 26 2 3 2" xfId="8421" xr:uid="{00000000-0005-0000-0000-00009A2A0000}"/>
    <cellStyle name="Comma 11 26 2 3 2 2" xfId="16166" xr:uid="{00000000-0005-0000-0000-00009B2A0000}"/>
    <cellStyle name="Comma 11 26 2 3 2 2 2" xfId="31758" xr:uid="{00000000-0005-0000-0000-00009C2A0000}"/>
    <cellStyle name="Comma 11 26 2 3 2 2 3" xfId="47250" xr:uid="{00000000-0005-0000-0000-00009D2A0000}"/>
    <cellStyle name="Comma 11 26 2 3 2 3" xfId="24018" xr:uid="{00000000-0005-0000-0000-00009E2A0000}"/>
    <cellStyle name="Comma 11 26 2 3 2 4" xfId="39510" xr:uid="{00000000-0005-0000-0000-00009F2A0000}"/>
    <cellStyle name="Comma 11 26 2 3 3" xfId="12296" xr:uid="{00000000-0005-0000-0000-0000A02A0000}"/>
    <cellStyle name="Comma 11 26 2 3 3 2" xfId="27888" xr:uid="{00000000-0005-0000-0000-0000A12A0000}"/>
    <cellStyle name="Comma 11 26 2 3 3 3" xfId="43380" xr:uid="{00000000-0005-0000-0000-0000A22A0000}"/>
    <cellStyle name="Comma 11 26 2 3 4" xfId="20148" xr:uid="{00000000-0005-0000-0000-0000A32A0000}"/>
    <cellStyle name="Comma 11 26 2 3 5" xfId="35640" xr:uid="{00000000-0005-0000-0000-0000A42A0000}"/>
    <cellStyle name="Comma 11 26 2 4" xfId="6494" xr:uid="{00000000-0005-0000-0000-0000A52A0000}"/>
    <cellStyle name="Comma 11 26 2 4 2" xfId="14239" xr:uid="{00000000-0005-0000-0000-0000A62A0000}"/>
    <cellStyle name="Comma 11 26 2 4 2 2" xfId="29831" xr:uid="{00000000-0005-0000-0000-0000A72A0000}"/>
    <cellStyle name="Comma 11 26 2 4 2 3" xfId="45323" xr:uid="{00000000-0005-0000-0000-0000A82A0000}"/>
    <cellStyle name="Comma 11 26 2 4 3" xfId="22091" xr:uid="{00000000-0005-0000-0000-0000A92A0000}"/>
    <cellStyle name="Comma 11 26 2 4 4" xfId="37583" xr:uid="{00000000-0005-0000-0000-0000AA2A0000}"/>
    <cellStyle name="Comma 11 26 2 5" xfId="10369" xr:uid="{00000000-0005-0000-0000-0000AB2A0000}"/>
    <cellStyle name="Comma 11 26 2 5 2" xfId="25961" xr:uid="{00000000-0005-0000-0000-0000AC2A0000}"/>
    <cellStyle name="Comma 11 26 2 5 3" xfId="41453" xr:uid="{00000000-0005-0000-0000-0000AD2A0000}"/>
    <cellStyle name="Comma 11 26 2 6" xfId="18221" xr:uid="{00000000-0005-0000-0000-0000AE2A0000}"/>
    <cellStyle name="Comma 11 26 2 7" xfId="33713" xr:uid="{00000000-0005-0000-0000-0000AF2A0000}"/>
    <cellStyle name="Comma 11 26 3" xfId="3250" xr:uid="{00000000-0005-0000-0000-0000B02A0000}"/>
    <cellStyle name="Comma 11 26 3 2" xfId="5189" xr:uid="{00000000-0005-0000-0000-0000B12A0000}"/>
    <cellStyle name="Comma 11 26 3 2 2" xfId="9060" xr:uid="{00000000-0005-0000-0000-0000B22A0000}"/>
    <cellStyle name="Comma 11 26 3 2 2 2" xfId="16805" xr:uid="{00000000-0005-0000-0000-0000B32A0000}"/>
    <cellStyle name="Comma 11 26 3 2 2 2 2" xfId="32397" xr:uid="{00000000-0005-0000-0000-0000B42A0000}"/>
    <cellStyle name="Comma 11 26 3 2 2 2 3" xfId="47889" xr:uid="{00000000-0005-0000-0000-0000B52A0000}"/>
    <cellStyle name="Comma 11 26 3 2 2 3" xfId="24657" xr:uid="{00000000-0005-0000-0000-0000B62A0000}"/>
    <cellStyle name="Comma 11 26 3 2 2 4" xfId="40149" xr:uid="{00000000-0005-0000-0000-0000B72A0000}"/>
    <cellStyle name="Comma 11 26 3 2 3" xfId="12935" xr:uid="{00000000-0005-0000-0000-0000B82A0000}"/>
    <cellStyle name="Comma 11 26 3 2 3 2" xfId="28527" xr:uid="{00000000-0005-0000-0000-0000B92A0000}"/>
    <cellStyle name="Comma 11 26 3 2 3 3" xfId="44019" xr:uid="{00000000-0005-0000-0000-0000BA2A0000}"/>
    <cellStyle name="Comma 11 26 3 2 4" xfId="20787" xr:uid="{00000000-0005-0000-0000-0000BB2A0000}"/>
    <cellStyle name="Comma 11 26 3 2 5" xfId="36279" xr:uid="{00000000-0005-0000-0000-0000BC2A0000}"/>
    <cellStyle name="Comma 11 26 3 3" xfId="7133" xr:uid="{00000000-0005-0000-0000-0000BD2A0000}"/>
    <cellStyle name="Comma 11 26 3 3 2" xfId="14878" xr:uid="{00000000-0005-0000-0000-0000BE2A0000}"/>
    <cellStyle name="Comma 11 26 3 3 2 2" xfId="30470" xr:uid="{00000000-0005-0000-0000-0000BF2A0000}"/>
    <cellStyle name="Comma 11 26 3 3 2 3" xfId="45962" xr:uid="{00000000-0005-0000-0000-0000C02A0000}"/>
    <cellStyle name="Comma 11 26 3 3 3" xfId="22730" xr:uid="{00000000-0005-0000-0000-0000C12A0000}"/>
    <cellStyle name="Comma 11 26 3 3 4" xfId="38222" xr:uid="{00000000-0005-0000-0000-0000C22A0000}"/>
    <cellStyle name="Comma 11 26 3 4" xfId="11008" xr:uid="{00000000-0005-0000-0000-0000C32A0000}"/>
    <cellStyle name="Comma 11 26 3 4 2" xfId="26600" xr:uid="{00000000-0005-0000-0000-0000C42A0000}"/>
    <cellStyle name="Comma 11 26 3 4 3" xfId="42092" xr:uid="{00000000-0005-0000-0000-0000C52A0000}"/>
    <cellStyle name="Comma 11 26 3 5" xfId="18860" xr:uid="{00000000-0005-0000-0000-0000C62A0000}"/>
    <cellStyle name="Comma 11 26 3 6" xfId="34352" xr:uid="{00000000-0005-0000-0000-0000C72A0000}"/>
    <cellStyle name="Comma 11 26 4" xfId="4241" xr:uid="{00000000-0005-0000-0000-0000C82A0000}"/>
    <cellStyle name="Comma 11 26 4 2" xfId="8112" xr:uid="{00000000-0005-0000-0000-0000C92A0000}"/>
    <cellStyle name="Comma 11 26 4 2 2" xfId="15857" xr:uid="{00000000-0005-0000-0000-0000CA2A0000}"/>
    <cellStyle name="Comma 11 26 4 2 2 2" xfId="31449" xr:uid="{00000000-0005-0000-0000-0000CB2A0000}"/>
    <cellStyle name="Comma 11 26 4 2 2 3" xfId="46941" xr:uid="{00000000-0005-0000-0000-0000CC2A0000}"/>
    <cellStyle name="Comma 11 26 4 2 3" xfId="23709" xr:uid="{00000000-0005-0000-0000-0000CD2A0000}"/>
    <cellStyle name="Comma 11 26 4 2 4" xfId="39201" xr:uid="{00000000-0005-0000-0000-0000CE2A0000}"/>
    <cellStyle name="Comma 11 26 4 3" xfId="11987" xr:uid="{00000000-0005-0000-0000-0000CF2A0000}"/>
    <cellStyle name="Comma 11 26 4 3 2" xfId="27579" xr:uid="{00000000-0005-0000-0000-0000D02A0000}"/>
    <cellStyle name="Comma 11 26 4 3 3" xfId="43071" xr:uid="{00000000-0005-0000-0000-0000D12A0000}"/>
    <cellStyle name="Comma 11 26 4 4" xfId="19839" xr:uid="{00000000-0005-0000-0000-0000D22A0000}"/>
    <cellStyle name="Comma 11 26 4 5" xfId="35331" xr:uid="{00000000-0005-0000-0000-0000D32A0000}"/>
    <cellStyle name="Comma 11 26 5" xfId="6185" xr:uid="{00000000-0005-0000-0000-0000D42A0000}"/>
    <cellStyle name="Comma 11 26 5 2" xfId="13930" xr:uid="{00000000-0005-0000-0000-0000D52A0000}"/>
    <cellStyle name="Comma 11 26 5 2 2" xfId="29522" xr:uid="{00000000-0005-0000-0000-0000D62A0000}"/>
    <cellStyle name="Comma 11 26 5 2 3" xfId="45014" xr:uid="{00000000-0005-0000-0000-0000D72A0000}"/>
    <cellStyle name="Comma 11 26 5 3" xfId="21782" xr:uid="{00000000-0005-0000-0000-0000D82A0000}"/>
    <cellStyle name="Comma 11 26 5 4" xfId="37274" xr:uid="{00000000-0005-0000-0000-0000D92A0000}"/>
    <cellStyle name="Comma 11 26 6" xfId="10060" xr:uid="{00000000-0005-0000-0000-0000DA2A0000}"/>
    <cellStyle name="Comma 11 26 6 2" xfId="25652" xr:uid="{00000000-0005-0000-0000-0000DB2A0000}"/>
    <cellStyle name="Comma 11 26 6 3" xfId="41144" xr:uid="{00000000-0005-0000-0000-0000DC2A0000}"/>
    <cellStyle name="Comma 11 26 7" xfId="17912" xr:uid="{00000000-0005-0000-0000-0000DD2A0000}"/>
    <cellStyle name="Comma 11 26 8" xfId="33404" xr:uid="{00000000-0005-0000-0000-0000DE2A0000}"/>
    <cellStyle name="Comma 11 27" xfId="2271" xr:uid="{00000000-0005-0000-0000-0000DF2A0000}"/>
    <cellStyle name="Comma 11 27 2" xfId="2587" xr:uid="{00000000-0005-0000-0000-0000E02A0000}"/>
    <cellStyle name="Comma 11 27 2 2" xfId="3595" xr:uid="{00000000-0005-0000-0000-0000E12A0000}"/>
    <cellStyle name="Comma 11 27 2 2 2" xfId="5534" xr:uid="{00000000-0005-0000-0000-0000E22A0000}"/>
    <cellStyle name="Comma 11 27 2 2 2 2" xfId="9405" xr:uid="{00000000-0005-0000-0000-0000E32A0000}"/>
    <cellStyle name="Comma 11 27 2 2 2 2 2" xfId="17150" xr:uid="{00000000-0005-0000-0000-0000E42A0000}"/>
    <cellStyle name="Comma 11 27 2 2 2 2 2 2" xfId="32742" xr:uid="{00000000-0005-0000-0000-0000E52A0000}"/>
    <cellStyle name="Comma 11 27 2 2 2 2 2 3" xfId="48234" xr:uid="{00000000-0005-0000-0000-0000E62A0000}"/>
    <cellStyle name="Comma 11 27 2 2 2 2 3" xfId="25002" xr:uid="{00000000-0005-0000-0000-0000E72A0000}"/>
    <cellStyle name="Comma 11 27 2 2 2 2 4" xfId="40494" xr:uid="{00000000-0005-0000-0000-0000E82A0000}"/>
    <cellStyle name="Comma 11 27 2 2 2 3" xfId="13280" xr:uid="{00000000-0005-0000-0000-0000E92A0000}"/>
    <cellStyle name="Comma 11 27 2 2 2 3 2" xfId="28872" xr:uid="{00000000-0005-0000-0000-0000EA2A0000}"/>
    <cellStyle name="Comma 11 27 2 2 2 3 3" xfId="44364" xr:uid="{00000000-0005-0000-0000-0000EB2A0000}"/>
    <cellStyle name="Comma 11 27 2 2 2 4" xfId="21132" xr:uid="{00000000-0005-0000-0000-0000EC2A0000}"/>
    <cellStyle name="Comma 11 27 2 2 2 5" xfId="36624" xr:uid="{00000000-0005-0000-0000-0000ED2A0000}"/>
    <cellStyle name="Comma 11 27 2 2 3" xfId="7478" xr:uid="{00000000-0005-0000-0000-0000EE2A0000}"/>
    <cellStyle name="Comma 11 27 2 2 3 2" xfId="15223" xr:uid="{00000000-0005-0000-0000-0000EF2A0000}"/>
    <cellStyle name="Comma 11 27 2 2 3 2 2" xfId="30815" xr:uid="{00000000-0005-0000-0000-0000F02A0000}"/>
    <cellStyle name="Comma 11 27 2 2 3 2 3" xfId="46307" xr:uid="{00000000-0005-0000-0000-0000F12A0000}"/>
    <cellStyle name="Comma 11 27 2 2 3 3" xfId="23075" xr:uid="{00000000-0005-0000-0000-0000F22A0000}"/>
    <cellStyle name="Comma 11 27 2 2 3 4" xfId="38567" xr:uid="{00000000-0005-0000-0000-0000F32A0000}"/>
    <cellStyle name="Comma 11 27 2 2 4" xfId="11353" xr:uid="{00000000-0005-0000-0000-0000F42A0000}"/>
    <cellStyle name="Comma 11 27 2 2 4 2" xfId="26945" xr:uid="{00000000-0005-0000-0000-0000F52A0000}"/>
    <cellStyle name="Comma 11 27 2 2 4 3" xfId="42437" xr:uid="{00000000-0005-0000-0000-0000F62A0000}"/>
    <cellStyle name="Comma 11 27 2 2 5" xfId="19205" xr:uid="{00000000-0005-0000-0000-0000F72A0000}"/>
    <cellStyle name="Comma 11 27 2 2 6" xfId="34697" xr:uid="{00000000-0005-0000-0000-0000F82A0000}"/>
    <cellStyle name="Comma 11 27 2 3" xfId="4586" xr:uid="{00000000-0005-0000-0000-0000F92A0000}"/>
    <cellStyle name="Comma 11 27 2 3 2" xfId="8457" xr:uid="{00000000-0005-0000-0000-0000FA2A0000}"/>
    <cellStyle name="Comma 11 27 2 3 2 2" xfId="16202" xr:uid="{00000000-0005-0000-0000-0000FB2A0000}"/>
    <cellStyle name="Comma 11 27 2 3 2 2 2" xfId="31794" xr:uid="{00000000-0005-0000-0000-0000FC2A0000}"/>
    <cellStyle name="Comma 11 27 2 3 2 2 3" xfId="47286" xr:uid="{00000000-0005-0000-0000-0000FD2A0000}"/>
    <cellStyle name="Comma 11 27 2 3 2 3" xfId="24054" xr:uid="{00000000-0005-0000-0000-0000FE2A0000}"/>
    <cellStyle name="Comma 11 27 2 3 2 4" xfId="39546" xr:uid="{00000000-0005-0000-0000-0000FF2A0000}"/>
    <cellStyle name="Comma 11 27 2 3 3" xfId="12332" xr:uid="{00000000-0005-0000-0000-0000002B0000}"/>
    <cellStyle name="Comma 11 27 2 3 3 2" xfId="27924" xr:uid="{00000000-0005-0000-0000-0000012B0000}"/>
    <cellStyle name="Comma 11 27 2 3 3 3" xfId="43416" xr:uid="{00000000-0005-0000-0000-0000022B0000}"/>
    <cellStyle name="Comma 11 27 2 3 4" xfId="20184" xr:uid="{00000000-0005-0000-0000-0000032B0000}"/>
    <cellStyle name="Comma 11 27 2 3 5" xfId="35676" xr:uid="{00000000-0005-0000-0000-0000042B0000}"/>
    <cellStyle name="Comma 11 27 2 4" xfId="6530" xr:uid="{00000000-0005-0000-0000-0000052B0000}"/>
    <cellStyle name="Comma 11 27 2 4 2" xfId="14275" xr:uid="{00000000-0005-0000-0000-0000062B0000}"/>
    <cellStyle name="Comma 11 27 2 4 2 2" xfId="29867" xr:uid="{00000000-0005-0000-0000-0000072B0000}"/>
    <cellStyle name="Comma 11 27 2 4 2 3" xfId="45359" xr:uid="{00000000-0005-0000-0000-0000082B0000}"/>
    <cellStyle name="Comma 11 27 2 4 3" xfId="22127" xr:uid="{00000000-0005-0000-0000-0000092B0000}"/>
    <cellStyle name="Comma 11 27 2 4 4" xfId="37619" xr:uid="{00000000-0005-0000-0000-00000A2B0000}"/>
    <cellStyle name="Comma 11 27 2 5" xfId="10405" xr:uid="{00000000-0005-0000-0000-00000B2B0000}"/>
    <cellStyle name="Comma 11 27 2 5 2" xfId="25997" xr:uid="{00000000-0005-0000-0000-00000C2B0000}"/>
    <cellStyle name="Comma 11 27 2 5 3" xfId="41489" xr:uid="{00000000-0005-0000-0000-00000D2B0000}"/>
    <cellStyle name="Comma 11 27 2 6" xfId="18257" xr:uid="{00000000-0005-0000-0000-00000E2B0000}"/>
    <cellStyle name="Comma 11 27 2 7" xfId="33749" xr:uid="{00000000-0005-0000-0000-00000F2B0000}"/>
    <cellStyle name="Comma 11 27 3" xfId="3286" xr:uid="{00000000-0005-0000-0000-0000102B0000}"/>
    <cellStyle name="Comma 11 27 3 2" xfId="5225" xr:uid="{00000000-0005-0000-0000-0000112B0000}"/>
    <cellStyle name="Comma 11 27 3 2 2" xfId="9096" xr:uid="{00000000-0005-0000-0000-0000122B0000}"/>
    <cellStyle name="Comma 11 27 3 2 2 2" xfId="16841" xr:uid="{00000000-0005-0000-0000-0000132B0000}"/>
    <cellStyle name="Comma 11 27 3 2 2 2 2" xfId="32433" xr:uid="{00000000-0005-0000-0000-0000142B0000}"/>
    <cellStyle name="Comma 11 27 3 2 2 2 3" xfId="47925" xr:uid="{00000000-0005-0000-0000-0000152B0000}"/>
    <cellStyle name="Comma 11 27 3 2 2 3" xfId="24693" xr:uid="{00000000-0005-0000-0000-0000162B0000}"/>
    <cellStyle name="Comma 11 27 3 2 2 4" xfId="40185" xr:uid="{00000000-0005-0000-0000-0000172B0000}"/>
    <cellStyle name="Comma 11 27 3 2 3" xfId="12971" xr:uid="{00000000-0005-0000-0000-0000182B0000}"/>
    <cellStyle name="Comma 11 27 3 2 3 2" xfId="28563" xr:uid="{00000000-0005-0000-0000-0000192B0000}"/>
    <cellStyle name="Comma 11 27 3 2 3 3" xfId="44055" xr:uid="{00000000-0005-0000-0000-00001A2B0000}"/>
    <cellStyle name="Comma 11 27 3 2 4" xfId="20823" xr:uid="{00000000-0005-0000-0000-00001B2B0000}"/>
    <cellStyle name="Comma 11 27 3 2 5" xfId="36315" xr:uid="{00000000-0005-0000-0000-00001C2B0000}"/>
    <cellStyle name="Comma 11 27 3 3" xfId="7169" xr:uid="{00000000-0005-0000-0000-00001D2B0000}"/>
    <cellStyle name="Comma 11 27 3 3 2" xfId="14914" xr:uid="{00000000-0005-0000-0000-00001E2B0000}"/>
    <cellStyle name="Comma 11 27 3 3 2 2" xfId="30506" xr:uid="{00000000-0005-0000-0000-00001F2B0000}"/>
    <cellStyle name="Comma 11 27 3 3 2 3" xfId="45998" xr:uid="{00000000-0005-0000-0000-0000202B0000}"/>
    <cellStyle name="Comma 11 27 3 3 3" xfId="22766" xr:uid="{00000000-0005-0000-0000-0000212B0000}"/>
    <cellStyle name="Comma 11 27 3 3 4" xfId="38258" xr:uid="{00000000-0005-0000-0000-0000222B0000}"/>
    <cellStyle name="Comma 11 27 3 4" xfId="11044" xr:uid="{00000000-0005-0000-0000-0000232B0000}"/>
    <cellStyle name="Comma 11 27 3 4 2" xfId="26636" xr:uid="{00000000-0005-0000-0000-0000242B0000}"/>
    <cellStyle name="Comma 11 27 3 4 3" xfId="42128" xr:uid="{00000000-0005-0000-0000-0000252B0000}"/>
    <cellStyle name="Comma 11 27 3 5" xfId="18896" xr:uid="{00000000-0005-0000-0000-0000262B0000}"/>
    <cellStyle name="Comma 11 27 3 6" xfId="34388" xr:uid="{00000000-0005-0000-0000-0000272B0000}"/>
    <cellStyle name="Comma 11 27 4" xfId="4277" xr:uid="{00000000-0005-0000-0000-0000282B0000}"/>
    <cellStyle name="Comma 11 27 4 2" xfId="8148" xr:uid="{00000000-0005-0000-0000-0000292B0000}"/>
    <cellStyle name="Comma 11 27 4 2 2" xfId="15893" xr:uid="{00000000-0005-0000-0000-00002A2B0000}"/>
    <cellStyle name="Comma 11 27 4 2 2 2" xfId="31485" xr:uid="{00000000-0005-0000-0000-00002B2B0000}"/>
    <cellStyle name="Comma 11 27 4 2 2 3" xfId="46977" xr:uid="{00000000-0005-0000-0000-00002C2B0000}"/>
    <cellStyle name="Comma 11 27 4 2 3" xfId="23745" xr:uid="{00000000-0005-0000-0000-00002D2B0000}"/>
    <cellStyle name="Comma 11 27 4 2 4" xfId="39237" xr:uid="{00000000-0005-0000-0000-00002E2B0000}"/>
    <cellStyle name="Comma 11 27 4 3" xfId="12023" xr:uid="{00000000-0005-0000-0000-00002F2B0000}"/>
    <cellStyle name="Comma 11 27 4 3 2" xfId="27615" xr:uid="{00000000-0005-0000-0000-0000302B0000}"/>
    <cellStyle name="Comma 11 27 4 3 3" xfId="43107" xr:uid="{00000000-0005-0000-0000-0000312B0000}"/>
    <cellStyle name="Comma 11 27 4 4" xfId="19875" xr:uid="{00000000-0005-0000-0000-0000322B0000}"/>
    <cellStyle name="Comma 11 27 4 5" xfId="35367" xr:uid="{00000000-0005-0000-0000-0000332B0000}"/>
    <cellStyle name="Comma 11 27 5" xfId="6221" xr:uid="{00000000-0005-0000-0000-0000342B0000}"/>
    <cellStyle name="Comma 11 27 5 2" xfId="13966" xr:uid="{00000000-0005-0000-0000-0000352B0000}"/>
    <cellStyle name="Comma 11 27 5 2 2" xfId="29558" xr:uid="{00000000-0005-0000-0000-0000362B0000}"/>
    <cellStyle name="Comma 11 27 5 2 3" xfId="45050" xr:uid="{00000000-0005-0000-0000-0000372B0000}"/>
    <cellStyle name="Comma 11 27 5 3" xfId="21818" xr:uid="{00000000-0005-0000-0000-0000382B0000}"/>
    <cellStyle name="Comma 11 27 5 4" xfId="37310" xr:uid="{00000000-0005-0000-0000-0000392B0000}"/>
    <cellStyle name="Comma 11 27 6" xfId="10096" xr:uid="{00000000-0005-0000-0000-00003A2B0000}"/>
    <cellStyle name="Comma 11 27 6 2" xfId="25688" xr:uid="{00000000-0005-0000-0000-00003B2B0000}"/>
    <cellStyle name="Comma 11 27 6 3" xfId="41180" xr:uid="{00000000-0005-0000-0000-00003C2B0000}"/>
    <cellStyle name="Comma 11 27 7" xfId="17948" xr:uid="{00000000-0005-0000-0000-00003D2B0000}"/>
    <cellStyle name="Comma 11 27 8" xfId="33440" xr:uid="{00000000-0005-0000-0000-00003E2B0000}"/>
    <cellStyle name="Comma 11 28" xfId="2308" xr:uid="{00000000-0005-0000-0000-00003F2B0000}"/>
    <cellStyle name="Comma 11 28 2" xfId="2623" xr:uid="{00000000-0005-0000-0000-0000402B0000}"/>
    <cellStyle name="Comma 11 28 2 2" xfId="3631" xr:uid="{00000000-0005-0000-0000-0000412B0000}"/>
    <cellStyle name="Comma 11 28 2 2 2" xfId="5570" xr:uid="{00000000-0005-0000-0000-0000422B0000}"/>
    <cellStyle name="Comma 11 28 2 2 2 2" xfId="9441" xr:uid="{00000000-0005-0000-0000-0000432B0000}"/>
    <cellStyle name="Comma 11 28 2 2 2 2 2" xfId="17186" xr:uid="{00000000-0005-0000-0000-0000442B0000}"/>
    <cellStyle name="Comma 11 28 2 2 2 2 2 2" xfId="32778" xr:uid="{00000000-0005-0000-0000-0000452B0000}"/>
    <cellStyle name="Comma 11 28 2 2 2 2 2 3" xfId="48270" xr:uid="{00000000-0005-0000-0000-0000462B0000}"/>
    <cellStyle name="Comma 11 28 2 2 2 2 3" xfId="25038" xr:uid="{00000000-0005-0000-0000-0000472B0000}"/>
    <cellStyle name="Comma 11 28 2 2 2 2 4" xfId="40530" xr:uid="{00000000-0005-0000-0000-0000482B0000}"/>
    <cellStyle name="Comma 11 28 2 2 2 3" xfId="13316" xr:uid="{00000000-0005-0000-0000-0000492B0000}"/>
    <cellStyle name="Comma 11 28 2 2 2 3 2" xfId="28908" xr:uid="{00000000-0005-0000-0000-00004A2B0000}"/>
    <cellStyle name="Comma 11 28 2 2 2 3 3" xfId="44400" xr:uid="{00000000-0005-0000-0000-00004B2B0000}"/>
    <cellStyle name="Comma 11 28 2 2 2 4" xfId="21168" xr:uid="{00000000-0005-0000-0000-00004C2B0000}"/>
    <cellStyle name="Comma 11 28 2 2 2 5" xfId="36660" xr:uid="{00000000-0005-0000-0000-00004D2B0000}"/>
    <cellStyle name="Comma 11 28 2 2 3" xfId="7514" xr:uid="{00000000-0005-0000-0000-00004E2B0000}"/>
    <cellStyle name="Comma 11 28 2 2 3 2" xfId="15259" xr:uid="{00000000-0005-0000-0000-00004F2B0000}"/>
    <cellStyle name="Comma 11 28 2 2 3 2 2" xfId="30851" xr:uid="{00000000-0005-0000-0000-0000502B0000}"/>
    <cellStyle name="Comma 11 28 2 2 3 2 3" xfId="46343" xr:uid="{00000000-0005-0000-0000-0000512B0000}"/>
    <cellStyle name="Comma 11 28 2 2 3 3" xfId="23111" xr:uid="{00000000-0005-0000-0000-0000522B0000}"/>
    <cellStyle name="Comma 11 28 2 2 3 4" xfId="38603" xr:uid="{00000000-0005-0000-0000-0000532B0000}"/>
    <cellStyle name="Comma 11 28 2 2 4" xfId="11389" xr:uid="{00000000-0005-0000-0000-0000542B0000}"/>
    <cellStyle name="Comma 11 28 2 2 4 2" xfId="26981" xr:uid="{00000000-0005-0000-0000-0000552B0000}"/>
    <cellStyle name="Comma 11 28 2 2 4 3" xfId="42473" xr:uid="{00000000-0005-0000-0000-0000562B0000}"/>
    <cellStyle name="Comma 11 28 2 2 5" xfId="19241" xr:uid="{00000000-0005-0000-0000-0000572B0000}"/>
    <cellStyle name="Comma 11 28 2 2 6" xfId="34733" xr:uid="{00000000-0005-0000-0000-0000582B0000}"/>
    <cellStyle name="Comma 11 28 2 3" xfId="4622" xr:uid="{00000000-0005-0000-0000-0000592B0000}"/>
    <cellStyle name="Comma 11 28 2 3 2" xfId="8493" xr:uid="{00000000-0005-0000-0000-00005A2B0000}"/>
    <cellStyle name="Comma 11 28 2 3 2 2" xfId="16238" xr:uid="{00000000-0005-0000-0000-00005B2B0000}"/>
    <cellStyle name="Comma 11 28 2 3 2 2 2" xfId="31830" xr:uid="{00000000-0005-0000-0000-00005C2B0000}"/>
    <cellStyle name="Comma 11 28 2 3 2 2 3" xfId="47322" xr:uid="{00000000-0005-0000-0000-00005D2B0000}"/>
    <cellStyle name="Comma 11 28 2 3 2 3" xfId="24090" xr:uid="{00000000-0005-0000-0000-00005E2B0000}"/>
    <cellStyle name="Comma 11 28 2 3 2 4" xfId="39582" xr:uid="{00000000-0005-0000-0000-00005F2B0000}"/>
    <cellStyle name="Comma 11 28 2 3 3" xfId="12368" xr:uid="{00000000-0005-0000-0000-0000602B0000}"/>
    <cellStyle name="Comma 11 28 2 3 3 2" xfId="27960" xr:uid="{00000000-0005-0000-0000-0000612B0000}"/>
    <cellStyle name="Comma 11 28 2 3 3 3" xfId="43452" xr:uid="{00000000-0005-0000-0000-0000622B0000}"/>
    <cellStyle name="Comma 11 28 2 3 4" xfId="20220" xr:uid="{00000000-0005-0000-0000-0000632B0000}"/>
    <cellStyle name="Comma 11 28 2 3 5" xfId="35712" xr:uid="{00000000-0005-0000-0000-0000642B0000}"/>
    <cellStyle name="Comma 11 28 2 4" xfId="6566" xr:uid="{00000000-0005-0000-0000-0000652B0000}"/>
    <cellStyle name="Comma 11 28 2 4 2" xfId="14311" xr:uid="{00000000-0005-0000-0000-0000662B0000}"/>
    <cellStyle name="Comma 11 28 2 4 2 2" xfId="29903" xr:uid="{00000000-0005-0000-0000-0000672B0000}"/>
    <cellStyle name="Comma 11 28 2 4 2 3" xfId="45395" xr:uid="{00000000-0005-0000-0000-0000682B0000}"/>
    <cellStyle name="Comma 11 28 2 4 3" xfId="22163" xr:uid="{00000000-0005-0000-0000-0000692B0000}"/>
    <cellStyle name="Comma 11 28 2 4 4" xfId="37655" xr:uid="{00000000-0005-0000-0000-00006A2B0000}"/>
    <cellStyle name="Comma 11 28 2 5" xfId="10441" xr:uid="{00000000-0005-0000-0000-00006B2B0000}"/>
    <cellStyle name="Comma 11 28 2 5 2" xfId="26033" xr:uid="{00000000-0005-0000-0000-00006C2B0000}"/>
    <cellStyle name="Comma 11 28 2 5 3" xfId="41525" xr:uid="{00000000-0005-0000-0000-00006D2B0000}"/>
    <cellStyle name="Comma 11 28 2 6" xfId="18293" xr:uid="{00000000-0005-0000-0000-00006E2B0000}"/>
    <cellStyle name="Comma 11 28 2 7" xfId="33785" xr:uid="{00000000-0005-0000-0000-00006F2B0000}"/>
    <cellStyle name="Comma 11 28 3" xfId="3322" xr:uid="{00000000-0005-0000-0000-0000702B0000}"/>
    <cellStyle name="Comma 11 28 3 2" xfId="5261" xr:uid="{00000000-0005-0000-0000-0000712B0000}"/>
    <cellStyle name="Comma 11 28 3 2 2" xfId="9132" xr:uid="{00000000-0005-0000-0000-0000722B0000}"/>
    <cellStyle name="Comma 11 28 3 2 2 2" xfId="16877" xr:uid="{00000000-0005-0000-0000-0000732B0000}"/>
    <cellStyle name="Comma 11 28 3 2 2 2 2" xfId="32469" xr:uid="{00000000-0005-0000-0000-0000742B0000}"/>
    <cellStyle name="Comma 11 28 3 2 2 2 3" xfId="47961" xr:uid="{00000000-0005-0000-0000-0000752B0000}"/>
    <cellStyle name="Comma 11 28 3 2 2 3" xfId="24729" xr:uid="{00000000-0005-0000-0000-0000762B0000}"/>
    <cellStyle name="Comma 11 28 3 2 2 4" xfId="40221" xr:uid="{00000000-0005-0000-0000-0000772B0000}"/>
    <cellStyle name="Comma 11 28 3 2 3" xfId="13007" xr:uid="{00000000-0005-0000-0000-0000782B0000}"/>
    <cellStyle name="Comma 11 28 3 2 3 2" xfId="28599" xr:uid="{00000000-0005-0000-0000-0000792B0000}"/>
    <cellStyle name="Comma 11 28 3 2 3 3" xfId="44091" xr:uid="{00000000-0005-0000-0000-00007A2B0000}"/>
    <cellStyle name="Comma 11 28 3 2 4" xfId="20859" xr:uid="{00000000-0005-0000-0000-00007B2B0000}"/>
    <cellStyle name="Comma 11 28 3 2 5" xfId="36351" xr:uid="{00000000-0005-0000-0000-00007C2B0000}"/>
    <cellStyle name="Comma 11 28 3 3" xfId="7205" xr:uid="{00000000-0005-0000-0000-00007D2B0000}"/>
    <cellStyle name="Comma 11 28 3 3 2" xfId="14950" xr:uid="{00000000-0005-0000-0000-00007E2B0000}"/>
    <cellStyle name="Comma 11 28 3 3 2 2" xfId="30542" xr:uid="{00000000-0005-0000-0000-00007F2B0000}"/>
    <cellStyle name="Comma 11 28 3 3 2 3" xfId="46034" xr:uid="{00000000-0005-0000-0000-0000802B0000}"/>
    <cellStyle name="Comma 11 28 3 3 3" xfId="22802" xr:uid="{00000000-0005-0000-0000-0000812B0000}"/>
    <cellStyle name="Comma 11 28 3 3 4" xfId="38294" xr:uid="{00000000-0005-0000-0000-0000822B0000}"/>
    <cellStyle name="Comma 11 28 3 4" xfId="11080" xr:uid="{00000000-0005-0000-0000-0000832B0000}"/>
    <cellStyle name="Comma 11 28 3 4 2" xfId="26672" xr:uid="{00000000-0005-0000-0000-0000842B0000}"/>
    <cellStyle name="Comma 11 28 3 4 3" xfId="42164" xr:uid="{00000000-0005-0000-0000-0000852B0000}"/>
    <cellStyle name="Comma 11 28 3 5" xfId="18932" xr:uid="{00000000-0005-0000-0000-0000862B0000}"/>
    <cellStyle name="Comma 11 28 3 6" xfId="34424" xr:uid="{00000000-0005-0000-0000-0000872B0000}"/>
    <cellStyle name="Comma 11 28 4" xfId="4313" xr:uid="{00000000-0005-0000-0000-0000882B0000}"/>
    <cellStyle name="Comma 11 28 4 2" xfId="8184" xr:uid="{00000000-0005-0000-0000-0000892B0000}"/>
    <cellStyle name="Comma 11 28 4 2 2" xfId="15929" xr:uid="{00000000-0005-0000-0000-00008A2B0000}"/>
    <cellStyle name="Comma 11 28 4 2 2 2" xfId="31521" xr:uid="{00000000-0005-0000-0000-00008B2B0000}"/>
    <cellStyle name="Comma 11 28 4 2 2 3" xfId="47013" xr:uid="{00000000-0005-0000-0000-00008C2B0000}"/>
    <cellStyle name="Comma 11 28 4 2 3" xfId="23781" xr:uid="{00000000-0005-0000-0000-00008D2B0000}"/>
    <cellStyle name="Comma 11 28 4 2 4" xfId="39273" xr:uid="{00000000-0005-0000-0000-00008E2B0000}"/>
    <cellStyle name="Comma 11 28 4 3" xfId="12059" xr:uid="{00000000-0005-0000-0000-00008F2B0000}"/>
    <cellStyle name="Comma 11 28 4 3 2" xfId="27651" xr:uid="{00000000-0005-0000-0000-0000902B0000}"/>
    <cellStyle name="Comma 11 28 4 3 3" xfId="43143" xr:uid="{00000000-0005-0000-0000-0000912B0000}"/>
    <cellStyle name="Comma 11 28 4 4" xfId="19911" xr:uid="{00000000-0005-0000-0000-0000922B0000}"/>
    <cellStyle name="Comma 11 28 4 5" xfId="35403" xr:uid="{00000000-0005-0000-0000-0000932B0000}"/>
    <cellStyle name="Comma 11 28 5" xfId="6257" xr:uid="{00000000-0005-0000-0000-0000942B0000}"/>
    <cellStyle name="Comma 11 28 5 2" xfId="14002" xr:uid="{00000000-0005-0000-0000-0000952B0000}"/>
    <cellStyle name="Comma 11 28 5 2 2" xfId="29594" xr:uid="{00000000-0005-0000-0000-0000962B0000}"/>
    <cellStyle name="Comma 11 28 5 2 3" xfId="45086" xr:uid="{00000000-0005-0000-0000-0000972B0000}"/>
    <cellStyle name="Comma 11 28 5 3" xfId="21854" xr:uid="{00000000-0005-0000-0000-0000982B0000}"/>
    <cellStyle name="Comma 11 28 5 4" xfId="37346" xr:uid="{00000000-0005-0000-0000-0000992B0000}"/>
    <cellStyle name="Comma 11 28 6" xfId="10132" xr:uid="{00000000-0005-0000-0000-00009A2B0000}"/>
    <cellStyle name="Comma 11 28 6 2" xfId="25724" xr:uid="{00000000-0005-0000-0000-00009B2B0000}"/>
    <cellStyle name="Comma 11 28 6 3" xfId="41216" xr:uid="{00000000-0005-0000-0000-00009C2B0000}"/>
    <cellStyle name="Comma 11 28 7" xfId="17984" xr:uid="{00000000-0005-0000-0000-00009D2B0000}"/>
    <cellStyle name="Comma 11 28 8" xfId="33476" xr:uid="{00000000-0005-0000-0000-00009E2B0000}"/>
    <cellStyle name="Comma 11 29" xfId="2346" xr:uid="{00000000-0005-0000-0000-00009F2B0000}"/>
    <cellStyle name="Comma 11 29 2" xfId="2659" xr:uid="{00000000-0005-0000-0000-0000A02B0000}"/>
    <cellStyle name="Comma 11 29 2 2" xfId="3667" xr:uid="{00000000-0005-0000-0000-0000A12B0000}"/>
    <cellStyle name="Comma 11 29 2 2 2" xfId="5606" xr:uid="{00000000-0005-0000-0000-0000A22B0000}"/>
    <cellStyle name="Comma 11 29 2 2 2 2" xfId="9477" xr:uid="{00000000-0005-0000-0000-0000A32B0000}"/>
    <cellStyle name="Comma 11 29 2 2 2 2 2" xfId="17222" xr:uid="{00000000-0005-0000-0000-0000A42B0000}"/>
    <cellStyle name="Comma 11 29 2 2 2 2 2 2" xfId="32814" xr:uid="{00000000-0005-0000-0000-0000A52B0000}"/>
    <cellStyle name="Comma 11 29 2 2 2 2 2 3" xfId="48306" xr:uid="{00000000-0005-0000-0000-0000A62B0000}"/>
    <cellStyle name="Comma 11 29 2 2 2 2 3" xfId="25074" xr:uid="{00000000-0005-0000-0000-0000A72B0000}"/>
    <cellStyle name="Comma 11 29 2 2 2 2 4" xfId="40566" xr:uid="{00000000-0005-0000-0000-0000A82B0000}"/>
    <cellStyle name="Comma 11 29 2 2 2 3" xfId="13352" xr:uid="{00000000-0005-0000-0000-0000A92B0000}"/>
    <cellStyle name="Comma 11 29 2 2 2 3 2" xfId="28944" xr:uid="{00000000-0005-0000-0000-0000AA2B0000}"/>
    <cellStyle name="Comma 11 29 2 2 2 3 3" xfId="44436" xr:uid="{00000000-0005-0000-0000-0000AB2B0000}"/>
    <cellStyle name="Comma 11 29 2 2 2 4" xfId="21204" xr:uid="{00000000-0005-0000-0000-0000AC2B0000}"/>
    <cellStyle name="Comma 11 29 2 2 2 5" xfId="36696" xr:uid="{00000000-0005-0000-0000-0000AD2B0000}"/>
    <cellStyle name="Comma 11 29 2 2 3" xfId="7550" xr:uid="{00000000-0005-0000-0000-0000AE2B0000}"/>
    <cellStyle name="Comma 11 29 2 2 3 2" xfId="15295" xr:uid="{00000000-0005-0000-0000-0000AF2B0000}"/>
    <cellStyle name="Comma 11 29 2 2 3 2 2" xfId="30887" xr:uid="{00000000-0005-0000-0000-0000B02B0000}"/>
    <cellStyle name="Comma 11 29 2 2 3 2 3" xfId="46379" xr:uid="{00000000-0005-0000-0000-0000B12B0000}"/>
    <cellStyle name="Comma 11 29 2 2 3 3" xfId="23147" xr:uid="{00000000-0005-0000-0000-0000B22B0000}"/>
    <cellStyle name="Comma 11 29 2 2 3 4" xfId="38639" xr:uid="{00000000-0005-0000-0000-0000B32B0000}"/>
    <cellStyle name="Comma 11 29 2 2 4" xfId="11425" xr:uid="{00000000-0005-0000-0000-0000B42B0000}"/>
    <cellStyle name="Comma 11 29 2 2 4 2" xfId="27017" xr:uid="{00000000-0005-0000-0000-0000B52B0000}"/>
    <cellStyle name="Comma 11 29 2 2 4 3" xfId="42509" xr:uid="{00000000-0005-0000-0000-0000B62B0000}"/>
    <cellStyle name="Comma 11 29 2 2 5" xfId="19277" xr:uid="{00000000-0005-0000-0000-0000B72B0000}"/>
    <cellStyle name="Comma 11 29 2 2 6" xfId="34769" xr:uid="{00000000-0005-0000-0000-0000B82B0000}"/>
    <cellStyle name="Comma 11 29 2 3" xfId="4658" xr:uid="{00000000-0005-0000-0000-0000B92B0000}"/>
    <cellStyle name="Comma 11 29 2 3 2" xfId="8529" xr:uid="{00000000-0005-0000-0000-0000BA2B0000}"/>
    <cellStyle name="Comma 11 29 2 3 2 2" xfId="16274" xr:uid="{00000000-0005-0000-0000-0000BB2B0000}"/>
    <cellStyle name="Comma 11 29 2 3 2 2 2" xfId="31866" xr:uid="{00000000-0005-0000-0000-0000BC2B0000}"/>
    <cellStyle name="Comma 11 29 2 3 2 2 3" xfId="47358" xr:uid="{00000000-0005-0000-0000-0000BD2B0000}"/>
    <cellStyle name="Comma 11 29 2 3 2 3" xfId="24126" xr:uid="{00000000-0005-0000-0000-0000BE2B0000}"/>
    <cellStyle name="Comma 11 29 2 3 2 4" xfId="39618" xr:uid="{00000000-0005-0000-0000-0000BF2B0000}"/>
    <cellStyle name="Comma 11 29 2 3 3" xfId="12404" xr:uid="{00000000-0005-0000-0000-0000C02B0000}"/>
    <cellStyle name="Comma 11 29 2 3 3 2" xfId="27996" xr:uid="{00000000-0005-0000-0000-0000C12B0000}"/>
    <cellStyle name="Comma 11 29 2 3 3 3" xfId="43488" xr:uid="{00000000-0005-0000-0000-0000C22B0000}"/>
    <cellStyle name="Comma 11 29 2 3 4" xfId="20256" xr:uid="{00000000-0005-0000-0000-0000C32B0000}"/>
    <cellStyle name="Comma 11 29 2 3 5" xfId="35748" xr:uid="{00000000-0005-0000-0000-0000C42B0000}"/>
    <cellStyle name="Comma 11 29 2 4" xfId="6602" xr:uid="{00000000-0005-0000-0000-0000C52B0000}"/>
    <cellStyle name="Comma 11 29 2 4 2" xfId="14347" xr:uid="{00000000-0005-0000-0000-0000C62B0000}"/>
    <cellStyle name="Comma 11 29 2 4 2 2" xfId="29939" xr:uid="{00000000-0005-0000-0000-0000C72B0000}"/>
    <cellStyle name="Comma 11 29 2 4 2 3" xfId="45431" xr:uid="{00000000-0005-0000-0000-0000C82B0000}"/>
    <cellStyle name="Comma 11 29 2 4 3" xfId="22199" xr:uid="{00000000-0005-0000-0000-0000C92B0000}"/>
    <cellStyle name="Comma 11 29 2 4 4" xfId="37691" xr:uid="{00000000-0005-0000-0000-0000CA2B0000}"/>
    <cellStyle name="Comma 11 29 2 5" xfId="10477" xr:uid="{00000000-0005-0000-0000-0000CB2B0000}"/>
    <cellStyle name="Comma 11 29 2 5 2" xfId="26069" xr:uid="{00000000-0005-0000-0000-0000CC2B0000}"/>
    <cellStyle name="Comma 11 29 2 5 3" xfId="41561" xr:uid="{00000000-0005-0000-0000-0000CD2B0000}"/>
    <cellStyle name="Comma 11 29 2 6" xfId="18329" xr:uid="{00000000-0005-0000-0000-0000CE2B0000}"/>
    <cellStyle name="Comma 11 29 2 7" xfId="33821" xr:uid="{00000000-0005-0000-0000-0000CF2B0000}"/>
    <cellStyle name="Comma 11 29 3" xfId="3358" xr:uid="{00000000-0005-0000-0000-0000D02B0000}"/>
    <cellStyle name="Comma 11 29 3 2" xfId="5297" xr:uid="{00000000-0005-0000-0000-0000D12B0000}"/>
    <cellStyle name="Comma 11 29 3 2 2" xfId="9168" xr:uid="{00000000-0005-0000-0000-0000D22B0000}"/>
    <cellStyle name="Comma 11 29 3 2 2 2" xfId="16913" xr:uid="{00000000-0005-0000-0000-0000D32B0000}"/>
    <cellStyle name="Comma 11 29 3 2 2 2 2" xfId="32505" xr:uid="{00000000-0005-0000-0000-0000D42B0000}"/>
    <cellStyle name="Comma 11 29 3 2 2 2 3" xfId="47997" xr:uid="{00000000-0005-0000-0000-0000D52B0000}"/>
    <cellStyle name="Comma 11 29 3 2 2 3" xfId="24765" xr:uid="{00000000-0005-0000-0000-0000D62B0000}"/>
    <cellStyle name="Comma 11 29 3 2 2 4" xfId="40257" xr:uid="{00000000-0005-0000-0000-0000D72B0000}"/>
    <cellStyle name="Comma 11 29 3 2 3" xfId="13043" xr:uid="{00000000-0005-0000-0000-0000D82B0000}"/>
    <cellStyle name="Comma 11 29 3 2 3 2" xfId="28635" xr:uid="{00000000-0005-0000-0000-0000D92B0000}"/>
    <cellStyle name="Comma 11 29 3 2 3 3" xfId="44127" xr:uid="{00000000-0005-0000-0000-0000DA2B0000}"/>
    <cellStyle name="Comma 11 29 3 2 4" xfId="20895" xr:uid="{00000000-0005-0000-0000-0000DB2B0000}"/>
    <cellStyle name="Comma 11 29 3 2 5" xfId="36387" xr:uid="{00000000-0005-0000-0000-0000DC2B0000}"/>
    <cellStyle name="Comma 11 29 3 3" xfId="7241" xr:uid="{00000000-0005-0000-0000-0000DD2B0000}"/>
    <cellStyle name="Comma 11 29 3 3 2" xfId="14986" xr:uid="{00000000-0005-0000-0000-0000DE2B0000}"/>
    <cellStyle name="Comma 11 29 3 3 2 2" xfId="30578" xr:uid="{00000000-0005-0000-0000-0000DF2B0000}"/>
    <cellStyle name="Comma 11 29 3 3 2 3" xfId="46070" xr:uid="{00000000-0005-0000-0000-0000E02B0000}"/>
    <cellStyle name="Comma 11 29 3 3 3" xfId="22838" xr:uid="{00000000-0005-0000-0000-0000E12B0000}"/>
    <cellStyle name="Comma 11 29 3 3 4" xfId="38330" xr:uid="{00000000-0005-0000-0000-0000E22B0000}"/>
    <cellStyle name="Comma 11 29 3 4" xfId="11116" xr:uid="{00000000-0005-0000-0000-0000E32B0000}"/>
    <cellStyle name="Comma 11 29 3 4 2" xfId="26708" xr:uid="{00000000-0005-0000-0000-0000E42B0000}"/>
    <cellStyle name="Comma 11 29 3 4 3" xfId="42200" xr:uid="{00000000-0005-0000-0000-0000E52B0000}"/>
    <cellStyle name="Comma 11 29 3 5" xfId="18968" xr:uid="{00000000-0005-0000-0000-0000E62B0000}"/>
    <cellStyle name="Comma 11 29 3 6" xfId="34460" xr:uid="{00000000-0005-0000-0000-0000E72B0000}"/>
    <cellStyle name="Comma 11 29 4" xfId="4349" xr:uid="{00000000-0005-0000-0000-0000E82B0000}"/>
    <cellStyle name="Comma 11 29 4 2" xfId="8220" xr:uid="{00000000-0005-0000-0000-0000E92B0000}"/>
    <cellStyle name="Comma 11 29 4 2 2" xfId="15965" xr:uid="{00000000-0005-0000-0000-0000EA2B0000}"/>
    <cellStyle name="Comma 11 29 4 2 2 2" xfId="31557" xr:uid="{00000000-0005-0000-0000-0000EB2B0000}"/>
    <cellStyle name="Comma 11 29 4 2 2 3" xfId="47049" xr:uid="{00000000-0005-0000-0000-0000EC2B0000}"/>
    <cellStyle name="Comma 11 29 4 2 3" xfId="23817" xr:uid="{00000000-0005-0000-0000-0000ED2B0000}"/>
    <cellStyle name="Comma 11 29 4 2 4" xfId="39309" xr:uid="{00000000-0005-0000-0000-0000EE2B0000}"/>
    <cellStyle name="Comma 11 29 4 3" xfId="12095" xr:uid="{00000000-0005-0000-0000-0000EF2B0000}"/>
    <cellStyle name="Comma 11 29 4 3 2" xfId="27687" xr:uid="{00000000-0005-0000-0000-0000F02B0000}"/>
    <cellStyle name="Comma 11 29 4 3 3" xfId="43179" xr:uid="{00000000-0005-0000-0000-0000F12B0000}"/>
    <cellStyle name="Comma 11 29 4 4" xfId="19947" xr:uid="{00000000-0005-0000-0000-0000F22B0000}"/>
    <cellStyle name="Comma 11 29 4 5" xfId="35439" xr:uid="{00000000-0005-0000-0000-0000F32B0000}"/>
    <cellStyle name="Comma 11 29 5" xfId="6293" xr:uid="{00000000-0005-0000-0000-0000F42B0000}"/>
    <cellStyle name="Comma 11 29 5 2" xfId="14038" xr:uid="{00000000-0005-0000-0000-0000F52B0000}"/>
    <cellStyle name="Comma 11 29 5 2 2" xfId="29630" xr:uid="{00000000-0005-0000-0000-0000F62B0000}"/>
    <cellStyle name="Comma 11 29 5 2 3" xfId="45122" xr:uid="{00000000-0005-0000-0000-0000F72B0000}"/>
    <cellStyle name="Comma 11 29 5 3" xfId="21890" xr:uid="{00000000-0005-0000-0000-0000F82B0000}"/>
    <cellStyle name="Comma 11 29 5 4" xfId="37382" xr:uid="{00000000-0005-0000-0000-0000F92B0000}"/>
    <cellStyle name="Comma 11 29 6" xfId="10168" xr:uid="{00000000-0005-0000-0000-0000FA2B0000}"/>
    <cellStyle name="Comma 11 29 6 2" xfId="25760" xr:uid="{00000000-0005-0000-0000-0000FB2B0000}"/>
    <cellStyle name="Comma 11 29 6 3" xfId="41252" xr:uid="{00000000-0005-0000-0000-0000FC2B0000}"/>
    <cellStyle name="Comma 11 29 7" xfId="18020" xr:uid="{00000000-0005-0000-0000-0000FD2B0000}"/>
    <cellStyle name="Comma 11 29 8" xfId="33512" xr:uid="{00000000-0005-0000-0000-0000FE2B0000}"/>
    <cellStyle name="Comma 11 3" xfId="811" xr:uid="{00000000-0005-0000-0000-0000FF2B0000}"/>
    <cellStyle name="Comma 11 3 2" xfId="48957" xr:uid="{00000000-0005-0000-0000-0000002C0000}"/>
    <cellStyle name="Comma 11 30" xfId="2383" xr:uid="{00000000-0005-0000-0000-0000012C0000}"/>
    <cellStyle name="Comma 11 30 2" xfId="2695" xr:uid="{00000000-0005-0000-0000-0000022C0000}"/>
    <cellStyle name="Comma 11 30 2 2" xfId="3703" xr:uid="{00000000-0005-0000-0000-0000032C0000}"/>
    <cellStyle name="Comma 11 30 2 2 2" xfId="5642" xr:uid="{00000000-0005-0000-0000-0000042C0000}"/>
    <cellStyle name="Comma 11 30 2 2 2 2" xfId="9513" xr:uid="{00000000-0005-0000-0000-0000052C0000}"/>
    <cellStyle name="Comma 11 30 2 2 2 2 2" xfId="17258" xr:uid="{00000000-0005-0000-0000-0000062C0000}"/>
    <cellStyle name="Comma 11 30 2 2 2 2 2 2" xfId="32850" xr:uid="{00000000-0005-0000-0000-0000072C0000}"/>
    <cellStyle name="Comma 11 30 2 2 2 2 2 3" xfId="48342" xr:uid="{00000000-0005-0000-0000-0000082C0000}"/>
    <cellStyle name="Comma 11 30 2 2 2 2 3" xfId="25110" xr:uid="{00000000-0005-0000-0000-0000092C0000}"/>
    <cellStyle name="Comma 11 30 2 2 2 2 4" xfId="40602" xr:uid="{00000000-0005-0000-0000-00000A2C0000}"/>
    <cellStyle name="Comma 11 30 2 2 2 3" xfId="13388" xr:uid="{00000000-0005-0000-0000-00000B2C0000}"/>
    <cellStyle name="Comma 11 30 2 2 2 3 2" xfId="28980" xr:uid="{00000000-0005-0000-0000-00000C2C0000}"/>
    <cellStyle name="Comma 11 30 2 2 2 3 3" xfId="44472" xr:uid="{00000000-0005-0000-0000-00000D2C0000}"/>
    <cellStyle name="Comma 11 30 2 2 2 4" xfId="21240" xr:uid="{00000000-0005-0000-0000-00000E2C0000}"/>
    <cellStyle name="Comma 11 30 2 2 2 5" xfId="36732" xr:uid="{00000000-0005-0000-0000-00000F2C0000}"/>
    <cellStyle name="Comma 11 30 2 2 3" xfId="7586" xr:uid="{00000000-0005-0000-0000-0000102C0000}"/>
    <cellStyle name="Comma 11 30 2 2 3 2" xfId="15331" xr:uid="{00000000-0005-0000-0000-0000112C0000}"/>
    <cellStyle name="Comma 11 30 2 2 3 2 2" xfId="30923" xr:uid="{00000000-0005-0000-0000-0000122C0000}"/>
    <cellStyle name="Comma 11 30 2 2 3 2 3" xfId="46415" xr:uid="{00000000-0005-0000-0000-0000132C0000}"/>
    <cellStyle name="Comma 11 30 2 2 3 3" xfId="23183" xr:uid="{00000000-0005-0000-0000-0000142C0000}"/>
    <cellStyle name="Comma 11 30 2 2 3 4" xfId="38675" xr:uid="{00000000-0005-0000-0000-0000152C0000}"/>
    <cellStyle name="Comma 11 30 2 2 4" xfId="11461" xr:uid="{00000000-0005-0000-0000-0000162C0000}"/>
    <cellStyle name="Comma 11 30 2 2 4 2" xfId="27053" xr:uid="{00000000-0005-0000-0000-0000172C0000}"/>
    <cellStyle name="Comma 11 30 2 2 4 3" xfId="42545" xr:uid="{00000000-0005-0000-0000-0000182C0000}"/>
    <cellStyle name="Comma 11 30 2 2 5" xfId="19313" xr:uid="{00000000-0005-0000-0000-0000192C0000}"/>
    <cellStyle name="Comma 11 30 2 2 6" xfId="34805" xr:uid="{00000000-0005-0000-0000-00001A2C0000}"/>
    <cellStyle name="Comma 11 30 2 3" xfId="4694" xr:uid="{00000000-0005-0000-0000-00001B2C0000}"/>
    <cellStyle name="Comma 11 30 2 3 2" xfId="8565" xr:uid="{00000000-0005-0000-0000-00001C2C0000}"/>
    <cellStyle name="Comma 11 30 2 3 2 2" xfId="16310" xr:uid="{00000000-0005-0000-0000-00001D2C0000}"/>
    <cellStyle name="Comma 11 30 2 3 2 2 2" xfId="31902" xr:uid="{00000000-0005-0000-0000-00001E2C0000}"/>
    <cellStyle name="Comma 11 30 2 3 2 2 3" xfId="47394" xr:uid="{00000000-0005-0000-0000-00001F2C0000}"/>
    <cellStyle name="Comma 11 30 2 3 2 3" xfId="24162" xr:uid="{00000000-0005-0000-0000-0000202C0000}"/>
    <cellStyle name="Comma 11 30 2 3 2 4" xfId="39654" xr:uid="{00000000-0005-0000-0000-0000212C0000}"/>
    <cellStyle name="Comma 11 30 2 3 3" xfId="12440" xr:uid="{00000000-0005-0000-0000-0000222C0000}"/>
    <cellStyle name="Comma 11 30 2 3 3 2" xfId="28032" xr:uid="{00000000-0005-0000-0000-0000232C0000}"/>
    <cellStyle name="Comma 11 30 2 3 3 3" xfId="43524" xr:uid="{00000000-0005-0000-0000-0000242C0000}"/>
    <cellStyle name="Comma 11 30 2 3 4" xfId="20292" xr:uid="{00000000-0005-0000-0000-0000252C0000}"/>
    <cellStyle name="Comma 11 30 2 3 5" xfId="35784" xr:uid="{00000000-0005-0000-0000-0000262C0000}"/>
    <cellStyle name="Comma 11 30 2 4" xfId="6638" xr:uid="{00000000-0005-0000-0000-0000272C0000}"/>
    <cellStyle name="Comma 11 30 2 4 2" xfId="14383" xr:uid="{00000000-0005-0000-0000-0000282C0000}"/>
    <cellStyle name="Comma 11 30 2 4 2 2" xfId="29975" xr:uid="{00000000-0005-0000-0000-0000292C0000}"/>
    <cellStyle name="Comma 11 30 2 4 2 3" xfId="45467" xr:uid="{00000000-0005-0000-0000-00002A2C0000}"/>
    <cellStyle name="Comma 11 30 2 4 3" xfId="22235" xr:uid="{00000000-0005-0000-0000-00002B2C0000}"/>
    <cellStyle name="Comma 11 30 2 4 4" xfId="37727" xr:uid="{00000000-0005-0000-0000-00002C2C0000}"/>
    <cellStyle name="Comma 11 30 2 5" xfId="10513" xr:uid="{00000000-0005-0000-0000-00002D2C0000}"/>
    <cellStyle name="Comma 11 30 2 5 2" xfId="26105" xr:uid="{00000000-0005-0000-0000-00002E2C0000}"/>
    <cellStyle name="Comma 11 30 2 5 3" xfId="41597" xr:uid="{00000000-0005-0000-0000-00002F2C0000}"/>
    <cellStyle name="Comma 11 30 2 6" xfId="18365" xr:uid="{00000000-0005-0000-0000-0000302C0000}"/>
    <cellStyle name="Comma 11 30 2 7" xfId="33857" xr:uid="{00000000-0005-0000-0000-0000312C0000}"/>
    <cellStyle name="Comma 11 30 3" xfId="3394" xr:uid="{00000000-0005-0000-0000-0000322C0000}"/>
    <cellStyle name="Comma 11 30 3 2" xfId="5333" xr:uid="{00000000-0005-0000-0000-0000332C0000}"/>
    <cellStyle name="Comma 11 30 3 2 2" xfId="9204" xr:uid="{00000000-0005-0000-0000-0000342C0000}"/>
    <cellStyle name="Comma 11 30 3 2 2 2" xfId="16949" xr:uid="{00000000-0005-0000-0000-0000352C0000}"/>
    <cellStyle name="Comma 11 30 3 2 2 2 2" xfId="32541" xr:uid="{00000000-0005-0000-0000-0000362C0000}"/>
    <cellStyle name="Comma 11 30 3 2 2 2 3" xfId="48033" xr:uid="{00000000-0005-0000-0000-0000372C0000}"/>
    <cellStyle name="Comma 11 30 3 2 2 3" xfId="24801" xr:uid="{00000000-0005-0000-0000-0000382C0000}"/>
    <cellStyle name="Comma 11 30 3 2 2 4" xfId="40293" xr:uid="{00000000-0005-0000-0000-0000392C0000}"/>
    <cellStyle name="Comma 11 30 3 2 3" xfId="13079" xr:uid="{00000000-0005-0000-0000-00003A2C0000}"/>
    <cellStyle name="Comma 11 30 3 2 3 2" xfId="28671" xr:uid="{00000000-0005-0000-0000-00003B2C0000}"/>
    <cellStyle name="Comma 11 30 3 2 3 3" xfId="44163" xr:uid="{00000000-0005-0000-0000-00003C2C0000}"/>
    <cellStyle name="Comma 11 30 3 2 4" xfId="20931" xr:uid="{00000000-0005-0000-0000-00003D2C0000}"/>
    <cellStyle name="Comma 11 30 3 2 5" xfId="36423" xr:uid="{00000000-0005-0000-0000-00003E2C0000}"/>
    <cellStyle name="Comma 11 30 3 3" xfId="7277" xr:uid="{00000000-0005-0000-0000-00003F2C0000}"/>
    <cellStyle name="Comma 11 30 3 3 2" xfId="15022" xr:uid="{00000000-0005-0000-0000-0000402C0000}"/>
    <cellStyle name="Comma 11 30 3 3 2 2" xfId="30614" xr:uid="{00000000-0005-0000-0000-0000412C0000}"/>
    <cellStyle name="Comma 11 30 3 3 2 3" xfId="46106" xr:uid="{00000000-0005-0000-0000-0000422C0000}"/>
    <cellStyle name="Comma 11 30 3 3 3" xfId="22874" xr:uid="{00000000-0005-0000-0000-0000432C0000}"/>
    <cellStyle name="Comma 11 30 3 3 4" xfId="38366" xr:uid="{00000000-0005-0000-0000-0000442C0000}"/>
    <cellStyle name="Comma 11 30 3 4" xfId="11152" xr:uid="{00000000-0005-0000-0000-0000452C0000}"/>
    <cellStyle name="Comma 11 30 3 4 2" xfId="26744" xr:uid="{00000000-0005-0000-0000-0000462C0000}"/>
    <cellStyle name="Comma 11 30 3 4 3" xfId="42236" xr:uid="{00000000-0005-0000-0000-0000472C0000}"/>
    <cellStyle name="Comma 11 30 3 5" xfId="19004" xr:uid="{00000000-0005-0000-0000-0000482C0000}"/>
    <cellStyle name="Comma 11 30 3 6" xfId="34496" xr:uid="{00000000-0005-0000-0000-0000492C0000}"/>
    <cellStyle name="Comma 11 30 4" xfId="4385" xr:uid="{00000000-0005-0000-0000-00004A2C0000}"/>
    <cellStyle name="Comma 11 30 4 2" xfId="8256" xr:uid="{00000000-0005-0000-0000-00004B2C0000}"/>
    <cellStyle name="Comma 11 30 4 2 2" xfId="16001" xr:uid="{00000000-0005-0000-0000-00004C2C0000}"/>
    <cellStyle name="Comma 11 30 4 2 2 2" xfId="31593" xr:uid="{00000000-0005-0000-0000-00004D2C0000}"/>
    <cellStyle name="Comma 11 30 4 2 2 3" xfId="47085" xr:uid="{00000000-0005-0000-0000-00004E2C0000}"/>
    <cellStyle name="Comma 11 30 4 2 3" xfId="23853" xr:uid="{00000000-0005-0000-0000-00004F2C0000}"/>
    <cellStyle name="Comma 11 30 4 2 4" xfId="39345" xr:uid="{00000000-0005-0000-0000-0000502C0000}"/>
    <cellStyle name="Comma 11 30 4 3" xfId="12131" xr:uid="{00000000-0005-0000-0000-0000512C0000}"/>
    <cellStyle name="Comma 11 30 4 3 2" xfId="27723" xr:uid="{00000000-0005-0000-0000-0000522C0000}"/>
    <cellStyle name="Comma 11 30 4 3 3" xfId="43215" xr:uid="{00000000-0005-0000-0000-0000532C0000}"/>
    <cellStyle name="Comma 11 30 4 4" xfId="19983" xr:uid="{00000000-0005-0000-0000-0000542C0000}"/>
    <cellStyle name="Comma 11 30 4 5" xfId="35475" xr:uid="{00000000-0005-0000-0000-0000552C0000}"/>
    <cellStyle name="Comma 11 30 5" xfId="6329" xr:uid="{00000000-0005-0000-0000-0000562C0000}"/>
    <cellStyle name="Comma 11 30 5 2" xfId="14074" xr:uid="{00000000-0005-0000-0000-0000572C0000}"/>
    <cellStyle name="Comma 11 30 5 2 2" xfId="29666" xr:uid="{00000000-0005-0000-0000-0000582C0000}"/>
    <cellStyle name="Comma 11 30 5 2 3" xfId="45158" xr:uid="{00000000-0005-0000-0000-0000592C0000}"/>
    <cellStyle name="Comma 11 30 5 3" xfId="21926" xr:uid="{00000000-0005-0000-0000-00005A2C0000}"/>
    <cellStyle name="Comma 11 30 5 4" xfId="37418" xr:uid="{00000000-0005-0000-0000-00005B2C0000}"/>
    <cellStyle name="Comma 11 30 6" xfId="10204" xr:uid="{00000000-0005-0000-0000-00005C2C0000}"/>
    <cellStyle name="Comma 11 30 6 2" xfId="25796" xr:uid="{00000000-0005-0000-0000-00005D2C0000}"/>
    <cellStyle name="Comma 11 30 6 3" xfId="41288" xr:uid="{00000000-0005-0000-0000-00005E2C0000}"/>
    <cellStyle name="Comma 11 30 7" xfId="18056" xr:uid="{00000000-0005-0000-0000-00005F2C0000}"/>
    <cellStyle name="Comma 11 30 8" xfId="33548" xr:uid="{00000000-0005-0000-0000-0000602C0000}"/>
    <cellStyle name="Comma 11 31" xfId="2421" xr:uid="{00000000-0005-0000-0000-0000612C0000}"/>
    <cellStyle name="Comma 11 31 2" xfId="2731" xr:uid="{00000000-0005-0000-0000-0000622C0000}"/>
    <cellStyle name="Comma 11 31 2 2" xfId="3739" xr:uid="{00000000-0005-0000-0000-0000632C0000}"/>
    <cellStyle name="Comma 11 31 2 2 2" xfId="5678" xr:uid="{00000000-0005-0000-0000-0000642C0000}"/>
    <cellStyle name="Comma 11 31 2 2 2 2" xfId="9549" xr:uid="{00000000-0005-0000-0000-0000652C0000}"/>
    <cellStyle name="Comma 11 31 2 2 2 2 2" xfId="17294" xr:uid="{00000000-0005-0000-0000-0000662C0000}"/>
    <cellStyle name="Comma 11 31 2 2 2 2 2 2" xfId="32886" xr:uid="{00000000-0005-0000-0000-0000672C0000}"/>
    <cellStyle name="Comma 11 31 2 2 2 2 2 3" xfId="48378" xr:uid="{00000000-0005-0000-0000-0000682C0000}"/>
    <cellStyle name="Comma 11 31 2 2 2 2 3" xfId="25146" xr:uid="{00000000-0005-0000-0000-0000692C0000}"/>
    <cellStyle name="Comma 11 31 2 2 2 2 4" xfId="40638" xr:uid="{00000000-0005-0000-0000-00006A2C0000}"/>
    <cellStyle name="Comma 11 31 2 2 2 3" xfId="13424" xr:uid="{00000000-0005-0000-0000-00006B2C0000}"/>
    <cellStyle name="Comma 11 31 2 2 2 3 2" xfId="29016" xr:uid="{00000000-0005-0000-0000-00006C2C0000}"/>
    <cellStyle name="Comma 11 31 2 2 2 3 3" xfId="44508" xr:uid="{00000000-0005-0000-0000-00006D2C0000}"/>
    <cellStyle name="Comma 11 31 2 2 2 4" xfId="21276" xr:uid="{00000000-0005-0000-0000-00006E2C0000}"/>
    <cellStyle name="Comma 11 31 2 2 2 5" xfId="36768" xr:uid="{00000000-0005-0000-0000-00006F2C0000}"/>
    <cellStyle name="Comma 11 31 2 2 3" xfId="7622" xr:uid="{00000000-0005-0000-0000-0000702C0000}"/>
    <cellStyle name="Comma 11 31 2 2 3 2" xfId="15367" xr:uid="{00000000-0005-0000-0000-0000712C0000}"/>
    <cellStyle name="Comma 11 31 2 2 3 2 2" xfId="30959" xr:uid="{00000000-0005-0000-0000-0000722C0000}"/>
    <cellStyle name="Comma 11 31 2 2 3 2 3" xfId="46451" xr:uid="{00000000-0005-0000-0000-0000732C0000}"/>
    <cellStyle name="Comma 11 31 2 2 3 3" xfId="23219" xr:uid="{00000000-0005-0000-0000-0000742C0000}"/>
    <cellStyle name="Comma 11 31 2 2 3 4" xfId="38711" xr:uid="{00000000-0005-0000-0000-0000752C0000}"/>
    <cellStyle name="Comma 11 31 2 2 4" xfId="11497" xr:uid="{00000000-0005-0000-0000-0000762C0000}"/>
    <cellStyle name="Comma 11 31 2 2 4 2" xfId="27089" xr:uid="{00000000-0005-0000-0000-0000772C0000}"/>
    <cellStyle name="Comma 11 31 2 2 4 3" xfId="42581" xr:uid="{00000000-0005-0000-0000-0000782C0000}"/>
    <cellStyle name="Comma 11 31 2 2 5" xfId="19349" xr:uid="{00000000-0005-0000-0000-0000792C0000}"/>
    <cellStyle name="Comma 11 31 2 2 6" xfId="34841" xr:uid="{00000000-0005-0000-0000-00007A2C0000}"/>
    <cellStyle name="Comma 11 31 2 3" xfId="4730" xr:uid="{00000000-0005-0000-0000-00007B2C0000}"/>
    <cellStyle name="Comma 11 31 2 3 2" xfId="8601" xr:uid="{00000000-0005-0000-0000-00007C2C0000}"/>
    <cellStyle name="Comma 11 31 2 3 2 2" xfId="16346" xr:uid="{00000000-0005-0000-0000-00007D2C0000}"/>
    <cellStyle name="Comma 11 31 2 3 2 2 2" xfId="31938" xr:uid="{00000000-0005-0000-0000-00007E2C0000}"/>
    <cellStyle name="Comma 11 31 2 3 2 2 3" xfId="47430" xr:uid="{00000000-0005-0000-0000-00007F2C0000}"/>
    <cellStyle name="Comma 11 31 2 3 2 3" xfId="24198" xr:uid="{00000000-0005-0000-0000-0000802C0000}"/>
    <cellStyle name="Comma 11 31 2 3 2 4" xfId="39690" xr:uid="{00000000-0005-0000-0000-0000812C0000}"/>
    <cellStyle name="Comma 11 31 2 3 3" xfId="12476" xr:uid="{00000000-0005-0000-0000-0000822C0000}"/>
    <cellStyle name="Comma 11 31 2 3 3 2" xfId="28068" xr:uid="{00000000-0005-0000-0000-0000832C0000}"/>
    <cellStyle name="Comma 11 31 2 3 3 3" xfId="43560" xr:uid="{00000000-0005-0000-0000-0000842C0000}"/>
    <cellStyle name="Comma 11 31 2 3 4" xfId="20328" xr:uid="{00000000-0005-0000-0000-0000852C0000}"/>
    <cellStyle name="Comma 11 31 2 3 5" xfId="35820" xr:uid="{00000000-0005-0000-0000-0000862C0000}"/>
    <cellStyle name="Comma 11 31 2 4" xfId="6674" xr:uid="{00000000-0005-0000-0000-0000872C0000}"/>
    <cellStyle name="Comma 11 31 2 4 2" xfId="14419" xr:uid="{00000000-0005-0000-0000-0000882C0000}"/>
    <cellStyle name="Comma 11 31 2 4 2 2" xfId="30011" xr:uid="{00000000-0005-0000-0000-0000892C0000}"/>
    <cellStyle name="Comma 11 31 2 4 2 3" xfId="45503" xr:uid="{00000000-0005-0000-0000-00008A2C0000}"/>
    <cellStyle name="Comma 11 31 2 4 3" xfId="22271" xr:uid="{00000000-0005-0000-0000-00008B2C0000}"/>
    <cellStyle name="Comma 11 31 2 4 4" xfId="37763" xr:uid="{00000000-0005-0000-0000-00008C2C0000}"/>
    <cellStyle name="Comma 11 31 2 5" xfId="10549" xr:uid="{00000000-0005-0000-0000-00008D2C0000}"/>
    <cellStyle name="Comma 11 31 2 5 2" xfId="26141" xr:uid="{00000000-0005-0000-0000-00008E2C0000}"/>
    <cellStyle name="Comma 11 31 2 5 3" xfId="41633" xr:uid="{00000000-0005-0000-0000-00008F2C0000}"/>
    <cellStyle name="Comma 11 31 2 6" xfId="18401" xr:uid="{00000000-0005-0000-0000-0000902C0000}"/>
    <cellStyle name="Comma 11 31 2 7" xfId="33893" xr:uid="{00000000-0005-0000-0000-0000912C0000}"/>
    <cellStyle name="Comma 11 31 3" xfId="3430" xr:uid="{00000000-0005-0000-0000-0000922C0000}"/>
    <cellStyle name="Comma 11 31 3 2" xfId="5369" xr:uid="{00000000-0005-0000-0000-0000932C0000}"/>
    <cellStyle name="Comma 11 31 3 2 2" xfId="9240" xr:uid="{00000000-0005-0000-0000-0000942C0000}"/>
    <cellStyle name="Comma 11 31 3 2 2 2" xfId="16985" xr:uid="{00000000-0005-0000-0000-0000952C0000}"/>
    <cellStyle name="Comma 11 31 3 2 2 2 2" xfId="32577" xr:uid="{00000000-0005-0000-0000-0000962C0000}"/>
    <cellStyle name="Comma 11 31 3 2 2 2 3" xfId="48069" xr:uid="{00000000-0005-0000-0000-0000972C0000}"/>
    <cellStyle name="Comma 11 31 3 2 2 3" xfId="24837" xr:uid="{00000000-0005-0000-0000-0000982C0000}"/>
    <cellStyle name="Comma 11 31 3 2 2 4" xfId="40329" xr:uid="{00000000-0005-0000-0000-0000992C0000}"/>
    <cellStyle name="Comma 11 31 3 2 3" xfId="13115" xr:uid="{00000000-0005-0000-0000-00009A2C0000}"/>
    <cellStyle name="Comma 11 31 3 2 3 2" xfId="28707" xr:uid="{00000000-0005-0000-0000-00009B2C0000}"/>
    <cellStyle name="Comma 11 31 3 2 3 3" xfId="44199" xr:uid="{00000000-0005-0000-0000-00009C2C0000}"/>
    <cellStyle name="Comma 11 31 3 2 4" xfId="20967" xr:uid="{00000000-0005-0000-0000-00009D2C0000}"/>
    <cellStyle name="Comma 11 31 3 2 5" xfId="36459" xr:uid="{00000000-0005-0000-0000-00009E2C0000}"/>
    <cellStyle name="Comma 11 31 3 3" xfId="7313" xr:uid="{00000000-0005-0000-0000-00009F2C0000}"/>
    <cellStyle name="Comma 11 31 3 3 2" xfId="15058" xr:uid="{00000000-0005-0000-0000-0000A02C0000}"/>
    <cellStyle name="Comma 11 31 3 3 2 2" xfId="30650" xr:uid="{00000000-0005-0000-0000-0000A12C0000}"/>
    <cellStyle name="Comma 11 31 3 3 2 3" xfId="46142" xr:uid="{00000000-0005-0000-0000-0000A22C0000}"/>
    <cellStyle name="Comma 11 31 3 3 3" xfId="22910" xr:uid="{00000000-0005-0000-0000-0000A32C0000}"/>
    <cellStyle name="Comma 11 31 3 3 4" xfId="38402" xr:uid="{00000000-0005-0000-0000-0000A42C0000}"/>
    <cellStyle name="Comma 11 31 3 4" xfId="11188" xr:uid="{00000000-0005-0000-0000-0000A52C0000}"/>
    <cellStyle name="Comma 11 31 3 4 2" xfId="26780" xr:uid="{00000000-0005-0000-0000-0000A62C0000}"/>
    <cellStyle name="Comma 11 31 3 4 3" xfId="42272" xr:uid="{00000000-0005-0000-0000-0000A72C0000}"/>
    <cellStyle name="Comma 11 31 3 5" xfId="19040" xr:uid="{00000000-0005-0000-0000-0000A82C0000}"/>
    <cellStyle name="Comma 11 31 3 6" xfId="34532" xr:uid="{00000000-0005-0000-0000-0000A92C0000}"/>
    <cellStyle name="Comma 11 31 4" xfId="4421" xr:uid="{00000000-0005-0000-0000-0000AA2C0000}"/>
    <cellStyle name="Comma 11 31 4 2" xfId="8292" xr:uid="{00000000-0005-0000-0000-0000AB2C0000}"/>
    <cellStyle name="Comma 11 31 4 2 2" xfId="16037" xr:uid="{00000000-0005-0000-0000-0000AC2C0000}"/>
    <cellStyle name="Comma 11 31 4 2 2 2" xfId="31629" xr:uid="{00000000-0005-0000-0000-0000AD2C0000}"/>
    <cellStyle name="Comma 11 31 4 2 2 3" xfId="47121" xr:uid="{00000000-0005-0000-0000-0000AE2C0000}"/>
    <cellStyle name="Comma 11 31 4 2 3" xfId="23889" xr:uid="{00000000-0005-0000-0000-0000AF2C0000}"/>
    <cellStyle name="Comma 11 31 4 2 4" xfId="39381" xr:uid="{00000000-0005-0000-0000-0000B02C0000}"/>
    <cellStyle name="Comma 11 31 4 3" xfId="12167" xr:uid="{00000000-0005-0000-0000-0000B12C0000}"/>
    <cellStyle name="Comma 11 31 4 3 2" xfId="27759" xr:uid="{00000000-0005-0000-0000-0000B22C0000}"/>
    <cellStyle name="Comma 11 31 4 3 3" xfId="43251" xr:uid="{00000000-0005-0000-0000-0000B32C0000}"/>
    <cellStyle name="Comma 11 31 4 4" xfId="20019" xr:uid="{00000000-0005-0000-0000-0000B42C0000}"/>
    <cellStyle name="Comma 11 31 4 5" xfId="35511" xr:uid="{00000000-0005-0000-0000-0000B52C0000}"/>
    <cellStyle name="Comma 11 31 5" xfId="6365" xr:uid="{00000000-0005-0000-0000-0000B62C0000}"/>
    <cellStyle name="Comma 11 31 5 2" xfId="14110" xr:uid="{00000000-0005-0000-0000-0000B72C0000}"/>
    <cellStyle name="Comma 11 31 5 2 2" xfId="29702" xr:uid="{00000000-0005-0000-0000-0000B82C0000}"/>
    <cellStyle name="Comma 11 31 5 2 3" xfId="45194" xr:uid="{00000000-0005-0000-0000-0000B92C0000}"/>
    <cellStyle name="Comma 11 31 5 3" xfId="21962" xr:uid="{00000000-0005-0000-0000-0000BA2C0000}"/>
    <cellStyle name="Comma 11 31 5 4" xfId="37454" xr:uid="{00000000-0005-0000-0000-0000BB2C0000}"/>
    <cellStyle name="Comma 11 31 6" xfId="10240" xr:uid="{00000000-0005-0000-0000-0000BC2C0000}"/>
    <cellStyle name="Comma 11 31 6 2" xfId="25832" xr:uid="{00000000-0005-0000-0000-0000BD2C0000}"/>
    <cellStyle name="Comma 11 31 6 3" xfId="41324" xr:uid="{00000000-0005-0000-0000-0000BE2C0000}"/>
    <cellStyle name="Comma 11 31 7" xfId="18092" xr:uid="{00000000-0005-0000-0000-0000BF2C0000}"/>
    <cellStyle name="Comma 11 31 8" xfId="33584" xr:uid="{00000000-0005-0000-0000-0000C02C0000}"/>
    <cellStyle name="Comma 11 32" xfId="2458" xr:uid="{00000000-0005-0000-0000-0000C12C0000}"/>
    <cellStyle name="Comma 11 32 2" xfId="2767" xr:uid="{00000000-0005-0000-0000-0000C22C0000}"/>
    <cellStyle name="Comma 11 32 2 2" xfId="3775" xr:uid="{00000000-0005-0000-0000-0000C32C0000}"/>
    <cellStyle name="Comma 11 32 2 2 2" xfId="5714" xr:uid="{00000000-0005-0000-0000-0000C42C0000}"/>
    <cellStyle name="Comma 11 32 2 2 2 2" xfId="9585" xr:uid="{00000000-0005-0000-0000-0000C52C0000}"/>
    <cellStyle name="Comma 11 32 2 2 2 2 2" xfId="17330" xr:uid="{00000000-0005-0000-0000-0000C62C0000}"/>
    <cellStyle name="Comma 11 32 2 2 2 2 2 2" xfId="32922" xr:uid="{00000000-0005-0000-0000-0000C72C0000}"/>
    <cellStyle name="Comma 11 32 2 2 2 2 2 3" xfId="48414" xr:uid="{00000000-0005-0000-0000-0000C82C0000}"/>
    <cellStyle name="Comma 11 32 2 2 2 2 3" xfId="25182" xr:uid="{00000000-0005-0000-0000-0000C92C0000}"/>
    <cellStyle name="Comma 11 32 2 2 2 2 4" xfId="40674" xr:uid="{00000000-0005-0000-0000-0000CA2C0000}"/>
    <cellStyle name="Comma 11 32 2 2 2 3" xfId="13460" xr:uid="{00000000-0005-0000-0000-0000CB2C0000}"/>
    <cellStyle name="Comma 11 32 2 2 2 3 2" xfId="29052" xr:uid="{00000000-0005-0000-0000-0000CC2C0000}"/>
    <cellStyle name="Comma 11 32 2 2 2 3 3" xfId="44544" xr:uid="{00000000-0005-0000-0000-0000CD2C0000}"/>
    <cellStyle name="Comma 11 32 2 2 2 4" xfId="21312" xr:uid="{00000000-0005-0000-0000-0000CE2C0000}"/>
    <cellStyle name="Comma 11 32 2 2 2 5" xfId="36804" xr:uid="{00000000-0005-0000-0000-0000CF2C0000}"/>
    <cellStyle name="Comma 11 32 2 2 3" xfId="7658" xr:uid="{00000000-0005-0000-0000-0000D02C0000}"/>
    <cellStyle name="Comma 11 32 2 2 3 2" xfId="15403" xr:uid="{00000000-0005-0000-0000-0000D12C0000}"/>
    <cellStyle name="Comma 11 32 2 2 3 2 2" xfId="30995" xr:uid="{00000000-0005-0000-0000-0000D22C0000}"/>
    <cellStyle name="Comma 11 32 2 2 3 2 3" xfId="46487" xr:uid="{00000000-0005-0000-0000-0000D32C0000}"/>
    <cellStyle name="Comma 11 32 2 2 3 3" xfId="23255" xr:uid="{00000000-0005-0000-0000-0000D42C0000}"/>
    <cellStyle name="Comma 11 32 2 2 3 4" xfId="38747" xr:uid="{00000000-0005-0000-0000-0000D52C0000}"/>
    <cellStyle name="Comma 11 32 2 2 4" xfId="11533" xr:uid="{00000000-0005-0000-0000-0000D62C0000}"/>
    <cellStyle name="Comma 11 32 2 2 4 2" xfId="27125" xr:uid="{00000000-0005-0000-0000-0000D72C0000}"/>
    <cellStyle name="Comma 11 32 2 2 4 3" xfId="42617" xr:uid="{00000000-0005-0000-0000-0000D82C0000}"/>
    <cellStyle name="Comma 11 32 2 2 5" xfId="19385" xr:uid="{00000000-0005-0000-0000-0000D92C0000}"/>
    <cellStyle name="Comma 11 32 2 2 6" xfId="34877" xr:uid="{00000000-0005-0000-0000-0000DA2C0000}"/>
    <cellStyle name="Comma 11 32 2 3" xfId="4766" xr:uid="{00000000-0005-0000-0000-0000DB2C0000}"/>
    <cellStyle name="Comma 11 32 2 3 2" xfId="8637" xr:uid="{00000000-0005-0000-0000-0000DC2C0000}"/>
    <cellStyle name="Comma 11 32 2 3 2 2" xfId="16382" xr:uid="{00000000-0005-0000-0000-0000DD2C0000}"/>
    <cellStyle name="Comma 11 32 2 3 2 2 2" xfId="31974" xr:uid="{00000000-0005-0000-0000-0000DE2C0000}"/>
    <cellStyle name="Comma 11 32 2 3 2 2 3" xfId="47466" xr:uid="{00000000-0005-0000-0000-0000DF2C0000}"/>
    <cellStyle name="Comma 11 32 2 3 2 3" xfId="24234" xr:uid="{00000000-0005-0000-0000-0000E02C0000}"/>
    <cellStyle name="Comma 11 32 2 3 2 4" xfId="39726" xr:uid="{00000000-0005-0000-0000-0000E12C0000}"/>
    <cellStyle name="Comma 11 32 2 3 3" xfId="12512" xr:uid="{00000000-0005-0000-0000-0000E22C0000}"/>
    <cellStyle name="Comma 11 32 2 3 3 2" xfId="28104" xr:uid="{00000000-0005-0000-0000-0000E32C0000}"/>
    <cellStyle name="Comma 11 32 2 3 3 3" xfId="43596" xr:uid="{00000000-0005-0000-0000-0000E42C0000}"/>
    <cellStyle name="Comma 11 32 2 3 4" xfId="20364" xr:uid="{00000000-0005-0000-0000-0000E52C0000}"/>
    <cellStyle name="Comma 11 32 2 3 5" xfId="35856" xr:uid="{00000000-0005-0000-0000-0000E62C0000}"/>
    <cellStyle name="Comma 11 32 2 4" xfId="6710" xr:uid="{00000000-0005-0000-0000-0000E72C0000}"/>
    <cellStyle name="Comma 11 32 2 4 2" xfId="14455" xr:uid="{00000000-0005-0000-0000-0000E82C0000}"/>
    <cellStyle name="Comma 11 32 2 4 2 2" xfId="30047" xr:uid="{00000000-0005-0000-0000-0000E92C0000}"/>
    <cellStyle name="Comma 11 32 2 4 2 3" xfId="45539" xr:uid="{00000000-0005-0000-0000-0000EA2C0000}"/>
    <cellStyle name="Comma 11 32 2 4 3" xfId="22307" xr:uid="{00000000-0005-0000-0000-0000EB2C0000}"/>
    <cellStyle name="Comma 11 32 2 4 4" xfId="37799" xr:uid="{00000000-0005-0000-0000-0000EC2C0000}"/>
    <cellStyle name="Comma 11 32 2 5" xfId="10585" xr:uid="{00000000-0005-0000-0000-0000ED2C0000}"/>
    <cellStyle name="Comma 11 32 2 5 2" xfId="26177" xr:uid="{00000000-0005-0000-0000-0000EE2C0000}"/>
    <cellStyle name="Comma 11 32 2 5 3" xfId="41669" xr:uid="{00000000-0005-0000-0000-0000EF2C0000}"/>
    <cellStyle name="Comma 11 32 2 6" xfId="18437" xr:uid="{00000000-0005-0000-0000-0000F02C0000}"/>
    <cellStyle name="Comma 11 32 2 7" xfId="33929" xr:uid="{00000000-0005-0000-0000-0000F12C0000}"/>
    <cellStyle name="Comma 11 32 3" xfId="3466" xr:uid="{00000000-0005-0000-0000-0000F22C0000}"/>
    <cellStyle name="Comma 11 32 3 2" xfId="5405" xr:uid="{00000000-0005-0000-0000-0000F32C0000}"/>
    <cellStyle name="Comma 11 32 3 2 2" xfId="9276" xr:uid="{00000000-0005-0000-0000-0000F42C0000}"/>
    <cellStyle name="Comma 11 32 3 2 2 2" xfId="17021" xr:uid="{00000000-0005-0000-0000-0000F52C0000}"/>
    <cellStyle name="Comma 11 32 3 2 2 2 2" xfId="32613" xr:uid="{00000000-0005-0000-0000-0000F62C0000}"/>
    <cellStyle name="Comma 11 32 3 2 2 2 3" xfId="48105" xr:uid="{00000000-0005-0000-0000-0000F72C0000}"/>
    <cellStyle name="Comma 11 32 3 2 2 3" xfId="24873" xr:uid="{00000000-0005-0000-0000-0000F82C0000}"/>
    <cellStyle name="Comma 11 32 3 2 2 4" xfId="40365" xr:uid="{00000000-0005-0000-0000-0000F92C0000}"/>
    <cellStyle name="Comma 11 32 3 2 3" xfId="13151" xr:uid="{00000000-0005-0000-0000-0000FA2C0000}"/>
    <cellStyle name="Comma 11 32 3 2 3 2" xfId="28743" xr:uid="{00000000-0005-0000-0000-0000FB2C0000}"/>
    <cellStyle name="Comma 11 32 3 2 3 3" xfId="44235" xr:uid="{00000000-0005-0000-0000-0000FC2C0000}"/>
    <cellStyle name="Comma 11 32 3 2 4" xfId="21003" xr:uid="{00000000-0005-0000-0000-0000FD2C0000}"/>
    <cellStyle name="Comma 11 32 3 2 5" xfId="36495" xr:uid="{00000000-0005-0000-0000-0000FE2C0000}"/>
    <cellStyle name="Comma 11 32 3 3" xfId="7349" xr:uid="{00000000-0005-0000-0000-0000FF2C0000}"/>
    <cellStyle name="Comma 11 32 3 3 2" xfId="15094" xr:uid="{00000000-0005-0000-0000-0000002D0000}"/>
    <cellStyle name="Comma 11 32 3 3 2 2" xfId="30686" xr:uid="{00000000-0005-0000-0000-0000012D0000}"/>
    <cellStyle name="Comma 11 32 3 3 2 3" xfId="46178" xr:uid="{00000000-0005-0000-0000-0000022D0000}"/>
    <cellStyle name="Comma 11 32 3 3 3" xfId="22946" xr:uid="{00000000-0005-0000-0000-0000032D0000}"/>
    <cellStyle name="Comma 11 32 3 3 4" xfId="38438" xr:uid="{00000000-0005-0000-0000-0000042D0000}"/>
    <cellStyle name="Comma 11 32 3 4" xfId="11224" xr:uid="{00000000-0005-0000-0000-0000052D0000}"/>
    <cellStyle name="Comma 11 32 3 4 2" xfId="26816" xr:uid="{00000000-0005-0000-0000-0000062D0000}"/>
    <cellStyle name="Comma 11 32 3 4 3" xfId="42308" xr:uid="{00000000-0005-0000-0000-0000072D0000}"/>
    <cellStyle name="Comma 11 32 3 5" xfId="19076" xr:uid="{00000000-0005-0000-0000-0000082D0000}"/>
    <cellStyle name="Comma 11 32 3 6" xfId="34568" xr:uid="{00000000-0005-0000-0000-0000092D0000}"/>
    <cellStyle name="Comma 11 32 4" xfId="4457" xr:uid="{00000000-0005-0000-0000-00000A2D0000}"/>
    <cellStyle name="Comma 11 32 4 2" xfId="8328" xr:uid="{00000000-0005-0000-0000-00000B2D0000}"/>
    <cellStyle name="Comma 11 32 4 2 2" xfId="16073" xr:uid="{00000000-0005-0000-0000-00000C2D0000}"/>
    <cellStyle name="Comma 11 32 4 2 2 2" xfId="31665" xr:uid="{00000000-0005-0000-0000-00000D2D0000}"/>
    <cellStyle name="Comma 11 32 4 2 2 3" xfId="47157" xr:uid="{00000000-0005-0000-0000-00000E2D0000}"/>
    <cellStyle name="Comma 11 32 4 2 3" xfId="23925" xr:uid="{00000000-0005-0000-0000-00000F2D0000}"/>
    <cellStyle name="Comma 11 32 4 2 4" xfId="39417" xr:uid="{00000000-0005-0000-0000-0000102D0000}"/>
    <cellStyle name="Comma 11 32 4 3" xfId="12203" xr:uid="{00000000-0005-0000-0000-0000112D0000}"/>
    <cellStyle name="Comma 11 32 4 3 2" xfId="27795" xr:uid="{00000000-0005-0000-0000-0000122D0000}"/>
    <cellStyle name="Comma 11 32 4 3 3" xfId="43287" xr:uid="{00000000-0005-0000-0000-0000132D0000}"/>
    <cellStyle name="Comma 11 32 4 4" xfId="20055" xr:uid="{00000000-0005-0000-0000-0000142D0000}"/>
    <cellStyle name="Comma 11 32 4 5" xfId="35547" xr:uid="{00000000-0005-0000-0000-0000152D0000}"/>
    <cellStyle name="Comma 11 32 5" xfId="6401" xr:uid="{00000000-0005-0000-0000-0000162D0000}"/>
    <cellStyle name="Comma 11 32 5 2" xfId="14146" xr:uid="{00000000-0005-0000-0000-0000172D0000}"/>
    <cellStyle name="Comma 11 32 5 2 2" xfId="29738" xr:uid="{00000000-0005-0000-0000-0000182D0000}"/>
    <cellStyle name="Comma 11 32 5 2 3" xfId="45230" xr:uid="{00000000-0005-0000-0000-0000192D0000}"/>
    <cellStyle name="Comma 11 32 5 3" xfId="21998" xr:uid="{00000000-0005-0000-0000-00001A2D0000}"/>
    <cellStyle name="Comma 11 32 5 4" xfId="37490" xr:uid="{00000000-0005-0000-0000-00001B2D0000}"/>
    <cellStyle name="Comma 11 32 6" xfId="10276" xr:uid="{00000000-0005-0000-0000-00001C2D0000}"/>
    <cellStyle name="Comma 11 32 6 2" xfId="25868" xr:uid="{00000000-0005-0000-0000-00001D2D0000}"/>
    <cellStyle name="Comma 11 32 6 3" xfId="41360" xr:uid="{00000000-0005-0000-0000-00001E2D0000}"/>
    <cellStyle name="Comma 11 32 7" xfId="18128" xr:uid="{00000000-0005-0000-0000-00001F2D0000}"/>
    <cellStyle name="Comma 11 32 8" xfId="33620" xr:uid="{00000000-0005-0000-0000-0000202D0000}"/>
    <cellStyle name="Comma 11 33" xfId="2804" xr:uid="{00000000-0005-0000-0000-0000212D0000}"/>
    <cellStyle name="Comma 11 33 2" xfId="3811" xr:uid="{00000000-0005-0000-0000-0000222D0000}"/>
    <cellStyle name="Comma 11 33 2 2" xfId="5750" xr:uid="{00000000-0005-0000-0000-0000232D0000}"/>
    <cellStyle name="Comma 11 33 2 2 2" xfId="9621" xr:uid="{00000000-0005-0000-0000-0000242D0000}"/>
    <cellStyle name="Comma 11 33 2 2 2 2" xfId="17366" xr:uid="{00000000-0005-0000-0000-0000252D0000}"/>
    <cellStyle name="Comma 11 33 2 2 2 2 2" xfId="32958" xr:uid="{00000000-0005-0000-0000-0000262D0000}"/>
    <cellStyle name="Comma 11 33 2 2 2 2 3" xfId="48450" xr:uid="{00000000-0005-0000-0000-0000272D0000}"/>
    <cellStyle name="Comma 11 33 2 2 2 3" xfId="25218" xr:uid="{00000000-0005-0000-0000-0000282D0000}"/>
    <cellStyle name="Comma 11 33 2 2 2 4" xfId="40710" xr:uid="{00000000-0005-0000-0000-0000292D0000}"/>
    <cellStyle name="Comma 11 33 2 2 3" xfId="13496" xr:uid="{00000000-0005-0000-0000-00002A2D0000}"/>
    <cellStyle name="Comma 11 33 2 2 3 2" xfId="29088" xr:uid="{00000000-0005-0000-0000-00002B2D0000}"/>
    <cellStyle name="Comma 11 33 2 2 3 3" xfId="44580" xr:uid="{00000000-0005-0000-0000-00002C2D0000}"/>
    <cellStyle name="Comma 11 33 2 2 4" xfId="21348" xr:uid="{00000000-0005-0000-0000-00002D2D0000}"/>
    <cellStyle name="Comma 11 33 2 2 5" xfId="36840" xr:uid="{00000000-0005-0000-0000-00002E2D0000}"/>
    <cellStyle name="Comma 11 33 2 3" xfId="7694" xr:uid="{00000000-0005-0000-0000-00002F2D0000}"/>
    <cellStyle name="Comma 11 33 2 3 2" xfId="15439" xr:uid="{00000000-0005-0000-0000-0000302D0000}"/>
    <cellStyle name="Comma 11 33 2 3 2 2" xfId="31031" xr:uid="{00000000-0005-0000-0000-0000312D0000}"/>
    <cellStyle name="Comma 11 33 2 3 2 3" xfId="46523" xr:uid="{00000000-0005-0000-0000-0000322D0000}"/>
    <cellStyle name="Comma 11 33 2 3 3" xfId="23291" xr:uid="{00000000-0005-0000-0000-0000332D0000}"/>
    <cellStyle name="Comma 11 33 2 3 4" xfId="38783" xr:uid="{00000000-0005-0000-0000-0000342D0000}"/>
    <cellStyle name="Comma 11 33 2 4" xfId="11569" xr:uid="{00000000-0005-0000-0000-0000352D0000}"/>
    <cellStyle name="Comma 11 33 2 4 2" xfId="27161" xr:uid="{00000000-0005-0000-0000-0000362D0000}"/>
    <cellStyle name="Comma 11 33 2 4 3" xfId="42653" xr:uid="{00000000-0005-0000-0000-0000372D0000}"/>
    <cellStyle name="Comma 11 33 2 5" xfId="19421" xr:uid="{00000000-0005-0000-0000-0000382D0000}"/>
    <cellStyle name="Comma 11 33 2 6" xfId="34913" xr:uid="{00000000-0005-0000-0000-0000392D0000}"/>
    <cellStyle name="Comma 11 33 3" xfId="4802" xr:uid="{00000000-0005-0000-0000-00003A2D0000}"/>
    <cellStyle name="Comma 11 33 3 2" xfId="8673" xr:uid="{00000000-0005-0000-0000-00003B2D0000}"/>
    <cellStyle name="Comma 11 33 3 2 2" xfId="16418" xr:uid="{00000000-0005-0000-0000-00003C2D0000}"/>
    <cellStyle name="Comma 11 33 3 2 2 2" xfId="32010" xr:uid="{00000000-0005-0000-0000-00003D2D0000}"/>
    <cellStyle name="Comma 11 33 3 2 2 3" xfId="47502" xr:uid="{00000000-0005-0000-0000-00003E2D0000}"/>
    <cellStyle name="Comma 11 33 3 2 3" xfId="24270" xr:uid="{00000000-0005-0000-0000-00003F2D0000}"/>
    <cellStyle name="Comma 11 33 3 2 4" xfId="39762" xr:uid="{00000000-0005-0000-0000-0000402D0000}"/>
    <cellStyle name="Comma 11 33 3 3" xfId="12548" xr:uid="{00000000-0005-0000-0000-0000412D0000}"/>
    <cellStyle name="Comma 11 33 3 3 2" xfId="28140" xr:uid="{00000000-0005-0000-0000-0000422D0000}"/>
    <cellStyle name="Comma 11 33 3 3 3" xfId="43632" xr:uid="{00000000-0005-0000-0000-0000432D0000}"/>
    <cellStyle name="Comma 11 33 3 4" xfId="20400" xr:uid="{00000000-0005-0000-0000-0000442D0000}"/>
    <cellStyle name="Comma 11 33 3 5" xfId="35892" xr:uid="{00000000-0005-0000-0000-0000452D0000}"/>
    <cellStyle name="Comma 11 33 4" xfId="6746" xr:uid="{00000000-0005-0000-0000-0000462D0000}"/>
    <cellStyle name="Comma 11 33 4 2" xfId="14491" xr:uid="{00000000-0005-0000-0000-0000472D0000}"/>
    <cellStyle name="Comma 11 33 4 2 2" xfId="30083" xr:uid="{00000000-0005-0000-0000-0000482D0000}"/>
    <cellStyle name="Comma 11 33 4 2 3" xfId="45575" xr:uid="{00000000-0005-0000-0000-0000492D0000}"/>
    <cellStyle name="Comma 11 33 4 3" xfId="22343" xr:uid="{00000000-0005-0000-0000-00004A2D0000}"/>
    <cellStyle name="Comma 11 33 4 4" xfId="37835" xr:uid="{00000000-0005-0000-0000-00004B2D0000}"/>
    <cellStyle name="Comma 11 33 5" xfId="10621" xr:uid="{00000000-0005-0000-0000-00004C2D0000}"/>
    <cellStyle name="Comma 11 33 5 2" xfId="26213" xr:uid="{00000000-0005-0000-0000-00004D2D0000}"/>
    <cellStyle name="Comma 11 33 5 3" xfId="41705" xr:uid="{00000000-0005-0000-0000-00004E2D0000}"/>
    <cellStyle name="Comma 11 33 6" xfId="18473" xr:uid="{00000000-0005-0000-0000-00004F2D0000}"/>
    <cellStyle name="Comma 11 33 7" xfId="33965" xr:uid="{00000000-0005-0000-0000-0000502D0000}"/>
    <cellStyle name="Comma 11 34" xfId="2843" xr:uid="{00000000-0005-0000-0000-0000512D0000}"/>
    <cellStyle name="Comma 11 34 2" xfId="3849" xr:uid="{00000000-0005-0000-0000-0000522D0000}"/>
    <cellStyle name="Comma 11 34 2 2" xfId="5788" xr:uid="{00000000-0005-0000-0000-0000532D0000}"/>
    <cellStyle name="Comma 11 34 2 2 2" xfId="9659" xr:uid="{00000000-0005-0000-0000-0000542D0000}"/>
    <cellStyle name="Comma 11 34 2 2 2 2" xfId="17404" xr:uid="{00000000-0005-0000-0000-0000552D0000}"/>
    <cellStyle name="Comma 11 34 2 2 2 2 2" xfId="32996" xr:uid="{00000000-0005-0000-0000-0000562D0000}"/>
    <cellStyle name="Comma 11 34 2 2 2 2 3" xfId="48488" xr:uid="{00000000-0005-0000-0000-0000572D0000}"/>
    <cellStyle name="Comma 11 34 2 2 2 3" xfId="25256" xr:uid="{00000000-0005-0000-0000-0000582D0000}"/>
    <cellStyle name="Comma 11 34 2 2 2 4" xfId="40748" xr:uid="{00000000-0005-0000-0000-0000592D0000}"/>
    <cellStyle name="Comma 11 34 2 2 3" xfId="13534" xr:uid="{00000000-0005-0000-0000-00005A2D0000}"/>
    <cellStyle name="Comma 11 34 2 2 3 2" xfId="29126" xr:uid="{00000000-0005-0000-0000-00005B2D0000}"/>
    <cellStyle name="Comma 11 34 2 2 3 3" xfId="44618" xr:uid="{00000000-0005-0000-0000-00005C2D0000}"/>
    <cellStyle name="Comma 11 34 2 2 4" xfId="21386" xr:uid="{00000000-0005-0000-0000-00005D2D0000}"/>
    <cellStyle name="Comma 11 34 2 2 5" xfId="36878" xr:uid="{00000000-0005-0000-0000-00005E2D0000}"/>
    <cellStyle name="Comma 11 34 2 3" xfId="7732" xr:uid="{00000000-0005-0000-0000-00005F2D0000}"/>
    <cellStyle name="Comma 11 34 2 3 2" xfId="15477" xr:uid="{00000000-0005-0000-0000-0000602D0000}"/>
    <cellStyle name="Comma 11 34 2 3 2 2" xfId="31069" xr:uid="{00000000-0005-0000-0000-0000612D0000}"/>
    <cellStyle name="Comma 11 34 2 3 2 3" xfId="46561" xr:uid="{00000000-0005-0000-0000-0000622D0000}"/>
    <cellStyle name="Comma 11 34 2 3 3" xfId="23329" xr:uid="{00000000-0005-0000-0000-0000632D0000}"/>
    <cellStyle name="Comma 11 34 2 3 4" xfId="38821" xr:uid="{00000000-0005-0000-0000-0000642D0000}"/>
    <cellStyle name="Comma 11 34 2 4" xfId="11607" xr:uid="{00000000-0005-0000-0000-0000652D0000}"/>
    <cellStyle name="Comma 11 34 2 4 2" xfId="27199" xr:uid="{00000000-0005-0000-0000-0000662D0000}"/>
    <cellStyle name="Comma 11 34 2 4 3" xfId="42691" xr:uid="{00000000-0005-0000-0000-0000672D0000}"/>
    <cellStyle name="Comma 11 34 2 5" xfId="19459" xr:uid="{00000000-0005-0000-0000-0000682D0000}"/>
    <cellStyle name="Comma 11 34 2 6" xfId="34951" xr:uid="{00000000-0005-0000-0000-0000692D0000}"/>
    <cellStyle name="Comma 11 34 3" xfId="4840" xr:uid="{00000000-0005-0000-0000-00006A2D0000}"/>
    <cellStyle name="Comma 11 34 3 2" xfId="8711" xr:uid="{00000000-0005-0000-0000-00006B2D0000}"/>
    <cellStyle name="Comma 11 34 3 2 2" xfId="16456" xr:uid="{00000000-0005-0000-0000-00006C2D0000}"/>
    <cellStyle name="Comma 11 34 3 2 2 2" xfId="32048" xr:uid="{00000000-0005-0000-0000-00006D2D0000}"/>
    <cellStyle name="Comma 11 34 3 2 2 3" xfId="47540" xr:uid="{00000000-0005-0000-0000-00006E2D0000}"/>
    <cellStyle name="Comma 11 34 3 2 3" xfId="24308" xr:uid="{00000000-0005-0000-0000-00006F2D0000}"/>
    <cellStyle name="Comma 11 34 3 2 4" xfId="39800" xr:uid="{00000000-0005-0000-0000-0000702D0000}"/>
    <cellStyle name="Comma 11 34 3 3" xfId="12586" xr:uid="{00000000-0005-0000-0000-0000712D0000}"/>
    <cellStyle name="Comma 11 34 3 3 2" xfId="28178" xr:uid="{00000000-0005-0000-0000-0000722D0000}"/>
    <cellStyle name="Comma 11 34 3 3 3" xfId="43670" xr:uid="{00000000-0005-0000-0000-0000732D0000}"/>
    <cellStyle name="Comma 11 34 3 4" xfId="20438" xr:uid="{00000000-0005-0000-0000-0000742D0000}"/>
    <cellStyle name="Comma 11 34 3 5" xfId="35930" xr:uid="{00000000-0005-0000-0000-0000752D0000}"/>
    <cellStyle name="Comma 11 34 4" xfId="6784" xr:uid="{00000000-0005-0000-0000-0000762D0000}"/>
    <cellStyle name="Comma 11 34 4 2" xfId="14529" xr:uid="{00000000-0005-0000-0000-0000772D0000}"/>
    <cellStyle name="Comma 11 34 4 2 2" xfId="30121" xr:uid="{00000000-0005-0000-0000-0000782D0000}"/>
    <cellStyle name="Comma 11 34 4 2 3" xfId="45613" xr:uid="{00000000-0005-0000-0000-0000792D0000}"/>
    <cellStyle name="Comma 11 34 4 3" xfId="22381" xr:uid="{00000000-0005-0000-0000-00007A2D0000}"/>
    <cellStyle name="Comma 11 34 4 4" xfId="37873" xr:uid="{00000000-0005-0000-0000-00007B2D0000}"/>
    <cellStyle name="Comma 11 34 5" xfId="10659" xr:uid="{00000000-0005-0000-0000-00007C2D0000}"/>
    <cellStyle name="Comma 11 34 5 2" xfId="26251" xr:uid="{00000000-0005-0000-0000-00007D2D0000}"/>
    <cellStyle name="Comma 11 34 5 3" xfId="41743" xr:uid="{00000000-0005-0000-0000-00007E2D0000}"/>
    <cellStyle name="Comma 11 34 6" xfId="18511" xr:uid="{00000000-0005-0000-0000-00007F2D0000}"/>
    <cellStyle name="Comma 11 34 7" xfId="34003" xr:uid="{00000000-0005-0000-0000-0000802D0000}"/>
    <cellStyle name="Comma 11 35" xfId="2880" xr:uid="{00000000-0005-0000-0000-0000812D0000}"/>
    <cellStyle name="Comma 11 35 2" xfId="3885" xr:uid="{00000000-0005-0000-0000-0000822D0000}"/>
    <cellStyle name="Comma 11 35 2 2" xfId="5824" xr:uid="{00000000-0005-0000-0000-0000832D0000}"/>
    <cellStyle name="Comma 11 35 2 2 2" xfId="9695" xr:uid="{00000000-0005-0000-0000-0000842D0000}"/>
    <cellStyle name="Comma 11 35 2 2 2 2" xfId="17440" xr:uid="{00000000-0005-0000-0000-0000852D0000}"/>
    <cellStyle name="Comma 11 35 2 2 2 2 2" xfId="33032" xr:uid="{00000000-0005-0000-0000-0000862D0000}"/>
    <cellStyle name="Comma 11 35 2 2 2 2 3" xfId="48524" xr:uid="{00000000-0005-0000-0000-0000872D0000}"/>
    <cellStyle name="Comma 11 35 2 2 2 3" xfId="25292" xr:uid="{00000000-0005-0000-0000-0000882D0000}"/>
    <cellStyle name="Comma 11 35 2 2 2 4" xfId="40784" xr:uid="{00000000-0005-0000-0000-0000892D0000}"/>
    <cellStyle name="Comma 11 35 2 2 3" xfId="13570" xr:uid="{00000000-0005-0000-0000-00008A2D0000}"/>
    <cellStyle name="Comma 11 35 2 2 3 2" xfId="29162" xr:uid="{00000000-0005-0000-0000-00008B2D0000}"/>
    <cellStyle name="Comma 11 35 2 2 3 3" xfId="44654" xr:uid="{00000000-0005-0000-0000-00008C2D0000}"/>
    <cellStyle name="Comma 11 35 2 2 4" xfId="21422" xr:uid="{00000000-0005-0000-0000-00008D2D0000}"/>
    <cellStyle name="Comma 11 35 2 2 5" xfId="36914" xr:uid="{00000000-0005-0000-0000-00008E2D0000}"/>
    <cellStyle name="Comma 11 35 2 3" xfId="7768" xr:uid="{00000000-0005-0000-0000-00008F2D0000}"/>
    <cellStyle name="Comma 11 35 2 3 2" xfId="15513" xr:uid="{00000000-0005-0000-0000-0000902D0000}"/>
    <cellStyle name="Comma 11 35 2 3 2 2" xfId="31105" xr:uid="{00000000-0005-0000-0000-0000912D0000}"/>
    <cellStyle name="Comma 11 35 2 3 2 3" xfId="46597" xr:uid="{00000000-0005-0000-0000-0000922D0000}"/>
    <cellStyle name="Comma 11 35 2 3 3" xfId="23365" xr:uid="{00000000-0005-0000-0000-0000932D0000}"/>
    <cellStyle name="Comma 11 35 2 3 4" xfId="38857" xr:uid="{00000000-0005-0000-0000-0000942D0000}"/>
    <cellStyle name="Comma 11 35 2 4" xfId="11643" xr:uid="{00000000-0005-0000-0000-0000952D0000}"/>
    <cellStyle name="Comma 11 35 2 4 2" xfId="27235" xr:uid="{00000000-0005-0000-0000-0000962D0000}"/>
    <cellStyle name="Comma 11 35 2 4 3" xfId="42727" xr:uid="{00000000-0005-0000-0000-0000972D0000}"/>
    <cellStyle name="Comma 11 35 2 5" xfId="19495" xr:uid="{00000000-0005-0000-0000-0000982D0000}"/>
    <cellStyle name="Comma 11 35 2 6" xfId="34987" xr:uid="{00000000-0005-0000-0000-0000992D0000}"/>
    <cellStyle name="Comma 11 35 3" xfId="4876" xr:uid="{00000000-0005-0000-0000-00009A2D0000}"/>
    <cellStyle name="Comma 11 35 3 2" xfId="8747" xr:uid="{00000000-0005-0000-0000-00009B2D0000}"/>
    <cellStyle name="Comma 11 35 3 2 2" xfId="16492" xr:uid="{00000000-0005-0000-0000-00009C2D0000}"/>
    <cellStyle name="Comma 11 35 3 2 2 2" xfId="32084" xr:uid="{00000000-0005-0000-0000-00009D2D0000}"/>
    <cellStyle name="Comma 11 35 3 2 2 3" xfId="47576" xr:uid="{00000000-0005-0000-0000-00009E2D0000}"/>
    <cellStyle name="Comma 11 35 3 2 3" xfId="24344" xr:uid="{00000000-0005-0000-0000-00009F2D0000}"/>
    <cellStyle name="Comma 11 35 3 2 4" xfId="39836" xr:uid="{00000000-0005-0000-0000-0000A02D0000}"/>
    <cellStyle name="Comma 11 35 3 3" xfId="12622" xr:uid="{00000000-0005-0000-0000-0000A12D0000}"/>
    <cellStyle name="Comma 11 35 3 3 2" xfId="28214" xr:uid="{00000000-0005-0000-0000-0000A22D0000}"/>
    <cellStyle name="Comma 11 35 3 3 3" xfId="43706" xr:uid="{00000000-0005-0000-0000-0000A32D0000}"/>
    <cellStyle name="Comma 11 35 3 4" xfId="20474" xr:uid="{00000000-0005-0000-0000-0000A42D0000}"/>
    <cellStyle name="Comma 11 35 3 5" xfId="35966" xr:uid="{00000000-0005-0000-0000-0000A52D0000}"/>
    <cellStyle name="Comma 11 35 4" xfId="6820" xr:uid="{00000000-0005-0000-0000-0000A62D0000}"/>
    <cellStyle name="Comma 11 35 4 2" xfId="14565" xr:uid="{00000000-0005-0000-0000-0000A72D0000}"/>
    <cellStyle name="Comma 11 35 4 2 2" xfId="30157" xr:uid="{00000000-0005-0000-0000-0000A82D0000}"/>
    <cellStyle name="Comma 11 35 4 2 3" xfId="45649" xr:uid="{00000000-0005-0000-0000-0000A92D0000}"/>
    <cellStyle name="Comma 11 35 4 3" xfId="22417" xr:uid="{00000000-0005-0000-0000-0000AA2D0000}"/>
    <cellStyle name="Comma 11 35 4 4" xfId="37909" xr:uid="{00000000-0005-0000-0000-0000AB2D0000}"/>
    <cellStyle name="Comma 11 35 5" xfId="10695" xr:uid="{00000000-0005-0000-0000-0000AC2D0000}"/>
    <cellStyle name="Comma 11 35 5 2" xfId="26287" xr:uid="{00000000-0005-0000-0000-0000AD2D0000}"/>
    <cellStyle name="Comma 11 35 5 3" xfId="41779" xr:uid="{00000000-0005-0000-0000-0000AE2D0000}"/>
    <cellStyle name="Comma 11 35 6" xfId="18547" xr:uid="{00000000-0005-0000-0000-0000AF2D0000}"/>
    <cellStyle name="Comma 11 35 7" xfId="34039" xr:uid="{00000000-0005-0000-0000-0000B02D0000}"/>
    <cellStyle name="Comma 11 36" xfId="2917" xr:uid="{00000000-0005-0000-0000-0000B12D0000}"/>
    <cellStyle name="Comma 11 36 2" xfId="3921" xr:uid="{00000000-0005-0000-0000-0000B22D0000}"/>
    <cellStyle name="Comma 11 36 2 2" xfId="5860" xr:uid="{00000000-0005-0000-0000-0000B32D0000}"/>
    <cellStyle name="Comma 11 36 2 2 2" xfId="9731" xr:uid="{00000000-0005-0000-0000-0000B42D0000}"/>
    <cellStyle name="Comma 11 36 2 2 2 2" xfId="17476" xr:uid="{00000000-0005-0000-0000-0000B52D0000}"/>
    <cellStyle name="Comma 11 36 2 2 2 2 2" xfId="33068" xr:uid="{00000000-0005-0000-0000-0000B62D0000}"/>
    <cellStyle name="Comma 11 36 2 2 2 2 3" xfId="48560" xr:uid="{00000000-0005-0000-0000-0000B72D0000}"/>
    <cellStyle name="Comma 11 36 2 2 2 3" xfId="25328" xr:uid="{00000000-0005-0000-0000-0000B82D0000}"/>
    <cellStyle name="Comma 11 36 2 2 2 4" xfId="40820" xr:uid="{00000000-0005-0000-0000-0000B92D0000}"/>
    <cellStyle name="Comma 11 36 2 2 3" xfId="13606" xr:uid="{00000000-0005-0000-0000-0000BA2D0000}"/>
    <cellStyle name="Comma 11 36 2 2 3 2" xfId="29198" xr:uid="{00000000-0005-0000-0000-0000BB2D0000}"/>
    <cellStyle name="Comma 11 36 2 2 3 3" xfId="44690" xr:uid="{00000000-0005-0000-0000-0000BC2D0000}"/>
    <cellStyle name="Comma 11 36 2 2 4" xfId="21458" xr:uid="{00000000-0005-0000-0000-0000BD2D0000}"/>
    <cellStyle name="Comma 11 36 2 2 5" xfId="36950" xr:uid="{00000000-0005-0000-0000-0000BE2D0000}"/>
    <cellStyle name="Comma 11 36 2 3" xfId="7804" xr:uid="{00000000-0005-0000-0000-0000BF2D0000}"/>
    <cellStyle name="Comma 11 36 2 3 2" xfId="15549" xr:uid="{00000000-0005-0000-0000-0000C02D0000}"/>
    <cellStyle name="Comma 11 36 2 3 2 2" xfId="31141" xr:uid="{00000000-0005-0000-0000-0000C12D0000}"/>
    <cellStyle name="Comma 11 36 2 3 2 3" xfId="46633" xr:uid="{00000000-0005-0000-0000-0000C22D0000}"/>
    <cellStyle name="Comma 11 36 2 3 3" xfId="23401" xr:uid="{00000000-0005-0000-0000-0000C32D0000}"/>
    <cellStyle name="Comma 11 36 2 3 4" xfId="38893" xr:uid="{00000000-0005-0000-0000-0000C42D0000}"/>
    <cellStyle name="Comma 11 36 2 4" xfId="11679" xr:uid="{00000000-0005-0000-0000-0000C52D0000}"/>
    <cellStyle name="Comma 11 36 2 4 2" xfId="27271" xr:uid="{00000000-0005-0000-0000-0000C62D0000}"/>
    <cellStyle name="Comma 11 36 2 4 3" xfId="42763" xr:uid="{00000000-0005-0000-0000-0000C72D0000}"/>
    <cellStyle name="Comma 11 36 2 5" xfId="19531" xr:uid="{00000000-0005-0000-0000-0000C82D0000}"/>
    <cellStyle name="Comma 11 36 2 6" xfId="35023" xr:uid="{00000000-0005-0000-0000-0000C92D0000}"/>
    <cellStyle name="Comma 11 36 3" xfId="4912" xr:uid="{00000000-0005-0000-0000-0000CA2D0000}"/>
    <cellStyle name="Comma 11 36 3 2" xfId="8783" xr:uid="{00000000-0005-0000-0000-0000CB2D0000}"/>
    <cellStyle name="Comma 11 36 3 2 2" xfId="16528" xr:uid="{00000000-0005-0000-0000-0000CC2D0000}"/>
    <cellStyle name="Comma 11 36 3 2 2 2" xfId="32120" xr:uid="{00000000-0005-0000-0000-0000CD2D0000}"/>
    <cellStyle name="Comma 11 36 3 2 2 3" xfId="47612" xr:uid="{00000000-0005-0000-0000-0000CE2D0000}"/>
    <cellStyle name="Comma 11 36 3 2 3" xfId="24380" xr:uid="{00000000-0005-0000-0000-0000CF2D0000}"/>
    <cellStyle name="Comma 11 36 3 2 4" xfId="39872" xr:uid="{00000000-0005-0000-0000-0000D02D0000}"/>
    <cellStyle name="Comma 11 36 3 3" xfId="12658" xr:uid="{00000000-0005-0000-0000-0000D12D0000}"/>
    <cellStyle name="Comma 11 36 3 3 2" xfId="28250" xr:uid="{00000000-0005-0000-0000-0000D22D0000}"/>
    <cellStyle name="Comma 11 36 3 3 3" xfId="43742" xr:uid="{00000000-0005-0000-0000-0000D32D0000}"/>
    <cellStyle name="Comma 11 36 3 4" xfId="20510" xr:uid="{00000000-0005-0000-0000-0000D42D0000}"/>
    <cellStyle name="Comma 11 36 3 5" xfId="36002" xr:uid="{00000000-0005-0000-0000-0000D52D0000}"/>
    <cellStyle name="Comma 11 36 4" xfId="6856" xr:uid="{00000000-0005-0000-0000-0000D62D0000}"/>
    <cellStyle name="Comma 11 36 4 2" xfId="14601" xr:uid="{00000000-0005-0000-0000-0000D72D0000}"/>
    <cellStyle name="Comma 11 36 4 2 2" xfId="30193" xr:uid="{00000000-0005-0000-0000-0000D82D0000}"/>
    <cellStyle name="Comma 11 36 4 2 3" xfId="45685" xr:uid="{00000000-0005-0000-0000-0000D92D0000}"/>
    <cellStyle name="Comma 11 36 4 3" xfId="22453" xr:uid="{00000000-0005-0000-0000-0000DA2D0000}"/>
    <cellStyle name="Comma 11 36 4 4" xfId="37945" xr:uid="{00000000-0005-0000-0000-0000DB2D0000}"/>
    <cellStyle name="Comma 11 36 5" xfId="10731" xr:uid="{00000000-0005-0000-0000-0000DC2D0000}"/>
    <cellStyle name="Comma 11 36 5 2" xfId="26323" xr:uid="{00000000-0005-0000-0000-0000DD2D0000}"/>
    <cellStyle name="Comma 11 36 5 3" xfId="41815" xr:uid="{00000000-0005-0000-0000-0000DE2D0000}"/>
    <cellStyle name="Comma 11 36 6" xfId="18583" xr:uid="{00000000-0005-0000-0000-0000DF2D0000}"/>
    <cellStyle name="Comma 11 36 7" xfId="34075" xr:uid="{00000000-0005-0000-0000-0000E02D0000}"/>
    <cellStyle name="Comma 11 37" xfId="2956" xr:uid="{00000000-0005-0000-0000-0000E12D0000}"/>
    <cellStyle name="Comma 11 37 2" xfId="3957" xr:uid="{00000000-0005-0000-0000-0000E22D0000}"/>
    <cellStyle name="Comma 11 37 2 2" xfId="5896" xr:uid="{00000000-0005-0000-0000-0000E32D0000}"/>
    <cellStyle name="Comma 11 37 2 2 2" xfId="9767" xr:uid="{00000000-0005-0000-0000-0000E42D0000}"/>
    <cellStyle name="Comma 11 37 2 2 2 2" xfId="17512" xr:uid="{00000000-0005-0000-0000-0000E52D0000}"/>
    <cellStyle name="Comma 11 37 2 2 2 2 2" xfId="33104" xr:uid="{00000000-0005-0000-0000-0000E62D0000}"/>
    <cellStyle name="Comma 11 37 2 2 2 2 3" xfId="48596" xr:uid="{00000000-0005-0000-0000-0000E72D0000}"/>
    <cellStyle name="Comma 11 37 2 2 2 3" xfId="25364" xr:uid="{00000000-0005-0000-0000-0000E82D0000}"/>
    <cellStyle name="Comma 11 37 2 2 2 4" xfId="40856" xr:uid="{00000000-0005-0000-0000-0000E92D0000}"/>
    <cellStyle name="Comma 11 37 2 2 3" xfId="13642" xr:uid="{00000000-0005-0000-0000-0000EA2D0000}"/>
    <cellStyle name="Comma 11 37 2 2 3 2" xfId="29234" xr:uid="{00000000-0005-0000-0000-0000EB2D0000}"/>
    <cellStyle name="Comma 11 37 2 2 3 3" xfId="44726" xr:uid="{00000000-0005-0000-0000-0000EC2D0000}"/>
    <cellStyle name="Comma 11 37 2 2 4" xfId="21494" xr:uid="{00000000-0005-0000-0000-0000ED2D0000}"/>
    <cellStyle name="Comma 11 37 2 2 5" xfId="36986" xr:uid="{00000000-0005-0000-0000-0000EE2D0000}"/>
    <cellStyle name="Comma 11 37 2 3" xfId="7840" xr:uid="{00000000-0005-0000-0000-0000EF2D0000}"/>
    <cellStyle name="Comma 11 37 2 3 2" xfId="15585" xr:uid="{00000000-0005-0000-0000-0000F02D0000}"/>
    <cellStyle name="Comma 11 37 2 3 2 2" xfId="31177" xr:uid="{00000000-0005-0000-0000-0000F12D0000}"/>
    <cellStyle name="Comma 11 37 2 3 2 3" xfId="46669" xr:uid="{00000000-0005-0000-0000-0000F22D0000}"/>
    <cellStyle name="Comma 11 37 2 3 3" xfId="23437" xr:uid="{00000000-0005-0000-0000-0000F32D0000}"/>
    <cellStyle name="Comma 11 37 2 3 4" xfId="38929" xr:uid="{00000000-0005-0000-0000-0000F42D0000}"/>
    <cellStyle name="Comma 11 37 2 4" xfId="11715" xr:uid="{00000000-0005-0000-0000-0000F52D0000}"/>
    <cellStyle name="Comma 11 37 2 4 2" xfId="27307" xr:uid="{00000000-0005-0000-0000-0000F62D0000}"/>
    <cellStyle name="Comma 11 37 2 4 3" xfId="42799" xr:uid="{00000000-0005-0000-0000-0000F72D0000}"/>
    <cellStyle name="Comma 11 37 2 5" xfId="19567" xr:uid="{00000000-0005-0000-0000-0000F82D0000}"/>
    <cellStyle name="Comma 11 37 2 6" xfId="35059" xr:uid="{00000000-0005-0000-0000-0000F92D0000}"/>
    <cellStyle name="Comma 11 37 3" xfId="4948" xr:uid="{00000000-0005-0000-0000-0000FA2D0000}"/>
    <cellStyle name="Comma 11 37 3 2" xfId="8819" xr:uid="{00000000-0005-0000-0000-0000FB2D0000}"/>
    <cellStyle name="Comma 11 37 3 2 2" xfId="16564" xr:uid="{00000000-0005-0000-0000-0000FC2D0000}"/>
    <cellStyle name="Comma 11 37 3 2 2 2" xfId="32156" xr:uid="{00000000-0005-0000-0000-0000FD2D0000}"/>
    <cellStyle name="Comma 11 37 3 2 2 3" xfId="47648" xr:uid="{00000000-0005-0000-0000-0000FE2D0000}"/>
    <cellStyle name="Comma 11 37 3 2 3" xfId="24416" xr:uid="{00000000-0005-0000-0000-0000FF2D0000}"/>
    <cellStyle name="Comma 11 37 3 2 4" xfId="39908" xr:uid="{00000000-0005-0000-0000-0000002E0000}"/>
    <cellStyle name="Comma 11 37 3 3" xfId="12694" xr:uid="{00000000-0005-0000-0000-0000012E0000}"/>
    <cellStyle name="Comma 11 37 3 3 2" xfId="28286" xr:uid="{00000000-0005-0000-0000-0000022E0000}"/>
    <cellStyle name="Comma 11 37 3 3 3" xfId="43778" xr:uid="{00000000-0005-0000-0000-0000032E0000}"/>
    <cellStyle name="Comma 11 37 3 4" xfId="20546" xr:uid="{00000000-0005-0000-0000-0000042E0000}"/>
    <cellStyle name="Comma 11 37 3 5" xfId="36038" xr:uid="{00000000-0005-0000-0000-0000052E0000}"/>
    <cellStyle name="Comma 11 37 4" xfId="6892" xr:uid="{00000000-0005-0000-0000-0000062E0000}"/>
    <cellStyle name="Comma 11 37 4 2" xfId="14637" xr:uid="{00000000-0005-0000-0000-0000072E0000}"/>
    <cellStyle name="Comma 11 37 4 2 2" xfId="30229" xr:uid="{00000000-0005-0000-0000-0000082E0000}"/>
    <cellStyle name="Comma 11 37 4 2 3" xfId="45721" xr:uid="{00000000-0005-0000-0000-0000092E0000}"/>
    <cellStyle name="Comma 11 37 4 3" xfId="22489" xr:uid="{00000000-0005-0000-0000-00000A2E0000}"/>
    <cellStyle name="Comma 11 37 4 4" xfId="37981" xr:uid="{00000000-0005-0000-0000-00000B2E0000}"/>
    <cellStyle name="Comma 11 37 5" xfId="10767" xr:uid="{00000000-0005-0000-0000-00000C2E0000}"/>
    <cellStyle name="Comma 11 37 5 2" xfId="26359" xr:uid="{00000000-0005-0000-0000-00000D2E0000}"/>
    <cellStyle name="Comma 11 37 5 3" xfId="41851" xr:uid="{00000000-0005-0000-0000-00000E2E0000}"/>
    <cellStyle name="Comma 11 37 6" xfId="18619" xr:uid="{00000000-0005-0000-0000-00000F2E0000}"/>
    <cellStyle name="Comma 11 37 7" xfId="34111" xr:uid="{00000000-0005-0000-0000-0000102E0000}"/>
    <cellStyle name="Comma 11 38" xfId="2996" xr:uid="{00000000-0005-0000-0000-0000112E0000}"/>
    <cellStyle name="Comma 11 38 2" xfId="3993" xr:uid="{00000000-0005-0000-0000-0000122E0000}"/>
    <cellStyle name="Comma 11 38 2 2" xfId="5932" xr:uid="{00000000-0005-0000-0000-0000132E0000}"/>
    <cellStyle name="Comma 11 38 2 2 2" xfId="9803" xr:uid="{00000000-0005-0000-0000-0000142E0000}"/>
    <cellStyle name="Comma 11 38 2 2 2 2" xfId="17548" xr:uid="{00000000-0005-0000-0000-0000152E0000}"/>
    <cellStyle name="Comma 11 38 2 2 2 2 2" xfId="33140" xr:uid="{00000000-0005-0000-0000-0000162E0000}"/>
    <cellStyle name="Comma 11 38 2 2 2 2 3" xfId="48632" xr:uid="{00000000-0005-0000-0000-0000172E0000}"/>
    <cellStyle name="Comma 11 38 2 2 2 3" xfId="25400" xr:uid="{00000000-0005-0000-0000-0000182E0000}"/>
    <cellStyle name="Comma 11 38 2 2 2 4" xfId="40892" xr:uid="{00000000-0005-0000-0000-0000192E0000}"/>
    <cellStyle name="Comma 11 38 2 2 3" xfId="13678" xr:uid="{00000000-0005-0000-0000-00001A2E0000}"/>
    <cellStyle name="Comma 11 38 2 2 3 2" xfId="29270" xr:uid="{00000000-0005-0000-0000-00001B2E0000}"/>
    <cellStyle name="Comma 11 38 2 2 3 3" xfId="44762" xr:uid="{00000000-0005-0000-0000-00001C2E0000}"/>
    <cellStyle name="Comma 11 38 2 2 4" xfId="21530" xr:uid="{00000000-0005-0000-0000-00001D2E0000}"/>
    <cellStyle name="Comma 11 38 2 2 5" xfId="37022" xr:uid="{00000000-0005-0000-0000-00001E2E0000}"/>
    <cellStyle name="Comma 11 38 2 3" xfId="7876" xr:uid="{00000000-0005-0000-0000-00001F2E0000}"/>
    <cellStyle name="Comma 11 38 2 3 2" xfId="15621" xr:uid="{00000000-0005-0000-0000-0000202E0000}"/>
    <cellStyle name="Comma 11 38 2 3 2 2" xfId="31213" xr:uid="{00000000-0005-0000-0000-0000212E0000}"/>
    <cellStyle name="Comma 11 38 2 3 2 3" xfId="46705" xr:uid="{00000000-0005-0000-0000-0000222E0000}"/>
    <cellStyle name="Comma 11 38 2 3 3" xfId="23473" xr:uid="{00000000-0005-0000-0000-0000232E0000}"/>
    <cellStyle name="Comma 11 38 2 3 4" xfId="38965" xr:uid="{00000000-0005-0000-0000-0000242E0000}"/>
    <cellStyle name="Comma 11 38 2 4" xfId="11751" xr:uid="{00000000-0005-0000-0000-0000252E0000}"/>
    <cellStyle name="Comma 11 38 2 4 2" xfId="27343" xr:uid="{00000000-0005-0000-0000-0000262E0000}"/>
    <cellStyle name="Comma 11 38 2 4 3" xfId="42835" xr:uid="{00000000-0005-0000-0000-0000272E0000}"/>
    <cellStyle name="Comma 11 38 2 5" xfId="19603" xr:uid="{00000000-0005-0000-0000-0000282E0000}"/>
    <cellStyle name="Comma 11 38 2 6" xfId="35095" xr:uid="{00000000-0005-0000-0000-0000292E0000}"/>
    <cellStyle name="Comma 11 38 3" xfId="4984" xr:uid="{00000000-0005-0000-0000-00002A2E0000}"/>
    <cellStyle name="Comma 11 38 3 2" xfId="8855" xr:uid="{00000000-0005-0000-0000-00002B2E0000}"/>
    <cellStyle name="Comma 11 38 3 2 2" xfId="16600" xr:uid="{00000000-0005-0000-0000-00002C2E0000}"/>
    <cellStyle name="Comma 11 38 3 2 2 2" xfId="32192" xr:uid="{00000000-0005-0000-0000-00002D2E0000}"/>
    <cellStyle name="Comma 11 38 3 2 2 3" xfId="47684" xr:uid="{00000000-0005-0000-0000-00002E2E0000}"/>
    <cellStyle name="Comma 11 38 3 2 3" xfId="24452" xr:uid="{00000000-0005-0000-0000-00002F2E0000}"/>
    <cellStyle name="Comma 11 38 3 2 4" xfId="39944" xr:uid="{00000000-0005-0000-0000-0000302E0000}"/>
    <cellStyle name="Comma 11 38 3 3" xfId="12730" xr:uid="{00000000-0005-0000-0000-0000312E0000}"/>
    <cellStyle name="Comma 11 38 3 3 2" xfId="28322" xr:uid="{00000000-0005-0000-0000-0000322E0000}"/>
    <cellStyle name="Comma 11 38 3 3 3" xfId="43814" xr:uid="{00000000-0005-0000-0000-0000332E0000}"/>
    <cellStyle name="Comma 11 38 3 4" xfId="20582" xr:uid="{00000000-0005-0000-0000-0000342E0000}"/>
    <cellStyle name="Comma 11 38 3 5" xfId="36074" xr:uid="{00000000-0005-0000-0000-0000352E0000}"/>
    <cellStyle name="Comma 11 38 4" xfId="6928" xr:uid="{00000000-0005-0000-0000-0000362E0000}"/>
    <cellStyle name="Comma 11 38 4 2" xfId="14673" xr:uid="{00000000-0005-0000-0000-0000372E0000}"/>
    <cellStyle name="Comma 11 38 4 2 2" xfId="30265" xr:uid="{00000000-0005-0000-0000-0000382E0000}"/>
    <cellStyle name="Comma 11 38 4 2 3" xfId="45757" xr:uid="{00000000-0005-0000-0000-0000392E0000}"/>
    <cellStyle name="Comma 11 38 4 3" xfId="22525" xr:uid="{00000000-0005-0000-0000-00003A2E0000}"/>
    <cellStyle name="Comma 11 38 4 4" xfId="38017" xr:uid="{00000000-0005-0000-0000-00003B2E0000}"/>
    <cellStyle name="Comma 11 38 5" xfId="10803" xr:uid="{00000000-0005-0000-0000-00003C2E0000}"/>
    <cellStyle name="Comma 11 38 5 2" xfId="26395" xr:uid="{00000000-0005-0000-0000-00003D2E0000}"/>
    <cellStyle name="Comma 11 38 5 3" xfId="41887" xr:uid="{00000000-0005-0000-0000-00003E2E0000}"/>
    <cellStyle name="Comma 11 38 6" xfId="18655" xr:uid="{00000000-0005-0000-0000-00003F2E0000}"/>
    <cellStyle name="Comma 11 38 7" xfId="34147" xr:uid="{00000000-0005-0000-0000-0000402E0000}"/>
    <cellStyle name="Comma 11 39" xfId="3034" xr:uid="{00000000-0005-0000-0000-0000412E0000}"/>
    <cellStyle name="Comma 11 39 2" xfId="4029" xr:uid="{00000000-0005-0000-0000-0000422E0000}"/>
    <cellStyle name="Comma 11 39 2 2" xfId="5968" xr:uid="{00000000-0005-0000-0000-0000432E0000}"/>
    <cellStyle name="Comma 11 39 2 2 2" xfId="9839" xr:uid="{00000000-0005-0000-0000-0000442E0000}"/>
    <cellStyle name="Comma 11 39 2 2 2 2" xfId="17584" xr:uid="{00000000-0005-0000-0000-0000452E0000}"/>
    <cellStyle name="Comma 11 39 2 2 2 2 2" xfId="33176" xr:uid="{00000000-0005-0000-0000-0000462E0000}"/>
    <cellStyle name="Comma 11 39 2 2 2 2 3" xfId="48668" xr:uid="{00000000-0005-0000-0000-0000472E0000}"/>
    <cellStyle name="Comma 11 39 2 2 2 3" xfId="25436" xr:uid="{00000000-0005-0000-0000-0000482E0000}"/>
    <cellStyle name="Comma 11 39 2 2 2 4" xfId="40928" xr:uid="{00000000-0005-0000-0000-0000492E0000}"/>
    <cellStyle name="Comma 11 39 2 2 3" xfId="13714" xr:uid="{00000000-0005-0000-0000-00004A2E0000}"/>
    <cellStyle name="Comma 11 39 2 2 3 2" xfId="29306" xr:uid="{00000000-0005-0000-0000-00004B2E0000}"/>
    <cellStyle name="Comma 11 39 2 2 3 3" xfId="44798" xr:uid="{00000000-0005-0000-0000-00004C2E0000}"/>
    <cellStyle name="Comma 11 39 2 2 4" xfId="21566" xr:uid="{00000000-0005-0000-0000-00004D2E0000}"/>
    <cellStyle name="Comma 11 39 2 2 5" xfId="37058" xr:uid="{00000000-0005-0000-0000-00004E2E0000}"/>
    <cellStyle name="Comma 11 39 2 3" xfId="7912" xr:uid="{00000000-0005-0000-0000-00004F2E0000}"/>
    <cellStyle name="Comma 11 39 2 3 2" xfId="15657" xr:uid="{00000000-0005-0000-0000-0000502E0000}"/>
    <cellStyle name="Comma 11 39 2 3 2 2" xfId="31249" xr:uid="{00000000-0005-0000-0000-0000512E0000}"/>
    <cellStyle name="Comma 11 39 2 3 2 3" xfId="46741" xr:uid="{00000000-0005-0000-0000-0000522E0000}"/>
    <cellStyle name="Comma 11 39 2 3 3" xfId="23509" xr:uid="{00000000-0005-0000-0000-0000532E0000}"/>
    <cellStyle name="Comma 11 39 2 3 4" xfId="39001" xr:uid="{00000000-0005-0000-0000-0000542E0000}"/>
    <cellStyle name="Comma 11 39 2 4" xfId="11787" xr:uid="{00000000-0005-0000-0000-0000552E0000}"/>
    <cellStyle name="Comma 11 39 2 4 2" xfId="27379" xr:uid="{00000000-0005-0000-0000-0000562E0000}"/>
    <cellStyle name="Comma 11 39 2 4 3" xfId="42871" xr:uid="{00000000-0005-0000-0000-0000572E0000}"/>
    <cellStyle name="Comma 11 39 2 5" xfId="19639" xr:uid="{00000000-0005-0000-0000-0000582E0000}"/>
    <cellStyle name="Comma 11 39 2 6" xfId="35131" xr:uid="{00000000-0005-0000-0000-0000592E0000}"/>
    <cellStyle name="Comma 11 39 3" xfId="5020" xr:uid="{00000000-0005-0000-0000-00005A2E0000}"/>
    <cellStyle name="Comma 11 39 3 2" xfId="8891" xr:uid="{00000000-0005-0000-0000-00005B2E0000}"/>
    <cellStyle name="Comma 11 39 3 2 2" xfId="16636" xr:uid="{00000000-0005-0000-0000-00005C2E0000}"/>
    <cellStyle name="Comma 11 39 3 2 2 2" xfId="32228" xr:uid="{00000000-0005-0000-0000-00005D2E0000}"/>
    <cellStyle name="Comma 11 39 3 2 2 3" xfId="47720" xr:uid="{00000000-0005-0000-0000-00005E2E0000}"/>
    <cellStyle name="Comma 11 39 3 2 3" xfId="24488" xr:uid="{00000000-0005-0000-0000-00005F2E0000}"/>
    <cellStyle name="Comma 11 39 3 2 4" xfId="39980" xr:uid="{00000000-0005-0000-0000-0000602E0000}"/>
    <cellStyle name="Comma 11 39 3 3" xfId="12766" xr:uid="{00000000-0005-0000-0000-0000612E0000}"/>
    <cellStyle name="Comma 11 39 3 3 2" xfId="28358" xr:uid="{00000000-0005-0000-0000-0000622E0000}"/>
    <cellStyle name="Comma 11 39 3 3 3" xfId="43850" xr:uid="{00000000-0005-0000-0000-0000632E0000}"/>
    <cellStyle name="Comma 11 39 3 4" xfId="20618" xr:uid="{00000000-0005-0000-0000-0000642E0000}"/>
    <cellStyle name="Comma 11 39 3 5" xfId="36110" xr:uid="{00000000-0005-0000-0000-0000652E0000}"/>
    <cellStyle name="Comma 11 39 4" xfId="6964" xr:uid="{00000000-0005-0000-0000-0000662E0000}"/>
    <cellStyle name="Comma 11 39 4 2" xfId="14709" xr:uid="{00000000-0005-0000-0000-0000672E0000}"/>
    <cellStyle name="Comma 11 39 4 2 2" xfId="30301" xr:uid="{00000000-0005-0000-0000-0000682E0000}"/>
    <cellStyle name="Comma 11 39 4 2 3" xfId="45793" xr:uid="{00000000-0005-0000-0000-0000692E0000}"/>
    <cellStyle name="Comma 11 39 4 3" xfId="22561" xr:uid="{00000000-0005-0000-0000-00006A2E0000}"/>
    <cellStyle name="Comma 11 39 4 4" xfId="38053" xr:uid="{00000000-0005-0000-0000-00006B2E0000}"/>
    <cellStyle name="Comma 11 39 5" xfId="10839" xr:uid="{00000000-0005-0000-0000-00006C2E0000}"/>
    <cellStyle name="Comma 11 39 5 2" xfId="26431" xr:uid="{00000000-0005-0000-0000-00006D2E0000}"/>
    <cellStyle name="Comma 11 39 5 3" xfId="41923" xr:uid="{00000000-0005-0000-0000-00006E2E0000}"/>
    <cellStyle name="Comma 11 39 6" xfId="18691" xr:uid="{00000000-0005-0000-0000-00006F2E0000}"/>
    <cellStyle name="Comma 11 39 7" xfId="34183" xr:uid="{00000000-0005-0000-0000-0000702E0000}"/>
    <cellStyle name="Comma 11 4" xfId="812" xr:uid="{00000000-0005-0000-0000-0000712E0000}"/>
    <cellStyle name="Comma 11 40" xfId="3071" xr:uid="{00000000-0005-0000-0000-0000722E0000}"/>
    <cellStyle name="Comma 11 40 2" xfId="4065" xr:uid="{00000000-0005-0000-0000-0000732E0000}"/>
    <cellStyle name="Comma 11 40 2 2" xfId="6004" xr:uid="{00000000-0005-0000-0000-0000742E0000}"/>
    <cellStyle name="Comma 11 40 2 2 2" xfId="9875" xr:uid="{00000000-0005-0000-0000-0000752E0000}"/>
    <cellStyle name="Comma 11 40 2 2 2 2" xfId="17620" xr:uid="{00000000-0005-0000-0000-0000762E0000}"/>
    <cellStyle name="Comma 11 40 2 2 2 2 2" xfId="33212" xr:uid="{00000000-0005-0000-0000-0000772E0000}"/>
    <cellStyle name="Comma 11 40 2 2 2 2 3" xfId="48704" xr:uid="{00000000-0005-0000-0000-0000782E0000}"/>
    <cellStyle name="Comma 11 40 2 2 2 3" xfId="25472" xr:uid="{00000000-0005-0000-0000-0000792E0000}"/>
    <cellStyle name="Comma 11 40 2 2 2 4" xfId="40964" xr:uid="{00000000-0005-0000-0000-00007A2E0000}"/>
    <cellStyle name="Comma 11 40 2 2 3" xfId="13750" xr:uid="{00000000-0005-0000-0000-00007B2E0000}"/>
    <cellStyle name="Comma 11 40 2 2 3 2" xfId="29342" xr:uid="{00000000-0005-0000-0000-00007C2E0000}"/>
    <cellStyle name="Comma 11 40 2 2 3 3" xfId="44834" xr:uid="{00000000-0005-0000-0000-00007D2E0000}"/>
    <cellStyle name="Comma 11 40 2 2 4" xfId="21602" xr:uid="{00000000-0005-0000-0000-00007E2E0000}"/>
    <cellStyle name="Comma 11 40 2 2 5" xfId="37094" xr:uid="{00000000-0005-0000-0000-00007F2E0000}"/>
    <cellStyle name="Comma 11 40 2 3" xfId="7948" xr:uid="{00000000-0005-0000-0000-0000802E0000}"/>
    <cellStyle name="Comma 11 40 2 3 2" xfId="15693" xr:uid="{00000000-0005-0000-0000-0000812E0000}"/>
    <cellStyle name="Comma 11 40 2 3 2 2" xfId="31285" xr:uid="{00000000-0005-0000-0000-0000822E0000}"/>
    <cellStyle name="Comma 11 40 2 3 2 3" xfId="46777" xr:uid="{00000000-0005-0000-0000-0000832E0000}"/>
    <cellStyle name="Comma 11 40 2 3 3" xfId="23545" xr:uid="{00000000-0005-0000-0000-0000842E0000}"/>
    <cellStyle name="Comma 11 40 2 3 4" xfId="39037" xr:uid="{00000000-0005-0000-0000-0000852E0000}"/>
    <cellStyle name="Comma 11 40 2 4" xfId="11823" xr:uid="{00000000-0005-0000-0000-0000862E0000}"/>
    <cellStyle name="Comma 11 40 2 4 2" xfId="27415" xr:uid="{00000000-0005-0000-0000-0000872E0000}"/>
    <cellStyle name="Comma 11 40 2 4 3" xfId="42907" xr:uid="{00000000-0005-0000-0000-0000882E0000}"/>
    <cellStyle name="Comma 11 40 2 5" xfId="19675" xr:uid="{00000000-0005-0000-0000-0000892E0000}"/>
    <cellStyle name="Comma 11 40 2 6" xfId="35167" xr:uid="{00000000-0005-0000-0000-00008A2E0000}"/>
    <cellStyle name="Comma 11 40 3" xfId="5056" xr:uid="{00000000-0005-0000-0000-00008B2E0000}"/>
    <cellStyle name="Comma 11 40 3 2" xfId="8927" xr:uid="{00000000-0005-0000-0000-00008C2E0000}"/>
    <cellStyle name="Comma 11 40 3 2 2" xfId="16672" xr:uid="{00000000-0005-0000-0000-00008D2E0000}"/>
    <cellStyle name="Comma 11 40 3 2 2 2" xfId="32264" xr:uid="{00000000-0005-0000-0000-00008E2E0000}"/>
    <cellStyle name="Comma 11 40 3 2 2 3" xfId="47756" xr:uid="{00000000-0005-0000-0000-00008F2E0000}"/>
    <cellStyle name="Comma 11 40 3 2 3" xfId="24524" xr:uid="{00000000-0005-0000-0000-0000902E0000}"/>
    <cellStyle name="Comma 11 40 3 2 4" xfId="40016" xr:uid="{00000000-0005-0000-0000-0000912E0000}"/>
    <cellStyle name="Comma 11 40 3 3" xfId="12802" xr:uid="{00000000-0005-0000-0000-0000922E0000}"/>
    <cellStyle name="Comma 11 40 3 3 2" xfId="28394" xr:uid="{00000000-0005-0000-0000-0000932E0000}"/>
    <cellStyle name="Comma 11 40 3 3 3" xfId="43886" xr:uid="{00000000-0005-0000-0000-0000942E0000}"/>
    <cellStyle name="Comma 11 40 3 4" xfId="20654" xr:uid="{00000000-0005-0000-0000-0000952E0000}"/>
    <cellStyle name="Comma 11 40 3 5" xfId="36146" xr:uid="{00000000-0005-0000-0000-0000962E0000}"/>
    <cellStyle name="Comma 11 40 4" xfId="7000" xr:uid="{00000000-0005-0000-0000-0000972E0000}"/>
    <cellStyle name="Comma 11 40 4 2" xfId="14745" xr:uid="{00000000-0005-0000-0000-0000982E0000}"/>
    <cellStyle name="Comma 11 40 4 2 2" xfId="30337" xr:uid="{00000000-0005-0000-0000-0000992E0000}"/>
    <cellStyle name="Comma 11 40 4 2 3" xfId="45829" xr:uid="{00000000-0005-0000-0000-00009A2E0000}"/>
    <cellStyle name="Comma 11 40 4 3" xfId="22597" xr:uid="{00000000-0005-0000-0000-00009B2E0000}"/>
    <cellStyle name="Comma 11 40 4 4" xfId="38089" xr:uid="{00000000-0005-0000-0000-00009C2E0000}"/>
    <cellStyle name="Comma 11 40 5" xfId="10875" xr:uid="{00000000-0005-0000-0000-00009D2E0000}"/>
    <cellStyle name="Comma 11 40 5 2" xfId="26467" xr:uid="{00000000-0005-0000-0000-00009E2E0000}"/>
    <cellStyle name="Comma 11 40 5 3" xfId="41959" xr:uid="{00000000-0005-0000-0000-00009F2E0000}"/>
    <cellStyle name="Comma 11 40 6" xfId="18727" xr:uid="{00000000-0005-0000-0000-0000A02E0000}"/>
    <cellStyle name="Comma 11 40 7" xfId="34219" xr:uid="{00000000-0005-0000-0000-0000A12E0000}"/>
    <cellStyle name="Comma 11 41" xfId="3118" xr:uid="{00000000-0005-0000-0000-0000A22E0000}"/>
    <cellStyle name="Comma 11 41 2" xfId="4101" xr:uid="{00000000-0005-0000-0000-0000A32E0000}"/>
    <cellStyle name="Comma 11 41 2 2" xfId="6040" xr:uid="{00000000-0005-0000-0000-0000A42E0000}"/>
    <cellStyle name="Comma 11 41 2 2 2" xfId="9911" xr:uid="{00000000-0005-0000-0000-0000A52E0000}"/>
    <cellStyle name="Comma 11 41 2 2 2 2" xfId="17656" xr:uid="{00000000-0005-0000-0000-0000A62E0000}"/>
    <cellStyle name="Comma 11 41 2 2 2 2 2" xfId="33248" xr:uid="{00000000-0005-0000-0000-0000A72E0000}"/>
    <cellStyle name="Comma 11 41 2 2 2 2 3" xfId="48740" xr:uid="{00000000-0005-0000-0000-0000A82E0000}"/>
    <cellStyle name="Comma 11 41 2 2 2 3" xfId="25508" xr:uid="{00000000-0005-0000-0000-0000A92E0000}"/>
    <cellStyle name="Comma 11 41 2 2 2 4" xfId="41000" xr:uid="{00000000-0005-0000-0000-0000AA2E0000}"/>
    <cellStyle name="Comma 11 41 2 2 3" xfId="13786" xr:uid="{00000000-0005-0000-0000-0000AB2E0000}"/>
    <cellStyle name="Comma 11 41 2 2 3 2" xfId="29378" xr:uid="{00000000-0005-0000-0000-0000AC2E0000}"/>
    <cellStyle name="Comma 11 41 2 2 3 3" xfId="44870" xr:uid="{00000000-0005-0000-0000-0000AD2E0000}"/>
    <cellStyle name="Comma 11 41 2 2 4" xfId="21638" xr:uid="{00000000-0005-0000-0000-0000AE2E0000}"/>
    <cellStyle name="Comma 11 41 2 2 5" xfId="37130" xr:uid="{00000000-0005-0000-0000-0000AF2E0000}"/>
    <cellStyle name="Comma 11 41 2 3" xfId="7984" xr:uid="{00000000-0005-0000-0000-0000B02E0000}"/>
    <cellStyle name="Comma 11 41 2 3 2" xfId="15729" xr:uid="{00000000-0005-0000-0000-0000B12E0000}"/>
    <cellStyle name="Comma 11 41 2 3 2 2" xfId="31321" xr:uid="{00000000-0005-0000-0000-0000B22E0000}"/>
    <cellStyle name="Comma 11 41 2 3 2 3" xfId="46813" xr:uid="{00000000-0005-0000-0000-0000B32E0000}"/>
    <cellStyle name="Comma 11 41 2 3 3" xfId="23581" xr:uid="{00000000-0005-0000-0000-0000B42E0000}"/>
    <cellStyle name="Comma 11 41 2 3 4" xfId="39073" xr:uid="{00000000-0005-0000-0000-0000B52E0000}"/>
    <cellStyle name="Comma 11 41 2 4" xfId="11859" xr:uid="{00000000-0005-0000-0000-0000B62E0000}"/>
    <cellStyle name="Comma 11 41 2 4 2" xfId="27451" xr:uid="{00000000-0005-0000-0000-0000B72E0000}"/>
    <cellStyle name="Comma 11 41 2 4 3" xfId="42943" xr:uid="{00000000-0005-0000-0000-0000B82E0000}"/>
    <cellStyle name="Comma 11 41 2 5" xfId="19711" xr:uid="{00000000-0005-0000-0000-0000B92E0000}"/>
    <cellStyle name="Comma 11 41 2 6" xfId="35203" xr:uid="{00000000-0005-0000-0000-0000BA2E0000}"/>
    <cellStyle name="Comma 11 41 3" xfId="5092" xr:uid="{00000000-0005-0000-0000-0000BB2E0000}"/>
    <cellStyle name="Comma 11 41 3 2" xfId="8963" xr:uid="{00000000-0005-0000-0000-0000BC2E0000}"/>
    <cellStyle name="Comma 11 41 3 2 2" xfId="16708" xr:uid="{00000000-0005-0000-0000-0000BD2E0000}"/>
    <cellStyle name="Comma 11 41 3 2 2 2" xfId="32300" xr:uid="{00000000-0005-0000-0000-0000BE2E0000}"/>
    <cellStyle name="Comma 11 41 3 2 2 3" xfId="47792" xr:uid="{00000000-0005-0000-0000-0000BF2E0000}"/>
    <cellStyle name="Comma 11 41 3 2 3" xfId="24560" xr:uid="{00000000-0005-0000-0000-0000C02E0000}"/>
    <cellStyle name="Comma 11 41 3 2 4" xfId="40052" xr:uid="{00000000-0005-0000-0000-0000C12E0000}"/>
    <cellStyle name="Comma 11 41 3 3" xfId="12838" xr:uid="{00000000-0005-0000-0000-0000C22E0000}"/>
    <cellStyle name="Comma 11 41 3 3 2" xfId="28430" xr:uid="{00000000-0005-0000-0000-0000C32E0000}"/>
    <cellStyle name="Comma 11 41 3 3 3" xfId="43922" xr:uid="{00000000-0005-0000-0000-0000C42E0000}"/>
    <cellStyle name="Comma 11 41 3 4" xfId="20690" xr:uid="{00000000-0005-0000-0000-0000C52E0000}"/>
    <cellStyle name="Comma 11 41 3 5" xfId="36182" xr:uid="{00000000-0005-0000-0000-0000C62E0000}"/>
    <cellStyle name="Comma 11 41 4" xfId="7036" xr:uid="{00000000-0005-0000-0000-0000C72E0000}"/>
    <cellStyle name="Comma 11 41 4 2" xfId="14781" xr:uid="{00000000-0005-0000-0000-0000C82E0000}"/>
    <cellStyle name="Comma 11 41 4 2 2" xfId="30373" xr:uid="{00000000-0005-0000-0000-0000C92E0000}"/>
    <cellStyle name="Comma 11 41 4 2 3" xfId="45865" xr:uid="{00000000-0005-0000-0000-0000CA2E0000}"/>
    <cellStyle name="Comma 11 41 4 3" xfId="22633" xr:uid="{00000000-0005-0000-0000-0000CB2E0000}"/>
    <cellStyle name="Comma 11 41 4 4" xfId="38125" xr:uid="{00000000-0005-0000-0000-0000CC2E0000}"/>
    <cellStyle name="Comma 11 41 5" xfId="10911" xr:uid="{00000000-0005-0000-0000-0000CD2E0000}"/>
    <cellStyle name="Comma 11 41 5 2" xfId="26503" xr:uid="{00000000-0005-0000-0000-0000CE2E0000}"/>
    <cellStyle name="Comma 11 41 5 3" xfId="41995" xr:uid="{00000000-0005-0000-0000-0000CF2E0000}"/>
    <cellStyle name="Comma 11 41 6" xfId="18763" xr:uid="{00000000-0005-0000-0000-0000D02E0000}"/>
    <cellStyle name="Comma 11 41 7" xfId="34255" xr:uid="{00000000-0005-0000-0000-0000D12E0000}"/>
    <cellStyle name="Comma 11 5" xfId="813" xr:uid="{00000000-0005-0000-0000-0000D22E0000}"/>
    <cellStyle name="Comma 11 6" xfId="814" xr:uid="{00000000-0005-0000-0000-0000D32E0000}"/>
    <cellStyle name="Comma 11 7" xfId="815" xr:uid="{00000000-0005-0000-0000-0000D42E0000}"/>
    <cellStyle name="Comma 11 8" xfId="816" xr:uid="{00000000-0005-0000-0000-0000D52E0000}"/>
    <cellStyle name="Comma 11 9" xfId="817" xr:uid="{00000000-0005-0000-0000-0000D62E0000}"/>
    <cellStyle name="Comma 110" xfId="4133" xr:uid="{00000000-0005-0000-0000-0000D72E0000}"/>
    <cellStyle name="Comma 110 2" xfId="49051" xr:uid="{74ED4FC4-9708-421C-99EC-012C81BA8199}"/>
    <cellStyle name="Comma 111" xfId="4174" xr:uid="{00000000-0005-0000-0000-0000D82E0000}"/>
    <cellStyle name="Comma 112" xfId="6103" xr:uid="{00000000-0005-0000-0000-0000D92E0000}"/>
    <cellStyle name="Comma 113" xfId="9990" xr:uid="{00000000-0005-0000-0000-0000DA2E0000}"/>
    <cellStyle name="Comma 114" xfId="9991" xr:uid="{00000000-0005-0000-0000-0000DB2E0000}"/>
    <cellStyle name="Comma 115" xfId="9993" xr:uid="{00000000-0005-0000-0000-0000DC2E0000}"/>
    <cellStyle name="Comma 116" xfId="17735" xr:uid="{00000000-0005-0000-0000-0000DD2E0000}"/>
    <cellStyle name="Comma 117" xfId="17743" xr:uid="{00000000-0005-0000-0000-0000DE2E0000}"/>
    <cellStyle name="Comma 118" xfId="17768" xr:uid="{00000000-0005-0000-0000-0000DF2E0000}"/>
    <cellStyle name="Comma 119" xfId="17748" xr:uid="{00000000-0005-0000-0000-0000E02E0000}"/>
    <cellStyle name="Comma 119 2" xfId="49052" xr:uid="{92D55D62-AA30-405A-A60D-0094B484714C}"/>
    <cellStyle name="Comma 12" xfId="818" xr:uid="{00000000-0005-0000-0000-0000E12E0000}"/>
    <cellStyle name="Comma 12 10" xfId="819" xr:uid="{00000000-0005-0000-0000-0000E22E0000}"/>
    <cellStyle name="Comma 12 11" xfId="820" xr:uid="{00000000-0005-0000-0000-0000E32E0000}"/>
    <cellStyle name="Comma 12 12" xfId="821" xr:uid="{00000000-0005-0000-0000-0000E42E0000}"/>
    <cellStyle name="Comma 12 13" xfId="822" xr:uid="{00000000-0005-0000-0000-0000E52E0000}"/>
    <cellStyle name="Comma 12 14" xfId="823" xr:uid="{00000000-0005-0000-0000-0000E62E0000}"/>
    <cellStyle name="Comma 12 15" xfId="824" xr:uid="{00000000-0005-0000-0000-0000E72E0000}"/>
    <cellStyle name="Comma 12 16" xfId="825" xr:uid="{00000000-0005-0000-0000-0000E82E0000}"/>
    <cellStyle name="Comma 12 17" xfId="826" xr:uid="{00000000-0005-0000-0000-0000E92E0000}"/>
    <cellStyle name="Comma 12 18" xfId="827" xr:uid="{00000000-0005-0000-0000-0000EA2E0000}"/>
    <cellStyle name="Comma 12 19" xfId="828" xr:uid="{00000000-0005-0000-0000-0000EB2E0000}"/>
    <cellStyle name="Comma 12 2" xfId="829" xr:uid="{00000000-0005-0000-0000-0000EC2E0000}"/>
    <cellStyle name="Comma 12 2 2" xfId="48958" xr:uid="{00000000-0005-0000-0000-0000ED2E0000}"/>
    <cellStyle name="Comma 12 2 3" xfId="48959" xr:uid="{00000000-0005-0000-0000-0000EE2E0000}"/>
    <cellStyle name="Comma 12 20" xfId="830" xr:uid="{00000000-0005-0000-0000-0000EF2E0000}"/>
    <cellStyle name="Comma 12 21" xfId="831" xr:uid="{00000000-0005-0000-0000-0000F02E0000}"/>
    <cellStyle name="Comma 12 22" xfId="832" xr:uid="{00000000-0005-0000-0000-0000F12E0000}"/>
    <cellStyle name="Comma 12 23" xfId="833" xr:uid="{00000000-0005-0000-0000-0000F22E0000}"/>
    <cellStyle name="Comma 12 24" xfId="834" xr:uid="{00000000-0005-0000-0000-0000F32E0000}"/>
    <cellStyle name="Comma 12 25" xfId="2171" xr:uid="{00000000-0005-0000-0000-0000F42E0000}"/>
    <cellStyle name="Comma 12 25 2" xfId="2514" xr:uid="{00000000-0005-0000-0000-0000F52E0000}"/>
    <cellStyle name="Comma 12 25 2 2" xfId="3522" xr:uid="{00000000-0005-0000-0000-0000F62E0000}"/>
    <cellStyle name="Comma 12 25 2 2 2" xfId="5461" xr:uid="{00000000-0005-0000-0000-0000F72E0000}"/>
    <cellStyle name="Comma 12 25 2 2 2 2" xfId="9332" xr:uid="{00000000-0005-0000-0000-0000F82E0000}"/>
    <cellStyle name="Comma 12 25 2 2 2 2 2" xfId="17077" xr:uid="{00000000-0005-0000-0000-0000F92E0000}"/>
    <cellStyle name="Comma 12 25 2 2 2 2 2 2" xfId="32669" xr:uid="{00000000-0005-0000-0000-0000FA2E0000}"/>
    <cellStyle name="Comma 12 25 2 2 2 2 2 3" xfId="48161" xr:uid="{00000000-0005-0000-0000-0000FB2E0000}"/>
    <cellStyle name="Comma 12 25 2 2 2 2 3" xfId="24929" xr:uid="{00000000-0005-0000-0000-0000FC2E0000}"/>
    <cellStyle name="Comma 12 25 2 2 2 2 4" xfId="40421" xr:uid="{00000000-0005-0000-0000-0000FD2E0000}"/>
    <cellStyle name="Comma 12 25 2 2 2 3" xfId="13207" xr:uid="{00000000-0005-0000-0000-0000FE2E0000}"/>
    <cellStyle name="Comma 12 25 2 2 2 3 2" xfId="28799" xr:uid="{00000000-0005-0000-0000-0000FF2E0000}"/>
    <cellStyle name="Comma 12 25 2 2 2 3 3" xfId="44291" xr:uid="{00000000-0005-0000-0000-0000002F0000}"/>
    <cellStyle name="Comma 12 25 2 2 2 4" xfId="21059" xr:uid="{00000000-0005-0000-0000-0000012F0000}"/>
    <cellStyle name="Comma 12 25 2 2 2 5" xfId="36551" xr:uid="{00000000-0005-0000-0000-0000022F0000}"/>
    <cellStyle name="Comma 12 25 2 2 3" xfId="7405" xr:uid="{00000000-0005-0000-0000-0000032F0000}"/>
    <cellStyle name="Comma 12 25 2 2 3 2" xfId="15150" xr:uid="{00000000-0005-0000-0000-0000042F0000}"/>
    <cellStyle name="Comma 12 25 2 2 3 2 2" xfId="30742" xr:uid="{00000000-0005-0000-0000-0000052F0000}"/>
    <cellStyle name="Comma 12 25 2 2 3 2 3" xfId="46234" xr:uid="{00000000-0005-0000-0000-0000062F0000}"/>
    <cellStyle name="Comma 12 25 2 2 3 3" xfId="23002" xr:uid="{00000000-0005-0000-0000-0000072F0000}"/>
    <cellStyle name="Comma 12 25 2 2 3 4" xfId="38494" xr:uid="{00000000-0005-0000-0000-0000082F0000}"/>
    <cellStyle name="Comma 12 25 2 2 4" xfId="11280" xr:uid="{00000000-0005-0000-0000-0000092F0000}"/>
    <cellStyle name="Comma 12 25 2 2 4 2" xfId="26872" xr:uid="{00000000-0005-0000-0000-00000A2F0000}"/>
    <cellStyle name="Comma 12 25 2 2 4 3" xfId="42364" xr:uid="{00000000-0005-0000-0000-00000B2F0000}"/>
    <cellStyle name="Comma 12 25 2 2 5" xfId="19132" xr:uid="{00000000-0005-0000-0000-00000C2F0000}"/>
    <cellStyle name="Comma 12 25 2 2 6" xfId="34624" xr:uid="{00000000-0005-0000-0000-00000D2F0000}"/>
    <cellStyle name="Comma 12 25 2 3" xfId="4513" xr:uid="{00000000-0005-0000-0000-00000E2F0000}"/>
    <cellStyle name="Comma 12 25 2 3 2" xfId="8384" xr:uid="{00000000-0005-0000-0000-00000F2F0000}"/>
    <cellStyle name="Comma 12 25 2 3 2 2" xfId="16129" xr:uid="{00000000-0005-0000-0000-0000102F0000}"/>
    <cellStyle name="Comma 12 25 2 3 2 2 2" xfId="31721" xr:uid="{00000000-0005-0000-0000-0000112F0000}"/>
    <cellStyle name="Comma 12 25 2 3 2 2 3" xfId="47213" xr:uid="{00000000-0005-0000-0000-0000122F0000}"/>
    <cellStyle name="Comma 12 25 2 3 2 3" xfId="23981" xr:uid="{00000000-0005-0000-0000-0000132F0000}"/>
    <cellStyle name="Comma 12 25 2 3 2 4" xfId="39473" xr:uid="{00000000-0005-0000-0000-0000142F0000}"/>
    <cellStyle name="Comma 12 25 2 3 3" xfId="12259" xr:uid="{00000000-0005-0000-0000-0000152F0000}"/>
    <cellStyle name="Comma 12 25 2 3 3 2" xfId="27851" xr:uid="{00000000-0005-0000-0000-0000162F0000}"/>
    <cellStyle name="Comma 12 25 2 3 3 3" xfId="43343" xr:uid="{00000000-0005-0000-0000-0000172F0000}"/>
    <cellStyle name="Comma 12 25 2 3 4" xfId="20111" xr:uid="{00000000-0005-0000-0000-0000182F0000}"/>
    <cellStyle name="Comma 12 25 2 3 5" xfId="35603" xr:uid="{00000000-0005-0000-0000-0000192F0000}"/>
    <cellStyle name="Comma 12 25 2 4" xfId="6457" xr:uid="{00000000-0005-0000-0000-00001A2F0000}"/>
    <cellStyle name="Comma 12 25 2 4 2" xfId="14202" xr:uid="{00000000-0005-0000-0000-00001B2F0000}"/>
    <cellStyle name="Comma 12 25 2 4 2 2" xfId="29794" xr:uid="{00000000-0005-0000-0000-00001C2F0000}"/>
    <cellStyle name="Comma 12 25 2 4 2 3" xfId="45286" xr:uid="{00000000-0005-0000-0000-00001D2F0000}"/>
    <cellStyle name="Comma 12 25 2 4 3" xfId="22054" xr:uid="{00000000-0005-0000-0000-00001E2F0000}"/>
    <cellStyle name="Comma 12 25 2 4 4" xfId="37546" xr:uid="{00000000-0005-0000-0000-00001F2F0000}"/>
    <cellStyle name="Comma 12 25 2 5" xfId="10332" xr:uid="{00000000-0005-0000-0000-0000202F0000}"/>
    <cellStyle name="Comma 12 25 2 5 2" xfId="25924" xr:uid="{00000000-0005-0000-0000-0000212F0000}"/>
    <cellStyle name="Comma 12 25 2 5 3" xfId="41416" xr:uid="{00000000-0005-0000-0000-0000222F0000}"/>
    <cellStyle name="Comma 12 25 2 6" xfId="18184" xr:uid="{00000000-0005-0000-0000-0000232F0000}"/>
    <cellStyle name="Comma 12 25 2 7" xfId="33676" xr:uid="{00000000-0005-0000-0000-0000242F0000}"/>
    <cellStyle name="Comma 12 25 3" xfId="3213" xr:uid="{00000000-0005-0000-0000-0000252F0000}"/>
    <cellStyle name="Comma 12 25 3 2" xfId="5152" xr:uid="{00000000-0005-0000-0000-0000262F0000}"/>
    <cellStyle name="Comma 12 25 3 2 2" xfId="9023" xr:uid="{00000000-0005-0000-0000-0000272F0000}"/>
    <cellStyle name="Comma 12 25 3 2 2 2" xfId="16768" xr:uid="{00000000-0005-0000-0000-0000282F0000}"/>
    <cellStyle name="Comma 12 25 3 2 2 2 2" xfId="32360" xr:uid="{00000000-0005-0000-0000-0000292F0000}"/>
    <cellStyle name="Comma 12 25 3 2 2 2 3" xfId="47852" xr:uid="{00000000-0005-0000-0000-00002A2F0000}"/>
    <cellStyle name="Comma 12 25 3 2 2 3" xfId="24620" xr:uid="{00000000-0005-0000-0000-00002B2F0000}"/>
    <cellStyle name="Comma 12 25 3 2 2 4" xfId="40112" xr:uid="{00000000-0005-0000-0000-00002C2F0000}"/>
    <cellStyle name="Comma 12 25 3 2 3" xfId="12898" xr:uid="{00000000-0005-0000-0000-00002D2F0000}"/>
    <cellStyle name="Comma 12 25 3 2 3 2" xfId="28490" xr:uid="{00000000-0005-0000-0000-00002E2F0000}"/>
    <cellStyle name="Comma 12 25 3 2 3 3" xfId="43982" xr:uid="{00000000-0005-0000-0000-00002F2F0000}"/>
    <cellStyle name="Comma 12 25 3 2 4" xfId="20750" xr:uid="{00000000-0005-0000-0000-0000302F0000}"/>
    <cellStyle name="Comma 12 25 3 2 5" xfId="36242" xr:uid="{00000000-0005-0000-0000-0000312F0000}"/>
    <cellStyle name="Comma 12 25 3 3" xfId="7096" xr:uid="{00000000-0005-0000-0000-0000322F0000}"/>
    <cellStyle name="Comma 12 25 3 3 2" xfId="14841" xr:uid="{00000000-0005-0000-0000-0000332F0000}"/>
    <cellStyle name="Comma 12 25 3 3 2 2" xfId="30433" xr:uid="{00000000-0005-0000-0000-0000342F0000}"/>
    <cellStyle name="Comma 12 25 3 3 2 3" xfId="45925" xr:uid="{00000000-0005-0000-0000-0000352F0000}"/>
    <cellStyle name="Comma 12 25 3 3 3" xfId="22693" xr:uid="{00000000-0005-0000-0000-0000362F0000}"/>
    <cellStyle name="Comma 12 25 3 3 4" xfId="38185" xr:uid="{00000000-0005-0000-0000-0000372F0000}"/>
    <cellStyle name="Comma 12 25 3 4" xfId="10971" xr:uid="{00000000-0005-0000-0000-0000382F0000}"/>
    <cellStyle name="Comma 12 25 3 4 2" xfId="26563" xr:uid="{00000000-0005-0000-0000-0000392F0000}"/>
    <cellStyle name="Comma 12 25 3 4 3" xfId="42055" xr:uid="{00000000-0005-0000-0000-00003A2F0000}"/>
    <cellStyle name="Comma 12 25 3 5" xfId="18823" xr:uid="{00000000-0005-0000-0000-00003B2F0000}"/>
    <cellStyle name="Comma 12 25 3 6" xfId="34315" xr:uid="{00000000-0005-0000-0000-00003C2F0000}"/>
    <cellStyle name="Comma 12 25 4" xfId="4204" xr:uid="{00000000-0005-0000-0000-00003D2F0000}"/>
    <cellStyle name="Comma 12 25 4 2" xfId="8075" xr:uid="{00000000-0005-0000-0000-00003E2F0000}"/>
    <cellStyle name="Comma 12 25 4 2 2" xfId="15820" xr:uid="{00000000-0005-0000-0000-00003F2F0000}"/>
    <cellStyle name="Comma 12 25 4 2 2 2" xfId="31412" xr:uid="{00000000-0005-0000-0000-0000402F0000}"/>
    <cellStyle name="Comma 12 25 4 2 2 3" xfId="46904" xr:uid="{00000000-0005-0000-0000-0000412F0000}"/>
    <cellStyle name="Comma 12 25 4 2 3" xfId="23672" xr:uid="{00000000-0005-0000-0000-0000422F0000}"/>
    <cellStyle name="Comma 12 25 4 2 4" xfId="39164" xr:uid="{00000000-0005-0000-0000-0000432F0000}"/>
    <cellStyle name="Comma 12 25 4 3" xfId="11950" xr:uid="{00000000-0005-0000-0000-0000442F0000}"/>
    <cellStyle name="Comma 12 25 4 3 2" xfId="27542" xr:uid="{00000000-0005-0000-0000-0000452F0000}"/>
    <cellStyle name="Comma 12 25 4 3 3" xfId="43034" xr:uid="{00000000-0005-0000-0000-0000462F0000}"/>
    <cellStyle name="Comma 12 25 4 4" xfId="19802" xr:uid="{00000000-0005-0000-0000-0000472F0000}"/>
    <cellStyle name="Comma 12 25 4 5" xfId="35294" xr:uid="{00000000-0005-0000-0000-0000482F0000}"/>
    <cellStyle name="Comma 12 25 5" xfId="6148" xr:uid="{00000000-0005-0000-0000-0000492F0000}"/>
    <cellStyle name="Comma 12 25 5 2" xfId="13893" xr:uid="{00000000-0005-0000-0000-00004A2F0000}"/>
    <cellStyle name="Comma 12 25 5 2 2" xfId="29485" xr:uid="{00000000-0005-0000-0000-00004B2F0000}"/>
    <cellStyle name="Comma 12 25 5 2 3" xfId="44977" xr:uid="{00000000-0005-0000-0000-00004C2F0000}"/>
    <cellStyle name="Comma 12 25 5 3" xfId="21745" xr:uid="{00000000-0005-0000-0000-00004D2F0000}"/>
    <cellStyle name="Comma 12 25 5 4" xfId="37237" xr:uid="{00000000-0005-0000-0000-00004E2F0000}"/>
    <cellStyle name="Comma 12 25 6" xfId="10023" xr:uid="{00000000-0005-0000-0000-00004F2F0000}"/>
    <cellStyle name="Comma 12 25 6 2" xfId="25615" xr:uid="{00000000-0005-0000-0000-0000502F0000}"/>
    <cellStyle name="Comma 12 25 6 3" xfId="41107" xr:uid="{00000000-0005-0000-0000-0000512F0000}"/>
    <cellStyle name="Comma 12 25 7" xfId="17875" xr:uid="{00000000-0005-0000-0000-0000522F0000}"/>
    <cellStyle name="Comma 12 25 8" xfId="33367" xr:uid="{00000000-0005-0000-0000-0000532F0000}"/>
    <cellStyle name="Comma 12 26" xfId="2235" xr:uid="{00000000-0005-0000-0000-0000542F0000}"/>
    <cellStyle name="Comma 12 26 2" xfId="2552" xr:uid="{00000000-0005-0000-0000-0000552F0000}"/>
    <cellStyle name="Comma 12 26 2 2" xfId="3560" xr:uid="{00000000-0005-0000-0000-0000562F0000}"/>
    <cellStyle name="Comma 12 26 2 2 2" xfId="5499" xr:uid="{00000000-0005-0000-0000-0000572F0000}"/>
    <cellStyle name="Comma 12 26 2 2 2 2" xfId="9370" xr:uid="{00000000-0005-0000-0000-0000582F0000}"/>
    <cellStyle name="Comma 12 26 2 2 2 2 2" xfId="17115" xr:uid="{00000000-0005-0000-0000-0000592F0000}"/>
    <cellStyle name="Comma 12 26 2 2 2 2 2 2" xfId="32707" xr:uid="{00000000-0005-0000-0000-00005A2F0000}"/>
    <cellStyle name="Comma 12 26 2 2 2 2 2 3" xfId="48199" xr:uid="{00000000-0005-0000-0000-00005B2F0000}"/>
    <cellStyle name="Comma 12 26 2 2 2 2 3" xfId="24967" xr:uid="{00000000-0005-0000-0000-00005C2F0000}"/>
    <cellStyle name="Comma 12 26 2 2 2 2 4" xfId="40459" xr:uid="{00000000-0005-0000-0000-00005D2F0000}"/>
    <cellStyle name="Comma 12 26 2 2 2 3" xfId="13245" xr:uid="{00000000-0005-0000-0000-00005E2F0000}"/>
    <cellStyle name="Comma 12 26 2 2 2 3 2" xfId="28837" xr:uid="{00000000-0005-0000-0000-00005F2F0000}"/>
    <cellStyle name="Comma 12 26 2 2 2 3 3" xfId="44329" xr:uid="{00000000-0005-0000-0000-0000602F0000}"/>
    <cellStyle name="Comma 12 26 2 2 2 4" xfId="21097" xr:uid="{00000000-0005-0000-0000-0000612F0000}"/>
    <cellStyle name="Comma 12 26 2 2 2 5" xfId="36589" xr:uid="{00000000-0005-0000-0000-0000622F0000}"/>
    <cellStyle name="Comma 12 26 2 2 3" xfId="7443" xr:uid="{00000000-0005-0000-0000-0000632F0000}"/>
    <cellStyle name="Comma 12 26 2 2 3 2" xfId="15188" xr:uid="{00000000-0005-0000-0000-0000642F0000}"/>
    <cellStyle name="Comma 12 26 2 2 3 2 2" xfId="30780" xr:uid="{00000000-0005-0000-0000-0000652F0000}"/>
    <cellStyle name="Comma 12 26 2 2 3 2 3" xfId="46272" xr:uid="{00000000-0005-0000-0000-0000662F0000}"/>
    <cellStyle name="Comma 12 26 2 2 3 3" xfId="23040" xr:uid="{00000000-0005-0000-0000-0000672F0000}"/>
    <cellStyle name="Comma 12 26 2 2 3 4" xfId="38532" xr:uid="{00000000-0005-0000-0000-0000682F0000}"/>
    <cellStyle name="Comma 12 26 2 2 4" xfId="11318" xr:uid="{00000000-0005-0000-0000-0000692F0000}"/>
    <cellStyle name="Comma 12 26 2 2 4 2" xfId="26910" xr:uid="{00000000-0005-0000-0000-00006A2F0000}"/>
    <cellStyle name="Comma 12 26 2 2 4 3" xfId="42402" xr:uid="{00000000-0005-0000-0000-00006B2F0000}"/>
    <cellStyle name="Comma 12 26 2 2 5" xfId="19170" xr:uid="{00000000-0005-0000-0000-00006C2F0000}"/>
    <cellStyle name="Comma 12 26 2 2 6" xfId="34662" xr:uid="{00000000-0005-0000-0000-00006D2F0000}"/>
    <cellStyle name="Comma 12 26 2 3" xfId="4551" xr:uid="{00000000-0005-0000-0000-00006E2F0000}"/>
    <cellStyle name="Comma 12 26 2 3 2" xfId="8422" xr:uid="{00000000-0005-0000-0000-00006F2F0000}"/>
    <cellStyle name="Comma 12 26 2 3 2 2" xfId="16167" xr:uid="{00000000-0005-0000-0000-0000702F0000}"/>
    <cellStyle name="Comma 12 26 2 3 2 2 2" xfId="31759" xr:uid="{00000000-0005-0000-0000-0000712F0000}"/>
    <cellStyle name="Comma 12 26 2 3 2 2 3" xfId="47251" xr:uid="{00000000-0005-0000-0000-0000722F0000}"/>
    <cellStyle name="Comma 12 26 2 3 2 3" xfId="24019" xr:uid="{00000000-0005-0000-0000-0000732F0000}"/>
    <cellStyle name="Comma 12 26 2 3 2 4" xfId="39511" xr:uid="{00000000-0005-0000-0000-0000742F0000}"/>
    <cellStyle name="Comma 12 26 2 3 3" xfId="12297" xr:uid="{00000000-0005-0000-0000-0000752F0000}"/>
    <cellStyle name="Comma 12 26 2 3 3 2" xfId="27889" xr:uid="{00000000-0005-0000-0000-0000762F0000}"/>
    <cellStyle name="Comma 12 26 2 3 3 3" xfId="43381" xr:uid="{00000000-0005-0000-0000-0000772F0000}"/>
    <cellStyle name="Comma 12 26 2 3 4" xfId="20149" xr:uid="{00000000-0005-0000-0000-0000782F0000}"/>
    <cellStyle name="Comma 12 26 2 3 5" xfId="35641" xr:uid="{00000000-0005-0000-0000-0000792F0000}"/>
    <cellStyle name="Comma 12 26 2 4" xfId="6495" xr:uid="{00000000-0005-0000-0000-00007A2F0000}"/>
    <cellStyle name="Comma 12 26 2 4 2" xfId="14240" xr:uid="{00000000-0005-0000-0000-00007B2F0000}"/>
    <cellStyle name="Comma 12 26 2 4 2 2" xfId="29832" xr:uid="{00000000-0005-0000-0000-00007C2F0000}"/>
    <cellStyle name="Comma 12 26 2 4 2 3" xfId="45324" xr:uid="{00000000-0005-0000-0000-00007D2F0000}"/>
    <cellStyle name="Comma 12 26 2 4 3" xfId="22092" xr:uid="{00000000-0005-0000-0000-00007E2F0000}"/>
    <cellStyle name="Comma 12 26 2 4 4" xfId="37584" xr:uid="{00000000-0005-0000-0000-00007F2F0000}"/>
    <cellStyle name="Comma 12 26 2 5" xfId="10370" xr:uid="{00000000-0005-0000-0000-0000802F0000}"/>
    <cellStyle name="Comma 12 26 2 5 2" xfId="25962" xr:uid="{00000000-0005-0000-0000-0000812F0000}"/>
    <cellStyle name="Comma 12 26 2 5 3" xfId="41454" xr:uid="{00000000-0005-0000-0000-0000822F0000}"/>
    <cellStyle name="Comma 12 26 2 6" xfId="18222" xr:uid="{00000000-0005-0000-0000-0000832F0000}"/>
    <cellStyle name="Comma 12 26 2 7" xfId="33714" xr:uid="{00000000-0005-0000-0000-0000842F0000}"/>
    <cellStyle name="Comma 12 26 3" xfId="3251" xr:uid="{00000000-0005-0000-0000-0000852F0000}"/>
    <cellStyle name="Comma 12 26 3 2" xfId="5190" xr:uid="{00000000-0005-0000-0000-0000862F0000}"/>
    <cellStyle name="Comma 12 26 3 2 2" xfId="9061" xr:uid="{00000000-0005-0000-0000-0000872F0000}"/>
    <cellStyle name="Comma 12 26 3 2 2 2" xfId="16806" xr:uid="{00000000-0005-0000-0000-0000882F0000}"/>
    <cellStyle name="Comma 12 26 3 2 2 2 2" xfId="32398" xr:uid="{00000000-0005-0000-0000-0000892F0000}"/>
    <cellStyle name="Comma 12 26 3 2 2 2 3" xfId="47890" xr:uid="{00000000-0005-0000-0000-00008A2F0000}"/>
    <cellStyle name="Comma 12 26 3 2 2 3" xfId="24658" xr:uid="{00000000-0005-0000-0000-00008B2F0000}"/>
    <cellStyle name="Comma 12 26 3 2 2 4" xfId="40150" xr:uid="{00000000-0005-0000-0000-00008C2F0000}"/>
    <cellStyle name="Comma 12 26 3 2 3" xfId="12936" xr:uid="{00000000-0005-0000-0000-00008D2F0000}"/>
    <cellStyle name="Comma 12 26 3 2 3 2" xfId="28528" xr:uid="{00000000-0005-0000-0000-00008E2F0000}"/>
    <cellStyle name="Comma 12 26 3 2 3 3" xfId="44020" xr:uid="{00000000-0005-0000-0000-00008F2F0000}"/>
    <cellStyle name="Comma 12 26 3 2 4" xfId="20788" xr:uid="{00000000-0005-0000-0000-0000902F0000}"/>
    <cellStyle name="Comma 12 26 3 2 5" xfId="36280" xr:uid="{00000000-0005-0000-0000-0000912F0000}"/>
    <cellStyle name="Comma 12 26 3 3" xfId="7134" xr:uid="{00000000-0005-0000-0000-0000922F0000}"/>
    <cellStyle name="Comma 12 26 3 3 2" xfId="14879" xr:uid="{00000000-0005-0000-0000-0000932F0000}"/>
    <cellStyle name="Comma 12 26 3 3 2 2" xfId="30471" xr:uid="{00000000-0005-0000-0000-0000942F0000}"/>
    <cellStyle name="Comma 12 26 3 3 2 3" xfId="45963" xr:uid="{00000000-0005-0000-0000-0000952F0000}"/>
    <cellStyle name="Comma 12 26 3 3 3" xfId="22731" xr:uid="{00000000-0005-0000-0000-0000962F0000}"/>
    <cellStyle name="Comma 12 26 3 3 4" xfId="38223" xr:uid="{00000000-0005-0000-0000-0000972F0000}"/>
    <cellStyle name="Comma 12 26 3 4" xfId="11009" xr:uid="{00000000-0005-0000-0000-0000982F0000}"/>
    <cellStyle name="Comma 12 26 3 4 2" xfId="26601" xr:uid="{00000000-0005-0000-0000-0000992F0000}"/>
    <cellStyle name="Comma 12 26 3 4 3" xfId="42093" xr:uid="{00000000-0005-0000-0000-00009A2F0000}"/>
    <cellStyle name="Comma 12 26 3 5" xfId="18861" xr:uid="{00000000-0005-0000-0000-00009B2F0000}"/>
    <cellStyle name="Comma 12 26 3 6" xfId="34353" xr:uid="{00000000-0005-0000-0000-00009C2F0000}"/>
    <cellStyle name="Comma 12 26 4" xfId="4242" xr:uid="{00000000-0005-0000-0000-00009D2F0000}"/>
    <cellStyle name="Comma 12 26 4 2" xfId="8113" xr:uid="{00000000-0005-0000-0000-00009E2F0000}"/>
    <cellStyle name="Comma 12 26 4 2 2" xfId="15858" xr:uid="{00000000-0005-0000-0000-00009F2F0000}"/>
    <cellStyle name="Comma 12 26 4 2 2 2" xfId="31450" xr:uid="{00000000-0005-0000-0000-0000A02F0000}"/>
    <cellStyle name="Comma 12 26 4 2 2 3" xfId="46942" xr:uid="{00000000-0005-0000-0000-0000A12F0000}"/>
    <cellStyle name="Comma 12 26 4 2 3" xfId="23710" xr:uid="{00000000-0005-0000-0000-0000A22F0000}"/>
    <cellStyle name="Comma 12 26 4 2 4" xfId="39202" xr:uid="{00000000-0005-0000-0000-0000A32F0000}"/>
    <cellStyle name="Comma 12 26 4 3" xfId="11988" xr:uid="{00000000-0005-0000-0000-0000A42F0000}"/>
    <cellStyle name="Comma 12 26 4 3 2" xfId="27580" xr:uid="{00000000-0005-0000-0000-0000A52F0000}"/>
    <cellStyle name="Comma 12 26 4 3 3" xfId="43072" xr:uid="{00000000-0005-0000-0000-0000A62F0000}"/>
    <cellStyle name="Comma 12 26 4 4" xfId="19840" xr:uid="{00000000-0005-0000-0000-0000A72F0000}"/>
    <cellStyle name="Comma 12 26 4 5" xfId="35332" xr:uid="{00000000-0005-0000-0000-0000A82F0000}"/>
    <cellStyle name="Comma 12 26 5" xfId="6186" xr:uid="{00000000-0005-0000-0000-0000A92F0000}"/>
    <cellStyle name="Comma 12 26 5 2" xfId="13931" xr:uid="{00000000-0005-0000-0000-0000AA2F0000}"/>
    <cellStyle name="Comma 12 26 5 2 2" xfId="29523" xr:uid="{00000000-0005-0000-0000-0000AB2F0000}"/>
    <cellStyle name="Comma 12 26 5 2 3" xfId="45015" xr:uid="{00000000-0005-0000-0000-0000AC2F0000}"/>
    <cellStyle name="Comma 12 26 5 3" xfId="21783" xr:uid="{00000000-0005-0000-0000-0000AD2F0000}"/>
    <cellStyle name="Comma 12 26 5 4" xfId="37275" xr:uid="{00000000-0005-0000-0000-0000AE2F0000}"/>
    <cellStyle name="Comma 12 26 6" xfId="10061" xr:uid="{00000000-0005-0000-0000-0000AF2F0000}"/>
    <cellStyle name="Comma 12 26 6 2" xfId="25653" xr:uid="{00000000-0005-0000-0000-0000B02F0000}"/>
    <cellStyle name="Comma 12 26 6 3" xfId="41145" xr:uid="{00000000-0005-0000-0000-0000B12F0000}"/>
    <cellStyle name="Comma 12 26 7" xfId="17913" xr:uid="{00000000-0005-0000-0000-0000B22F0000}"/>
    <cellStyle name="Comma 12 26 8" xfId="33405" xr:uid="{00000000-0005-0000-0000-0000B32F0000}"/>
    <cellStyle name="Comma 12 27" xfId="2272" xr:uid="{00000000-0005-0000-0000-0000B42F0000}"/>
    <cellStyle name="Comma 12 27 2" xfId="2588" xr:uid="{00000000-0005-0000-0000-0000B52F0000}"/>
    <cellStyle name="Comma 12 27 2 2" xfId="3596" xr:uid="{00000000-0005-0000-0000-0000B62F0000}"/>
    <cellStyle name="Comma 12 27 2 2 2" xfId="5535" xr:uid="{00000000-0005-0000-0000-0000B72F0000}"/>
    <cellStyle name="Comma 12 27 2 2 2 2" xfId="9406" xr:uid="{00000000-0005-0000-0000-0000B82F0000}"/>
    <cellStyle name="Comma 12 27 2 2 2 2 2" xfId="17151" xr:uid="{00000000-0005-0000-0000-0000B92F0000}"/>
    <cellStyle name="Comma 12 27 2 2 2 2 2 2" xfId="32743" xr:uid="{00000000-0005-0000-0000-0000BA2F0000}"/>
    <cellStyle name="Comma 12 27 2 2 2 2 2 3" xfId="48235" xr:uid="{00000000-0005-0000-0000-0000BB2F0000}"/>
    <cellStyle name="Comma 12 27 2 2 2 2 3" xfId="25003" xr:uid="{00000000-0005-0000-0000-0000BC2F0000}"/>
    <cellStyle name="Comma 12 27 2 2 2 2 4" xfId="40495" xr:uid="{00000000-0005-0000-0000-0000BD2F0000}"/>
    <cellStyle name="Comma 12 27 2 2 2 3" xfId="13281" xr:uid="{00000000-0005-0000-0000-0000BE2F0000}"/>
    <cellStyle name="Comma 12 27 2 2 2 3 2" xfId="28873" xr:uid="{00000000-0005-0000-0000-0000BF2F0000}"/>
    <cellStyle name="Comma 12 27 2 2 2 3 3" xfId="44365" xr:uid="{00000000-0005-0000-0000-0000C02F0000}"/>
    <cellStyle name="Comma 12 27 2 2 2 4" xfId="21133" xr:uid="{00000000-0005-0000-0000-0000C12F0000}"/>
    <cellStyle name="Comma 12 27 2 2 2 5" xfId="36625" xr:uid="{00000000-0005-0000-0000-0000C22F0000}"/>
    <cellStyle name="Comma 12 27 2 2 3" xfId="7479" xr:uid="{00000000-0005-0000-0000-0000C32F0000}"/>
    <cellStyle name="Comma 12 27 2 2 3 2" xfId="15224" xr:uid="{00000000-0005-0000-0000-0000C42F0000}"/>
    <cellStyle name="Comma 12 27 2 2 3 2 2" xfId="30816" xr:uid="{00000000-0005-0000-0000-0000C52F0000}"/>
    <cellStyle name="Comma 12 27 2 2 3 2 3" xfId="46308" xr:uid="{00000000-0005-0000-0000-0000C62F0000}"/>
    <cellStyle name="Comma 12 27 2 2 3 3" xfId="23076" xr:uid="{00000000-0005-0000-0000-0000C72F0000}"/>
    <cellStyle name="Comma 12 27 2 2 3 4" xfId="38568" xr:uid="{00000000-0005-0000-0000-0000C82F0000}"/>
    <cellStyle name="Comma 12 27 2 2 4" xfId="11354" xr:uid="{00000000-0005-0000-0000-0000C92F0000}"/>
    <cellStyle name="Comma 12 27 2 2 4 2" xfId="26946" xr:uid="{00000000-0005-0000-0000-0000CA2F0000}"/>
    <cellStyle name="Comma 12 27 2 2 4 3" xfId="42438" xr:uid="{00000000-0005-0000-0000-0000CB2F0000}"/>
    <cellStyle name="Comma 12 27 2 2 5" xfId="19206" xr:uid="{00000000-0005-0000-0000-0000CC2F0000}"/>
    <cellStyle name="Comma 12 27 2 2 6" xfId="34698" xr:uid="{00000000-0005-0000-0000-0000CD2F0000}"/>
    <cellStyle name="Comma 12 27 2 3" xfId="4587" xr:uid="{00000000-0005-0000-0000-0000CE2F0000}"/>
    <cellStyle name="Comma 12 27 2 3 2" xfId="8458" xr:uid="{00000000-0005-0000-0000-0000CF2F0000}"/>
    <cellStyle name="Comma 12 27 2 3 2 2" xfId="16203" xr:uid="{00000000-0005-0000-0000-0000D02F0000}"/>
    <cellStyle name="Comma 12 27 2 3 2 2 2" xfId="31795" xr:uid="{00000000-0005-0000-0000-0000D12F0000}"/>
    <cellStyle name="Comma 12 27 2 3 2 2 3" xfId="47287" xr:uid="{00000000-0005-0000-0000-0000D22F0000}"/>
    <cellStyle name="Comma 12 27 2 3 2 3" xfId="24055" xr:uid="{00000000-0005-0000-0000-0000D32F0000}"/>
    <cellStyle name="Comma 12 27 2 3 2 4" xfId="39547" xr:uid="{00000000-0005-0000-0000-0000D42F0000}"/>
    <cellStyle name="Comma 12 27 2 3 3" xfId="12333" xr:uid="{00000000-0005-0000-0000-0000D52F0000}"/>
    <cellStyle name="Comma 12 27 2 3 3 2" xfId="27925" xr:uid="{00000000-0005-0000-0000-0000D62F0000}"/>
    <cellStyle name="Comma 12 27 2 3 3 3" xfId="43417" xr:uid="{00000000-0005-0000-0000-0000D72F0000}"/>
    <cellStyle name="Comma 12 27 2 3 4" xfId="20185" xr:uid="{00000000-0005-0000-0000-0000D82F0000}"/>
    <cellStyle name="Comma 12 27 2 3 5" xfId="35677" xr:uid="{00000000-0005-0000-0000-0000D92F0000}"/>
    <cellStyle name="Comma 12 27 2 4" xfId="6531" xr:uid="{00000000-0005-0000-0000-0000DA2F0000}"/>
    <cellStyle name="Comma 12 27 2 4 2" xfId="14276" xr:uid="{00000000-0005-0000-0000-0000DB2F0000}"/>
    <cellStyle name="Comma 12 27 2 4 2 2" xfId="29868" xr:uid="{00000000-0005-0000-0000-0000DC2F0000}"/>
    <cellStyle name="Comma 12 27 2 4 2 3" xfId="45360" xr:uid="{00000000-0005-0000-0000-0000DD2F0000}"/>
    <cellStyle name="Comma 12 27 2 4 3" xfId="22128" xr:uid="{00000000-0005-0000-0000-0000DE2F0000}"/>
    <cellStyle name="Comma 12 27 2 4 4" xfId="37620" xr:uid="{00000000-0005-0000-0000-0000DF2F0000}"/>
    <cellStyle name="Comma 12 27 2 5" xfId="10406" xr:uid="{00000000-0005-0000-0000-0000E02F0000}"/>
    <cellStyle name="Comma 12 27 2 5 2" xfId="25998" xr:uid="{00000000-0005-0000-0000-0000E12F0000}"/>
    <cellStyle name="Comma 12 27 2 5 3" xfId="41490" xr:uid="{00000000-0005-0000-0000-0000E22F0000}"/>
    <cellStyle name="Comma 12 27 2 6" xfId="18258" xr:uid="{00000000-0005-0000-0000-0000E32F0000}"/>
    <cellStyle name="Comma 12 27 2 7" xfId="33750" xr:uid="{00000000-0005-0000-0000-0000E42F0000}"/>
    <cellStyle name="Comma 12 27 3" xfId="3287" xr:uid="{00000000-0005-0000-0000-0000E52F0000}"/>
    <cellStyle name="Comma 12 27 3 2" xfId="5226" xr:uid="{00000000-0005-0000-0000-0000E62F0000}"/>
    <cellStyle name="Comma 12 27 3 2 2" xfId="9097" xr:uid="{00000000-0005-0000-0000-0000E72F0000}"/>
    <cellStyle name="Comma 12 27 3 2 2 2" xfId="16842" xr:uid="{00000000-0005-0000-0000-0000E82F0000}"/>
    <cellStyle name="Comma 12 27 3 2 2 2 2" xfId="32434" xr:uid="{00000000-0005-0000-0000-0000E92F0000}"/>
    <cellStyle name="Comma 12 27 3 2 2 2 3" xfId="47926" xr:uid="{00000000-0005-0000-0000-0000EA2F0000}"/>
    <cellStyle name="Comma 12 27 3 2 2 3" xfId="24694" xr:uid="{00000000-0005-0000-0000-0000EB2F0000}"/>
    <cellStyle name="Comma 12 27 3 2 2 4" xfId="40186" xr:uid="{00000000-0005-0000-0000-0000EC2F0000}"/>
    <cellStyle name="Comma 12 27 3 2 3" xfId="12972" xr:uid="{00000000-0005-0000-0000-0000ED2F0000}"/>
    <cellStyle name="Comma 12 27 3 2 3 2" xfId="28564" xr:uid="{00000000-0005-0000-0000-0000EE2F0000}"/>
    <cellStyle name="Comma 12 27 3 2 3 3" xfId="44056" xr:uid="{00000000-0005-0000-0000-0000EF2F0000}"/>
    <cellStyle name="Comma 12 27 3 2 4" xfId="20824" xr:uid="{00000000-0005-0000-0000-0000F02F0000}"/>
    <cellStyle name="Comma 12 27 3 2 5" xfId="36316" xr:uid="{00000000-0005-0000-0000-0000F12F0000}"/>
    <cellStyle name="Comma 12 27 3 3" xfId="7170" xr:uid="{00000000-0005-0000-0000-0000F22F0000}"/>
    <cellStyle name="Comma 12 27 3 3 2" xfId="14915" xr:uid="{00000000-0005-0000-0000-0000F32F0000}"/>
    <cellStyle name="Comma 12 27 3 3 2 2" xfId="30507" xr:uid="{00000000-0005-0000-0000-0000F42F0000}"/>
    <cellStyle name="Comma 12 27 3 3 2 3" xfId="45999" xr:uid="{00000000-0005-0000-0000-0000F52F0000}"/>
    <cellStyle name="Comma 12 27 3 3 3" xfId="22767" xr:uid="{00000000-0005-0000-0000-0000F62F0000}"/>
    <cellStyle name="Comma 12 27 3 3 4" xfId="38259" xr:uid="{00000000-0005-0000-0000-0000F72F0000}"/>
    <cellStyle name="Comma 12 27 3 4" xfId="11045" xr:uid="{00000000-0005-0000-0000-0000F82F0000}"/>
    <cellStyle name="Comma 12 27 3 4 2" xfId="26637" xr:uid="{00000000-0005-0000-0000-0000F92F0000}"/>
    <cellStyle name="Comma 12 27 3 4 3" xfId="42129" xr:uid="{00000000-0005-0000-0000-0000FA2F0000}"/>
    <cellStyle name="Comma 12 27 3 5" xfId="18897" xr:uid="{00000000-0005-0000-0000-0000FB2F0000}"/>
    <cellStyle name="Comma 12 27 3 6" xfId="34389" xr:uid="{00000000-0005-0000-0000-0000FC2F0000}"/>
    <cellStyle name="Comma 12 27 4" xfId="4278" xr:uid="{00000000-0005-0000-0000-0000FD2F0000}"/>
    <cellStyle name="Comma 12 27 4 2" xfId="8149" xr:uid="{00000000-0005-0000-0000-0000FE2F0000}"/>
    <cellStyle name="Comma 12 27 4 2 2" xfId="15894" xr:uid="{00000000-0005-0000-0000-0000FF2F0000}"/>
    <cellStyle name="Comma 12 27 4 2 2 2" xfId="31486" xr:uid="{00000000-0005-0000-0000-000000300000}"/>
    <cellStyle name="Comma 12 27 4 2 2 3" xfId="46978" xr:uid="{00000000-0005-0000-0000-000001300000}"/>
    <cellStyle name="Comma 12 27 4 2 3" xfId="23746" xr:uid="{00000000-0005-0000-0000-000002300000}"/>
    <cellStyle name="Comma 12 27 4 2 4" xfId="39238" xr:uid="{00000000-0005-0000-0000-000003300000}"/>
    <cellStyle name="Comma 12 27 4 3" xfId="12024" xr:uid="{00000000-0005-0000-0000-000004300000}"/>
    <cellStyle name="Comma 12 27 4 3 2" xfId="27616" xr:uid="{00000000-0005-0000-0000-000005300000}"/>
    <cellStyle name="Comma 12 27 4 3 3" xfId="43108" xr:uid="{00000000-0005-0000-0000-000006300000}"/>
    <cellStyle name="Comma 12 27 4 4" xfId="19876" xr:uid="{00000000-0005-0000-0000-000007300000}"/>
    <cellStyle name="Comma 12 27 4 5" xfId="35368" xr:uid="{00000000-0005-0000-0000-000008300000}"/>
    <cellStyle name="Comma 12 27 5" xfId="6222" xr:uid="{00000000-0005-0000-0000-000009300000}"/>
    <cellStyle name="Comma 12 27 5 2" xfId="13967" xr:uid="{00000000-0005-0000-0000-00000A300000}"/>
    <cellStyle name="Comma 12 27 5 2 2" xfId="29559" xr:uid="{00000000-0005-0000-0000-00000B300000}"/>
    <cellStyle name="Comma 12 27 5 2 3" xfId="45051" xr:uid="{00000000-0005-0000-0000-00000C300000}"/>
    <cellStyle name="Comma 12 27 5 3" xfId="21819" xr:uid="{00000000-0005-0000-0000-00000D300000}"/>
    <cellStyle name="Comma 12 27 5 4" xfId="37311" xr:uid="{00000000-0005-0000-0000-00000E300000}"/>
    <cellStyle name="Comma 12 27 6" xfId="10097" xr:uid="{00000000-0005-0000-0000-00000F300000}"/>
    <cellStyle name="Comma 12 27 6 2" xfId="25689" xr:uid="{00000000-0005-0000-0000-000010300000}"/>
    <cellStyle name="Comma 12 27 6 3" xfId="41181" xr:uid="{00000000-0005-0000-0000-000011300000}"/>
    <cellStyle name="Comma 12 27 7" xfId="17949" xr:uid="{00000000-0005-0000-0000-000012300000}"/>
    <cellStyle name="Comma 12 27 8" xfId="33441" xr:uid="{00000000-0005-0000-0000-000013300000}"/>
    <cellStyle name="Comma 12 28" xfId="2309" xr:uid="{00000000-0005-0000-0000-000014300000}"/>
    <cellStyle name="Comma 12 28 2" xfId="2624" xr:uid="{00000000-0005-0000-0000-000015300000}"/>
    <cellStyle name="Comma 12 28 2 2" xfId="3632" xr:uid="{00000000-0005-0000-0000-000016300000}"/>
    <cellStyle name="Comma 12 28 2 2 2" xfId="5571" xr:uid="{00000000-0005-0000-0000-000017300000}"/>
    <cellStyle name="Comma 12 28 2 2 2 2" xfId="9442" xr:uid="{00000000-0005-0000-0000-000018300000}"/>
    <cellStyle name="Comma 12 28 2 2 2 2 2" xfId="17187" xr:uid="{00000000-0005-0000-0000-000019300000}"/>
    <cellStyle name="Comma 12 28 2 2 2 2 2 2" xfId="32779" xr:uid="{00000000-0005-0000-0000-00001A300000}"/>
    <cellStyle name="Comma 12 28 2 2 2 2 2 3" xfId="48271" xr:uid="{00000000-0005-0000-0000-00001B300000}"/>
    <cellStyle name="Comma 12 28 2 2 2 2 3" xfId="25039" xr:uid="{00000000-0005-0000-0000-00001C300000}"/>
    <cellStyle name="Comma 12 28 2 2 2 2 4" xfId="40531" xr:uid="{00000000-0005-0000-0000-00001D300000}"/>
    <cellStyle name="Comma 12 28 2 2 2 3" xfId="13317" xr:uid="{00000000-0005-0000-0000-00001E300000}"/>
    <cellStyle name="Comma 12 28 2 2 2 3 2" xfId="28909" xr:uid="{00000000-0005-0000-0000-00001F300000}"/>
    <cellStyle name="Comma 12 28 2 2 2 3 3" xfId="44401" xr:uid="{00000000-0005-0000-0000-000020300000}"/>
    <cellStyle name="Comma 12 28 2 2 2 4" xfId="21169" xr:uid="{00000000-0005-0000-0000-000021300000}"/>
    <cellStyle name="Comma 12 28 2 2 2 5" xfId="36661" xr:uid="{00000000-0005-0000-0000-000022300000}"/>
    <cellStyle name="Comma 12 28 2 2 3" xfId="7515" xr:uid="{00000000-0005-0000-0000-000023300000}"/>
    <cellStyle name="Comma 12 28 2 2 3 2" xfId="15260" xr:uid="{00000000-0005-0000-0000-000024300000}"/>
    <cellStyle name="Comma 12 28 2 2 3 2 2" xfId="30852" xr:uid="{00000000-0005-0000-0000-000025300000}"/>
    <cellStyle name="Comma 12 28 2 2 3 2 3" xfId="46344" xr:uid="{00000000-0005-0000-0000-000026300000}"/>
    <cellStyle name="Comma 12 28 2 2 3 3" xfId="23112" xr:uid="{00000000-0005-0000-0000-000027300000}"/>
    <cellStyle name="Comma 12 28 2 2 3 4" xfId="38604" xr:uid="{00000000-0005-0000-0000-000028300000}"/>
    <cellStyle name="Comma 12 28 2 2 4" xfId="11390" xr:uid="{00000000-0005-0000-0000-000029300000}"/>
    <cellStyle name="Comma 12 28 2 2 4 2" xfId="26982" xr:uid="{00000000-0005-0000-0000-00002A300000}"/>
    <cellStyle name="Comma 12 28 2 2 4 3" xfId="42474" xr:uid="{00000000-0005-0000-0000-00002B300000}"/>
    <cellStyle name="Comma 12 28 2 2 5" xfId="19242" xr:uid="{00000000-0005-0000-0000-00002C300000}"/>
    <cellStyle name="Comma 12 28 2 2 6" xfId="34734" xr:uid="{00000000-0005-0000-0000-00002D300000}"/>
    <cellStyle name="Comma 12 28 2 3" xfId="4623" xr:uid="{00000000-0005-0000-0000-00002E300000}"/>
    <cellStyle name="Comma 12 28 2 3 2" xfId="8494" xr:uid="{00000000-0005-0000-0000-00002F300000}"/>
    <cellStyle name="Comma 12 28 2 3 2 2" xfId="16239" xr:uid="{00000000-0005-0000-0000-000030300000}"/>
    <cellStyle name="Comma 12 28 2 3 2 2 2" xfId="31831" xr:uid="{00000000-0005-0000-0000-000031300000}"/>
    <cellStyle name="Comma 12 28 2 3 2 2 3" xfId="47323" xr:uid="{00000000-0005-0000-0000-000032300000}"/>
    <cellStyle name="Comma 12 28 2 3 2 3" xfId="24091" xr:uid="{00000000-0005-0000-0000-000033300000}"/>
    <cellStyle name="Comma 12 28 2 3 2 4" xfId="39583" xr:uid="{00000000-0005-0000-0000-000034300000}"/>
    <cellStyle name="Comma 12 28 2 3 3" xfId="12369" xr:uid="{00000000-0005-0000-0000-000035300000}"/>
    <cellStyle name="Comma 12 28 2 3 3 2" xfId="27961" xr:uid="{00000000-0005-0000-0000-000036300000}"/>
    <cellStyle name="Comma 12 28 2 3 3 3" xfId="43453" xr:uid="{00000000-0005-0000-0000-000037300000}"/>
    <cellStyle name="Comma 12 28 2 3 4" xfId="20221" xr:uid="{00000000-0005-0000-0000-000038300000}"/>
    <cellStyle name="Comma 12 28 2 3 5" xfId="35713" xr:uid="{00000000-0005-0000-0000-000039300000}"/>
    <cellStyle name="Comma 12 28 2 4" xfId="6567" xr:uid="{00000000-0005-0000-0000-00003A300000}"/>
    <cellStyle name="Comma 12 28 2 4 2" xfId="14312" xr:uid="{00000000-0005-0000-0000-00003B300000}"/>
    <cellStyle name="Comma 12 28 2 4 2 2" xfId="29904" xr:uid="{00000000-0005-0000-0000-00003C300000}"/>
    <cellStyle name="Comma 12 28 2 4 2 3" xfId="45396" xr:uid="{00000000-0005-0000-0000-00003D300000}"/>
    <cellStyle name="Comma 12 28 2 4 3" xfId="22164" xr:uid="{00000000-0005-0000-0000-00003E300000}"/>
    <cellStyle name="Comma 12 28 2 4 4" xfId="37656" xr:uid="{00000000-0005-0000-0000-00003F300000}"/>
    <cellStyle name="Comma 12 28 2 5" xfId="10442" xr:uid="{00000000-0005-0000-0000-000040300000}"/>
    <cellStyle name="Comma 12 28 2 5 2" xfId="26034" xr:uid="{00000000-0005-0000-0000-000041300000}"/>
    <cellStyle name="Comma 12 28 2 5 3" xfId="41526" xr:uid="{00000000-0005-0000-0000-000042300000}"/>
    <cellStyle name="Comma 12 28 2 6" xfId="18294" xr:uid="{00000000-0005-0000-0000-000043300000}"/>
    <cellStyle name="Comma 12 28 2 7" xfId="33786" xr:uid="{00000000-0005-0000-0000-000044300000}"/>
    <cellStyle name="Comma 12 28 3" xfId="3323" xr:uid="{00000000-0005-0000-0000-000045300000}"/>
    <cellStyle name="Comma 12 28 3 2" xfId="5262" xr:uid="{00000000-0005-0000-0000-000046300000}"/>
    <cellStyle name="Comma 12 28 3 2 2" xfId="9133" xr:uid="{00000000-0005-0000-0000-000047300000}"/>
    <cellStyle name="Comma 12 28 3 2 2 2" xfId="16878" xr:uid="{00000000-0005-0000-0000-000048300000}"/>
    <cellStyle name="Comma 12 28 3 2 2 2 2" xfId="32470" xr:uid="{00000000-0005-0000-0000-000049300000}"/>
    <cellStyle name="Comma 12 28 3 2 2 2 3" xfId="47962" xr:uid="{00000000-0005-0000-0000-00004A300000}"/>
    <cellStyle name="Comma 12 28 3 2 2 3" xfId="24730" xr:uid="{00000000-0005-0000-0000-00004B300000}"/>
    <cellStyle name="Comma 12 28 3 2 2 4" xfId="40222" xr:uid="{00000000-0005-0000-0000-00004C300000}"/>
    <cellStyle name="Comma 12 28 3 2 3" xfId="13008" xr:uid="{00000000-0005-0000-0000-00004D300000}"/>
    <cellStyle name="Comma 12 28 3 2 3 2" xfId="28600" xr:uid="{00000000-0005-0000-0000-00004E300000}"/>
    <cellStyle name="Comma 12 28 3 2 3 3" xfId="44092" xr:uid="{00000000-0005-0000-0000-00004F300000}"/>
    <cellStyle name="Comma 12 28 3 2 4" xfId="20860" xr:uid="{00000000-0005-0000-0000-000050300000}"/>
    <cellStyle name="Comma 12 28 3 2 5" xfId="36352" xr:uid="{00000000-0005-0000-0000-000051300000}"/>
    <cellStyle name="Comma 12 28 3 3" xfId="7206" xr:uid="{00000000-0005-0000-0000-000052300000}"/>
    <cellStyle name="Comma 12 28 3 3 2" xfId="14951" xr:uid="{00000000-0005-0000-0000-000053300000}"/>
    <cellStyle name="Comma 12 28 3 3 2 2" xfId="30543" xr:uid="{00000000-0005-0000-0000-000054300000}"/>
    <cellStyle name="Comma 12 28 3 3 2 3" xfId="46035" xr:uid="{00000000-0005-0000-0000-000055300000}"/>
    <cellStyle name="Comma 12 28 3 3 3" xfId="22803" xr:uid="{00000000-0005-0000-0000-000056300000}"/>
    <cellStyle name="Comma 12 28 3 3 4" xfId="38295" xr:uid="{00000000-0005-0000-0000-000057300000}"/>
    <cellStyle name="Comma 12 28 3 4" xfId="11081" xr:uid="{00000000-0005-0000-0000-000058300000}"/>
    <cellStyle name="Comma 12 28 3 4 2" xfId="26673" xr:uid="{00000000-0005-0000-0000-000059300000}"/>
    <cellStyle name="Comma 12 28 3 4 3" xfId="42165" xr:uid="{00000000-0005-0000-0000-00005A300000}"/>
    <cellStyle name="Comma 12 28 3 5" xfId="18933" xr:uid="{00000000-0005-0000-0000-00005B300000}"/>
    <cellStyle name="Comma 12 28 3 6" xfId="34425" xr:uid="{00000000-0005-0000-0000-00005C300000}"/>
    <cellStyle name="Comma 12 28 4" xfId="4314" xr:uid="{00000000-0005-0000-0000-00005D300000}"/>
    <cellStyle name="Comma 12 28 4 2" xfId="8185" xr:uid="{00000000-0005-0000-0000-00005E300000}"/>
    <cellStyle name="Comma 12 28 4 2 2" xfId="15930" xr:uid="{00000000-0005-0000-0000-00005F300000}"/>
    <cellStyle name="Comma 12 28 4 2 2 2" xfId="31522" xr:uid="{00000000-0005-0000-0000-000060300000}"/>
    <cellStyle name="Comma 12 28 4 2 2 3" xfId="47014" xr:uid="{00000000-0005-0000-0000-000061300000}"/>
    <cellStyle name="Comma 12 28 4 2 3" xfId="23782" xr:uid="{00000000-0005-0000-0000-000062300000}"/>
    <cellStyle name="Comma 12 28 4 2 4" xfId="39274" xr:uid="{00000000-0005-0000-0000-000063300000}"/>
    <cellStyle name="Comma 12 28 4 3" xfId="12060" xr:uid="{00000000-0005-0000-0000-000064300000}"/>
    <cellStyle name="Comma 12 28 4 3 2" xfId="27652" xr:uid="{00000000-0005-0000-0000-000065300000}"/>
    <cellStyle name="Comma 12 28 4 3 3" xfId="43144" xr:uid="{00000000-0005-0000-0000-000066300000}"/>
    <cellStyle name="Comma 12 28 4 4" xfId="19912" xr:uid="{00000000-0005-0000-0000-000067300000}"/>
    <cellStyle name="Comma 12 28 4 5" xfId="35404" xr:uid="{00000000-0005-0000-0000-000068300000}"/>
    <cellStyle name="Comma 12 28 5" xfId="6258" xr:uid="{00000000-0005-0000-0000-000069300000}"/>
    <cellStyle name="Comma 12 28 5 2" xfId="14003" xr:uid="{00000000-0005-0000-0000-00006A300000}"/>
    <cellStyle name="Comma 12 28 5 2 2" xfId="29595" xr:uid="{00000000-0005-0000-0000-00006B300000}"/>
    <cellStyle name="Comma 12 28 5 2 3" xfId="45087" xr:uid="{00000000-0005-0000-0000-00006C300000}"/>
    <cellStyle name="Comma 12 28 5 3" xfId="21855" xr:uid="{00000000-0005-0000-0000-00006D300000}"/>
    <cellStyle name="Comma 12 28 5 4" xfId="37347" xr:uid="{00000000-0005-0000-0000-00006E300000}"/>
    <cellStyle name="Comma 12 28 6" xfId="10133" xr:uid="{00000000-0005-0000-0000-00006F300000}"/>
    <cellStyle name="Comma 12 28 6 2" xfId="25725" xr:uid="{00000000-0005-0000-0000-000070300000}"/>
    <cellStyle name="Comma 12 28 6 3" xfId="41217" xr:uid="{00000000-0005-0000-0000-000071300000}"/>
    <cellStyle name="Comma 12 28 7" xfId="17985" xr:uid="{00000000-0005-0000-0000-000072300000}"/>
    <cellStyle name="Comma 12 28 8" xfId="33477" xr:uid="{00000000-0005-0000-0000-000073300000}"/>
    <cellStyle name="Comma 12 29" xfId="2347" xr:uid="{00000000-0005-0000-0000-000074300000}"/>
    <cellStyle name="Comma 12 29 2" xfId="2660" xr:uid="{00000000-0005-0000-0000-000075300000}"/>
    <cellStyle name="Comma 12 29 2 2" xfId="3668" xr:uid="{00000000-0005-0000-0000-000076300000}"/>
    <cellStyle name="Comma 12 29 2 2 2" xfId="5607" xr:uid="{00000000-0005-0000-0000-000077300000}"/>
    <cellStyle name="Comma 12 29 2 2 2 2" xfId="9478" xr:uid="{00000000-0005-0000-0000-000078300000}"/>
    <cellStyle name="Comma 12 29 2 2 2 2 2" xfId="17223" xr:uid="{00000000-0005-0000-0000-000079300000}"/>
    <cellStyle name="Comma 12 29 2 2 2 2 2 2" xfId="32815" xr:uid="{00000000-0005-0000-0000-00007A300000}"/>
    <cellStyle name="Comma 12 29 2 2 2 2 2 3" xfId="48307" xr:uid="{00000000-0005-0000-0000-00007B300000}"/>
    <cellStyle name="Comma 12 29 2 2 2 2 3" xfId="25075" xr:uid="{00000000-0005-0000-0000-00007C300000}"/>
    <cellStyle name="Comma 12 29 2 2 2 2 4" xfId="40567" xr:uid="{00000000-0005-0000-0000-00007D300000}"/>
    <cellStyle name="Comma 12 29 2 2 2 3" xfId="13353" xr:uid="{00000000-0005-0000-0000-00007E300000}"/>
    <cellStyle name="Comma 12 29 2 2 2 3 2" xfId="28945" xr:uid="{00000000-0005-0000-0000-00007F300000}"/>
    <cellStyle name="Comma 12 29 2 2 2 3 3" xfId="44437" xr:uid="{00000000-0005-0000-0000-000080300000}"/>
    <cellStyle name="Comma 12 29 2 2 2 4" xfId="21205" xr:uid="{00000000-0005-0000-0000-000081300000}"/>
    <cellStyle name="Comma 12 29 2 2 2 5" xfId="36697" xr:uid="{00000000-0005-0000-0000-000082300000}"/>
    <cellStyle name="Comma 12 29 2 2 3" xfId="7551" xr:uid="{00000000-0005-0000-0000-000083300000}"/>
    <cellStyle name="Comma 12 29 2 2 3 2" xfId="15296" xr:uid="{00000000-0005-0000-0000-000084300000}"/>
    <cellStyle name="Comma 12 29 2 2 3 2 2" xfId="30888" xr:uid="{00000000-0005-0000-0000-000085300000}"/>
    <cellStyle name="Comma 12 29 2 2 3 2 3" xfId="46380" xr:uid="{00000000-0005-0000-0000-000086300000}"/>
    <cellStyle name="Comma 12 29 2 2 3 3" xfId="23148" xr:uid="{00000000-0005-0000-0000-000087300000}"/>
    <cellStyle name="Comma 12 29 2 2 3 4" xfId="38640" xr:uid="{00000000-0005-0000-0000-000088300000}"/>
    <cellStyle name="Comma 12 29 2 2 4" xfId="11426" xr:uid="{00000000-0005-0000-0000-000089300000}"/>
    <cellStyle name="Comma 12 29 2 2 4 2" xfId="27018" xr:uid="{00000000-0005-0000-0000-00008A300000}"/>
    <cellStyle name="Comma 12 29 2 2 4 3" xfId="42510" xr:uid="{00000000-0005-0000-0000-00008B300000}"/>
    <cellStyle name="Comma 12 29 2 2 5" xfId="19278" xr:uid="{00000000-0005-0000-0000-00008C300000}"/>
    <cellStyle name="Comma 12 29 2 2 6" xfId="34770" xr:uid="{00000000-0005-0000-0000-00008D300000}"/>
    <cellStyle name="Comma 12 29 2 3" xfId="4659" xr:uid="{00000000-0005-0000-0000-00008E300000}"/>
    <cellStyle name="Comma 12 29 2 3 2" xfId="8530" xr:uid="{00000000-0005-0000-0000-00008F300000}"/>
    <cellStyle name="Comma 12 29 2 3 2 2" xfId="16275" xr:uid="{00000000-0005-0000-0000-000090300000}"/>
    <cellStyle name="Comma 12 29 2 3 2 2 2" xfId="31867" xr:uid="{00000000-0005-0000-0000-000091300000}"/>
    <cellStyle name="Comma 12 29 2 3 2 2 3" xfId="47359" xr:uid="{00000000-0005-0000-0000-000092300000}"/>
    <cellStyle name="Comma 12 29 2 3 2 3" xfId="24127" xr:uid="{00000000-0005-0000-0000-000093300000}"/>
    <cellStyle name="Comma 12 29 2 3 2 4" xfId="39619" xr:uid="{00000000-0005-0000-0000-000094300000}"/>
    <cellStyle name="Comma 12 29 2 3 3" xfId="12405" xr:uid="{00000000-0005-0000-0000-000095300000}"/>
    <cellStyle name="Comma 12 29 2 3 3 2" xfId="27997" xr:uid="{00000000-0005-0000-0000-000096300000}"/>
    <cellStyle name="Comma 12 29 2 3 3 3" xfId="43489" xr:uid="{00000000-0005-0000-0000-000097300000}"/>
    <cellStyle name="Comma 12 29 2 3 4" xfId="20257" xr:uid="{00000000-0005-0000-0000-000098300000}"/>
    <cellStyle name="Comma 12 29 2 3 5" xfId="35749" xr:uid="{00000000-0005-0000-0000-000099300000}"/>
    <cellStyle name="Comma 12 29 2 4" xfId="6603" xr:uid="{00000000-0005-0000-0000-00009A300000}"/>
    <cellStyle name="Comma 12 29 2 4 2" xfId="14348" xr:uid="{00000000-0005-0000-0000-00009B300000}"/>
    <cellStyle name="Comma 12 29 2 4 2 2" xfId="29940" xr:uid="{00000000-0005-0000-0000-00009C300000}"/>
    <cellStyle name="Comma 12 29 2 4 2 3" xfId="45432" xr:uid="{00000000-0005-0000-0000-00009D300000}"/>
    <cellStyle name="Comma 12 29 2 4 3" xfId="22200" xr:uid="{00000000-0005-0000-0000-00009E300000}"/>
    <cellStyle name="Comma 12 29 2 4 4" xfId="37692" xr:uid="{00000000-0005-0000-0000-00009F300000}"/>
    <cellStyle name="Comma 12 29 2 5" xfId="10478" xr:uid="{00000000-0005-0000-0000-0000A0300000}"/>
    <cellStyle name="Comma 12 29 2 5 2" xfId="26070" xr:uid="{00000000-0005-0000-0000-0000A1300000}"/>
    <cellStyle name="Comma 12 29 2 5 3" xfId="41562" xr:uid="{00000000-0005-0000-0000-0000A2300000}"/>
    <cellStyle name="Comma 12 29 2 6" xfId="18330" xr:uid="{00000000-0005-0000-0000-0000A3300000}"/>
    <cellStyle name="Comma 12 29 2 7" xfId="33822" xr:uid="{00000000-0005-0000-0000-0000A4300000}"/>
    <cellStyle name="Comma 12 29 3" xfId="3359" xr:uid="{00000000-0005-0000-0000-0000A5300000}"/>
    <cellStyle name="Comma 12 29 3 2" xfId="5298" xr:uid="{00000000-0005-0000-0000-0000A6300000}"/>
    <cellStyle name="Comma 12 29 3 2 2" xfId="9169" xr:uid="{00000000-0005-0000-0000-0000A7300000}"/>
    <cellStyle name="Comma 12 29 3 2 2 2" xfId="16914" xr:uid="{00000000-0005-0000-0000-0000A8300000}"/>
    <cellStyle name="Comma 12 29 3 2 2 2 2" xfId="32506" xr:uid="{00000000-0005-0000-0000-0000A9300000}"/>
    <cellStyle name="Comma 12 29 3 2 2 2 3" xfId="47998" xr:uid="{00000000-0005-0000-0000-0000AA300000}"/>
    <cellStyle name="Comma 12 29 3 2 2 3" xfId="24766" xr:uid="{00000000-0005-0000-0000-0000AB300000}"/>
    <cellStyle name="Comma 12 29 3 2 2 4" xfId="40258" xr:uid="{00000000-0005-0000-0000-0000AC300000}"/>
    <cellStyle name="Comma 12 29 3 2 3" xfId="13044" xr:uid="{00000000-0005-0000-0000-0000AD300000}"/>
    <cellStyle name="Comma 12 29 3 2 3 2" xfId="28636" xr:uid="{00000000-0005-0000-0000-0000AE300000}"/>
    <cellStyle name="Comma 12 29 3 2 3 3" xfId="44128" xr:uid="{00000000-0005-0000-0000-0000AF300000}"/>
    <cellStyle name="Comma 12 29 3 2 4" xfId="20896" xr:uid="{00000000-0005-0000-0000-0000B0300000}"/>
    <cellStyle name="Comma 12 29 3 2 5" xfId="36388" xr:uid="{00000000-0005-0000-0000-0000B1300000}"/>
    <cellStyle name="Comma 12 29 3 3" xfId="7242" xr:uid="{00000000-0005-0000-0000-0000B2300000}"/>
    <cellStyle name="Comma 12 29 3 3 2" xfId="14987" xr:uid="{00000000-0005-0000-0000-0000B3300000}"/>
    <cellStyle name="Comma 12 29 3 3 2 2" xfId="30579" xr:uid="{00000000-0005-0000-0000-0000B4300000}"/>
    <cellStyle name="Comma 12 29 3 3 2 3" xfId="46071" xr:uid="{00000000-0005-0000-0000-0000B5300000}"/>
    <cellStyle name="Comma 12 29 3 3 3" xfId="22839" xr:uid="{00000000-0005-0000-0000-0000B6300000}"/>
    <cellStyle name="Comma 12 29 3 3 4" xfId="38331" xr:uid="{00000000-0005-0000-0000-0000B7300000}"/>
    <cellStyle name="Comma 12 29 3 4" xfId="11117" xr:uid="{00000000-0005-0000-0000-0000B8300000}"/>
    <cellStyle name="Comma 12 29 3 4 2" xfId="26709" xr:uid="{00000000-0005-0000-0000-0000B9300000}"/>
    <cellStyle name="Comma 12 29 3 4 3" xfId="42201" xr:uid="{00000000-0005-0000-0000-0000BA300000}"/>
    <cellStyle name="Comma 12 29 3 5" xfId="18969" xr:uid="{00000000-0005-0000-0000-0000BB300000}"/>
    <cellStyle name="Comma 12 29 3 6" xfId="34461" xr:uid="{00000000-0005-0000-0000-0000BC300000}"/>
    <cellStyle name="Comma 12 29 4" xfId="4350" xr:uid="{00000000-0005-0000-0000-0000BD300000}"/>
    <cellStyle name="Comma 12 29 4 2" xfId="8221" xr:uid="{00000000-0005-0000-0000-0000BE300000}"/>
    <cellStyle name="Comma 12 29 4 2 2" xfId="15966" xr:uid="{00000000-0005-0000-0000-0000BF300000}"/>
    <cellStyle name="Comma 12 29 4 2 2 2" xfId="31558" xr:uid="{00000000-0005-0000-0000-0000C0300000}"/>
    <cellStyle name="Comma 12 29 4 2 2 3" xfId="47050" xr:uid="{00000000-0005-0000-0000-0000C1300000}"/>
    <cellStyle name="Comma 12 29 4 2 3" xfId="23818" xr:uid="{00000000-0005-0000-0000-0000C2300000}"/>
    <cellStyle name="Comma 12 29 4 2 4" xfId="39310" xr:uid="{00000000-0005-0000-0000-0000C3300000}"/>
    <cellStyle name="Comma 12 29 4 3" xfId="12096" xr:uid="{00000000-0005-0000-0000-0000C4300000}"/>
    <cellStyle name="Comma 12 29 4 3 2" xfId="27688" xr:uid="{00000000-0005-0000-0000-0000C5300000}"/>
    <cellStyle name="Comma 12 29 4 3 3" xfId="43180" xr:uid="{00000000-0005-0000-0000-0000C6300000}"/>
    <cellStyle name="Comma 12 29 4 4" xfId="19948" xr:uid="{00000000-0005-0000-0000-0000C7300000}"/>
    <cellStyle name="Comma 12 29 4 5" xfId="35440" xr:uid="{00000000-0005-0000-0000-0000C8300000}"/>
    <cellStyle name="Comma 12 29 5" xfId="6294" xr:uid="{00000000-0005-0000-0000-0000C9300000}"/>
    <cellStyle name="Comma 12 29 5 2" xfId="14039" xr:uid="{00000000-0005-0000-0000-0000CA300000}"/>
    <cellStyle name="Comma 12 29 5 2 2" xfId="29631" xr:uid="{00000000-0005-0000-0000-0000CB300000}"/>
    <cellStyle name="Comma 12 29 5 2 3" xfId="45123" xr:uid="{00000000-0005-0000-0000-0000CC300000}"/>
    <cellStyle name="Comma 12 29 5 3" xfId="21891" xr:uid="{00000000-0005-0000-0000-0000CD300000}"/>
    <cellStyle name="Comma 12 29 5 4" xfId="37383" xr:uid="{00000000-0005-0000-0000-0000CE300000}"/>
    <cellStyle name="Comma 12 29 6" xfId="10169" xr:uid="{00000000-0005-0000-0000-0000CF300000}"/>
    <cellStyle name="Comma 12 29 6 2" xfId="25761" xr:uid="{00000000-0005-0000-0000-0000D0300000}"/>
    <cellStyle name="Comma 12 29 6 3" xfId="41253" xr:uid="{00000000-0005-0000-0000-0000D1300000}"/>
    <cellStyle name="Comma 12 29 7" xfId="18021" xr:uid="{00000000-0005-0000-0000-0000D2300000}"/>
    <cellStyle name="Comma 12 29 8" xfId="33513" xr:uid="{00000000-0005-0000-0000-0000D3300000}"/>
    <cellStyle name="Comma 12 3" xfId="835" xr:uid="{00000000-0005-0000-0000-0000D4300000}"/>
    <cellStyle name="Comma 12 3 2" xfId="48960" xr:uid="{00000000-0005-0000-0000-0000D5300000}"/>
    <cellStyle name="Comma 12 30" xfId="2384" xr:uid="{00000000-0005-0000-0000-0000D6300000}"/>
    <cellStyle name="Comma 12 30 2" xfId="2696" xr:uid="{00000000-0005-0000-0000-0000D7300000}"/>
    <cellStyle name="Comma 12 30 2 2" xfId="3704" xr:uid="{00000000-0005-0000-0000-0000D8300000}"/>
    <cellStyle name="Comma 12 30 2 2 2" xfId="5643" xr:uid="{00000000-0005-0000-0000-0000D9300000}"/>
    <cellStyle name="Comma 12 30 2 2 2 2" xfId="9514" xr:uid="{00000000-0005-0000-0000-0000DA300000}"/>
    <cellStyle name="Comma 12 30 2 2 2 2 2" xfId="17259" xr:uid="{00000000-0005-0000-0000-0000DB300000}"/>
    <cellStyle name="Comma 12 30 2 2 2 2 2 2" xfId="32851" xr:uid="{00000000-0005-0000-0000-0000DC300000}"/>
    <cellStyle name="Comma 12 30 2 2 2 2 2 3" xfId="48343" xr:uid="{00000000-0005-0000-0000-0000DD300000}"/>
    <cellStyle name="Comma 12 30 2 2 2 2 3" xfId="25111" xr:uid="{00000000-0005-0000-0000-0000DE300000}"/>
    <cellStyle name="Comma 12 30 2 2 2 2 4" xfId="40603" xr:uid="{00000000-0005-0000-0000-0000DF300000}"/>
    <cellStyle name="Comma 12 30 2 2 2 3" xfId="13389" xr:uid="{00000000-0005-0000-0000-0000E0300000}"/>
    <cellStyle name="Comma 12 30 2 2 2 3 2" xfId="28981" xr:uid="{00000000-0005-0000-0000-0000E1300000}"/>
    <cellStyle name="Comma 12 30 2 2 2 3 3" xfId="44473" xr:uid="{00000000-0005-0000-0000-0000E2300000}"/>
    <cellStyle name="Comma 12 30 2 2 2 4" xfId="21241" xr:uid="{00000000-0005-0000-0000-0000E3300000}"/>
    <cellStyle name="Comma 12 30 2 2 2 5" xfId="36733" xr:uid="{00000000-0005-0000-0000-0000E4300000}"/>
    <cellStyle name="Comma 12 30 2 2 3" xfId="7587" xr:uid="{00000000-0005-0000-0000-0000E5300000}"/>
    <cellStyle name="Comma 12 30 2 2 3 2" xfId="15332" xr:uid="{00000000-0005-0000-0000-0000E6300000}"/>
    <cellStyle name="Comma 12 30 2 2 3 2 2" xfId="30924" xr:uid="{00000000-0005-0000-0000-0000E7300000}"/>
    <cellStyle name="Comma 12 30 2 2 3 2 3" xfId="46416" xr:uid="{00000000-0005-0000-0000-0000E8300000}"/>
    <cellStyle name="Comma 12 30 2 2 3 3" xfId="23184" xr:uid="{00000000-0005-0000-0000-0000E9300000}"/>
    <cellStyle name="Comma 12 30 2 2 3 4" xfId="38676" xr:uid="{00000000-0005-0000-0000-0000EA300000}"/>
    <cellStyle name="Comma 12 30 2 2 4" xfId="11462" xr:uid="{00000000-0005-0000-0000-0000EB300000}"/>
    <cellStyle name="Comma 12 30 2 2 4 2" xfId="27054" xr:uid="{00000000-0005-0000-0000-0000EC300000}"/>
    <cellStyle name="Comma 12 30 2 2 4 3" xfId="42546" xr:uid="{00000000-0005-0000-0000-0000ED300000}"/>
    <cellStyle name="Comma 12 30 2 2 5" xfId="19314" xr:uid="{00000000-0005-0000-0000-0000EE300000}"/>
    <cellStyle name="Comma 12 30 2 2 6" xfId="34806" xr:uid="{00000000-0005-0000-0000-0000EF300000}"/>
    <cellStyle name="Comma 12 30 2 3" xfId="4695" xr:uid="{00000000-0005-0000-0000-0000F0300000}"/>
    <cellStyle name="Comma 12 30 2 3 2" xfId="8566" xr:uid="{00000000-0005-0000-0000-0000F1300000}"/>
    <cellStyle name="Comma 12 30 2 3 2 2" xfId="16311" xr:uid="{00000000-0005-0000-0000-0000F2300000}"/>
    <cellStyle name="Comma 12 30 2 3 2 2 2" xfId="31903" xr:uid="{00000000-0005-0000-0000-0000F3300000}"/>
    <cellStyle name="Comma 12 30 2 3 2 2 3" xfId="47395" xr:uid="{00000000-0005-0000-0000-0000F4300000}"/>
    <cellStyle name="Comma 12 30 2 3 2 3" xfId="24163" xr:uid="{00000000-0005-0000-0000-0000F5300000}"/>
    <cellStyle name="Comma 12 30 2 3 2 4" xfId="39655" xr:uid="{00000000-0005-0000-0000-0000F6300000}"/>
    <cellStyle name="Comma 12 30 2 3 3" xfId="12441" xr:uid="{00000000-0005-0000-0000-0000F7300000}"/>
    <cellStyle name="Comma 12 30 2 3 3 2" xfId="28033" xr:uid="{00000000-0005-0000-0000-0000F8300000}"/>
    <cellStyle name="Comma 12 30 2 3 3 3" xfId="43525" xr:uid="{00000000-0005-0000-0000-0000F9300000}"/>
    <cellStyle name="Comma 12 30 2 3 4" xfId="20293" xr:uid="{00000000-0005-0000-0000-0000FA300000}"/>
    <cellStyle name="Comma 12 30 2 3 5" xfId="35785" xr:uid="{00000000-0005-0000-0000-0000FB300000}"/>
    <cellStyle name="Comma 12 30 2 4" xfId="6639" xr:uid="{00000000-0005-0000-0000-0000FC300000}"/>
    <cellStyle name="Comma 12 30 2 4 2" xfId="14384" xr:uid="{00000000-0005-0000-0000-0000FD300000}"/>
    <cellStyle name="Comma 12 30 2 4 2 2" xfId="29976" xr:uid="{00000000-0005-0000-0000-0000FE300000}"/>
    <cellStyle name="Comma 12 30 2 4 2 3" xfId="45468" xr:uid="{00000000-0005-0000-0000-0000FF300000}"/>
    <cellStyle name="Comma 12 30 2 4 3" xfId="22236" xr:uid="{00000000-0005-0000-0000-000000310000}"/>
    <cellStyle name="Comma 12 30 2 4 4" xfId="37728" xr:uid="{00000000-0005-0000-0000-000001310000}"/>
    <cellStyle name="Comma 12 30 2 5" xfId="10514" xr:uid="{00000000-0005-0000-0000-000002310000}"/>
    <cellStyle name="Comma 12 30 2 5 2" xfId="26106" xr:uid="{00000000-0005-0000-0000-000003310000}"/>
    <cellStyle name="Comma 12 30 2 5 3" xfId="41598" xr:uid="{00000000-0005-0000-0000-000004310000}"/>
    <cellStyle name="Comma 12 30 2 6" xfId="18366" xr:uid="{00000000-0005-0000-0000-000005310000}"/>
    <cellStyle name="Comma 12 30 2 7" xfId="33858" xr:uid="{00000000-0005-0000-0000-000006310000}"/>
    <cellStyle name="Comma 12 30 3" xfId="3395" xr:uid="{00000000-0005-0000-0000-000007310000}"/>
    <cellStyle name="Comma 12 30 3 2" xfId="5334" xr:uid="{00000000-0005-0000-0000-000008310000}"/>
    <cellStyle name="Comma 12 30 3 2 2" xfId="9205" xr:uid="{00000000-0005-0000-0000-000009310000}"/>
    <cellStyle name="Comma 12 30 3 2 2 2" xfId="16950" xr:uid="{00000000-0005-0000-0000-00000A310000}"/>
    <cellStyle name="Comma 12 30 3 2 2 2 2" xfId="32542" xr:uid="{00000000-0005-0000-0000-00000B310000}"/>
    <cellStyle name="Comma 12 30 3 2 2 2 3" xfId="48034" xr:uid="{00000000-0005-0000-0000-00000C310000}"/>
    <cellStyle name="Comma 12 30 3 2 2 3" xfId="24802" xr:uid="{00000000-0005-0000-0000-00000D310000}"/>
    <cellStyle name="Comma 12 30 3 2 2 4" xfId="40294" xr:uid="{00000000-0005-0000-0000-00000E310000}"/>
    <cellStyle name="Comma 12 30 3 2 3" xfId="13080" xr:uid="{00000000-0005-0000-0000-00000F310000}"/>
    <cellStyle name="Comma 12 30 3 2 3 2" xfId="28672" xr:uid="{00000000-0005-0000-0000-000010310000}"/>
    <cellStyle name="Comma 12 30 3 2 3 3" xfId="44164" xr:uid="{00000000-0005-0000-0000-000011310000}"/>
    <cellStyle name="Comma 12 30 3 2 4" xfId="20932" xr:uid="{00000000-0005-0000-0000-000012310000}"/>
    <cellStyle name="Comma 12 30 3 2 5" xfId="36424" xr:uid="{00000000-0005-0000-0000-000013310000}"/>
    <cellStyle name="Comma 12 30 3 3" xfId="7278" xr:uid="{00000000-0005-0000-0000-000014310000}"/>
    <cellStyle name="Comma 12 30 3 3 2" xfId="15023" xr:uid="{00000000-0005-0000-0000-000015310000}"/>
    <cellStyle name="Comma 12 30 3 3 2 2" xfId="30615" xr:uid="{00000000-0005-0000-0000-000016310000}"/>
    <cellStyle name="Comma 12 30 3 3 2 3" xfId="46107" xr:uid="{00000000-0005-0000-0000-000017310000}"/>
    <cellStyle name="Comma 12 30 3 3 3" xfId="22875" xr:uid="{00000000-0005-0000-0000-000018310000}"/>
    <cellStyle name="Comma 12 30 3 3 4" xfId="38367" xr:uid="{00000000-0005-0000-0000-000019310000}"/>
    <cellStyle name="Comma 12 30 3 4" xfId="11153" xr:uid="{00000000-0005-0000-0000-00001A310000}"/>
    <cellStyle name="Comma 12 30 3 4 2" xfId="26745" xr:uid="{00000000-0005-0000-0000-00001B310000}"/>
    <cellStyle name="Comma 12 30 3 4 3" xfId="42237" xr:uid="{00000000-0005-0000-0000-00001C310000}"/>
    <cellStyle name="Comma 12 30 3 5" xfId="19005" xr:uid="{00000000-0005-0000-0000-00001D310000}"/>
    <cellStyle name="Comma 12 30 3 6" xfId="34497" xr:uid="{00000000-0005-0000-0000-00001E310000}"/>
    <cellStyle name="Comma 12 30 4" xfId="4386" xr:uid="{00000000-0005-0000-0000-00001F310000}"/>
    <cellStyle name="Comma 12 30 4 2" xfId="8257" xr:uid="{00000000-0005-0000-0000-000020310000}"/>
    <cellStyle name="Comma 12 30 4 2 2" xfId="16002" xr:uid="{00000000-0005-0000-0000-000021310000}"/>
    <cellStyle name="Comma 12 30 4 2 2 2" xfId="31594" xr:uid="{00000000-0005-0000-0000-000022310000}"/>
    <cellStyle name="Comma 12 30 4 2 2 3" xfId="47086" xr:uid="{00000000-0005-0000-0000-000023310000}"/>
    <cellStyle name="Comma 12 30 4 2 3" xfId="23854" xr:uid="{00000000-0005-0000-0000-000024310000}"/>
    <cellStyle name="Comma 12 30 4 2 4" xfId="39346" xr:uid="{00000000-0005-0000-0000-000025310000}"/>
    <cellStyle name="Comma 12 30 4 3" xfId="12132" xr:uid="{00000000-0005-0000-0000-000026310000}"/>
    <cellStyle name="Comma 12 30 4 3 2" xfId="27724" xr:uid="{00000000-0005-0000-0000-000027310000}"/>
    <cellStyle name="Comma 12 30 4 3 3" xfId="43216" xr:uid="{00000000-0005-0000-0000-000028310000}"/>
    <cellStyle name="Comma 12 30 4 4" xfId="19984" xr:uid="{00000000-0005-0000-0000-000029310000}"/>
    <cellStyle name="Comma 12 30 4 5" xfId="35476" xr:uid="{00000000-0005-0000-0000-00002A310000}"/>
    <cellStyle name="Comma 12 30 5" xfId="6330" xr:uid="{00000000-0005-0000-0000-00002B310000}"/>
    <cellStyle name="Comma 12 30 5 2" xfId="14075" xr:uid="{00000000-0005-0000-0000-00002C310000}"/>
    <cellStyle name="Comma 12 30 5 2 2" xfId="29667" xr:uid="{00000000-0005-0000-0000-00002D310000}"/>
    <cellStyle name="Comma 12 30 5 2 3" xfId="45159" xr:uid="{00000000-0005-0000-0000-00002E310000}"/>
    <cellStyle name="Comma 12 30 5 3" xfId="21927" xr:uid="{00000000-0005-0000-0000-00002F310000}"/>
    <cellStyle name="Comma 12 30 5 4" xfId="37419" xr:uid="{00000000-0005-0000-0000-000030310000}"/>
    <cellStyle name="Comma 12 30 6" xfId="10205" xr:uid="{00000000-0005-0000-0000-000031310000}"/>
    <cellStyle name="Comma 12 30 6 2" xfId="25797" xr:uid="{00000000-0005-0000-0000-000032310000}"/>
    <cellStyle name="Comma 12 30 6 3" xfId="41289" xr:uid="{00000000-0005-0000-0000-000033310000}"/>
    <cellStyle name="Comma 12 30 7" xfId="18057" xr:uid="{00000000-0005-0000-0000-000034310000}"/>
    <cellStyle name="Comma 12 30 8" xfId="33549" xr:uid="{00000000-0005-0000-0000-000035310000}"/>
    <cellStyle name="Comma 12 31" xfId="2422" xr:uid="{00000000-0005-0000-0000-000036310000}"/>
    <cellStyle name="Comma 12 31 2" xfId="2732" xr:uid="{00000000-0005-0000-0000-000037310000}"/>
    <cellStyle name="Comma 12 31 2 2" xfId="3740" xr:uid="{00000000-0005-0000-0000-000038310000}"/>
    <cellStyle name="Comma 12 31 2 2 2" xfId="5679" xr:uid="{00000000-0005-0000-0000-000039310000}"/>
    <cellStyle name="Comma 12 31 2 2 2 2" xfId="9550" xr:uid="{00000000-0005-0000-0000-00003A310000}"/>
    <cellStyle name="Comma 12 31 2 2 2 2 2" xfId="17295" xr:uid="{00000000-0005-0000-0000-00003B310000}"/>
    <cellStyle name="Comma 12 31 2 2 2 2 2 2" xfId="32887" xr:uid="{00000000-0005-0000-0000-00003C310000}"/>
    <cellStyle name="Comma 12 31 2 2 2 2 2 3" xfId="48379" xr:uid="{00000000-0005-0000-0000-00003D310000}"/>
    <cellStyle name="Comma 12 31 2 2 2 2 3" xfId="25147" xr:uid="{00000000-0005-0000-0000-00003E310000}"/>
    <cellStyle name="Comma 12 31 2 2 2 2 4" xfId="40639" xr:uid="{00000000-0005-0000-0000-00003F310000}"/>
    <cellStyle name="Comma 12 31 2 2 2 3" xfId="13425" xr:uid="{00000000-0005-0000-0000-000040310000}"/>
    <cellStyle name="Comma 12 31 2 2 2 3 2" xfId="29017" xr:uid="{00000000-0005-0000-0000-000041310000}"/>
    <cellStyle name="Comma 12 31 2 2 2 3 3" xfId="44509" xr:uid="{00000000-0005-0000-0000-000042310000}"/>
    <cellStyle name="Comma 12 31 2 2 2 4" xfId="21277" xr:uid="{00000000-0005-0000-0000-000043310000}"/>
    <cellStyle name="Comma 12 31 2 2 2 5" xfId="36769" xr:uid="{00000000-0005-0000-0000-000044310000}"/>
    <cellStyle name="Comma 12 31 2 2 3" xfId="7623" xr:uid="{00000000-0005-0000-0000-000045310000}"/>
    <cellStyle name="Comma 12 31 2 2 3 2" xfId="15368" xr:uid="{00000000-0005-0000-0000-000046310000}"/>
    <cellStyle name="Comma 12 31 2 2 3 2 2" xfId="30960" xr:uid="{00000000-0005-0000-0000-000047310000}"/>
    <cellStyle name="Comma 12 31 2 2 3 2 3" xfId="46452" xr:uid="{00000000-0005-0000-0000-000048310000}"/>
    <cellStyle name="Comma 12 31 2 2 3 3" xfId="23220" xr:uid="{00000000-0005-0000-0000-000049310000}"/>
    <cellStyle name="Comma 12 31 2 2 3 4" xfId="38712" xr:uid="{00000000-0005-0000-0000-00004A310000}"/>
    <cellStyle name="Comma 12 31 2 2 4" xfId="11498" xr:uid="{00000000-0005-0000-0000-00004B310000}"/>
    <cellStyle name="Comma 12 31 2 2 4 2" xfId="27090" xr:uid="{00000000-0005-0000-0000-00004C310000}"/>
    <cellStyle name="Comma 12 31 2 2 4 3" xfId="42582" xr:uid="{00000000-0005-0000-0000-00004D310000}"/>
    <cellStyle name="Comma 12 31 2 2 5" xfId="19350" xr:uid="{00000000-0005-0000-0000-00004E310000}"/>
    <cellStyle name="Comma 12 31 2 2 6" xfId="34842" xr:uid="{00000000-0005-0000-0000-00004F310000}"/>
    <cellStyle name="Comma 12 31 2 3" xfId="4731" xr:uid="{00000000-0005-0000-0000-000050310000}"/>
    <cellStyle name="Comma 12 31 2 3 2" xfId="8602" xr:uid="{00000000-0005-0000-0000-000051310000}"/>
    <cellStyle name="Comma 12 31 2 3 2 2" xfId="16347" xr:uid="{00000000-0005-0000-0000-000052310000}"/>
    <cellStyle name="Comma 12 31 2 3 2 2 2" xfId="31939" xr:uid="{00000000-0005-0000-0000-000053310000}"/>
    <cellStyle name="Comma 12 31 2 3 2 2 3" xfId="47431" xr:uid="{00000000-0005-0000-0000-000054310000}"/>
    <cellStyle name="Comma 12 31 2 3 2 3" xfId="24199" xr:uid="{00000000-0005-0000-0000-000055310000}"/>
    <cellStyle name="Comma 12 31 2 3 2 4" xfId="39691" xr:uid="{00000000-0005-0000-0000-000056310000}"/>
    <cellStyle name="Comma 12 31 2 3 3" xfId="12477" xr:uid="{00000000-0005-0000-0000-000057310000}"/>
    <cellStyle name="Comma 12 31 2 3 3 2" xfId="28069" xr:uid="{00000000-0005-0000-0000-000058310000}"/>
    <cellStyle name="Comma 12 31 2 3 3 3" xfId="43561" xr:uid="{00000000-0005-0000-0000-000059310000}"/>
    <cellStyle name="Comma 12 31 2 3 4" xfId="20329" xr:uid="{00000000-0005-0000-0000-00005A310000}"/>
    <cellStyle name="Comma 12 31 2 3 5" xfId="35821" xr:uid="{00000000-0005-0000-0000-00005B310000}"/>
    <cellStyle name="Comma 12 31 2 4" xfId="6675" xr:uid="{00000000-0005-0000-0000-00005C310000}"/>
    <cellStyle name="Comma 12 31 2 4 2" xfId="14420" xr:uid="{00000000-0005-0000-0000-00005D310000}"/>
    <cellStyle name="Comma 12 31 2 4 2 2" xfId="30012" xr:uid="{00000000-0005-0000-0000-00005E310000}"/>
    <cellStyle name="Comma 12 31 2 4 2 3" xfId="45504" xr:uid="{00000000-0005-0000-0000-00005F310000}"/>
    <cellStyle name="Comma 12 31 2 4 3" xfId="22272" xr:uid="{00000000-0005-0000-0000-000060310000}"/>
    <cellStyle name="Comma 12 31 2 4 4" xfId="37764" xr:uid="{00000000-0005-0000-0000-000061310000}"/>
    <cellStyle name="Comma 12 31 2 5" xfId="10550" xr:uid="{00000000-0005-0000-0000-000062310000}"/>
    <cellStyle name="Comma 12 31 2 5 2" xfId="26142" xr:uid="{00000000-0005-0000-0000-000063310000}"/>
    <cellStyle name="Comma 12 31 2 5 3" xfId="41634" xr:uid="{00000000-0005-0000-0000-000064310000}"/>
    <cellStyle name="Comma 12 31 2 6" xfId="18402" xr:uid="{00000000-0005-0000-0000-000065310000}"/>
    <cellStyle name="Comma 12 31 2 7" xfId="33894" xr:uid="{00000000-0005-0000-0000-000066310000}"/>
    <cellStyle name="Comma 12 31 3" xfId="3431" xr:uid="{00000000-0005-0000-0000-000067310000}"/>
    <cellStyle name="Comma 12 31 3 2" xfId="5370" xr:uid="{00000000-0005-0000-0000-000068310000}"/>
    <cellStyle name="Comma 12 31 3 2 2" xfId="9241" xr:uid="{00000000-0005-0000-0000-000069310000}"/>
    <cellStyle name="Comma 12 31 3 2 2 2" xfId="16986" xr:uid="{00000000-0005-0000-0000-00006A310000}"/>
    <cellStyle name="Comma 12 31 3 2 2 2 2" xfId="32578" xr:uid="{00000000-0005-0000-0000-00006B310000}"/>
    <cellStyle name="Comma 12 31 3 2 2 2 3" xfId="48070" xr:uid="{00000000-0005-0000-0000-00006C310000}"/>
    <cellStyle name="Comma 12 31 3 2 2 3" xfId="24838" xr:uid="{00000000-0005-0000-0000-00006D310000}"/>
    <cellStyle name="Comma 12 31 3 2 2 4" xfId="40330" xr:uid="{00000000-0005-0000-0000-00006E310000}"/>
    <cellStyle name="Comma 12 31 3 2 3" xfId="13116" xr:uid="{00000000-0005-0000-0000-00006F310000}"/>
    <cellStyle name="Comma 12 31 3 2 3 2" xfId="28708" xr:uid="{00000000-0005-0000-0000-000070310000}"/>
    <cellStyle name="Comma 12 31 3 2 3 3" xfId="44200" xr:uid="{00000000-0005-0000-0000-000071310000}"/>
    <cellStyle name="Comma 12 31 3 2 4" xfId="20968" xr:uid="{00000000-0005-0000-0000-000072310000}"/>
    <cellStyle name="Comma 12 31 3 2 5" xfId="36460" xr:uid="{00000000-0005-0000-0000-000073310000}"/>
    <cellStyle name="Comma 12 31 3 3" xfId="7314" xr:uid="{00000000-0005-0000-0000-000074310000}"/>
    <cellStyle name="Comma 12 31 3 3 2" xfId="15059" xr:uid="{00000000-0005-0000-0000-000075310000}"/>
    <cellStyle name="Comma 12 31 3 3 2 2" xfId="30651" xr:uid="{00000000-0005-0000-0000-000076310000}"/>
    <cellStyle name="Comma 12 31 3 3 2 3" xfId="46143" xr:uid="{00000000-0005-0000-0000-000077310000}"/>
    <cellStyle name="Comma 12 31 3 3 3" xfId="22911" xr:uid="{00000000-0005-0000-0000-000078310000}"/>
    <cellStyle name="Comma 12 31 3 3 4" xfId="38403" xr:uid="{00000000-0005-0000-0000-000079310000}"/>
    <cellStyle name="Comma 12 31 3 4" xfId="11189" xr:uid="{00000000-0005-0000-0000-00007A310000}"/>
    <cellStyle name="Comma 12 31 3 4 2" xfId="26781" xr:uid="{00000000-0005-0000-0000-00007B310000}"/>
    <cellStyle name="Comma 12 31 3 4 3" xfId="42273" xr:uid="{00000000-0005-0000-0000-00007C310000}"/>
    <cellStyle name="Comma 12 31 3 5" xfId="19041" xr:uid="{00000000-0005-0000-0000-00007D310000}"/>
    <cellStyle name="Comma 12 31 3 6" xfId="34533" xr:uid="{00000000-0005-0000-0000-00007E310000}"/>
    <cellStyle name="Comma 12 31 4" xfId="4422" xr:uid="{00000000-0005-0000-0000-00007F310000}"/>
    <cellStyle name="Comma 12 31 4 2" xfId="8293" xr:uid="{00000000-0005-0000-0000-000080310000}"/>
    <cellStyle name="Comma 12 31 4 2 2" xfId="16038" xr:uid="{00000000-0005-0000-0000-000081310000}"/>
    <cellStyle name="Comma 12 31 4 2 2 2" xfId="31630" xr:uid="{00000000-0005-0000-0000-000082310000}"/>
    <cellStyle name="Comma 12 31 4 2 2 3" xfId="47122" xr:uid="{00000000-0005-0000-0000-000083310000}"/>
    <cellStyle name="Comma 12 31 4 2 3" xfId="23890" xr:uid="{00000000-0005-0000-0000-000084310000}"/>
    <cellStyle name="Comma 12 31 4 2 4" xfId="39382" xr:uid="{00000000-0005-0000-0000-000085310000}"/>
    <cellStyle name="Comma 12 31 4 3" xfId="12168" xr:uid="{00000000-0005-0000-0000-000086310000}"/>
    <cellStyle name="Comma 12 31 4 3 2" xfId="27760" xr:uid="{00000000-0005-0000-0000-000087310000}"/>
    <cellStyle name="Comma 12 31 4 3 3" xfId="43252" xr:uid="{00000000-0005-0000-0000-000088310000}"/>
    <cellStyle name="Comma 12 31 4 4" xfId="20020" xr:uid="{00000000-0005-0000-0000-000089310000}"/>
    <cellStyle name="Comma 12 31 4 5" xfId="35512" xr:uid="{00000000-0005-0000-0000-00008A310000}"/>
    <cellStyle name="Comma 12 31 5" xfId="6366" xr:uid="{00000000-0005-0000-0000-00008B310000}"/>
    <cellStyle name="Comma 12 31 5 2" xfId="14111" xr:uid="{00000000-0005-0000-0000-00008C310000}"/>
    <cellStyle name="Comma 12 31 5 2 2" xfId="29703" xr:uid="{00000000-0005-0000-0000-00008D310000}"/>
    <cellStyle name="Comma 12 31 5 2 3" xfId="45195" xr:uid="{00000000-0005-0000-0000-00008E310000}"/>
    <cellStyle name="Comma 12 31 5 3" xfId="21963" xr:uid="{00000000-0005-0000-0000-00008F310000}"/>
    <cellStyle name="Comma 12 31 5 4" xfId="37455" xr:uid="{00000000-0005-0000-0000-000090310000}"/>
    <cellStyle name="Comma 12 31 6" xfId="10241" xr:uid="{00000000-0005-0000-0000-000091310000}"/>
    <cellStyle name="Comma 12 31 6 2" xfId="25833" xr:uid="{00000000-0005-0000-0000-000092310000}"/>
    <cellStyle name="Comma 12 31 6 3" xfId="41325" xr:uid="{00000000-0005-0000-0000-000093310000}"/>
    <cellStyle name="Comma 12 31 7" xfId="18093" xr:uid="{00000000-0005-0000-0000-000094310000}"/>
    <cellStyle name="Comma 12 31 8" xfId="33585" xr:uid="{00000000-0005-0000-0000-000095310000}"/>
    <cellStyle name="Comma 12 32" xfId="2459" xr:uid="{00000000-0005-0000-0000-000096310000}"/>
    <cellStyle name="Comma 12 32 2" xfId="2768" xr:uid="{00000000-0005-0000-0000-000097310000}"/>
    <cellStyle name="Comma 12 32 2 2" xfId="3776" xr:uid="{00000000-0005-0000-0000-000098310000}"/>
    <cellStyle name="Comma 12 32 2 2 2" xfId="5715" xr:uid="{00000000-0005-0000-0000-000099310000}"/>
    <cellStyle name="Comma 12 32 2 2 2 2" xfId="9586" xr:uid="{00000000-0005-0000-0000-00009A310000}"/>
    <cellStyle name="Comma 12 32 2 2 2 2 2" xfId="17331" xr:uid="{00000000-0005-0000-0000-00009B310000}"/>
    <cellStyle name="Comma 12 32 2 2 2 2 2 2" xfId="32923" xr:uid="{00000000-0005-0000-0000-00009C310000}"/>
    <cellStyle name="Comma 12 32 2 2 2 2 2 3" xfId="48415" xr:uid="{00000000-0005-0000-0000-00009D310000}"/>
    <cellStyle name="Comma 12 32 2 2 2 2 3" xfId="25183" xr:uid="{00000000-0005-0000-0000-00009E310000}"/>
    <cellStyle name="Comma 12 32 2 2 2 2 4" xfId="40675" xr:uid="{00000000-0005-0000-0000-00009F310000}"/>
    <cellStyle name="Comma 12 32 2 2 2 3" xfId="13461" xr:uid="{00000000-0005-0000-0000-0000A0310000}"/>
    <cellStyle name="Comma 12 32 2 2 2 3 2" xfId="29053" xr:uid="{00000000-0005-0000-0000-0000A1310000}"/>
    <cellStyle name="Comma 12 32 2 2 2 3 3" xfId="44545" xr:uid="{00000000-0005-0000-0000-0000A2310000}"/>
    <cellStyle name="Comma 12 32 2 2 2 4" xfId="21313" xr:uid="{00000000-0005-0000-0000-0000A3310000}"/>
    <cellStyle name="Comma 12 32 2 2 2 5" xfId="36805" xr:uid="{00000000-0005-0000-0000-0000A4310000}"/>
    <cellStyle name="Comma 12 32 2 2 3" xfId="7659" xr:uid="{00000000-0005-0000-0000-0000A5310000}"/>
    <cellStyle name="Comma 12 32 2 2 3 2" xfId="15404" xr:uid="{00000000-0005-0000-0000-0000A6310000}"/>
    <cellStyle name="Comma 12 32 2 2 3 2 2" xfId="30996" xr:uid="{00000000-0005-0000-0000-0000A7310000}"/>
    <cellStyle name="Comma 12 32 2 2 3 2 3" xfId="46488" xr:uid="{00000000-0005-0000-0000-0000A8310000}"/>
    <cellStyle name="Comma 12 32 2 2 3 3" xfId="23256" xr:uid="{00000000-0005-0000-0000-0000A9310000}"/>
    <cellStyle name="Comma 12 32 2 2 3 4" xfId="38748" xr:uid="{00000000-0005-0000-0000-0000AA310000}"/>
    <cellStyle name="Comma 12 32 2 2 4" xfId="11534" xr:uid="{00000000-0005-0000-0000-0000AB310000}"/>
    <cellStyle name="Comma 12 32 2 2 4 2" xfId="27126" xr:uid="{00000000-0005-0000-0000-0000AC310000}"/>
    <cellStyle name="Comma 12 32 2 2 4 3" xfId="42618" xr:uid="{00000000-0005-0000-0000-0000AD310000}"/>
    <cellStyle name="Comma 12 32 2 2 5" xfId="19386" xr:uid="{00000000-0005-0000-0000-0000AE310000}"/>
    <cellStyle name="Comma 12 32 2 2 6" xfId="34878" xr:uid="{00000000-0005-0000-0000-0000AF310000}"/>
    <cellStyle name="Comma 12 32 2 3" xfId="4767" xr:uid="{00000000-0005-0000-0000-0000B0310000}"/>
    <cellStyle name="Comma 12 32 2 3 2" xfId="8638" xr:uid="{00000000-0005-0000-0000-0000B1310000}"/>
    <cellStyle name="Comma 12 32 2 3 2 2" xfId="16383" xr:uid="{00000000-0005-0000-0000-0000B2310000}"/>
    <cellStyle name="Comma 12 32 2 3 2 2 2" xfId="31975" xr:uid="{00000000-0005-0000-0000-0000B3310000}"/>
    <cellStyle name="Comma 12 32 2 3 2 2 3" xfId="47467" xr:uid="{00000000-0005-0000-0000-0000B4310000}"/>
    <cellStyle name="Comma 12 32 2 3 2 3" xfId="24235" xr:uid="{00000000-0005-0000-0000-0000B5310000}"/>
    <cellStyle name="Comma 12 32 2 3 2 4" xfId="39727" xr:uid="{00000000-0005-0000-0000-0000B6310000}"/>
    <cellStyle name="Comma 12 32 2 3 3" xfId="12513" xr:uid="{00000000-0005-0000-0000-0000B7310000}"/>
    <cellStyle name="Comma 12 32 2 3 3 2" xfId="28105" xr:uid="{00000000-0005-0000-0000-0000B8310000}"/>
    <cellStyle name="Comma 12 32 2 3 3 3" xfId="43597" xr:uid="{00000000-0005-0000-0000-0000B9310000}"/>
    <cellStyle name="Comma 12 32 2 3 4" xfId="20365" xr:uid="{00000000-0005-0000-0000-0000BA310000}"/>
    <cellStyle name="Comma 12 32 2 3 5" xfId="35857" xr:uid="{00000000-0005-0000-0000-0000BB310000}"/>
    <cellStyle name="Comma 12 32 2 4" xfId="6711" xr:uid="{00000000-0005-0000-0000-0000BC310000}"/>
    <cellStyle name="Comma 12 32 2 4 2" xfId="14456" xr:uid="{00000000-0005-0000-0000-0000BD310000}"/>
    <cellStyle name="Comma 12 32 2 4 2 2" xfId="30048" xr:uid="{00000000-0005-0000-0000-0000BE310000}"/>
    <cellStyle name="Comma 12 32 2 4 2 3" xfId="45540" xr:uid="{00000000-0005-0000-0000-0000BF310000}"/>
    <cellStyle name="Comma 12 32 2 4 3" xfId="22308" xr:uid="{00000000-0005-0000-0000-0000C0310000}"/>
    <cellStyle name="Comma 12 32 2 4 4" xfId="37800" xr:uid="{00000000-0005-0000-0000-0000C1310000}"/>
    <cellStyle name="Comma 12 32 2 5" xfId="10586" xr:uid="{00000000-0005-0000-0000-0000C2310000}"/>
    <cellStyle name="Comma 12 32 2 5 2" xfId="26178" xr:uid="{00000000-0005-0000-0000-0000C3310000}"/>
    <cellStyle name="Comma 12 32 2 5 3" xfId="41670" xr:uid="{00000000-0005-0000-0000-0000C4310000}"/>
    <cellStyle name="Comma 12 32 2 6" xfId="18438" xr:uid="{00000000-0005-0000-0000-0000C5310000}"/>
    <cellStyle name="Comma 12 32 2 7" xfId="33930" xr:uid="{00000000-0005-0000-0000-0000C6310000}"/>
    <cellStyle name="Comma 12 32 3" xfId="3467" xr:uid="{00000000-0005-0000-0000-0000C7310000}"/>
    <cellStyle name="Comma 12 32 3 2" xfId="5406" xr:uid="{00000000-0005-0000-0000-0000C8310000}"/>
    <cellStyle name="Comma 12 32 3 2 2" xfId="9277" xr:uid="{00000000-0005-0000-0000-0000C9310000}"/>
    <cellStyle name="Comma 12 32 3 2 2 2" xfId="17022" xr:uid="{00000000-0005-0000-0000-0000CA310000}"/>
    <cellStyle name="Comma 12 32 3 2 2 2 2" xfId="32614" xr:uid="{00000000-0005-0000-0000-0000CB310000}"/>
    <cellStyle name="Comma 12 32 3 2 2 2 3" xfId="48106" xr:uid="{00000000-0005-0000-0000-0000CC310000}"/>
    <cellStyle name="Comma 12 32 3 2 2 3" xfId="24874" xr:uid="{00000000-0005-0000-0000-0000CD310000}"/>
    <cellStyle name="Comma 12 32 3 2 2 4" xfId="40366" xr:uid="{00000000-0005-0000-0000-0000CE310000}"/>
    <cellStyle name="Comma 12 32 3 2 3" xfId="13152" xr:uid="{00000000-0005-0000-0000-0000CF310000}"/>
    <cellStyle name="Comma 12 32 3 2 3 2" xfId="28744" xr:uid="{00000000-0005-0000-0000-0000D0310000}"/>
    <cellStyle name="Comma 12 32 3 2 3 3" xfId="44236" xr:uid="{00000000-0005-0000-0000-0000D1310000}"/>
    <cellStyle name="Comma 12 32 3 2 4" xfId="21004" xr:uid="{00000000-0005-0000-0000-0000D2310000}"/>
    <cellStyle name="Comma 12 32 3 2 5" xfId="36496" xr:uid="{00000000-0005-0000-0000-0000D3310000}"/>
    <cellStyle name="Comma 12 32 3 3" xfId="7350" xr:uid="{00000000-0005-0000-0000-0000D4310000}"/>
    <cellStyle name="Comma 12 32 3 3 2" xfId="15095" xr:uid="{00000000-0005-0000-0000-0000D5310000}"/>
    <cellStyle name="Comma 12 32 3 3 2 2" xfId="30687" xr:uid="{00000000-0005-0000-0000-0000D6310000}"/>
    <cellStyle name="Comma 12 32 3 3 2 3" xfId="46179" xr:uid="{00000000-0005-0000-0000-0000D7310000}"/>
    <cellStyle name="Comma 12 32 3 3 3" xfId="22947" xr:uid="{00000000-0005-0000-0000-0000D8310000}"/>
    <cellStyle name="Comma 12 32 3 3 4" xfId="38439" xr:uid="{00000000-0005-0000-0000-0000D9310000}"/>
    <cellStyle name="Comma 12 32 3 4" xfId="11225" xr:uid="{00000000-0005-0000-0000-0000DA310000}"/>
    <cellStyle name="Comma 12 32 3 4 2" xfId="26817" xr:uid="{00000000-0005-0000-0000-0000DB310000}"/>
    <cellStyle name="Comma 12 32 3 4 3" xfId="42309" xr:uid="{00000000-0005-0000-0000-0000DC310000}"/>
    <cellStyle name="Comma 12 32 3 5" xfId="19077" xr:uid="{00000000-0005-0000-0000-0000DD310000}"/>
    <cellStyle name="Comma 12 32 3 6" xfId="34569" xr:uid="{00000000-0005-0000-0000-0000DE310000}"/>
    <cellStyle name="Comma 12 32 4" xfId="4458" xr:uid="{00000000-0005-0000-0000-0000DF310000}"/>
    <cellStyle name="Comma 12 32 4 2" xfId="8329" xr:uid="{00000000-0005-0000-0000-0000E0310000}"/>
    <cellStyle name="Comma 12 32 4 2 2" xfId="16074" xr:uid="{00000000-0005-0000-0000-0000E1310000}"/>
    <cellStyle name="Comma 12 32 4 2 2 2" xfId="31666" xr:uid="{00000000-0005-0000-0000-0000E2310000}"/>
    <cellStyle name="Comma 12 32 4 2 2 3" xfId="47158" xr:uid="{00000000-0005-0000-0000-0000E3310000}"/>
    <cellStyle name="Comma 12 32 4 2 3" xfId="23926" xr:uid="{00000000-0005-0000-0000-0000E4310000}"/>
    <cellStyle name="Comma 12 32 4 2 4" xfId="39418" xr:uid="{00000000-0005-0000-0000-0000E5310000}"/>
    <cellStyle name="Comma 12 32 4 3" xfId="12204" xr:uid="{00000000-0005-0000-0000-0000E6310000}"/>
    <cellStyle name="Comma 12 32 4 3 2" xfId="27796" xr:uid="{00000000-0005-0000-0000-0000E7310000}"/>
    <cellStyle name="Comma 12 32 4 3 3" xfId="43288" xr:uid="{00000000-0005-0000-0000-0000E8310000}"/>
    <cellStyle name="Comma 12 32 4 4" xfId="20056" xr:uid="{00000000-0005-0000-0000-0000E9310000}"/>
    <cellStyle name="Comma 12 32 4 5" xfId="35548" xr:uid="{00000000-0005-0000-0000-0000EA310000}"/>
    <cellStyle name="Comma 12 32 5" xfId="6402" xr:uid="{00000000-0005-0000-0000-0000EB310000}"/>
    <cellStyle name="Comma 12 32 5 2" xfId="14147" xr:uid="{00000000-0005-0000-0000-0000EC310000}"/>
    <cellStyle name="Comma 12 32 5 2 2" xfId="29739" xr:uid="{00000000-0005-0000-0000-0000ED310000}"/>
    <cellStyle name="Comma 12 32 5 2 3" xfId="45231" xr:uid="{00000000-0005-0000-0000-0000EE310000}"/>
    <cellStyle name="Comma 12 32 5 3" xfId="21999" xr:uid="{00000000-0005-0000-0000-0000EF310000}"/>
    <cellStyle name="Comma 12 32 5 4" xfId="37491" xr:uid="{00000000-0005-0000-0000-0000F0310000}"/>
    <cellStyle name="Comma 12 32 6" xfId="10277" xr:uid="{00000000-0005-0000-0000-0000F1310000}"/>
    <cellStyle name="Comma 12 32 6 2" xfId="25869" xr:uid="{00000000-0005-0000-0000-0000F2310000}"/>
    <cellStyle name="Comma 12 32 6 3" xfId="41361" xr:uid="{00000000-0005-0000-0000-0000F3310000}"/>
    <cellStyle name="Comma 12 32 7" xfId="18129" xr:uid="{00000000-0005-0000-0000-0000F4310000}"/>
    <cellStyle name="Comma 12 32 8" xfId="33621" xr:uid="{00000000-0005-0000-0000-0000F5310000}"/>
    <cellStyle name="Comma 12 33" xfId="2805" xr:uid="{00000000-0005-0000-0000-0000F6310000}"/>
    <cellStyle name="Comma 12 33 2" xfId="3812" xr:uid="{00000000-0005-0000-0000-0000F7310000}"/>
    <cellStyle name="Comma 12 33 2 2" xfId="5751" xr:uid="{00000000-0005-0000-0000-0000F8310000}"/>
    <cellStyle name="Comma 12 33 2 2 2" xfId="9622" xr:uid="{00000000-0005-0000-0000-0000F9310000}"/>
    <cellStyle name="Comma 12 33 2 2 2 2" xfId="17367" xr:uid="{00000000-0005-0000-0000-0000FA310000}"/>
    <cellStyle name="Comma 12 33 2 2 2 2 2" xfId="32959" xr:uid="{00000000-0005-0000-0000-0000FB310000}"/>
    <cellStyle name="Comma 12 33 2 2 2 2 3" xfId="48451" xr:uid="{00000000-0005-0000-0000-0000FC310000}"/>
    <cellStyle name="Comma 12 33 2 2 2 3" xfId="25219" xr:uid="{00000000-0005-0000-0000-0000FD310000}"/>
    <cellStyle name="Comma 12 33 2 2 2 4" xfId="40711" xr:uid="{00000000-0005-0000-0000-0000FE310000}"/>
    <cellStyle name="Comma 12 33 2 2 3" xfId="13497" xr:uid="{00000000-0005-0000-0000-0000FF310000}"/>
    <cellStyle name="Comma 12 33 2 2 3 2" xfId="29089" xr:uid="{00000000-0005-0000-0000-000000320000}"/>
    <cellStyle name="Comma 12 33 2 2 3 3" xfId="44581" xr:uid="{00000000-0005-0000-0000-000001320000}"/>
    <cellStyle name="Comma 12 33 2 2 4" xfId="21349" xr:uid="{00000000-0005-0000-0000-000002320000}"/>
    <cellStyle name="Comma 12 33 2 2 5" xfId="36841" xr:uid="{00000000-0005-0000-0000-000003320000}"/>
    <cellStyle name="Comma 12 33 2 3" xfId="7695" xr:uid="{00000000-0005-0000-0000-000004320000}"/>
    <cellStyle name="Comma 12 33 2 3 2" xfId="15440" xr:uid="{00000000-0005-0000-0000-000005320000}"/>
    <cellStyle name="Comma 12 33 2 3 2 2" xfId="31032" xr:uid="{00000000-0005-0000-0000-000006320000}"/>
    <cellStyle name="Comma 12 33 2 3 2 3" xfId="46524" xr:uid="{00000000-0005-0000-0000-000007320000}"/>
    <cellStyle name="Comma 12 33 2 3 3" xfId="23292" xr:uid="{00000000-0005-0000-0000-000008320000}"/>
    <cellStyle name="Comma 12 33 2 3 4" xfId="38784" xr:uid="{00000000-0005-0000-0000-000009320000}"/>
    <cellStyle name="Comma 12 33 2 4" xfId="11570" xr:uid="{00000000-0005-0000-0000-00000A320000}"/>
    <cellStyle name="Comma 12 33 2 4 2" xfId="27162" xr:uid="{00000000-0005-0000-0000-00000B320000}"/>
    <cellStyle name="Comma 12 33 2 4 3" xfId="42654" xr:uid="{00000000-0005-0000-0000-00000C320000}"/>
    <cellStyle name="Comma 12 33 2 5" xfId="19422" xr:uid="{00000000-0005-0000-0000-00000D320000}"/>
    <cellStyle name="Comma 12 33 2 6" xfId="34914" xr:uid="{00000000-0005-0000-0000-00000E320000}"/>
    <cellStyle name="Comma 12 33 3" xfId="4803" xr:uid="{00000000-0005-0000-0000-00000F320000}"/>
    <cellStyle name="Comma 12 33 3 2" xfId="8674" xr:uid="{00000000-0005-0000-0000-000010320000}"/>
    <cellStyle name="Comma 12 33 3 2 2" xfId="16419" xr:uid="{00000000-0005-0000-0000-000011320000}"/>
    <cellStyle name="Comma 12 33 3 2 2 2" xfId="32011" xr:uid="{00000000-0005-0000-0000-000012320000}"/>
    <cellStyle name="Comma 12 33 3 2 2 3" xfId="47503" xr:uid="{00000000-0005-0000-0000-000013320000}"/>
    <cellStyle name="Comma 12 33 3 2 3" xfId="24271" xr:uid="{00000000-0005-0000-0000-000014320000}"/>
    <cellStyle name="Comma 12 33 3 2 4" xfId="39763" xr:uid="{00000000-0005-0000-0000-000015320000}"/>
    <cellStyle name="Comma 12 33 3 3" xfId="12549" xr:uid="{00000000-0005-0000-0000-000016320000}"/>
    <cellStyle name="Comma 12 33 3 3 2" xfId="28141" xr:uid="{00000000-0005-0000-0000-000017320000}"/>
    <cellStyle name="Comma 12 33 3 3 3" xfId="43633" xr:uid="{00000000-0005-0000-0000-000018320000}"/>
    <cellStyle name="Comma 12 33 3 4" xfId="20401" xr:uid="{00000000-0005-0000-0000-000019320000}"/>
    <cellStyle name="Comma 12 33 3 5" xfId="35893" xr:uid="{00000000-0005-0000-0000-00001A320000}"/>
    <cellStyle name="Comma 12 33 4" xfId="6747" xr:uid="{00000000-0005-0000-0000-00001B320000}"/>
    <cellStyle name="Comma 12 33 4 2" xfId="14492" xr:uid="{00000000-0005-0000-0000-00001C320000}"/>
    <cellStyle name="Comma 12 33 4 2 2" xfId="30084" xr:uid="{00000000-0005-0000-0000-00001D320000}"/>
    <cellStyle name="Comma 12 33 4 2 3" xfId="45576" xr:uid="{00000000-0005-0000-0000-00001E320000}"/>
    <cellStyle name="Comma 12 33 4 3" xfId="22344" xr:uid="{00000000-0005-0000-0000-00001F320000}"/>
    <cellStyle name="Comma 12 33 4 4" xfId="37836" xr:uid="{00000000-0005-0000-0000-000020320000}"/>
    <cellStyle name="Comma 12 33 5" xfId="10622" xr:uid="{00000000-0005-0000-0000-000021320000}"/>
    <cellStyle name="Comma 12 33 5 2" xfId="26214" xr:uid="{00000000-0005-0000-0000-000022320000}"/>
    <cellStyle name="Comma 12 33 5 3" xfId="41706" xr:uid="{00000000-0005-0000-0000-000023320000}"/>
    <cellStyle name="Comma 12 33 6" xfId="18474" xr:uid="{00000000-0005-0000-0000-000024320000}"/>
    <cellStyle name="Comma 12 33 7" xfId="33966" xr:uid="{00000000-0005-0000-0000-000025320000}"/>
    <cellStyle name="Comma 12 34" xfId="2844" xr:uid="{00000000-0005-0000-0000-000026320000}"/>
    <cellStyle name="Comma 12 34 2" xfId="3850" xr:uid="{00000000-0005-0000-0000-000027320000}"/>
    <cellStyle name="Comma 12 34 2 2" xfId="5789" xr:uid="{00000000-0005-0000-0000-000028320000}"/>
    <cellStyle name="Comma 12 34 2 2 2" xfId="9660" xr:uid="{00000000-0005-0000-0000-000029320000}"/>
    <cellStyle name="Comma 12 34 2 2 2 2" xfId="17405" xr:uid="{00000000-0005-0000-0000-00002A320000}"/>
    <cellStyle name="Comma 12 34 2 2 2 2 2" xfId="32997" xr:uid="{00000000-0005-0000-0000-00002B320000}"/>
    <cellStyle name="Comma 12 34 2 2 2 2 3" xfId="48489" xr:uid="{00000000-0005-0000-0000-00002C320000}"/>
    <cellStyle name="Comma 12 34 2 2 2 3" xfId="25257" xr:uid="{00000000-0005-0000-0000-00002D320000}"/>
    <cellStyle name="Comma 12 34 2 2 2 4" xfId="40749" xr:uid="{00000000-0005-0000-0000-00002E320000}"/>
    <cellStyle name="Comma 12 34 2 2 3" xfId="13535" xr:uid="{00000000-0005-0000-0000-00002F320000}"/>
    <cellStyle name="Comma 12 34 2 2 3 2" xfId="29127" xr:uid="{00000000-0005-0000-0000-000030320000}"/>
    <cellStyle name="Comma 12 34 2 2 3 3" xfId="44619" xr:uid="{00000000-0005-0000-0000-000031320000}"/>
    <cellStyle name="Comma 12 34 2 2 4" xfId="21387" xr:uid="{00000000-0005-0000-0000-000032320000}"/>
    <cellStyle name="Comma 12 34 2 2 5" xfId="36879" xr:uid="{00000000-0005-0000-0000-000033320000}"/>
    <cellStyle name="Comma 12 34 2 3" xfId="7733" xr:uid="{00000000-0005-0000-0000-000034320000}"/>
    <cellStyle name="Comma 12 34 2 3 2" xfId="15478" xr:uid="{00000000-0005-0000-0000-000035320000}"/>
    <cellStyle name="Comma 12 34 2 3 2 2" xfId="31070" xr:uid="{00000000-0005-0000-0000-000036320000}"/>
    <cellStyle name="Comma 12 34 2 3 2 3" xfId="46562" xr:uid="{00000000-0005-0000-0000-000037320000}"/>
    <cellStyle name="Comma 12 34 2 3 3" xfId="23330" xr:uid="{00000000-0005-0000-0000-000038320000}"/>
    <cellStyle name="Comma 12 34 2 3 4" xfId="38822" xr:uid="{00000000-0005-0000-0000-000039320000}"/>
    <cellStyle name="Comma 12 34 2 4" xfId="11608" xr:uid="{00000000-0005-0000-0000-00003A320000}"/>
    <cellStyle name="Comma 12 34 2 4 2" xfId="27200" xr:uid="{00000000-0005-0000-0000-00003B320000}"/>
    <cellStyle name="Comma 12 34 2 4 3" xfId="42692" xr:uid="{00000000-0005-0000-0000-00003C320000}"/>
    <cellStyle name="Comma 12 34 2 5" xfId="19460" xr:uid="{00000000-0005-0000-0000-00003D320000}"/>
    <cellStyle name="Comma 12 34 2 6" xfId="34952" xr:uid="{00000000-0005-0000-0000-00003E320000}"/>
    <cellStyle name="Comma 12 34 3" xfId="4841" xr:uid="{00000000-0005-0000-0000-00003F320000}"/>
    <cellStyle name="Comma 12 34 3 2" xfId="8712" xr:uid="{00000000-0005-0000-0000-000040320000}"/>
    <cellStyle name="Comma 12 34 3 2 2" xfId="16457" xr:uid="{00000000-0005-0000-0000-000041320000}"/>
    <cellStyle name="Comma 12 34 3 2 2 2" xfId="32049" xr:uid="{00000000-0005-0000-0000-000042320000}"/>
    <cellStyle name="Comma 12 34 3 2 2 3" xfId="47541" xr:uid="{00000000-0005-0000-0000-000043320000}"/>
    <cellStyle name="Comma 12 34 3 2 3" xfId="24309" xr:uid="{00000000-0005-0000-0000-000044320000}"/>
    <cellStyle name="Comma 12 34 3 2 4" xfId="39801" xr:uid="{00000000-0005-0000-0000-000045320000}"/>
    <cellStyle name="Comma 12 34 3 3" xfId="12587" xr:uid="{00000000-0005-0000-0000-000046320000}"/>
    <cellStyle name="Comma 12 34 3 3 2" xfId="28179" xr:uid="{00000000-0005-0000-0000-000047320000}"/>
    <cellStyle name="Comma 12 34 3 3 3" xfId="43671" xr:uid="{00000000-0005-0000-0000-000048320000}"/>
    <cellStyle name="Comma 12 34 3 4" xfId="20439" xr:uid="{00000000-0005-0000-0000-000049320000}"/>
    <cellStyle name="Comma 12 34 3 5" xfId="35931" xr:uid="{00000000-0005-0000-0000-00004A320000}"/>
    <cellStyle name="Comma 12 34 4" xfId="6785" xr:uid="{00000000-0005-0000-0000-00004B320000}"/>
    <cellStyle name="Comma 12 34 4 2" xfId="14530" xr:uid="{00000000-0005-0000-0000-00004C320000}"/>
    <cellStyle name="Comma 12 34 4 2 2" xfId="30122" xr:uid="{00000000-0005-0000-0000-00004D320000}"/>
    <cellStyle name="Comma 12 34 4 2 3" xfId="45614" xr:uid="{00000000-0005-0000-0000-00004E320000}"/>
    <cellStyle name="Comma 12 34 4 3" xfId="22382" xr:uid="{00000000-0005-0000-0000-00004F320000}"/>
    <cellStyle name="Comma 12 34 4 4" xfId="37874" xr:uid="{00000000-0005-0000-0000-000050320000}"/>
    <cellStyle name="Comma 12 34 5" xfId="10660" xr:uid="{00000000-0005-0000-0000-000051320000}"/>
    <cellStyle name="Comma 12 34 5 2" xfId="26252" xr:uid="{00000000-0005-0000-0000-000052320000}"/>
    <cellStyle name="Comma 12 34 5 3" xfId="41744" xr:uid="{00000000-0005-0000-0000-000053320000}"/>
    <cellStyle name="Comma 12 34 6" xfId="18512" xr:uid="{00000000-0005-0000-0000-000054320000}"/>
    <cellStyle name="Comma 12 34 7" xfId="34004" xr:uid="{00000000-0005-0000-0000-000055320000}"/>
    <cellStyle name="Comma 12 35" xfId="2881" xr:uid="{00000000-0005-0000-0000-000056320000}"/>
    <cellStyle name="Comma 12 35 2" xfId="3886" xr:uid="{00000000-0005-0000-0000-000057320000}"/>
    <cellStyle name="Comma 12 35 2 2" xfId="5825" xr:uid="{00000000-0005-0000-0000-000058320000}"/>
    <cellStyle name="Comma 12 35 2 2 2" xfId="9696" xr:uid="{00000000-0005-0000-0000-000059320000}"/>
    <cellStyle name="Comma 12 35 2 2 2 2" xfId="17441" xr:uid="{00000000-0005-0000-0000-00005A320000}"/>
    <cellStyle name="Comma 12 35 2 2 2 2 2" xfId="33033" xr:uid="{00000000-0005-0000-0000-00005B320000}"/>
    <cellStyle name="Comma 12 35 2 2 2 2 3" xfId="48525" xr:uid="{00000000-0005-0000-0000-00005C320000}"/>
    <cellStyle name="Comma 12 35 2 2 2 3" xfId="25293" xr:uid="{00000000-0005-0000-0000-00005D320000}"/>
    <cellStyle name="Comma 12 35 2 2 2 4" xfId="40785" xr:uid="{00000000-0005-0000-0000-00005E320000}"/>
    <cellStyle name="Comma 12 35 2 2 3" xfId="13571" xr:uid="{00000000-0005-0000-0000-00005F320000}"/>
    <cellStyle name="Comma 12 35 2 2 3 2" xfId="29163" xr:uid="{00000000-0005-0000-0000-000060320000}"/>
    <cellStyle name="Comma 12 35 2 2 3 3" xfId="44655" xr:uid="{00000000-0005-0000-0000-000061320000}"/>
    <cellStyle name="Comma 12 35 2 2 4" xfId="21423" xr:uid="{00000000-0005-0000-0000-000062320000}"/>
    <cellStyle name="Comma 12 35 2 2 5" xfId="36915" xr:uid="{00000000-0005-0000-0000-000063320000}"/>
    <cellStyle name="Comma 12 35 2 3" xfId="7769" xr:uid="{00000000-0005-0000-0000-000064320000}"/>
    <cellStyle name="Comma 12 35 2 3 2" xfId="15514" xr:uid="{00000000-0005-0000-0000-000065320000}"/>
    <cellStyle name="Comma 12 35 2 3 2 2" xfId="31106" xr:uid="{00000000-0005-0000-0000-000066320000}"/>
    <cellStyle name="Comma 12 35 2 3 2 3" xfId="46598" xr:uid="{00000000-0005-0000-0000-000067320000}"/>
    <cellStyle name="Comma 12 35 2 3 3" xfId="23366" xr:uid="{00000000-0005-0000-0000-000068320000}"/>
    <cellStyle name="Comma 12 35 2 3 4" xfId="38858" xr:uid="{00000000-0005-0000-0000-000069320000}"/>
    <cellStyle name="Comma 12 35 2 4" xfId="11644" xr:uid="{00000000-0005-0000-0000-00006A320000}"/>
    <cellStyle name="Comma 12 35 2 4 2" xfId="27236" xr:uid="{00000000-0005-0000-0000-00006B320000}"/>
    <cellStyle name="Comma 12 35 2 4 3" xfId="42728" xr:uid="{00000000-0005-0000-0000-00006C320000}"/>
    <cellStyle name="Comma 12 35 2 5" xfId="19496" xr:uid="{00000000-0005-0000-0000-00006D320000}"/>
    <cellStyle name="Comma 12 35 2 6" xfId="34988" xr:uid="{00000000-0005-0000-0000-00006E320000}"/>
    <cellStyle name="Comma 12 35 3" xfId="4877" xr:uid="{00000000-0005-0000-0000-00006F320000}"/>
    <cellStyle name="Comma 12 35 3 2" xfId="8748" xr:uid="{00000000-0005-0000-0000-000070320000}"/>
    <cellStyle name="Comma 12 35 3 2 2" xfId="16493" xr:uid="{00000000-0005-0000-0000-000071320000}"/>
    <cellStyle name="Comma 12 35 3 2 2 2" xfId="32085" xr:uid="{00000000-0005-0000-0000-000072320000}"/>
    <cellStyle name="Comma 12 35 3 2 2 3" xfId="47577" xr:uid="{00000000-0005-0000-0000-000073320000}"/>
    <cellStyle name="Comma 12 35 3 2 3" xfId="24345" xr:uid="{00000000-0005-0000-0000-000074320000}"/>
    <cellStyle name="Comma 12 35 3 2 4" xfId="39837" xr:uid="{00000000-0005-0000-0000-000075320000}"/>
    <cellStyle name="Comma 12 35 3 3" xfId="12623" xr:uid="{00000000-0005-0000-0000-000076320000}"/>
    <cellStyle name="Comma 12 35 3 3 2" xfId="28215" xr:uid="{00000000-0005-0000-0000-000077320000}"/>
    <cellStyle name="Comma 12 35 3 3 3" xfId="43707" xr:uid="{00000000-0005-0000-0000-000078320000}"/>
    <cellStyle name="Comma 12 35 3 4" xfId="20475" xr:uid="{00000000-0005-0000-0000-000079320000}"/>
    <cellStyle name="Comma 12 35 3 5" xfId="35967" xr:uid="{00000000-0005-0000-0000-00007A320000}"/>
    <cellStyle name="Comma 12 35 4" xfId="6821" xr:uid="{00000000-0005-0000-0000-00007B320000}"/>
    <cellStyle name="Comma 12 35 4 2" xfId="14566" xr:uid="{00000000-0005-0000-0000-00007C320000}"/>
    <cellStyle name="Comma 12 35 4 2 2" xfId="30158" xr:uid="{00000000-0005-0000-0000-00007D320000}"/>
    <cellStyle name="Comma 12 35 4 2 3" xfId="45650" xr:uid="{00000000-0005-0000-0000-00007E320000}"/>
    <cellStyle name="Comma 12 35 4 3" xfId="22418" xr:uid="{00000000-0005-0000-0000-00007F320000}"/>
    <cellStyle name="Comma 12 35 4 4" xfId="37910" xr:uid="{00000000-0005-0000-0000-000080320000}"/>
    <cellStyle name="Comma 12 35 5" xfId="10696" xr:uid="{00000000-0005-0000-0000-000081320000}"/>
    <cellStyle name="Comma 12 35 5 2" xfId="26288" xr:uid="{00000000-0005-0000-0000-000082320000}"/>
    <cellStyle name="Comma 12 35 5 3" xfId="41780" xr:uid="{00000000-0005-0000-0000-000083320000}"/>
    <cellStyle name="Comma 12 35 6" xfId="18548" xr:uid="{00000000-0005-0000-0000-000084320000}"/>
    <cellStyle name="Comma 12 35 7" xfId="34040" xr:uid="{00000000-0005-0000-0000-000085320000}"/>
    <cellStyle name="Comma 12 36" xfId="2918" xr:uid="{00000000-0005-0000-0000-000086320000}"/>
    <cellStyle name="Comma 12 36 2" xfId="3922" xr:uid="{00000000-0005-0000-0000-000087320000}"/>
    <cellStyle name="Comma 12 36 2 2" xfId="5861" xr:uid="{00000000-0005-0000-0000-000088320000}"/>
    <cellStyle name="Comma 12 36 2 2 2" xfId="9732" xr:uid="{00000000-0005-0000-0000-000089320000}"/>
    <cellStyle name="Comma 12 36 2 2 2 2" xfId="17477" xr:uid="{00000000-0005-0000-0000-00008A320000}"/>
    <cellStyle name="Comma 12 36 2 2 2 2 2" xfId="33069" xr:uid="{00000000-0005-0000-0000-00008B320000}"/>
    <cellStyle name="Comma 12 36 2 2 2 2 3" xfId="48561" xr:uid="{00000000-0005-0000-0000-00008C320000}"/>
    <cellStyle name="Comma 12 36 2 2 2 3" xfId="25329" xr:uid="{00000000-0005-0000-0000-00008D320000}"/>
    <cellStyle name="Comma 12 36 2 2 2 4" xfId="40821" xr:uid="{00000000-0005-0000-0000-00008E320000}"/>
    <cellStyle name="Comma 12 36 2 2 3" xfId="13607" xr:uid="{00000000-0005-0000-0000-00008F320000}"/>
    <cellStyle name="Comma 12 36 2 2 3 2" xfId="29199" xr:uid="{00000000-0005-0000-0000-000090320000}"/>
    <cellStyle name="Comma 12 36 2 2 3 3" xfId="44691" xr:uid="{00000000-0005-0000-0000-000091320000}"/>
    <cellStyle name="Comma 12 36 2 2 4" xfId="21459" xr:uid="{00000000-0005-0000-0000-000092320000}"/>
    <cellStyle name="Comma 12 36 2 2 5" xfId="36951" xr:uid="{00000000-0005-0000-0000-000093320000}"/>
    <cellStyle name="Comma 12 36 2 3" xfId="7805" xr:uid="{00000000-0005-0000-0000-000094320000}"/>
    <cellStyle name="Comma 12 36 2 3 2" xfId="15550" xr:uid="{00000000-0005-0000-0000-000095320000}"/>
    <cellStyle name="Comma 12 36 2 3 2 2" xfId="31142" xr:uid="{00000000-0005-0000-0000-000096320000}"/>
    <cellStyle name="Comma 12 36 2 3 2 3" xfId="46634" xr:uid="{00000000-0005-0000-0000-000097320000}"/>
    <cellStyle name="Comma 12 36 2 3 3" xfId="23402" xr:uid="{00000000-0005-0000-0000-000098320000}"/>
    <cellStyle name="Comma 12 36 2 3 4" xfId="38894" xr:uid="{00000000-0005-0000-0000-000099320000}"/>
    <cellStyle name="Comma 12 36 2 4" xfId="11680" xr:uid="{00000000-0005-0000-0000-00009A320000}"/>
    <cellStyle name="Comma 12 36 2 4 2" xfId="27272" xr:uid="{00000000-0005-0000-0000-00009B320000}"/>
    <cellStyle name="Comma 12 36 2 4 3" xfId="42764" xr:uid="{00000000-0005-0000-0000-00009C320000}"/>
    <cellStyle name="Comma 12 36 2 5" xfId="19532" xr:uid="{00000000-0005-0000-0000-00009D320000}"/>
    <cellStyle name="Comma 12 36 2 6" xfId="35024" xr:uid="{00000000-0005-0000-0000-00009E320000}"/>
    <cellStyle name="Comma 12 36 3" xfId="4913" xr:uid="{00000000-0005-0000-0000-00009F320000}"/>
    <cellStyle name="Comma 12 36 3 2" xfId="8784" xr:uid="{00000000-0005-0000-0000-0000A0320000}"/>
    <cellStyle name="Comma 12 36 3 2 2" xfId="16529" xr:uid="{00000000-0005-0000-0000-0000A1320000}"/>
    <cellStyle name="Comma 12 36 3 2 2 2" xfId="32121" xr:uid="{00000000-0005-0000-0000-0000A2320000}"/>
    <cellStyle name="Comma 12 36 3 2 2 3" xfId="47613" xr:uid="{00000000-0005-0000-0000-0000A3320000}"/>
    <cellStyle name="Comma 12 36 3 2 3" xfId="24381" xr:uid="{00000000-0005-0000-0000-0000A4320000}"/>
    <cellStyle name="Comma 12 36 3 2 4" xfId="39873" xr:uid="{00000000-0005-0000-0000-0000A5320000}"/>
    <cellStyle name="Comma 12 36 3 3" xfId="12659" xr:uid="{00000000-0005-0000-0000-0000A6320000}"/>
    <cellStyle name="Comma 12 36 3 3 2" xfId="28251" xr:uid="{00000000-0005-0000-0000-0000A7320000}"/>
    <cellStyle name="Comma 12 36 3 3 3" xfId="43743" xr:uid="{00000000-0005-0000-0000-0000A8320000}"/>
    <cellStyle name="Comma 12 36 3 4" xfId="20511" xr:uid="{00000000-0005-0000-0000-0000A9320000}"/>
    <cellStyle name="Comma 12 36 3 5" xfId="36003" xr:uid="{00000000-0005-0000-0000-0000AA320000}"/>
    <cellStyle name="Comma 12 36 4" xfId="6857" xr:uid="{00000000-0005-0000-0000-0000AB320000}"/>
    <cellStyle name="Comma 12 36 4 2" xfId="14602" xr:uid="{00000000-0005-0000-0000-0000AC320000}"/>
    <cellStyle name="Comma 12 36 4 2 2" xfId="30194" xr:uid="{00000000-0005-0000-0000-0000AD320000}"/>
    <cellStyle name="Comma 12 36 4 2 3" xfId="45686" xr:uid="{00000000-0005-0000-0000-0000AE320000}"/>
    <cellStyle name="Comma 12 36 4 3" xfId="22454" xr:uid="{00000000-0005-0000-0000-0000AF320000}"/>
    <cellStyle name="Comma 12 36 4 4" xfId="37946" xr:uid="{00000000-0005-0000-0000-0000B0320000}"/>
    <cellStyle name="Comma 12 36 5" xfId="10732" xr:uid="{00000000-0005-0000-0000-0000B1320000}"/>
    <cellStyle name="Comma 12 36 5 2" xfId="26324" xr:uid="{00000000-0005-0000-0000-0000B2320000}"/>
    <cellStyle name="Comma 12 36 5 3" xfId="41816" xr:uid="{00000000-0005-0000-0000-0000B3320000}"/>
    <cellStyle name="Comma 12 36 6" xfId="18584" xr:uid="{00000000-0005-0000-0000-0000B4320000}"/>
    <cellStyle name="Comma 12 36 7" xfId="34076" xr:uid="{00000000-0005-0000-0000-0000B5320000}"/>
    <cellStyle name="Comma 12 37" xfId="2957" xr:uid="{00000000-0005-0000-0000-0000B6320000}"/>
    <cellStyle name="Comma 12 37 2" xfId="3958" xr:uid="{00000000-0005-0000-0000-0000B7320000}"/>
    <cellStyle name="Comma 12 37 2 2" xfId="5897" xr:uid="{00000000-0005-0000-0000-0000B8320000}"/>
    <cellStyle name="Comma 12 37 2 2 2" xfId="9768" xr:uid="{00000000-0005-0000-0000-0000B9320000}"/>
    <cellStyle name="Comma 12 37 2 2 2 2" xfId="17513" xr:uid="{00000000-0005-0000-0000-0000BA320000}"/>
    <cellStyle name="Comma 12 37 2 2 2 2 2" xfId="33105" xr:uid="{00000000-0005-0000-0000-0000BB320000}"/>
    <cellStyle name="Comma 12 37 2 2 2 2 3" xfId="48597" xr:uid="{00000000-0005-0000-0000-0000BC320000}"/>
    <cellStyle name="Comma 12 37 2 2 2 3" xfId="25365" xr:uid="{00000000-0005-0000-0000-0000BD320000}"/>
    <cellStyle name="Comma 12 37 2 2 2 4" xfId="40857" xr:uid="{00000000-0005-0000-0000-0000BE320000}"/>
    <cellStyle name="Comma 12 37 2 2 3" xfId="13643" xr:uid="{00000000-0005-0000-0000-0000BF320000}"/>
    <cellStyle name="Comma 12 37 2 2 3 2" xfId="29235" xr:uid="{00000000-0005-0000-0000-0000C0320000}"/>
    <cellStyle name="Comma 12 37 2 2 3 3" xfId="44727" xr:uid="{00000000-0005-0000-0000-0000C1320000}"/>
    <cellStyle name="Comma 12 37 2 2 4" xfId="21495" xr:uid="{00000000-0005-0000-0000-0000C2320000}"/>
    <cellStyle name="Comma 12 37 2 2 5" xfId="36987" xr:uid="{00000000-0005-0000-0000-0000C3320000}"/>
    <cellStyle name="Comma 12 37 2 3" xfId="7841" xr:uid="{00000000-0005-0000-0000-0000C4320000}"/>
    <cellStyle name="Comma 12 37 2 3 2" xfId="15586" xr:uid="{00000000-0005-0000-0000-0000C5320000}"/>
    <cellStyle name="Comma 12 37 2 3 2 2" xfId="31178" xr:uid="{00000000-0005-0000-0000-0000C6320000}"/>
    <cellStyle name="Comma 12 37 2 3 2 3" xfId="46670" xr:uid="{00000000-0005-0000-0000-0000C7320000}"/>
    <cellStyle name="Comma 12 37 2 3 3" xfId="23438" xr:uid="{00000000-0005-0000-0000-0000C8320000}"/>
    <cellStyle name="Comma 12 37 2 3 4" xfId="38930" xr:uid="{00000000-0005-0000-0000-0000C9320000}"/>
    <cellStyle name="Comma 12 37 2 4" xfId="11716" xr:uid="{00000000-0005-0000-0000-0000CA320000}"/>
    <cellStyle name="Comma 12 37 2 4 2" xfId="27308" xr:uid="{00000000-0005-0000-0000-0000CB320000}"/>
    <cellStyle name="Comma 12 37 2 4 3" xfId="42800" xr:uid="{00000000-0005-0000-0000-0000CC320000}"/>
    <cellStyle name="Comma 12 37 2 5" xfId="19568" xr:uid="{00000000-0005-0000-0000-0000CD320000}"/>
    <cellStyle name="Comma 12 37 2 6" xfId="35060" xr:uid="{00000000-0005-0000-0000-0000CE320000}"/>
    <cellStyle name="Comma 12 37 3" xfId="4949" xr:uid="{00000000-0005-0000-0000-0000CF320000}"/>
    <cellStyle name="Comma 12 37 3 2" xfId="8820" xr:uid="{00000000-0005-0000-0000-0000D0320000}"/>
    <cellStyle name="Comma 12 37 3 2 2" xfId="16565" xr:uid="{00000000-0005-0000-0000-0000D1320000}"/>
    <cellStyle name="Comma 12 37 3 2 2 2" xfId="32157" xr:uid="{00000000-0005-0000-0000-0000D2320000}"/>
    <cellStyle name="Comma 12 37 3 2 2 3" xfId="47649" xr:uid="{00000000-0005-0000-0000-0000D3320000}"/>
    <cellStyle name="Comma 12 37 3 2 3" xfId="24417" xr:uid="{00000000-0005-0000-0000-0000D4320000}"/>
    <cellStyle name="Comma 12 37 3 2 4" xfId="39909" xr:uid="{00000000-0005-0000-0000-0000D5320000}"/>
    <cellStyle name="Comma 12 37 3 3" xfId="12695" xr:uid="{00000000-0005-0000-0000-0000D6320000}"/>
    <cellStyle name="Comma 12 37 3 3 2" xfId="28287" xr:uid="{00000000-0005-0000-0000-0000D7320000}"/>
    <cellStyle name="Comma 12 37 3 3 3" xfId="43779" xr:uid="{00000000-0005-0000-0000-0000D8320000}"/>
    <cellStyle name="Comma 12 37 3 4" xfId="20547" xr:uid="{00000000-0005-0000-0000-0000D9320000}"/>
    <cellStyle name="Comma 12 37 3 5" xfId="36039" xr:uid="{00000000-0005-0000-0000-0000DA320000}"/>
    <cellStyle name="Comma 12 37 4" xfId="6893" xr:uid="{00000000-0005-0000-0000-0000DB320000}"/>
    <cellStyle name="Comma 12 37 4 2" xfId="14638" xr:uid="{00000000-0005-0000-0000-0000DC320000}"/>
    <cellStyle name="Comma 12 37 4 2 2" xfId="30230" xr:uid="{00000000-0005-0000-0000-0000DD320000}"/>
    <cellStyle name="Comma 12 37 4 2 3" xfId="45722" xr:uid="{00000000-0005-0000-0000-0000DE320000}"/>
    <cellStyle name="Comma 12 37 4 3" xfId="22490" xr:uid="{00000000-0005-0000-0000-0000DF320000}"/>
    <cellStyle name="Comma 12 37 4 4" xfId="37982" xr:uid="{00000000-0005-0000-0000-0000E0320000}"/>
    <cellStyle name="Comma 12 37 5" xfId="10768" xr:uid="{00000000-0005-0000-0000-0000E1320000}"/>
    <cellStyle name="Comma 12 37 5 2" xfId="26360" xr:uid="{00000000-0005-0000-0000-0000E2320000}"/>
    <cellStyle name="Comma 12 37 5 3" xfId="41852" xr:uid="{00000000-0005-0000-0000-0000E3320000}"/>
    <cellStyle name="Comma 12 37 6" xfId="18620" xr:uid="{00000000-0005-0000-0000-0000E4320000}"/>
    <cellStyle name="Comma 12 37 7" xfId="34112" xr:uid="{00000000-0005-0000-0000-0000E5320000}"/>
    <cellStyle name="Comma 12 38" xfId="2997" xr:uid="{00000000-0005-0000-0000-0000E6320000}"/>
    <cellStyle name="Comma 12 38 2" xfId="3994" xr:uid="{00000000-0005-0000-0000-0000E7320000}"/>
    <cellStyle name="Comma 12 38 2 2" xfId="5933" xr:uid="{00000000-0005-0000-0000-0000E8320000}"/>
    <cellStyle name="Comma 12 38 2 2 2" xfId="9804" xr:uid="{00000000-0005-0000-0000-0000E9320000}"/>
    <cellStyle name="Comma 12 38 2 2 2 2" xfId="17549" xr:uid="{00000000-0005-0000-0000-0000EA320000}"/>
    <cellStyle name="Comma 12 38 2 2 2 2 2" xfId="33141" xr:uid="{00000000-0005-0000-0000-0000EB320000}"/>
    <cellStyle name="Comma 12 38 2 2 2 2 3" xfId="48633" xr:uid="{00000000-0005-0000-0000-0000EC320000}"/>
    <cellStyle name="Comma 12 38 2 2 2 3" xfId="25401" xr:uid="{00000000-0005-0000-0000-0000ED320000}"/>
    <cellStyle name="Comma 12 38 2 2 2 4" xfId="40893" xr:uid="{00000000-0005-0000-0000-0000EE320000}"/>
    <cellStyle name="Comma 12 38 2 2 3" xfId="13679" xr:uid="{00000000-0005-0000-0000-0000EF320000}"/>
    <cellStyle name="Comma 12 38 2 2 3 2" xfId="29271" xr:uid="{00000000-0005-0000-0000-0000F0320000}"/>
    <cellStyle name="Comma 12 38 2 2 3 3" xfId="44763" xr:uid="{00000000-0005-0000-0000-0000F1320000}"/>
    <cellStyle name="Comma 12 38 2 2 4" xfId="21531" xr:uid="{00000000-0005-0000-0000-0000F2320000}"/>
    <cellStyle name="Comma 12 38 2 2 5" xfId="37023" xr:uid="{00000000-0005-0000-0000-0000F3320000}"/>
    <cellStyle name="Comma 12 38 2 3" xfId="7877" xr:uid="{00000000-0005-0000-0000-0000F4320000}"/>
    <cellStyle name="Comma 12 38 2 3 2" xfId="15622" xr:uid="{00000000-0005-0000-0000-0000F5320000}"/>
    <cellStyle name="Comma 12 38 2 3 2 2" xfId="31214" xr:uid="{00000000-0005-0000-0000-0000F6320000}"/>
    <cellStyle name="Comma 12 38 2 3 2 3" xfId="46706" xr:uid="{00000000-0005-0000-0000-0000F7320000}"/>
    <cellStyle name="Comma 12 38 2 3 3" xfId="23474" xr:uid="{00000000-0005-0000-0000-0000F8320000}"/>
    <cellStyle name="Comma 12 38 2 3 4" xfId="38966" xr:uid="{00000000-0005-0000-0000-0000F9320000}"/>
    <cellStyle name="Comma 12 38 2 4" xfId="11752" xr:uid="{00000000-0005-0000-0000-0000FA320000}"/>
    <cellStyle name="Comma 12 38 2 4 2" xfId="27344" xr:uid="{00000000-0005-0000-0000-0000FB320000}"/>
    <cellStyle name="Comma 12 38 2 4 3" xfId="42836" xr:uid="{00000000-0005-0000-0000-0000FC320000}"/>
    <cellStyle name="Comma 12 38 2 5" xfId="19604" xr:uid="{00000000-0005-0000-0000-0000FD320000}"/>
    <cellStyle name="Comma 12 38 2 6" xfId="35096" xr:uid="{00000000-0005-0000-0000-0000FE320000}"/>
    <cellStyle name="Comma 12 38 3" xfId="4985" xr:uid="{00000000-0005-0000-0000-0000FF320000}"/>
    <cellStyle name="Comma 12 38 3 2" xfId="8856" xr:uid="{00000000-0005-0000-0000-000000330000}"/>
    <cellStyle name="Comma 12 38 3 2 2" xfId="16601" xr:uid="{00000000-0005-0000-0000-000001330000}"/>
    <cellStyle name="Comma 12 38 3 2 2 2" xfId="32193" xr:uid="{00000000-0005-0000-0000-000002330000}"/>
    <cellStyle name="Comma 12 38 3 2 2 3" xfId="47685" xr:uid="{00000000-0005-0000-0000-000003330000}"/>
    <cellStyle name="Comma 12 38 3 2 3" xfId="24453" xr:uid="{00000000-0005-0000-0000-000004330000}"/>
    <cellStyle name="Comma 12 38 3 2 4" xfId="39945" xr:uid="{00000000-0005-0000-0000-000005330000}"/>
    <cellStyle name="Comma 12 38 3 3" xfId="12731" xr:uid="{00000000-0005-0000-0000-000006330000}"/>
    <cellStyle name="Comma 12 38 3 3 2" xfId="28323" xr:uid="{00000000-0005-0000-0000-000007330000}"/>
    <cellStyle name="Comma 12 38 3 3 3" xfId="43815" xr:uid="{00000000-0005-0000-0000-000008330000}"/>
    <cellStyle name="Comma 12 38 3 4" xfId="20583" xr:uid="{00000000-0005-0000-0000-000009330000}"/>
    <cellStyle name="Comma 12 38 3 5" xfId="36075" xr:uid="{00000000-0005-0000-0000-00000A330000}"/>
    <cellStyle name="Comma 12 38 4" xfId="6929" xr:uid="{00000000-0005-0000-0000-00000B330000}"/>
    <cellStyle name="Comma 12 38 4 2" xfId="14674" xr:uid="{00000000-0005-0000-0000-00000C330000}"/>
    <cellStyle name="Comma 12 38 4 2 2" xfId="30266" xr:uid="{00000000-0005-0000-0000-00000D330000}"/>
    <cellStyle name="Comma 12 38 4 2 3" xfId="45758" xr:uid="{00000000-0005-0000-0000-00000E330000}"/>
    <cellStyle name="Comma 12 38 4 3" xfId="22526" xr:uid="{00000000-0005-0000-0000-00000F330000}"/>
    <cellStyle name="Comma 12 38 4 4" xfId="38018" xr:uid="{00000000-0005-0000-0000-000010330000}"/>
    <cellStyle name="Comma 12 38 5" xfId="10804" xr:uid="{00000000-0005-0000-0000-000011330000}"/>
    <cellStyle name="Comma 12 38 5 2" xfId="26396" xr:uid="{00000000-0005-0000-0000-000012330000}"/>
    <cellStyle name="Comma 12 38 5 3" xfId="41888" xr:uid="{00000000-0005-0000-0000-000013330000}"/>
    <cellStyle name="Comma 12 38 6" xfId="18656" xr:uid="{00000000-0005-0000-0000-000014330000}"/>
    <cellStyle name="Comma 12 38 7" xfId="34148" xr:uid="{00000000-0005-0000-0000-000015330000}"/>
    <cellStyle name="Comma 12 39" xfId="3035" xr:uid="{00000000-0005-0000-0000-000016330000}"/>
    <cellStyle name="Comma 12 39 2" xfId="4030" xr:uid="{00000000-0005-0000-0000-000017330000}"/>
    <cellStyle name="Comma 12 39 2 2" xfId="5969" xr:uid="{00000000-0005-0000-0000-000018330000}"/>
    <cellStyle name="Comma 12 39 2 2 2" xfId="9840" xr:uid="{00000000-0005-0000-0000-000019330000}"/>
    <cellStyle name="Comma 12 39 2 2 2 2" xfId="17585" xr:uid="{00000000-0005-0000-0000-00001A330000}"/>
    <cellStyle name="Comma 12 39 2 2 2 2 2" xfId="33177" xr:uid="{00000000-0005-0000-0000-00001B330000}"/>
    <cellStyle name="Comma 12 39 2 2 2 2 3" xfId="48669" xr:uid="{00000000-0005-0000-0000-00001C330000}"/>
    <cellStyle name="Comma 12 39 2 2 2 3" xfId="25437" xr:uid="{00000000-0005-0000-0000-00001D330000}"/>
    <cellStyle name="Comma 12 39 2 2 2 4" xfId="40929" xr:uid="{00000000-0005-0000-0000-00001E330000}"/>
    <cellStyle name="Comma 12 39 2 2 3" xfId="13715" xr:uid="{00000000-0005-0000-0000-00001F330000}"/>
    <cellStyle name="Comma 12 39 2 2 3 2" xfId="29307" xr:uid="{00000000-0005-0000-0000-000020330000}"/>
    <cellStyle name="Comma 12 39 2 2 3 3" xfId="44799" xr:uid="{00000000-0005-0000-0000-000021330000}"/>
    <cellStyle name="Comma 12 39 2 2 4" xfId="21567" xr:uid="{00000000-0005-0000-0000-000022330000}"/>
    <cellStyle name="Comma 12 39 2 2 5" xfId="37059" xr:uid="{00000000-0005-0000-0000-000023330000}"/>
    <cellStyle name="Comma 12 39 2 3" xfId="7913" xr:uid="{00000000-0005-0000-0000-000024330000}"/>
    <cellStyle name="Comma 12 39 2 3 2" xfId="15658" xr:uid="{00000000-0005-0000-0000-000025330000}"/>
    <cellStyle name="Comma 12 39 2 3 2 2" xfId="31250" xr:uid="{00000000-0005-0000-0000-000026330000}"/>
    <cellStyle name="Comma 12 39 2 3 2 3" xfId="46742" xr:uid="{00000000-0005-0000-0000-000027330000}"/>
    <cellStyle name="Comma 12 39 2 3 3" xfId="23510" xr:uid="{00000000-0005-0000-0000-000028330000}"/>
    <cellStyle name="Comma 12 39 2 3 4" xfId="39002" xr:uid="{00000000-0005-0000-0000-000029330000}"/>
    <cellStyle name="Comma 12 39 2 4" xfId="11788" xr:uid="{00000000-0005-0000-0000-00002A330000}"/>
    <cellStyle name="Comma 12 39 2 4 2" xfId="27380" xr:uid="{00000000-0005-0000-0000-00002B330000}"/>
    <cellStyle name="Comma 12 39 2 4 3" xfId="42872" xr:uid="{00000000-0005-0000-0000-00002C330000}"/>
    <cellStyle name="Comma 12 39 2 5" xfId="19640" xr:uid="{00000000-0005-0000-0000-00002D330000}"/>
    <cellStyle name="Comma 12 39 2 6" xfId="35132" xr:uid="{00000000-0005-0000-0000-00002E330000}"/>
    <cellStyle name="Comma 12 39 3" xfId="5021" xr:uid="{00000000-0005-0000-0000-00002F330000}"/>
    <cellStyle name="Comma 12 39 3 2" xfId="8892" xr:uid="{00000000-0005-0000-0000-000030330000}"/>
    <cellStyle name="Comma 12 39 3 2 2" xfId="16637" xr:uid="{00000000-0005-0000-0000-000031330000}"/>
    <cellStyle name="Comma 12 39 3 2 2 2" xfId="32229" xr:uid="{00000000-0005-0000-0000-000032330000}"/>
    <cellStyle name="Comma 12 39 3 2 2 3" xfId="47721" xr:uid="{00000000-0005-0000-0000-000033330000}"/>
    <cellStyle name="Comma 12 39 3 2 3" xfId="24489" xr:uid="{00000000-0005-0000-0000-000034330000}"/>
    <cellStyle name="Comma 12 39 3 2 4" xfId="39981" xr:uid="{00000000-0005-0000-0000-000035330000}"/>
    <cellStyle name="Comma 12 39 3 3" xfId="12767" xr:uid="{00000000-0005-0000-0000-000036330000}"/>
    <cellStyle name="Comma 12 39 3 3 2" xfId="28359" xr:uid="{00000000-0005-0000-0000-000037330000}"/>
    <cellStyle name="Comma 12 39 3 3 3" xfId="43851" xr:uid="{00000000-0005-0000-0000-000038330000}"/>
    <cellStyle name="Comma 12 39 3 4" xfId="20619" xr:uid="{00000000-0005-0000-0000-000039330000}"/>
    <cellStyle name="Comma 12 39 3 5" xfId="36111" xr:uid="{00000000-0005-0000-0000-00003A330000}"/>
    <cellStyle name="Comma 12 39 4" xfId="6965" xr:uid="{00000000-0005-0000-0000-00003B330000}"/>
    <cellStyle name="Comma 12 39 4 2" xfId="14710" xr:uid="{00000000-0005-0000-0000-00003C330000}"/>
    <cellStyle name="Comma 12 39 4 2 2" xfId="30302" xr:uid="{00000000-0005-0000-0000-00003D330000}"/>
    <cellStyle name="Comma 12 39 4 2 3" xfId="45794" xr:uid="{00000000-0005-0000-0000-00003E330000}"/>
    <cellStyle name="Comma 12 39 4 3" xfId="22562" xr:uid="{00000000-0005-0000-0000-00003F330000}"/>
    <cellStyle name="Comma 12 39 4 4" xfId="38054" xr:uid="{00000000-0005-0000-0000-000040330000}"/>
    <cellStyle name="Comma 12 39 5" xfId="10840" xr:uid="{00000000-0005-0000-0000-000041330000}"/>
    <cellStyle name="Comma 12 39 5 2" xfId="26432" xr:uid="{00000000-0005-0000-0000-000042330000}"/>
    <cellStyle name="Comma 12 39 5 3" xfId="41924" xr:uid="{00000000-0005-0000-0000-000043330000}"/>
    <cellStyle name="Comma 12 39 6" xfId="18692" xr:uid="{00000000-0005-0000-0000-000044330000}"/>
    <cellStyle name="Comma 12 39 7" xfId="34184" xr:uid="{00000000-0005-0000-0000-000045330000}"/>
    <cellStyle name="Comma 12 4" xfId="836" xr:uid="{00000000-0005-0000-0000-000046330000}"/>
    <cellStyle name="Comma 12 40" xfId="3072" xr:uid="{00000000-0005-0000-0000-000047330000}"/>
    <cellStyle name="Comma 12 40 2" xfId="4066" xr:uid="{00000000-0005-0000-0000-000048330000}"/>
    <cellStyle name="Comma 12 40 2 2" xfId="6005" xr:uid="{00000000-0005-0000-0000-000049330000}"/>
    <cellStyle name="Comma 12 40 2 2 2" xfId="9876" xr:uid="{00000000-0005-0000-0000-00004A330000}"/>
    <cellStyle name="Comma 12 40 2 2 2 2" xfId="17621" xr:uid="{00000000-0005-0000-0000-00004B330000}"/>
    <cellStyle name="Comma 12 40 2 2 2 2 2" xfId="33213" xr:uid="{00000000-0005-0000-0000-00004C330000}"/>
    <cellStyle name="Comma 12 40 2 2 2 2 3" xfId="48705" xr:uid="{00000000-0005-0000-0000-00004D330000}"/>
    <cellStyle name="Comma 12 40 2 2 2 3" xfId="25473" xr:uid="{00000000-0005-0000-0000-00004E330000}"/>
    <cellStyle name="Comma 12 40 2 2 2 4" xfId="40965" xr:uid="{00000000-0005-0000-0000-00004F330000}"/>
    <cellStyle name="Comma 12 40 2 2 3" xfId="13751" xr:uid="{00000000-0005-0000-0000-000050330000}"/>
    <cellStyle name="Comma 12 40 2 2 3 2" xfId="29343" xr:uid="{00000000-0005-0000-0000-000051330000}"/>
    <cellStyle name="Comma 12 40 2 2 3 3" xfId="44835" xr:uid="{00000000-0005-0000-0000-000052330000}"/>
    <cellStyle name="Comma 12 40 2 2 4" xfId="21603" xr:uid="{00000000-0005-0000-0000-000053330000}"/>
    <cellStyle name="Comma 12 40 2 2 5" xfId="37095" xr:uid="{00000000-0005-0000-0000-000054330000}"/>
    <cellStyle name="Comma 12 40 2 3" xfId="7949" xr:uid="{00000000-0005-0000-0000-000055330000}"/>
    <cellStyle name="Comma 12 40 2 3 2" xfId="15694" xr:uid="{00000000-0005-0000-0000-000056330000}"/>
    <cellStyle name="Comma 12 40 2 3 2 2" xfId="31286" xr:uid="{00000000-0005-0000-0000-000057330000}"/>
    <cellStyle name="Comma 12 40 2 3 2 3" xfId="46778" xr:uid="{00000000-0005-0000-0000-000058330000}"/>
    <cellStyle name="Comma 12 40 2 3 3" xfId="23546" xr:uid="{00000000-0005-0000-0000-000059330000}"/>
    <cellStyle name="Comma 12 40 2 3 4" xfId="39038" xr:uid="{00000000-0005-0000-0000-00005A330000}"/>
    <cellStyle name="Comma 12 40 2 4" xfId="11824" xr:uid="{00000000-0005-0000-0000-00005B330000}"/>
    <cellStyle name="Comma 12 40 2 4 2" xfId="27416" xr:uid="{00000000-0005-0000-0000-00005C330000}"/>
    <cellStyle name="Comma 12 40 2 4 3" xfId="42908" xr:uid="{00000000-0005-0000-0000-00005D330000}"/>
    <cellStyle name="Comma 12 40 2 5" xfId="19676" xr:uid="{00000000-0005-0000-0000-00005E330000}"/>
    <cellStyle name="Comma 12 40 2 6" xfId="35168" xr:uid="{00000000-0005-0000-0000-00005F330000}"/>
    <cellStyle name="Comma 12 40 3" xfId="5057" xr:uid="{00000000-0005-0000-0000-000060330000}"/>
    <cellStyle name="Comma 12 40 3 2" xfId="8928" xr:uid="{00000000-0005-0000-0000-000061330000}"/>
    <cellStyle name="Comma 12 40 3 2 2" xfId="16673" xr:uid="{00000000-0005-0000-0000-000062330000}"/>
    <cellStyle name="Comma 12 40 3 2 2 2" xfId="32265" xr:uid="{00000000-0005-0000-0000-000063330000}"/>
    <cellStyle name="Comma 12 40 3 2 2 3" xfId="47757" xr:uid="{00000000-0005-0000-0000-000064330000}"/>
    <cellStyle name="Comma 12 40 3 2 3" xfId="24525" xr:uid="{00000000-0005-0000-0000-000065330000}"/>
    <cellStyle name="Comma 12 40 3 2 4" xfId="40017" xr:uid="{00000000-0005-0000-0000-000066330000}"/>
    <cellStyle name="Comma 12 40 3 3" xfId="12803" xr:uid="{00000000-0005-0000-0000-000067330000}"/>
    <cellStyle name="Comma 12 40 3 3 2" xfId="28395" xr:uid="{00000000-0005-0000-0000-000068330000}"/>
    <cellStyle name="Comma 12 40 3 3 3" xfId="43887" xr:uid="{00000000-0005-0000-0000-000069330000}"/>
    <cellStyle name="Comma 12 40 3 4" xfId="20655" xr:uid="{00000000-0005-0000-0000-00006A330000}"/>
    <cellStyle name="Comma 12 40 3 5" xfId="36147" xr:uid="{00000000-0005-0000-0000-00006B330000}"/>
    <cellStyle name="Comma 12 40 4" xfId="7001" xr:uid="{00000000-0005-0000-0000-00006C330000}"/>
    <cellStyle name="Comma 12 40 4 2" xfId="14746" xr:uid="{00000000-0005-0000-0000-00006D330000}"/>
    <cellStyle name="Comma 12 40 4 2 2" xfId="30338" xr:uid="{00000000-0005-0000-0000-00006E330000}"/>
    <cellStyle name="Comma 12 40 4 2 3" xfId="45830" xr:uid="{00000000-0005-0000-0000-00006F330000}"/>
    <cellStyle name="Comma 12 40 4 3" xfId="22598" xr:uid="{00000000-0005-0000-0000-000070330000}"/>
    <cellStyle name="Comma 12 40 4 4" xfId="38090" xr:uid="{00000000-0005-0000-0000-000071330000}"/>
    <cellStyle name="Comma 12 40 5" xfId="10876" xr:uid="{00000000-0005-0000-0000-000072330000}"/>
    <cellStyle name="Comma 12 40 5 2" xfId="26468" xr:uid="{00000000-0005-0000-0000-000073330000}"/>
    <cellStyle name="Comma 12 40 5 3" xfId="41960" xr:uid="{00000000-0005-0000-0000-000074330000}"/>
    <cellStyle name="Comma 12 40 6" xfId="18728" xr:uid="{00000000-0005-0000-0000-000075330000}"/>
    <cellStyle name="Comma 12 40 7" xfId="34220" xr:uid="{00000000-0005-0000-0000-000076330000}"/>
    <cellStyle name="Comma 12 41" xfId="3119" xr:uid="{00000000-0005-0000-0000-000077330000}"/>
    <cellStyle name="Comma 12 41 2" xfId="4102" xr:uid="{00000000-0005-0000-0000-000078330000}"/>
    <cellStyle name="Comma 12 41 2 2" xfId="6041" xr:uid="{00000000-0005-0000-0000-000079330000}"/>
    <cellStyle name="Comma 12 41 2 2 2" xfId="9912" xr:uid="{00000000-0005-0000-0000-00007A330000}"/>
    <cellStyle name="Comma 12 41 2 2 2 2" xfId="17657" xr:uid="{00000000-0005-0000-0000-00007B330000}"/>
    <cellStyle name="Comma 12 41 2 2 2 2 2" xfId="33249" xr:uid="{00000000-0005-0000-0000-00007C330000}"/>
    <cellStyle name="Comma 12 41 2 2 2 2 3" xfId="48741" xr:uid="{00000000-0005-0000-0000-00007D330000}"/>
    <cellStyle name="Comma 12 41 2 2 2 3" xfId="25509" xr:uid="{00000000-0005-0000-0000-00007E330000}"/>
    <cellStyle name="Comma 12 41 2 2 2 4" xfId="41001" xr:uid="{00000000-0005-0000-0000-00007F330000}"/>
    <cellStyle name="Comma 12 41 2 2 3" xfId="13787" xr:uid="{00000000-0005-0000-0000-000080330000}"/>
    <cellStyle name="Comma 12 41 2 2 3 2" xfId="29379" xr:uid="{00000000-0005-0000-0000-000081330000}"/>
    <cellStyle name="Comma 12 41 2 2 3 3" xfId="44871" xr:uid="{00000000-0005-0000-0000-000082330000}"/>
    <cellStyle name="Comma 12 41 2 2 4" xfId="21639" xr:uid="{00000000-0005-0000-0000-000083330000}"/>
    <cellStyle name="Comma 12 41 2 2 5" xfId="37131" xr:uid="{00000000-0005-0000-0000-000084330000}"/>
    <cellStyle name="Comma 12 41 2 3" xfId="7985" xr:uid="{00000000-0005-0000-0000-000085330000}"/>
    <cellStyle name="Comma 12 41 2 3 2" xfId="15730" xr:uid="{00000000-0005-0000-0000-000086330000}"/>
    <cellStyle name="Comma 12 41 2 3 2 2" xfId="31322" xr:uid="{00000000-0005-0000-0000-000087330000}"/>
    <cellStyle name="Comma 12 41 2 3 2 3" xfId="46814" xr:uid="{00000000-0005-0000-0000-000088330000}"/>
    <cellStyle name="Comma 12 41 2 3 3" xfId="23582" xr:uid="{00000000-0005-0000-0000-000089330000}"/>
    <cellStyle name="Comma 12 41 2 3 4" xfId="39074" xr:uid="{00000000-0005-0000-0000-00008A330000}"/>
    <cellStyle name="Comma 12 41 2 4" xfId="11860" xr:uid="{00000000-0005-0000-0000-00008B330000}"/>
    <cellStyle name="Comma 12 41 2 4 2" xfId="27452" xr:uid="{00000000-0005-0000-0000-00008C330000}"/>
    <cellStyle name="Comma 12 41 2 4 3" xfId="42944" xr:uid="{00000000-0005-0000-0000-00008D330000}"/>
    <cellStyle name="Comma 12 41 2 5" xfId="19712" xr:uid="{00000000-0005-0000-0000-00008E330000}"/>
    <cellStyle name="Comma 12 41 2 6" xfId="35204" xr:uid="{00000000-0005-0000-0000-00008F330000}"/>
    <cellStyle name="Comma 12 41 3" xfId="5093" xr:uid="{00000000-0005-0000-0000-000090330000}"/>
    <cellStyle name="Comma 12 41 3 2" xfId="8964" xr:uid="{00000000-0005-0000-0000-000091330000}"/>
    <cellStyle name="Comma 12 41 3 2 2" xfId="16709" xr:uid="{00000000-0005-0000-0000-000092330000}"/>
    <cellStyle name="Comma 12 41 3 2 2 2" xfId="32301" xr:uid="{00000000-0005-0000-0000-000093330000}"/>
    <cellStyle name="Comma 12 41 3 2 2 3" xfId="47793" xr:uid="{00000000-0005-0000-0000-000094330000}"/>
    <cellStyle name="Comma 12 41 3 2 3" xfId="24561" xr:uid="{00000000-0005-0000-0000-000095330000}"/>
    <cellStyle name="Comma 12 41 3 2 4" xfId="40053" xr:uid="{00000000-0005-0000-0000-000096330000}"/>
    <cellStyle name="Comma 12 41 3 3" xfId="12839" xr:uid="{00000000-0005-0000-0000-000097330000}"/>
    <cellStyle name="Comma 12 41 3 3 2" xfId="28431" xr:uid="{00000000-0005-0000-0000-000098330000}"/>
    <cellStyle name="Comma 12 41 3 3 3" xfId="43923" xr:uid="{00000000-0005-0000-0000-000099330000}"/>
    <cellStyle name="Comma 12 41 3 4" xfId="20691" xr:uid="{00000000-0005-0000-0000-00009A330000}"/>
    <cellStyle name="Comma 12 41 3 5" xfId="36183" xr:uid="{00000000-0005-0000-0000-00009B330000}"/>
    <cellStyle name="Comma 12 41 4" xfId="7037" xr:uid="{00000000-0005-0000-0000-00009C330000}"/>
    <cellStyle name="Comma 12 41 4 2" xfId="14782" xr:uid="{00000000-0005-0000-0000-00009D330000}"/>
    <cellStyle name="Comma 12 41 4 2 2" xfId="30374" xr:uid="{00000000-0005-0000-0000-00009E330000}"/>
    <cellStyle name="Comma 12 41 4 2 3" xfId="45866" xr:uid="{00000000-0005-0000-0000-00009F330000}"/>
    <cellStyle name="Comma 12 41 4 3" xfId="22634" xr:uid="{00000000-0005-0000-0000-0000A0330000}"/>
    <cellStyle name="Comma 12 41 4 4" xfId="38126" xr:uid="{00000000-0005-0000-0000-0000A1330000}"/>
    <cellStyle name="Comma 12 41 5" xfId="10912" xr:uid="{00000000-0005-0000-0000-0000A2330000}"/>
    <cellStyle name="Comma 12 41 5 2" xfId="26504" xr:uid="{00000000-0005-0000-0000-0000A3330000}"/>
    <cellStyle name="Comma 12 41 5 3" xfId="41996" xr:uid="{00000000-0005-0000-0000-0000A4330000}"/>
    <cellStyle name="Comma 12 41 6" xfId="18764" xr:uid="{00000000-0005-0000-0000-0000A5330000}"/>
    <cellStyle name="Comma 12 41 7" xfId="34256" xr:uid="{00000000-0005-0000-0000-0000A6330000}"/>
    <cellStyle name="Comma 12 42" xfId="17771" xr:uid="{00000000-0005-0000-0000-0000A7330000}"/>
    <cellStyle name="Comma 12 42 2" xfId="33332" xr:uid="{00000000-0005-0000-0000-0000A8330000}"/>
    <cellStyle name="Comma 12 42 3" xfId="48824" xr:uid="{00000000-0005-0000-0000-0000A9330000}"/>
    <cellStyle name="Comma 12 42 4" xfId="49053" xr:uid="{1841BB3B-2773-429B-AE2C-C5DA5B048C1B}"/>
    <cellStyle name="Comma 12 43" xfId="48839" xr:uid="{00000000-0005-0000-0000-0000AA330000}"/>
    <cellStyle name="Comma 12 5" xfId="837" xr:uid="{00000000-0005-0000-0000-0000AB330000}"/>
    <cellStyle name="Comma 12 6" xfId="838" xr:uid="{00000000-0005-0000-0000-0000AC330000}"/>
    <cellStyle name="Comma 12 7" xfId="839" xr:uid="{00000000-0005-0000-0000-0000AD330000}"/>
    <cellStyle name="Comma 12 8" xfId="840" xr:uid="{00000000-0005-0000-0000-0000AE330000}"/>
    <cellStyle name="Comma 12 9" xfId="841" xr:uid="{00000000-0005-0000-0000-0000AF330000}"/>
    <cellStyle name="Comma 120" xfId="17775" xr:uid="{00000000-0005-0000-0000-0000B0330000}"/>
    <cellStyle name="Comma 121" xfId="17787" xr:uid="{00000000-0005-0000-0000-0000B1330000}"/>
    <cellStyle name="Comma 122" xfId="17798" xr:uid="{00000000-0005-0000-0000-0000B2330000}"/>
    <cellStyle name="Comma 123" xfId="17799" xr:uid="{00000000-0005-0000-0000-0000B3330000}"/>
    <cellStyle name="Comma 124" xfId="17800" xr:uid="{00000000-0005-0000-0000-0000B4330000}"/>
    <cellStyle name="Comma 125" xfId="17801" xr:uid="{00000000-0005-0000-0000-0000B5330000}"/>
    <cellStyle name="Comma 126" xfId="17803" xr:uid="{00000000-0005-0000-0000-0000B6330000}"/>
    <cellStyle name="Comma 127" xfId="17806" xr:uid="{00000000-0005-0000-0000-0000B7330000}"/>
    <cellStyle name="Comma 127 2" xfId="49054" xr:uid="{D372AAB6-DF86-4CF7-9FCC-02E53E199C4D}"/>
    <cellStyle name="Comma 128" xfId="17833" xr:uid="{00000000-0005-0000-0000-0000B8330000}"/>
    <cellStyle name="Comma 129" xfId="17835" xr:uid="{00000000-0005-0000-0000-0000B9330000}"/>
    <cellStyle name="Comma 13" xfId="842" xr:uid="{00000000-0005-0000-0000-0000BA330000}"/>
    <cellStyle name="Comma 13 10" xfId="843" xr:uid="{00000000-0005-0000-0000-0000BB330000}"/>
    <cellStyle name="Comma 13 11" xfId="844" xr:uid="{00000000-0005-0000-0000-0000BC330000}"/>
    <cellStyle name="Comma 13 12" xfId="845" xr:uid="{00000000-0005-0000-0000-0000BD330000}"/>
    <cellStyle name="Comma 13 13" xfId="846" xr:uid="{00000000-0005-0000-0000-0000BE330000}"/>
    <cellStyle name="Comma 13 14" xfId="847" xr:uid="{00000000-0005-0000-0000-0000BF330000}"/>
    <cellStyle name="Comma 13 15" xfId="848" xr:uid="{00000000-0005-0000-0000-0000C0330000}"/>
    <cellStyle name="Comma 13 16" xfId="849" xr:uid="{00000000-0005-0000-0000-0000C1330000}"/>
    <cellStyle name="Comma 13 17" xfId="850" xr:uid="{00000000-0005-0000-0000-0000C2330000}"/>
    <cellStyle name="Comma 13 18" xfId="851" xr:uid="{00000000-0005-0000-0000-0000C3330000}"/>
    <cellStyle name="Comma 13 19" xfId="852" xr:uid="{00000000-0005-0000-0000-0000C4330000}"/>
    <cellStyle name="Comma 13 2" xfId="853" xr:uid="{00000000-0005-0000-0000-0000C5330000}"/>
    <cellStyle name="Comma 13 2 2" xfId="48961" xr:uid="{00000000-0005-0000-0000-0000C6330000}"/>
    <cellStyle name="Comma 13 2 3" xfId="48962" xr:uid="{00000000-0005-0000-0000-0000C7330000}"/>
    <cellStyle name="Comma 13 20" xfId="854" xr:uid="{00000000-0005-0000-0000-0000C8330000}"/>
    <cellStyle name="Comma 13 21" xfId="855" xr:uid="{00000000-0005-0000-0000-0000C9330000}"/>
    <cellStyle name="Comma 13 22" xfId="856" xr:uid="{00000000-0005-0000-0000-0000CA330000}"/>
    <cellStyle name="Comma 13 23" xfId="857" xr:uid="{00000000-0005-0000-0000-0000CB330000}"/>
    <cellStyle name="Comma 13 24" xfId="858" xr:uid="{00000000-0005-0000-0000-0000CC330000}"/>
    <cellStyle name="Comma 13 25" xfId="2172" xr:uid="{00000000-0005-0000-0000-0000CD330000}"/>
    <cellStyle name="Comma 13 25 2" xfId="2515" xr:uid="{00000000-0005-0000-0000-0000CE330000}"/>
    <cellStyle name="Comma 13 25 2 2" xfId="3523" xr:uid="{00000000-0005-0000-0000-0000CF330000}"/>
    <cellStyle name="Comma 13 25 2 2 2" xfId="5462" xr:uid="{00000000-0005-0000-0000-0000D0330000}"/>
    <cellStyle name="Comma 13 25 2 2 2 2" xfId="9333" xr:uid="{00000000-0005-0000-0000-0000D1330000}"/>
    <cellStyle name="Comma 13 25 2 2 2 2 2" xfId="17078" xr:uid="{00000000-0005-0000-0000-0000D2330000}"/>
    <cellStyle name="Comma 13 25 2 2 2 2 2 2" xfId="32670" xr:uid="{00000000-0005-0000-0000-0000D3330000}"/>
    <cellStyle name="Comma 13 25 2 2 2 2 2 3" xfId="48162" xr:uid="{00000000-0005-0000-0000-0000D4330000}"/>
    <cellStyle name="Comma 13 25 2 2 2 2 3" xfId="24930" xr:uid="{00000000-0005-0000-0000-0000D5330000}"/>
    <cellStyle name="Comma 13 25 2 2 2 2 4" xfId="40422" xr:uid="{00000000-0005-0000-0000-0000D6330000}"/>
    <cellStyle name="Comma 13 25 2 2 2 3" xfId="13208" xr:uid="{00000000-0005-0000-0000-0000D7330000}"/>
    <cellStyle name="Comma 13 25 2 2 2 3 2" xfId="28800" xr:uid="{00000000-0005-0000-0000-0000D8330000}"/>
    <cellStyle name="Comma 13 25 2 2 2 3 3" xfId="44292" xr:uid="{00000000-0005-0000-0000-0000D9330000}"/>
    <cellStyle name="Comma 13 25 2 2 2 4" xfId="21060" xr:uid="{00000000-0005-0000-0000-0000DA330000}"/>
    <cellStyle name="Comma 13 25 2 2 2 5" xfId="36552" xr:uid="{00000000-0005-0000-0000-0000DB330000}"/>
    <cellStyle name="Comma 13 25 2 2 3" xfId="7406" xr:uid="{00000000-0005-0000-0000-0000DC330000}"/>
    <cellStyle name="Comma 13 25 2 2 3 2" xfId="15151" xr:uid="{00000000-0005-0000-0000-0000DD330000}"/>
    <cellStyle name="Comma 13 25 2 2 3 2 2" xfId="30743" xr:uid="{00000000-0005-0000-0000-0000DE330000}"/>
    <cellStyle name="Comma 13 25 2 2 3 2 3" xfId="46235" xr:uid="{00000000-0005-0000-0000-0000DF330000}"/>
    <cellStyle name="Comma 13 25 2 2 3 3" xfId="23003" xr:uid="{00000000-0005-0000-0000-0000E0330000}"/>
    <cellStyle name="Comma 13 25 2 2 3 4" xfId="38495" xr:uid="{00000000-0005-0000-0000-0000E1330000}"/>
    <cellStyle name="Comma 13 25 2 2 4" xfId="11281" xr:uid="{00000000-0005-0000-0000-0000E2330000}"/>
    <cellStyle name="Comma 13 25 2 2 4 2" xfId="26873" xr:uid="{00000000-0005-0000-0000-0000E3330000}"/>
    <cellStyle name="Comma 13 25 2 2 4 3" xfId="42365" xr:uid="{00000000-0005-0000-0000-0000E4330000}"/>
    <cellStyle name="Comma 13 25 2 2 5" xfId="19133" xr:uid="{00000000-0005-0000-0000-0000E5330000}"/>
    <cellStyle name="Comma 13 25 2 2 6" xfId="34625" xr:uid="{00000000-0005-0000-0000-0000E6330000}"/>
    <cellStyle name="Comma 13 25 2 3" xfId="4514" xr:uid="{00000000-0005-0000-0000-0000E7330000}"/>
    <cellStyle name="Comma 13 25 2 3 2" xfId="8385" xr:uid="{00000000-0005-0000-0000-0000E8330000}"/>
    <cellStyle name="Comma 13 25 2 3 2 2" xfId="16130" xr:uid="{00000000-0005-0000-0000-0000E9330000}"/>
    <cellStyle name="Comma 13 25 2 3 2 2 2" xfId="31722" xr:uid="{00000000-0005-0000-0000-0000EA330000}"/>
    <cellStyle name="Comma 13 25 2 3 2 2 3" xfId="47214" xr:uid="{00000000-0005-0000-0000-0000EB330000}"/>
    <cellStyle name="Comma 13 25 2 3 2 3" xfId="23982" xr:uid="{00000000-0005-0000-0000-0000EC330000}"/>
    <cellStyle name="Comma 13 25 2 3 2 4" xfId="39474" xr:uid="{00000000-0005-0000-0000-0000ED330000}"/>
    <cellStyle name="Comma 13 25 2 3 3" xfId="12260" xr:uid="{00000000-0005-0000-0000-0000EE330000}"/>
    <cellStyle name="Comma 13 25 2 3 3 2" xfId="27852" xr:uid="{00000000-0005-0000-0000-0000EF330000}"/>
    <cellStyle name="Comma 13 25 2 3 3 3" xfId="43344" xr:uid="{00000000-0005-0000-0000-0000F0330000}"/>
    <cellStyle name="Comma 13 25 2 3 4" xfId="20112" xr:uid="{00000000-0005-0000-0000-0000F1330000}"/>
    <cellStyle name="Comma 13 25 2 3 5" xfId="35604" xr:uid="{00000000-0005-0000-0000-0000F2330000}"/>
    <cellStyle name="Comma 13 25 2 4" xfId="6458" xr:uid="{00000000-0005-0000-0000-0000F3330000}"/>
    <cellStyle name="Comma 13 25 2 4 2" xfId="14203" xr:uid="{00000000-0005-0000-0000-0000F4330000}"/>
    <cellStyle name="Comma 13 25 2 4 2 2" xfId="29795" xr:uid="{00000000-0005-0000-0000-0000F5330000}"/>
    <cellStyle name="Comma 13 25 2 4 2 3" xfId="45287" xr:uid="{00000000-0005-0000-0000-0000F6330000}"/>
    <cellStyle name="Comma 13 25 2 4 3" xfId="22055" xr:uid="{00000000-0005-0000-0000-0000F7330000}"/>
    <cellStyle name="Comma 13 25 2 4 4" xfId="37547" xr:uid="{00000000-0005-0000-0000-0000F8330000}"/>
    <cellStyle name="Comma 13 25 2 5" xfId="10333" xr:uid="{00000000-0005-0000-0000-0000F9330000}"/>
    <cellStyle name="Comma 13 25 2 5 2" xfId="25925" xr:uid="{00000000-0005-0000-0000-0000FA330000}"/>
    <cellStyle name="Comma 13 25 2 5 3" xfId="41417" xr:uid="{00000000-0005-0000-0000-0000FB330000}"/>
    <cellStyle name="Comma 13 25 2 6" xfId="18185" xr:uid="{00000000-0005-0000-0000-0000FC330000}"/>
    <cellStyle name="Comma 13 25 2 7" xfId="33677" xr:uid="{00000000-0005-0000-0000-0000FD330000}"/>
    <cellStyle name="Comma 13 25 3" xfId="3214" xr:uid="{00000000-0005-0000-0000-0000FE330000}"/>
    <cellStyle name="Comma 13 25 3 2" xfId="5153" xr:uid="{00000000-0005-0000-0000-0000FF330000}"/>
    <cellStyle name="Comma 13 25 3 2 2" xfId="9024" xr:uid="{00000000-0005-0000-0000-000000340000}"/>
    <cellStyle name="Comma 13 25 3 2 2 2" xfId="16769" xr:uid="{00000000-0005-0000-0000-000001340000}"/>
    <cellStyle name="Comma 13 25 3 2 2 2 2" xfId="32361" xr:uid="{00000000-0005-0000-0000-000002340000}"/>
    <cellStyle name="Comma 13 25 3 2 2 2 3" xfId="47853" xr:uid="{00000000-0005-0000-0000-000003340000}"/>
    <cellStyle name="Comma 13 25 3 2 2 3" xfId="24621" xr:uid="{00000000-0005-0000-0000-000004340000}"/>
    <cellStyle name="Comma 13 25 3 2 2 4" xfId="40113" xr:uid="{00000000-0005-0000-0000-000005340000}"/>
    <cellStyle name="Comma 13 25 3 2 3" xfId="12899" xr:uid="{00000000-0005-0000-0000-000006340000}"/>
    <cellStyle name="Comma 13 25 3 2 3 2" xfId="28491" xr:uid="{00000000-0005-0000-0000-000007340000}"/>
    <cellStyle name="Comma 13 25 3 2 3 3" xfId="43983" xr:uid="{00000000-0005-0000-0000-000008340000}"/>
    <cellStyle name="Comma 13 25 3 2 4" xfId="20751" xr:uid="{00000000-0005-0000-0000-000009340000}"/>
    <cellStyle name="Comma 13 25 3 2 5" xfId="36243" xr:uid="{00000000-0005-0000-0000-00000A340000}"/>
    <cellStyle name="Comma 13 25 3 3" xfId="7097" xr:uid="{00000000-0005-0000-0000-00000B340000}"/>
    <cellStyle name="Comma 13 25 3 3 2" xfId="14842" xr:uid="{00000000-0005-0000-0000-00000C340000}"/>
    <cellStyle name="Comma 13 25 3 3 2 2" xfId="30434" xr:uid="{00000000-0005-0000-0000-00000D340000}"/>
    <cellStyle name="Comma 13 25 3 3 2 3" xfId="45926" xr:uid="{00000000-0005-0000-0000-00000E340000}"/>
    <cellStyle name="Comma 13 25 3 3 3" xfId="22694" xr:uid="{00000000-0005-0000-0000-00000F340000}"/>
    <cellStyle name="Comma 13 25 3 3 4" xfId="38186" xr:uid="{00000000-0005-0000-0000-000010340000}"/>
    <cellStyle name="Comma 13 25 3 4" xfId="10972" xr:uid="{00000000-0005-0000-0000-000011340000}"/>
    <cellStyle name="Comma 13 25 3 4 2" xfId="26564" xr:uid="{00000000-0005-0000-0000-000012340000}"/>
    <cellStyle name="Comma 13 25 3 4 3" xfId="42056" xr:uid="{00000000-0005-0000-0000-000013340000}"/>
    <cellStyle name="Comma 13 25 3 5" xfId="18824" xr:uid="{00000000-0005-0000-0000-000014340000}"/>
    <cellStyle name="Comma 13 25 3 6" xfId="34316" xr:uid="{00000000-0005-0000-0000-000015340000}"/>
    <cellStyle name="Comma 13 25 4" xfId="4205" xr:uid="{00000000-0005-0000-0000-000016340000}"/>
    <cellStyle name="Comma 13 25 4 2" xfId="8076" xr:uid="{00000000-0005-0000-0000-000017340000}"/>
    <cellStyle name="Comma 13 25 4 2 2" xfId="15821" xr:uid="{00000000-0005-0000-0000-000018340000}"/>
    <cellStyle name="Comma 13 25 4 2 2 2" xfId="31413" xr:uid="{00000000-0005-0000-0000-000019340000}"/>
    <cellStyle name="Comma 13 25 4 2 2 3" xfId="46905" xr:uid="{00000000-0005-0000-0000-00001A340000}"/>
    <cellStyle name="Comma 13 25 4 2 3" xfId="23673" xr:uid="{00000000-0005-0000-0000-00001B340000}"/>
    <cellStyle name="Comma 13 25 4 2 4" xfId="39165" xr:uid="{00000000-0005-0000-0000-00001C340000}"/>
    <cellStyle name="Comma 13 25 4 3" xfId="11951" xr:uid="{00000000-0005-0000-0000-00001D340000}"/>
    <cellStyle name="Comma 13 25 4 3 2" xfId="27543" xr:uid="{00000000-0005-0000-0000-00001E340000}"/>
    <cellStyle name="Comma 13 25 4 3 3" xfId="43035" xr:uid="{00000000-0005-0000-0000-00001F340000}"/>
    <cellStyle name="Comma 13 25 4 4" xfId="19803" xr:uid="{00000000-0005-0000-0000-000020340000}"/>
    <cellStyle name="Comma 13 25 4 5" xfId="35295" xr:uid="{00000000-0005-0000-0000-000021340000}"/>
    <cellStyle name="Comma 13 25 5" xfId="6149" xr:uid="{00000000-0005-0000-0000-000022340000}"/>
    <cellStyle name="Comma 13 25 5 2" xfId="13894" xr:uid="{00000000-0005-0000-0000-000023340000}"/>
    <cellStyle name="Comma 13 25 5 2 2" xfId="29486" xr:uid="{00000000-0005-0000-0000-000024340000}"/>
    <cellStyle name="Comma 13 25 5 2 3" xfId="44978" xr:uid="{00000000-0005-0000-0000-000025340000}"/>
    <cellStyle name="Comma 13 25 5 3" xfId="21746" xr:uid="{00000000-0005-0000-0000-000026340000}"/>
    <cellStyle name="Comma 13 25 5 4" xfId="37238" xr:uid="{00000000-0005-0000-0000-000027340000}"/>
    <cellStyle name="Comma 13 25 6" xfId="10024" xr:uid="{00000000-0005-0000-0000-000028340000}"/>
    <cellStyle name="Comma 13 25 6 2" xfId="25616" xr:uid="{00000000-0005-0000-0000-000029340000}"/>
    <cellStyle name="Comma 13 25 6 3" xfId="41108" xr:uid="{00000000-0005-0000-0000-00002A340000}"/>
    <cellStyle name="Comma 13 25 7" xfId="17876" xr:uid="{00000000-0005-0000-0000-00002B340000}"/>
    <cellStyle name="Comma 13 25 8" xfId="33368" xr:uid="{00000000-0005-0000-0000-00002C340000}"/>
    <cellStyle name="Comma 13 26" xfId="2236" xr:uid="{00000000-0005-0000-0000-00002D340000}"/>
    <cellStyle name="Comma 13 26 2" xfId="2553" xr:uid="{00000000-0005-0000-0000-00002E340000}"/>
    <cellStyle name="Comma 13 26 2 2" xfId="3561" xr:uid="{00000000-0005-0000-0000-00002F340000}"/>
    <cellStyle name="Comma 13 26 2 2 2" xfId="5500" xr:uid="{00000000-0005-0000-0000-000030340000}"/>
    <cellStyle name="Comma 13 26 2 2 2 2" xfId="9371" xr:uid="{00000000-0005-0000-0000-000031340000}"/>
    <cellStyle name="Comma 13 26 2 2 2 2 2" xfId="17116" xr:uid="{00000000-0005-0000-0000-000032340000}"/>
    <cellStyle name="Comma 13 26 2 2 2 2 2 2" xfId="32708" xr:uid="{00000000-0005-0000-0000-000033340000}"/>
    <cellStyle name="Comma 13 26 2 2 2 2 2 3" xfId="48200" xr:uid="{00000000-0005-0000-0000-000034340000}"/>
    <cellStyle name="Comma 13 26 2 2 2 2 3" xfId="24968" xr:uid="{00000000-0005-0000-0000-000035340000}"/>
    <cellStyle name="Comma 13 26 2 2 2 2 4" xfId="40460" xr:uid="{00000000-0005-0000-0000-000036340000}"/>
    <cellStyle name="Comma 13 26 2 2 2 3" xfId="13246" xr:uid="{00000000-0005-0000-0000-000037340000}"/>
    <cellStyle name="Comma 13 26 2 2 2 3 2" xfId="28838" xr:uid="{00000000-0005-0000-0000-000038340000}"/>
    <cellStyle name="Comma 13 26 2 2 2 3 3" xfId="44330" xr:uid="{00000000-0005-0000-0000-000039340000}"/>
    <cellStyle name="Comma 13 26 2 2 2 4" xfId="21098" xr:uid="{00000000-0005-0000-0000-00003A340000}"/>
    <cellStyle name="Comma 13 26 2 2 2 5" xfId="36590" xr:uid="{00000000-0005-0000-0000-00003B340000}"/>
    <cellStyle name="Comma 13 26 2 2 3" xfId="7444" xr:uid="{00000000-0005-0000-0000-00003C340000}"/>
    <cellStyle name="Comma 13 26 2 2 3 2" xfId="15189" xr:uid="{00000000-0005-0000-0000-00003D340000}"/>
    <cellStyle name="Comma 13 26 2 2 3 2 2" xfId="30781" xr:uid="{00000000-0005-0000-0000-00003E340000}"/>
    <cellStyle name="Comma 13 26 2 2 3 2 3" xfId="46273" xr:uid="{00000000-0005-0000-0000-00003F340000}"/>
    <cellStyle name="Comma 13 26 2 2 3 3" xfId="23041" xr:uid="{00000000-0005-0000-0000-000040340000}"/>
    <cellStyle name="Comma 13 26 2 2 3 4" xfId="38533" xr:uid="{00000000-0005-0000-0000-000041340000}"/>
    <cellStyle name="Comma 13 26 2 2 4" xfId="11319" xr:uid="{00000000-0005-0000-0000-000042340000}"/>
    <cellStyle name="Comma 13 26 2 2 4 2" xfId="26911" xr:uid="{00000000-0005-0000-0000-000043340000}"/>
    <cellStyle name="Comma 13 26 2 2 4 3" xfId="42403" xr:uid="{00000000-0005-0000-0000-000044340000}"/>
    <cellStyle name="Comma 13 26 2 2 5" xfId="19171" xr:uid="{00000000-0005-0000-0000-000045340000}"/>
    <cellStyle name="Comma 13 26 2 2 6" xfId="34663" xr:uid="{00000000-0005-0000-0000-000046340000}"/>
    <cellStyle name="Comma 13 26 2 3" xfId="4552" xr:uid="{00000000-0005-0000-0000-000047340000}"/>
    <cellStyle name="Comma 13 26 2 3 2" xfId="8423" xr:uid="{00000000-0005-0000-0000-000048340000}"/>
    <cellStyle name="Comma 13 26 2 3 2 2" xfId="16168" xr:uid="{00000000-0005-0000-0000-000049340000}"/>
    <cellStyle name="Comma 13 26 2 3 2 2 2" xfId="31760" xr:uid="{00000000-0005-0000-0000-00004A340000}"/>
    <cellStyle name="Comma 13 26 2 3 2 2 3" xfId="47252" xr:uid="{00000000-0005-0000-0000-00004B340000}"/>
    <cellStyle name="Comma 13 26 2 3 2 3" xfId="24020" xr:uid="{00000000-0005-0000-0000-00004C340000}"/>
    <cellStyle name="Comma 13 26 2 3 2 4" xfId="39512" xr:uid="{00000000-0005-0000-0000-00004D340000}"/>
    <cellStyle name="Comma 13 26 2 3 3" xfId="12298" xr:uid="{00000000-0005-0000-0000-00004E340000}"/>
    <cellStyle name="Comma 13 26 2 3 3 2" xfId="27890" xr:uid="{00000000-0005-0000-0000-00004F340000}"/>
    <cellStyle name="Comma 13 26 2 3 3 3" xfId="43382" xr:uid="{00000000-0005-0000-0000-000050340000}"/>
    <cellStyle name="Comma 13 26 2 3 4" xfId="20150" xr:uid="{00000000-0005-0000-0000-000051340000}"/>
    <cellStyle name="Comma 13 26 2 3 5" xfId="35642" xr:uid="{00000000-0005-0000-0000-000052340000}"/>
    <cellStyle name="Comma 13 26 2 4" xfId="6496" xr:uid="{00000000-0005-0000-0000-000053340000}"/>
    <cellStyle name="Comma 13 26 2 4 2" xfId="14241" xr:uid="{00000000-0005-0000-0000-000054340000}"/>
    <cellStyle name="Comma 13 26 2 4 2 2" xfId="29833" xr:uid="{00000000-0005-0000-0000-000055340000}"/>
    <cellStyle name="Comma 13 26 2 4 2 3" xfId="45325" xr:uid="{00000000-0005-0000-0000-000056340000}"/>
    <cellStyle name="Comma 13 26 2 4 3" xfId="22093" xr:uid="{00000000-0005-0000-0000-000057340000}"/>
    <cellStyle name="Comma 13 26 2 4 4" xfId="37585" xr:uid="{00000000-0005-0000-0000-000058340000}"/>
    <cellStyle name="Comma 13 26 2 5" xfId="10371" xr:uid="{00000000-0005-0000-0000-000059340000}"/>
    <cellStyle name="Comma 13 26 2 5 2" xfId="25963" xr:uid="{00000000-0005-0000-0000-00005A340000}"/>
    <cellStyle name="Comma 13 26 2 5 3" xfId="41455" xr:uid="{00000000-0005-0000-0000-00005B340000}"/>
    <cellStyle name="Comma 13 26 2 6" xfId="18223" xr:uid="{00000000-0005-0000-0000-00005C340000}"/>
    <cellStyle name="Comma 13 26 2 7" xfId="33715" xr:uid="{00000000-0005-0000-0000-00005D340000}"/>
    <cellStyle name="Comma 13 26 3" xfId="3252" xr:uid="{00000000-0005-0000-0000-00005E340000}"/>
    <cellStyle name="Comma 13 26 3 2" xfId="5191" xr:uid="{00000000-0005-0000-0000-00005F340000}"/>
    <cellStyle name="Comma 13 26 3 2 2" xfId="9062" xr:uid="{00000000-0005-0000-0000-000060340000}"/>
    <cellStyle name="Comma 13 26 3 2 2 2" xfId="16807" xr:uid="{00000000-0005-0000-0000-000061340000}"/>
    <cellStyle name="Comma 13 26 3 2 2 2 2" xfId="32399" xr:uid="{00000000-0005-0000-0000-000062340000}"/>
    <cellStyle name="Comma 13 26 3 2 2 2 3" xfId="47891" xr:uid="{00000000-0005-0000-0000-000063340000}"/>
    <cellStyle name="Comma 13 26 3 2 2 3" xfId="24659" xr:uid="{00000000-0005-0000-0000-000064340000}"/>
    <cellStyle name="Comma 13 26 3 2 2 4" xfId="40151" xr:uid="{00000000-0005-0000-0000-000065340000}"/>
    <cellStyle name="Comma 13 26 3 2 3" xfId="12937" xr:uid="{00000000-0005-0000-0000-000066340000}"/>
    <cellStyle name="Comma 13 26 3 2 3 2" xfId="28529" xr:uid="{00000000-0005-0000-0000-000067340000}"/>
    <cellStyle name="Comma 13 26 3 2 3 3" xfId="44021" xr:uid="{00000000-0005-0000-0000-000068340000}"/>
    <cellStyle name="Comma 13 26 3 2 4" xfId="20789" xr:uid="{00000000-0005-0000-0000-000069340000}"/>
    <cellStyle name="Comma 13 26 3 2 5" xfId="36281" xr:uid="{00000000-0005-0000-0000-00006A340000}"/>
    <cellStyle name="Comma 13 26 3 3" xfId="7135" xr:uid="{00000000-0005-0000-0000-00006B340000}"/>
    <cellStyle name="Comma 13 26 3 3 2" xfId="14880" xr:uid="{00000000-0005-0000-0000-00006C340000}"/>
    <cellStyle name="Comma 13 26 3 3 2 2" xfId="30472" xr:uid="{00000000-0005-0000-0000-00006D340000}"/>
    <cellStyle name="Comma 13 26 3 3 2 3" xfId="45964" xr:uid="{00000000-0005-0000-0000-00006E340000}"/>
    <cellStyle name="Comma 13 26 3 3 3" xfId="22732" xr:uid="{00000000-0005-0000-0000-00006F340000}"/>
    <cellStyle name="Comma 13 26 3 3 4" xfId="38224" xr:uid="{00000000-0005-0000-0000-000070340000}"/>
    <cellStyle name="Comma 13 26 3 4" xfId="11010" xr:uid="{00000000-0005-0000-0000-000071340000}"/>
    <cellStyle name="Comma 13 26 3 4 2" xfId="26602" xr:uid="{00000000-0005-0000-0000-000072340000}"/>
    <cellStyle name="Comma 13 26 3 4 3" xfId="42094" xr:uid="{00000000-0005-0000-0000-000073340000}"/>
    <cellStyle name="Comma 13 26 3 5" xfId="18862" xr:uid="{00000000-0005-0000-0000-000074340000}"/>
    <cellStyle name="Comma 13 26 3 6" xfId="34354" xr:uid="{00000000-0005-0000-0000-000075340000}"/>
    <cellStyle name="Comma 13 26 4" xfId="4243" xr:uid="{00000000-0005-0000-0000-000076340000}"/>
    <cellStyle name="Comma 13 26 4 2" xfId="8114" xr:uid="{00000000-0005-0000-0000-000077340000}"/>
    <cellStyle name="Comma 13 26 4 2 2" xfId="15859" xr:uid="{00000000-0005-0000-0000-000078340000}"/>
    <cellStyle name="Comma 13 26 4 2 2 2" xfId="31451" xr:uid="{00000000-0005-0000-0000-000079340000}"/>
    <cellStyle name="Comma 13 26 4 2 2 3" xfId="46943" xr:uid="{00000000-0005-0000-0000-00007A340000}"/>
    <cellStyle name="Comma 13 26 4 2 3" xfId="23711" xr:uid="{00000000-0005-0000-0000-00007B340000}"/>
    <cellStyle name="Comma 13 26 4 2 4" xfId="39203" xr:uid="{00000000-0005-0000-0000-00007C340000}"/>
    <cellStyle name="Comma 13 26 4 3" xfId="11989" xr:uid="{00000000-0005-0000-0000-00007D340000}"/>
    <cellStyle name="Comma 13 26 4 3 2" xfId="27581" xr:uid="{00000000-0005-0000-0000-00007E340000}"/>
    <cellStyle name="Comma 13 26 4 3 3" xfId="43073" xr:uid="{00000000-0005-0000-0000-00007F340000}"/>
    <cellStyle name="Comma 13 26 4 4" xfId="19841" xr:uid="{00000000-0005-0000-0000-000080340000}"/>
    <cellStyle name="Comma 13 26 4 5" xfId="35333" xr:uid="{00000000-0005-0000-0000-000081340000}"/>
    <cellStyle name="Comma 13 26 5" xfId="6187" xr:uid="{00000000-0005-0000-0000-000082340000}"/>
    <cellStyle name="Comma 13 26 5 2" xfId="13932" xr:uid="{00000000-0005-0000-0000-000083340000}"/>
    <cellStyle name="Comma 13 26 5 2 2" xfId="29524" xr:uid="{00000000-0005-0000-0000-000084340000}"/>
    <cellStyle name="Comma 13 26 5 2 3" xfId="45016" xr:uid="{00000000-0005-0000-0000-000085340000}"/>
    <cellStyle name="Comma 13 26 5 3" xfId="21784" xr:uid="{00000000-0005-0000-0000-000086340000}"/>
    <cellStyle name="Comma 13 26 5 4" xfId="37276" xr:uid="{00000000-0005-0000-0000-000087340000}"/>
    <cellStyle name="Comma 13 26 6" xfId="10062" xr:uid="{00000000-0005-0000-0000-000088340000}"/>
    <cellStyle name="Comma 13 26 6 2" xfId="25654" xr:uid="{00000000-0005-0000-0000-000089340000}"/>
    <cellStyle name="Comma 13 26 6 3" xfId="41146" xr:uid="{00000000-0005-0000-0000-00008A340000}"/>
    <cellStyle name="Comma 13 26 7" xfId="17914" xr:uid="{00000000-0005-0000-0000-00008B340000}"/>
    <cellStyle name="Comma 13 26 8" xfId="33406" xr:uid="{00000000-0005-0000-0000-00008C340000}"/>
    <cellStyle name="Comma 13 27" xfId="2273" xr:uid="{00000000-0005-0000-0000-00008D340000}"/>
    <cellStyle name="Comma 13 27 2" xfId="2589" xr:uid="{00000000-0005-0000-0000-00008E340000}"/>
    <cellStyle name="Comma 13 27 2 2" xfId="3597" xr:uid="{00000000-0005-0000-0000-00008F340000}"/>
    <cellStyle name="Comma 13 27 2 2 2" xfId="5536" xr:uid="{00000000-0005-0000-0000-000090340000}"/>
    <cellStyle name="Comma 13 27 2 2 2 2" xfId="9407" xr:uid="{00000000-0005-0000-0000-000091340000}"/>
    <cellStyle name="Comma 13 27 2 2 2 2 2" xfId="17152" xr:uid="{00000000-0005-0000-0000-000092340000}"/>
    <cellStyle name="Comma 13 27 2 2 2 2 2 2" xfId="32744" xr:uid="{00000000-0005-0000-0000-000093340000}"/>
    <cellStyle name="Comma 13 27 2 2 2 2 2 3" xfId="48236" xr:uid="{00000000-0005-0000-0000-000094340000}"/>
    <cellStyle name="Comma 13 27 2 2 2 2 3" xfId="25004" xr:uid="{00000000-0005-0000-0000-000095340000}"/>
    <cellStyle name="Comma 13 27 2 2 2 2 4" xfId="40496" xr:uid="{00000000-0005-0000-0000-000096340000}"/>
    <cellStyle name="Comma 13 27 2 2 2 3" xfId="13282" xr:uid="{00000000-0005-0000-0000-000097340000}"/>
    <cellStyle name="Comma 13 27 2 2 2 3 2" xfId="28874" xr:uid="{00000000-0005-0000-0000-000098340000}"/>
    <cellStyle name="Comma 13 27 2 2 2 3 3" xfId="44366" xr:uid="{00000000-0005-0000-0000-000099340000}"/>
    <cellStyle name="Comma 13 27 2 2 2 4" xfId="21134" xr:uid="{00000000-0005-0000-0000-00009A340000}"/>
    <cellStyle name="Comma 13 27 2 2 2 5" xfId="36626" xr:uid="{00000000-0005-0000-0000-00009B340000}"/>
    <cellStyle name="Comma 13 27 2 2 3" xfId="7480" xr:uid="{00000000-0005-0000-0000-00009C340000}"/>
    <cellStyle name="Comma 13 27 2 2 3 2" xfId="15225" xr:uid="{00000000-0005-0000-0000-00009D340000}"/>
    <cellStyle name="Comma 13 27 2 2 3 2 2" xfId="30817" xr:uid="{00000000-0005-0000-0000-00009E340000}"/>
    <cellStyle name="Comma 13 27 2 2 3 2 3" xfId="46309" xr:uid="{00000000-0005-0000-0000-00009F340000}"/>
    <cellStyle name="Comma 13 27 2 2 3 3" xfId="23077" xr:uid="{00000000-0005-0000-0000-0000A0340000}"/>
    <cellStyle name="Comma 13 27 2 2 3 4" xfId="38569" xr:uid="{00000000-0005-0000-0000-0000A1340000}"/>
    <cellStyle name="Comma 13 27 2 2 4" xfId="11355" xr:uid="{00000000-0005-0000-0000-0000A2340000}"/>
    <cellStyle name="Comma 13 27 2 2 4 2" xfId="26947" xr:uid="{00000000-0005-0000-0000-0000A3340000}"/>
    <cellStyle name="Comma 13 27 2 2 4 3" xfId="42439" xr:uid="{00000000-0005-0000-0000-0000A4340000}"/>
    <cellStyle name="Comma 13 27 2 2 5" xfId="19207" xr:uid="{00000000-0005-0000-0000-0000A5340000}"/>
    <cellStyle name="Comma 13 27 2 2 6" xfId="34699" xr:uid="{00000000-0005-0000-0000-0000A6340000}"/>
    <cellStyle name="Comma 13 27 2 3" xfId="4588" xr:uid="{00000000-0005-0000-0000-0000A7340000}"/>
    <cellStyle name="Comma 13 27 2 3 2" xfId="8459" xr:uid="{00000000-0005-0000-0000-0000A8340000}"/>
    <cellStyle name="Comma 13 27 2 3 2 2" xfId="16204" xr:uid="{00000000-0005-0000-0000-0000A9340000}"/>
    <cellStyle name="Comma 13 27 2 3 2 2 2" xfId="31796" xr:uid="{00000000-0005-0000-0000-0000AA340000}"/>
    <cellStyle name="Comma 13 27 2 3 2 2 3" xfId="47288" xr:uid="{00000000-0005-0000-0000-0000AB340000}"/>
    <cellStyle name="Comma 13 27 2 3 2 3" xfId="24056" xr:uid="{00000000-0005-0000-0000-0000AC340000}"/>
    <cellStyle name="Comma 13 27 2 3 2 4" xfId="39548" xr:uid="{00000000-0005-0000-0000-0000AD340000}"/>
    <cellStyle name="Comma 13 27 2 3 3" xfId="12334" xr:uid="{00000000-0005-0000-0000-0000AE340000}"/>
    <cellStyle name="Comma 13 27 2 3 3 2" xfId="27926" xr:uid="{00000000-0005-0000-0000-0000AF340000}"/>
    <cellStyle name="Comma 13 27 2 3 3 3" xfId="43418" xr:uid="{00000000-0005-0000-0000-0000B0340000}"/>
    <cellStyle name="Comma 13 27 2 3 4" xfId="20186" xr:uid="{00000000-0005-0000-0000-0000B1340000}"/>
    <cellStyle name="Comma 13 27 2 3 5" xfId="35678" xr:uid="{00000000-0005-0000-0000-0000B2340000}"/>
    <cellStyle name="Comma 13 27 2 4" xfId="6532" xr:uid="{00000000-0005-0000-0000-0000B3340000}"/>
    <cellStyle name="Comma 13 27 2 4 2" xfId="14277" xr:uid="{00000000-0005-0000-0000-0000B4340000}"/>
    <cellStyle name="Comma 13 27 2 4 2 2" xfId="29869" xr:uid="{00000000-0005-0000-0000-0000B5340000}"/>
    <cellStyle name="Comma 13 27 2 4 2 3" xfId="45361" xr:uid="{00000000-0005-0000-0000-0000B6340000}"/>
    <cellStyle name="Comma 13 27 2 4 3" xfId="22129" xr:uid="{00000000-0005-0000-0000-0000B7340000}"/>
    <cellStyle name="Comma 13 27 2 4 4" xfId="37621" xr:uid="{00000000-0005-0000-0000-0000B8340000}"/>
    <cellStyle name="Comma 13 27 2 5" xfId="10407" xr:uid="{00000000-0005-0000-0000-0000B9340000}"/>
    <cellStyle name="Comma 13 27 2 5 2" xfId="25999" xr:uid="{00000000-0005-0000-0000-0000BA340000}"/>
    <cellStyle name="Comma 13 27 2 5 3" xfId="41491" xr:uid="{00000000-0005-0000-0000-0000BB340000}"/>
    <cellStyle name="Comma 13 27 2 6" xfId="18259" xr:uid="{00000000-0005-0000-0000-0000BC340000}"/>
    <cellStyle name="Comma 13 27 2 7" xfId="33751" xr:uid="{00000000-0005-0000-0000-0000BD340000}"/>
    <cellStyle name="Comma 13 27 3" xfId="3288" xr:uid="{00000000-0005-0000-0000-0000BE340000}"/>
    <cellStyle name="Comma 13 27 3 2" xfId="5227" xr:uid="{00000000-0005-0000-0000-0000BF340000}"/>
    <cellStyle name="Comma 13 27 3 2 2" xfId="9098" xr:uid="{00000000-0005-0000-0000-0000C0340000}"/>
    <cellStyle name="Comma 13 27 3 2 2 2" xfId="16843" xr:uid="{00000000-0005-0000-0000-0000C1340000}"/>
    <cellStyle name="Comma 13 27 3 2 2 2 2" xfId="32435" xr:uid="{00000000-0005-0000-0000-0000C2340000}"/>
    <cellStyle name="Comma 13 27 3 2 2 2 3" xfId="47927" xr:uid="{00000000-0005-0000-0000-0000C3340000}"/>
    <cellStyle name="Comma 13 27 3 2 2 3" xfId="24695" xr:uid="{00000000-0005-0000-0000-0000C4340000}"/>
    <cellStyle name="Comma 13 27 3 2 2 4" xfId="40187" xr:uid="{00000000-0005-0000-0000-0000C5340000}"/>
    <cellStyle name="Comma 13 27 3 2 3" xfId="12973" xr:uid="{00000000-0005-0000-0000-0000C6340000}"/>
    <cellStyle name="Comma 13 27 3 2 3 2" xfId="28565" xr:uid="{00000000-0005-0000-0000-0000C7340000}"/>
    <cellStyle name="Comma 13 27 3 2 3 3" xfId="44057" xr:uid="{00000000-0005-0000-0000-0000C8340000}"/>
    <cellStyle name="Comma 13 27 3 2 4" xfId="20825" xr:uid="{00000000-0005-0000-0000-0000C9340000}"/>
    <cellStyle name="Comma 13 27 3 2 5" xfId="36317" xr:uid="{00000000-0005-0000-0000-0000CA340000}"/>
    <cellStyle name="Comma 13 27 3 3" xfId="7171" xr:uid="{00000000-0005-0000-0000-0000CB340000}"/>
    <cellStyle name="Comma 13 27 3 3 2" xfId="14916" xr:uid="{00000000-0005-0000-0000-0000CC340000}"/>
    <cellStyle name="Comma 13 27 3 3 2 2" xfId="30508" xr:uid="{00000000-0005-0000-0000-0000CD340000}"/>
    <cellStyle name="Comma 13 27 3 3 2 3" xfId="46000" xr:uid="{00000000-0005-0000-0000-0000CE340000}"/>
    <cellStyle name="Comma 13 27 3 3 3" xfId="22768" xr:uid="{00000000-0005-0000-0000-0000CF340000}"/>
    <cellStyle name="Comma 13 27 3 3 4" xfId="38260" xr:uid="{00000000-0005-0000-0000-0000D0340000}"/>
    <cellStyle name="Comma 13 27 3 4" xfId="11046" xr:uid="{00000000-0005-0000-0000-0000D1340000}"/>
    <cellStyle name="Comma 13 27 3 4 2" xfId="26638" xr:uid="{00000000-0005-0000-0000-0000D2340000}"/>
    <cellStyle name="Comma 13 27 3 4 3" xfId="42130" xr:uid="{00000000-0005-0000-0000-0000D3340000}"/>
    <cellStyle name="Comma 13 27 3 5" xfId="18898" xr:uid="{00000000-0005-0000-0000-0000D4340000}"/>
    <cellStyle name="Comma 13 27 3 6" xfId="34390" xr:uid="{00000000-0005-0000-0000-0000D5340000}"/>
    <cellStyle name="Comma 13 27 4" xfId="4279" xr:uid="{00000000-0005-0000-0000-0000D6340000}"/>
    <cellStyle name="Comma 13 27 4 2" xfId="8150" xr:uid="{00000000-0005-0000-0000-0000D7340000}"/>
    <cellStyle name="Comma 13 27 4 2 2" xfId="15895" xr:uid="{00000000-0005-0000-0000-0000D8340000}"/>
    <cellStyle name="Comma 13 27 4 2 2 2" xfId="31487" xr:uid="{00000000-0005-0000-0000-0000D9340000}"/>
    <cellStyle name="Comma 13 27 4 2 2 3" xfId="46979" xr:uid="{00000000-0005-0000-0000-0000DA340000}"/>
    <cellStyle name="Comma 13 27 4 2 3" xfId="23747" xr:uid="{00000000-0005-0000-0000-0000DB340000}"/>
    <cellStyle name="Comma 13 27 4 2 4" xfId="39239" xr:uid="{00000000-0005-0000-0000-0000DC340000}"/>
    <cellStyle name="Comma 13 27 4 3" xfId="12025" xr:uid="{00000000-0005-0000-0000-0000DD340000}"/>
    <cellStyle name="Comma 13 27 4 3 2" xfId="27617" xr:uid="{00000000-0005-0000-0000-0000DE340000}"/>
    <cellStyle name="Comma 13 27 4 3 3" xfId="43109" xr:uid="{00000000-0005-0000-0000-0000DF340000}"/>
    <cellStyle name="Comma 13 27 4 4" xfId="19877" xr:uid="{00000000-0005-0000-0000-0000E0340000}"/>
    <cellStyle name="Comma 13 27 4 5" xfId="35369" xr:uid="{00000000-0005-0000-0000-0000E1340000}"/>
    <cellStyle name="Comma 13 27 5" xfId="6223" xr:uid="{00000000-0005-0000-0000-0000E2340000}"/>
    <cellStyle name="Comma 13 27 5 2" xfId="13968" xr:uid="{00000000-0005-0000-0000-0000E3340000}"/>
    <cellStyle name="Comma 13 27 5 2 2" xfId="29560" xr:uid="{00000000-0005-0000-0000-0000E4340000}"/>
    <cellStyle name="Comma 13 27 5 2 3" xfId="45052" xr:uid="{00000000-0005-0000-0000-0000E5340000}"/>
    <cellStyle name="Comma 13 27 5 3" xfId="21820" xr:uid="{00000000-0005-0000-0000-0000E6340000}"/>
    <cellStyle name="Comma 13 27 5 4" xfId="37312" xr:uid="{00000000-0005-0000-0000-0000E7340000}"/>
    <cellStyle name="Comma 13 27 6" xfId="10098" xr:uid="{00000000-0005-0000-0000-0000E8340000}"/>
    <cellStyle name="Comma 13 27 6 2" xfId="25690" xr:uid="{00000000-0005-0000-0000-0000E9340000}"/>
    <cellStyle name="Comma 13 27 6 3" xfId="41182" xr:uid="{00000000-0005-0000-0000-0000EA340000}"/>
    <cellStyle name="Comma 13 27 7" xfId="17950" xr:uid="{00000000-0005-0000-0000-0000EB340000}"/>
    <cellStyle name="Comma 13 27 8" xfId="33442" xr:uid="{00000000-0005-0000-0000-0000EC340000}"/>
    <cellStyle name="Comma 13 28" xfId="2310" xr:uid="{00000000-0005-0000-0000-0000ED340000}"/>
    <cellStyle name="Comma 13 28 2" xfId="2625" xr:uid="{00000000-0005-0000-0000-0000EE340000}"/>
    <cellStyle name="Comma 13 28 2 2" xfId="3633" xr:uid="{00000000-0005-0000-0000-0000EF340000}"/>
    <cellStyle name="Comma 13 28 2 2 2" xfId="5572" xr:uid="{00000000-0005-0000-0000-0000F0340000}"/>
    <cellStyle name="Comma 13 28 2 2 2 2" xfId="9443" xr:uid="{00000000-0005-0000-0000-0000F1340000}"/>
    <cellStyle name="Comma 13 28 2 2 2 2 2" xfId="17188" xr:uid="{00000000-0005-0000-0000-0000F2340000}"/>
    <cellStyle name="Comma 13 28 2 2 2 2 2 2" xfId="32780" xr:uid="{00000000-0005-0000-0000-0000F3340000}"/>
    <cellStyle name="Comma 13 28 2 2 2 2 2 3" xfId="48272" xr:uid="{00000000-0005-0000-0000-0000F4340000}"/>
    <cellStyle name="Comma 13 28 2 2 2 2 3" xfId="25040" xr:uid="{00000000-0005-0000-0000-0000F5340000}"/>
    <cellStyle name="Comma 13 28 2 2 2 2 4" xfId="40532" xr:uid="{00000000-0005-0000-0000-0000F6340000}"/>
    <cellStyle name="Comma 13 28 2 2 2 3" xfId="13318" xr:uid="{00000000-0005-0000-0000-0000F7340000}"/>
    <cellStyle name="Comma 13 28 2 2 2 3 2" xfId="28910" xr:uid="{00000000-0005-0000-0000-0000F8340000}"/>
    <cellStyle name="Comma 13 28 2 2 2 3 3" xfId="44402" xr:uid="{00000000-0005-0000-0000-0000F9340000}"/>
    <cellStyle name="Comma 13 28 2 2 2 4" xfId="21170" xr:uid="{00000000-0005-0000-0000-0000FA340000}"/>
    <cellStyle name="Comma 13 28 2 2 2 5" xfId="36662" xr:uid="{00000000-0005-0000-0000-0000FB340000}"/>
    <cellStyle name="Comma 13 28 2 2 3" xfId="7516" xr:uid="{00000000-0005-0000-0000-0000FC340000}"/>
    <cellStyle name="Comma 13 28 2 2 3 2" xfId="15261" xr:uid="{00000000-0005-0000-0000-0000FD340000}"/>
    <cellStyle name="Comma 13 28 2 2 3 2 2" xfId="30853" xr:uid="{00000000-0005-0000-0000-0000FE340000}"/>
    <cellStyle name="Comma 13 28 2 2 3 2 3" xfId="46345" xr:uid="{00000000-0005-0000-0000-0000FF340000}"/>
    <cellStyle name="Comma 13 28 2 2 3 3" xfId="23113" xr:uid="{00000000-0005-0000-0000-000000350000}"/>
    <cellStyle name="Comma 13 28 2 2 3 4" xfId="38605" xr:uid="{00000000-0005-0000-0000-000001350000}"/>
    <cellStyle name="Comma 13 28 2 2 4" xfId="11391" xr:uid="{00000000-0005-0000-0000-000002350000}"/>
    <cellStyle name="Comma 13 28 2 2 4 2" xfId="26983" xr:uid="{00000000-0005-0000-0000-000003350000}"/>
    <cellStyle name="Comma 13 28 2 2 4 3" xfId="42475" xr:uid="{00000000-0005-0000-0000-000004350000}"/>
    <cellStyle name="Comma 13 28 2 2 5" xfId="19243" xr:uid="{00000000-0005-0000-0000-000005350000}"/>
    <cellStyle name="Comma 13 28 2 2 6" xfId="34735" xr:uid="{00000000-0005-0000-0000-000006350000}"/>
    <cellStyle name="Comma 13 28 2 3" xfId="4624" xr:uid="{00000000-0005-0000-0000-000007350000}"/>
    <cellStyle name="Comma 13 28 2 3 2" xfId="8495" xr:uid="{00000000-0005-0000-0000-000008350000}"/>
    <cellStyle name="Comma 13 28 2 3 2 2" xfId="16240" xr:uid="{00000000-0005-0000-0000-000009350000}"/>
    <cellStyle name="Comma 13 28 2 3 2 2 2" xfId="31832" xr:uid="{00000000-0005-0000-0000-00000A350000}"/>
    <cellStyle name="Comma 13 28 2 3 2 2 3" xfId="47324" xr:uid="{00000000-0005-0000-0000-00000B350000}"/>
    <cellStyle name="Comma 13 28 2 3 2 3" xfId="24092" xr:uid="{00000000-0005-0000-0000-00000C350000}"/>
    <cellStyle name="Comma 13 28 2 3 2 4" xfId="39584" xr:uid="{00000000-0005-0000-0000-00000D350000}"/>
    <cellStyle name="Comma 13 28 2 3 3" xfId="12370" xr:uid="{00000000-0005-0000-0000-00000E350000}"/>
    <cellStyle name="Comma 13 28 2 3 3 2" xfId="27962" xr:uid="{00000000-0005-0000-0000-00000F350000}"/>
    <cellStyle name="Comma 13 28 2 3 3 3" xfId="43454" xr:uid="{00000000-0005-0000-0000-000010350000}"/>
    <cellStyle name="Comma 13 28 2 3 4" xfId="20222" xr:uid="{00000000-0005-0000-0000-000011350000}"/>
    <cellStyle name="Comma 13 28 2 3 5" xfId="35714" xr:uid="{00000000-0005-0000-0000-000012350000}"/>
    <cellStyle name="Comma 13 28 2 4" xfId="6568" xr:uid="{00000000-0005-0000-0000-000013350000}"/>
    <cellStyle name="Comma 13 28 2 4 2" xfId="14313" xr:uid="{00000000-0005-0000-0000-000014350000}"/>
    <cellStyle name="Comma 13 28 2 4 2 2" xfId="29905" xr:uid="{00000000-0005-0000-0000-000015350000}"/>
    <cellStyle name="Comma 13 28 2 4 2 3" xfId="45397" xr:uid="{00000000-0005-0000-0000-000016350000}"/>
    <cellStyle name="Comma 13 28 2 4 3" xfId="22165" xr:uid="{00000000-0005-0000-0000-000017350000}"/>
    <cellStyle name="Comma 13 28 2 4 4" xfId="37657" xr:uid="{00000000-0005-0000-0000-000018350000}"/>
    <cellStyle name="Comma 13 28 2 5" xfId="10443" xr:uid="{00000000-0005-0000-0000-000019350000}"/>
    <cellStyle name="Comma 13 28 2 5 2" xfId="26035" xr:uid="{00000000-0005-0000-0000-00001A350000}"/>
    <cellStyle name="Comma 13 28 2 5 3" xfId="41527" xr:uid="{00000000-0005-0000-0000-00001B350000}"/>
    <cellStyle name="Comma 13 28 2 6" xfId="18295" xr:uid="{00000000-0005-0000-0000-00001C350000}"/>
    <cellStyle name="Comma 13 28 2 7" xfId="33787" xr:uid="{00000000-0005-0000-0000-00001D350000}"/>
    <cellStyle name="Comma 13 28 3" xfId="3324" xr:uid="{00000000-0005-0000-0000-00001E350000}"/>
    <cellStyle name="Comma 13 28 3 2" xfId="5263" xr:uid="{00000000-0005-0000-0000-00001F350000}"/>
    <cellStyle name="Comma 13 28 3 2 2" xfId="9134" xr:uid="{00000000-0005-0000-0000-000020350000}"/>
    <cellStyle name="Comma 13 28 3 2 2 2" xfId="16879" xr:uid="{00000000-0005-0000-0000-000021350000}"/>
    <cellStyle name="Comma 13 28 3 2 2 2 2" xfId="32471" xr:uid="{00000000-0005-0000-0000-000022350000}"/>
    <cellStyle name="Comma 13 28 3 2 2 2 3" xfId="47963" xr:uid="{00000000-0005-0000-0000-000023350000}"/>
    <cellStyle name="Comma 13 28 3 2 2 3" xfId="24731" xr:uid="{00000000-0005-0000-0000-000024350000}"/>
    <cellStyle name="Comma 13 28 3 2 2 4" xfId="40223" xr:uid="{00000000-0005-0000-0000-000025350000}"/>
    <cellStyle name="Comma 13 28 3 2 3" xfId="13009" xr:uid="{00000000-0005-0000-0000-000026350000}"/>
    <cellStyle name="Comma 13 28 3 2 3 2" xfId="28601" xr:uid="{00000000-0005-0000-0000-000027350000}"/>
    <cellStyle name="Comma 13 28 3 2 3 3" xfId="44093" xr:uid="{00000000-0005-0000-0000-000028350000}"/>
    <cellStyle name="Comma 13 28 3 2 4" xfId="20861" xr:uid="{00000000-0005-0000-0000-000029350000}"/>
    <cellStyle name="Comma 13 28 3 2 5" xfId="36353" xr:uid="{00000000-0005-0000-0000-00002A350000}"/>
    <cellStyle name="Comma 13 28 3 3" xfId="7207" xr:uid="{00000000-0005-0000-0000-00002B350000}"/>
    <cellStyle name="Comma 13 28 3 3 2" xfId="14952" xr:uid="{00000000-0005-0000-0000-00002C350000}"/>
    <cellStyle name="Comma 13 28 3 3 2 2" xfId="30544" xr:uid="{00000000-0005-0000-0000-00002D350000}"/>
    <cellStyle name="Comma 13 28 3 3 2 3" xfId="46036" xr:uid="{00000000-0005-0000-0000-00002E350000}"/>
    <cellStyle name="Comma 13 28 3 3 3" xfId="22804" xr:uid="{00000000-0005-0000-0000-00002F350000}"/>
    <cellStyle name="Comma 13 28 3 3 4" xfId="38296" xr:uid="{00000000-0005-0000-0000-000030350000}"/>
    <cellStyle name="Comma 13 28 3 4" xfId="11082" xr:uid="{00000000-0005-0000-0000-000031350000}"/>
    <cellStyle name="Comma 13 28 3 4 2" xfId="26674" xr:uid="{00000000-0005-0000-0000-000032350000}"/>
    <cellStyle name="Comma 13 28 3 4 3" xfId="42166" xr:uid="{00000000-0005-0000-0000-000033350000}"/>
    <cellStyle name="Comma 13 28 3 5" xfId="18934" xr:uid="{00000000-0005-0000-0000-000034350000}"/>
    <cellStyle name="Comma 13 28 3 6" xfId="34426" xr:uid="{00000000-0005-0000-0000-000035350000}"/>
    <cellStyle name="Comma 13 28 4" xfId="4315" xr:uid="{00000000-0005-0000-0000-000036350000}"/>
    <cellStyle name="Comma 13 28 4 2" xfId="8186" xr:uid="{00000000-0005-0000-0000-000037350000}"/>
    <cellStyle name="Comma 13 28 4 2 2" xfId="15931" xr:uid="{00000000-0005-0000-0000-000038350000}"/>
    <cellStyle name="Comma 13 28 4 2 2 2" xfId="31523" xr:uid="{00000000-0005-0000-0000-000039350000}"/>
    <cellStyle name="Comma 13 28 4 2 2 3" xfId="47015" xr:uid="{00000000-0005-0000-0000-00003A350000}"/>
    <cellStyle name="Comma 13 28 4 2 3" xfId="23783" xr:uid="{00000000-0005-0000-0000-00003B350000}"/>
    <cellStyle name="Comma 13 28 4 2 4" xfId="39275" xr:uid="{00000000-0005-0000-0000-00003C350000}"/>
    <cellStyle name="Comma 13 28 4 3" xfId="12061" xr:uid="{00000000-0005-0000-0000-00003D350000}"/>
    <cellStyle name="Comma 13 28 4 3 2" xfId="27653" xr:uid="{00000000-0005-0000-0000-00003E350000}"/>
    <cellStyle name="Comma 13 28 4 3 3" xfId="43145" xr:uid="{00000000-0005-0000-0000-00003F350000}"/>
    <cellStyle name="Comma 13 28 4 4" xfId="19913" xr:uid="{00000000-0005-0000-0000-000040350000}"/>
    <cellStyle name="Comma 13 28 4 5" xfId="35405" xr:uid="{00000000-0005-0000-0000-000041350000}"/>
    <cellStyle name="Comma 13 28 5" xfId="6259" xr:uid="{00000000-0005-0000-0000-000042350000}"/>
    <cellStyle name="Comma 13 28 5 2" xfId="14004" xr:uid="{00000000-0005-0000-0000-000043350000}"/>
    <cellStyle name="Comma 13 28 5 2 2" xfId="29596" xr:uid="{00000000-0005-0000-0000-000044350000}"/>
    <cellStyle name="Comma 13 28 5 2 3" xfId="45088" xr:uid="{00000000-0005-0000-0000-000045350000}"/>
    <cellStyle name="Comma 13 28 5 3" xfId="21856" xr:uid="{00000000-0005-0000-0000-000046350000}"/>
    <cellStyle name="Comma 13 28 5 4" xfId="37348" xr:uid="{00000000-0005-0000-0000-000047350000}"/>
    <cellStyle name="Comma 13 28 6" xfId="10134" xr:uid="{00000000-0005-0000-0000-000048350000}"/>
    <cellStyle name="Comma 13 28 6 2" xfId="25726" xr:uid="{00000000-0005-0000-0000-000049350000}"/>
    <cellStyle name="Comma 13 28 6 3" xfId="41218" xr:uid="{00000000-0005-0000-0000-00004A350000}"/>
    <cellStyle name="Comma 13 28 7" xfId="17986" xr:uid="{00000000-0005-0000-0000-00004B350000}"/>
    <cellStyle name="Comma 13 28 8" xfId="33478" xr:uid="{00000000-0005-0000-0000-00004C350000}"/>
    <cellStyle name="Comma 13 29" xfId="2348" xr:uid="{00000000-0005-0000-0000-00004D350000}"/>
    <cellStyle name="Comma 13 29 2" xfId="2661" xr:uid="{00000000-0005-0000-0000-00004E350000}"/>
    <cellStyle name="Comma 13 29 2 2" xfId="3669" xr:uid="{00000000-0005-0000-0000-00004F350000}"/>
    <cellStyle name="Comma 13 29 2 2 2" xfId="5608" xr:uid="{00000000-0005-0000-0000-000050350000}"/>
    <cellStyle name="Comma 13 29 2 2 2 2" xfId="9479" xr:uid="{00000000-0005-0000-0000-000051350000}"/>
    <cellStyle name="Comma 13 29 2 2 2 2 2" xfId="17224" xr:uid="{00000000-0005-0000-0000-000052350000}"/>
    <cellStyle name="Comma 13 29 2 2 2 2 2 2" xfId="32816" xr:uid="{00000000-0005-0000-0000-000053350000}"/>
    <cellStyle name="Comma 13 29 2 2 2 2 2 3" xfId="48308" xr:uid="{00000000-0005-0000-0000-000054350000}"/>
    <cellStyle name="Comma 13 29 2 2 2 2 3" xfId="25076" xr:uid="{00000000-0005-0000-0000-000055350000}"/>
    <cellStyle name="Comma 13 29 2 2 2 2 4" xfId="40568" xr:uid="{00000000-0005-0000-0000-000056350000}"/>
    <cellStyle name="Comma 13 29 2 2 2 3" xfId="13354" xr:uid="{00000000-0005-0000-0000-000057350000}"/>
    <cellStyle name="Comma 13 29 2 2 2 3 2" xfId="28946" xr:uid="{00000000-0005-0000-0000-000058350000}"/>
    <cellStyle name="Comma 13 29 2 2 2 3 3" xfId="44438" xr:uid="{00000000-0005-0000-0000-000059350000}"/>
    <cellStyle name="Comma 13 29 2 2 2 4" xfId="21206" xr:uid="{00000000-0005-0000-0000-00005A350000}"/>
    <cellStyle name="Comma 13 29 2 2 2 5" xfId="36698" xr:uid="{00000000-0005-0000-0000-00005B350000}"/>
    <cellStyle name="Comma 13 29 2 2 3" xfId="7552" xr:uid="{00000000-0005-0000-0000-00005C350000}"/>
    <cellStyle name="Comma 13 29 2 2 3 2" xfId="15297" xr:uid="{00000000-0005-0000-0000-00005D350000}"/>
    <cellStyle name="Comma 13 29 2 2 3 2 2" xfId="30889" xr:uid="{00000000-0005-0000-0000-00005E350000}"/>
    <cellStyle name="Comma 13 29 2 2 3 2 3" xfId="46381" xr:uid="{00000000-0005-0000-0000-00005F350000}"/>
    <cellStyle name="Comma 13 29 2 2 3 3" xfId="23149" xr:uid="{00000000-0005-0000-0000-000060350000}"/>
    <cellStyle name="Comma 13 29 2 2 3 4" xfId="38641" xr:uid="{00000000-0005-0000-0000-000061350000}"/>
    <cellStyle name="Comma 13 29 2 2 4" xfId="11427" xr:uid="{00000000-0005-0000-0000-000062350000}"/>
    <cellStyle name="Comma 13 29 2 2 4 2" xfId="27019" xr:uid="{00000000-0005-0000-0000-000063350000}"/>
    <cellStyle name="Comma 13 29 2 2 4 3" xfId="42511" xr:uid="{00000000-0005-0000-0000-000064350000}"/>
    <cellStyle name="Comma 13 29 2 2 5" xfId="19279" xr:uid="{00000000-0005-0000-0000-000065350000}"/>
    <cellStyle name="Comma 13 29 2 2 6" xfId="34771" xr:uid="{00000000-0005-0000-0000-000066350000}"/>
    <cellStyle name="Comma 13 29 2 3" xfId="4660" xr:uid="{00000000-0005-0000-0000-000067350000}"/>
    <cellStyle name="Comma 13 29 2 3 2" xfId="8531" xr:uid="{00000000-0005-0000-0000-000068350000}"/>
    <cellStyle name="Comma 13 29 2 3 2 2" xfId="16276" xr:uid="{00000000-0005-0000-0000-000069350000}"/>
    <cellStyle name="Comma 13 29 2 3 2 2 2" xfId="31868" xr:uid="{00000000-0005-0000-0000-00006A350000}"/>
    <cellStyle name="Comma 13 29 2 3 2 2 3" xfId="47360" xr:uid="{00000000-0005-0000-0000-00006B350000}"/>
    <cellStyle name="Comma 13 29 2 3 2 3" xfId="24128" xr:uid="{00000000-0005-0000-0000-00006C350000}"/>
    <cellStyle name="Comma 13 29 2 3 2 4" xfId="39620" xr:uid="{00000000-0005-0000-0000-00006D350000}"/>
    <cellStyle name="Comma 13 29 2 3 3" xfId="12406" xr:uid="{00000000-0005-0000-0000-00006E350000}"/>
    <cellStyle name="Comma 13 29 2 3 3 2" xfId="27998" xr:uid="{00000000-0005-0000-0000-00006F350000}"/>
    <cellStyle name="Comma 13 29 2 3 3 3" xfId="43490" xr:uid="{00000000-0005-0000-0000-000070350000}"/>
    <cellStyle name="Comma 13 29 2 3 4" xfId="20258" xr:uid="{00000000-0005-0000-0000-000071350000}"/>
    <cellStyle name="Comma 13 29 2 3 5" xfId="35750" xr:uid="{00000000-0005-0000-0000-000072350000}"/>
    <cellStyle name="Comma 13 29 2 4" xfId="6604" xr:uid="{00000000-0005-0000-0000-000073350000}"/>
    <cellStyle name="Comma 13 29 2 4 2" xfId="14349" xr:uid="{00000000-0005-0000-0000-000074350000}"/>
    <cellStyle name="Comma 13 29 2 4 2 2" xfId="29941" xr:uid="{00000000-0005-0000-0000-000075350000}"/>
    <cellStyle name="Comma 13 29 2 4 2 3" xfId="45433" xr:uid="{00000000-0005-0000-0000-000076350000}"/>
    <cellStyle name="Comma 13 29 2 4 3" xfId="22201" xr:uid="{00000000-0005-0000-0000-000077350000}"/>
    <cellStyle name="Comma 13 29 2 4 4" xfId="37693" xr:uid="{00000000-0005-0000-0000-000078350000}"/>
    <cellStyle name="Comma 13 29 2 5" xfId="10479" xr:uid="{00000000-0005-0000-0000-000079350000}"/>
    <cellStyle name="Comma 13 29 2 5 2" xfId="26071" xr:uid="{00000000-0005-0000-0000-00007A350000}"/>
    <cellStyle name="Comma 13 29 2 5 3" xfId="41563" xr:uid="{00000000-0005-0000-0000-00007B350000}"/>
    <cellStyle name="Comma 13 29 2 6" xfId="18331" xr:uid="{00000000-0005-0000-0000-00007C350000}"/>
    <cellStyle name="Comma 13 29 2 7" xfId="33823" xr:uid="{00000000-0005-0000-0000-00007D350000}"/>
    <cellStyle name="Comma 13 29 3" xfId="3360" xr:uid="{00000000-0005-0000-0000-00007E350000}"/>
    <cellStyle name="Comma 13 29 3 2" xfId="5299" xr:uid="{00000000-0005-0000-0000-00007F350000}"/>
    <cellStyle name="Comma 13 29 3 2 2" xfId="9170" xr:uid="{00000000-0005-0000-0000-000080350000}"/>
    <cellStyle name="Comma 13 29 3 2 2 2" xfId="16915" xr:uid="{00000000-0005-0000-0000-000081350000}"/>
    <cellStyle name="Comma 13 29 3 2 2 2 2" xfId="32507" xr:uid="{00000000-0005-0000-0000-000082350000}"/>
    <cellStyle name="Comma 13 29 3 2 2 2 3" xfId="47999" xr:uid="{00000000-0005-0000-0000-000083350000}"/>
    <cellStyle name="Comma 13 29 3 2 2 3" xfId="24767" xr:uid="{00000000-0005-0000-0000-000084350000}"/>
    <cellStyle name="Comma 13 29 3 2 2 4" xfId="40259" xr:uid="{00000000-0005-0000-0000-000085350000}"/>
    <cellStyle name="Comma 13 29 3 2 3" xfId="13045" xr:uid="{00000000-0005-0000-0000-000086350000}"/>
    <cellStyle name="Comma 13 29 3 2 3 2" xfId="28637" xr:uid="{00000000-0005-0000-0000-000087350000}"/>
    <cellStyle name="Comma 13 29 3 2 3 3" xfId="44129" xr:uid="{00000000-0005-0000-0000-000088350000}"/>
    <cellStyle name="Comma 13 29 3 2 4" xfId="20897" xr:uid="{00000000-0005-0000-0000-000089350000}"/>
    <cellStyle name="Comma 13 29 3 2 5" xfId="36389" xr:uid="{00000000-0005-0000-0000-00008A350000}"/>
    <cellStyle name="Comma 13 29 3 3" xfId="7243" xr:uid="{00000000-0005-0000-0000-00008B350000}"/>
    <cellStyle name="Comma 13 29 3 3 2" xfId="14988" xr:uid="{00000000-0005-0000-0000-00008C350000}"/>
    <cellStyle name="Comma 13 29 3 3 2 2" xfId="30580" xr:uid="{00000000-0005-0000-0000-00008D350000}"/>
    <cellStyle name="Comma 13 29 3 3 2 3" xfId="46072" xr:uid="{00000000-0005-0000-0000-00008E350000}"/>
    <cellStyle name="Comma 13 29 3 3 3" xfId="22840" xr:uid="{00000000-0005-0000-0000-00008F350000}"/>
    <cellStyle name="Comma 13 29 3 3 4" xfId="38332" xr:uid="{00000000-0005-0000-0000-000090350000}"/>
    <cellStyle name="Comma 13 29 3 4" xfId="11118" xr:uid="{00000000-0005-0000-0000-000091350000}"/>
    <cellStyle name="Comma 13 29 3 4 2" xfId="26710" xr:uid="{00000000-0005-0000-0000-000092350000}"/>
    <cellStyle name="Comma 13 29 3 4 3" xfId="42202" xr:uid="{00000000-0005-0000-0000-000093350000}"/>
    <cellStyle name="Comma 13 29 3 5" xfId="18970" xr:uid="{00000000-0005-0000-0000-000094350000}"/>
    <cellStyle name="Comma 13 29 3 6" xfId="34462" xr:uid="{00000000-0005-0000-0000-000095350000}"/>
    <cellStyle name="Comma 13 29 4" xfId="4351" xr:uid="{00000000-0005-0000-0000-000096350000}"/>
    <cellStyle name="Comma 13 29 4 2" xfId="8222" xr:uid="{00000000-0005-0000-0000-000097350000}"/>
    <cellStyle name="Comma 13 29 4 2 2" xfId="15967" xr:uid="{00000000-0005-0000-0000-000098350000}"/>
    <cellStyle name="Comma 13 29 4 2 2 2" xfId="31559" xr:uid="{00000000-0005-0000-0000-000099350000}"/>
    <cellStyle name="Comma 13 29 4 2 2 3" xfId="47051" xr:uid="{00000000-0005-0000-0000-00009A350000}"/>
    <cellStyle name="Comma 13 29 4 2 3" xfId="23819" xr:uid="{00000000-0005-0000-0000-00009B350000}"/>
    <cellStyle name="Comma 13 29 4 2 4" xfId="39311" xr:uid="{00000000-0005-0000-0000-00009C350000}"/>
    <cellStyle name="Comma 13 29 4 3" xfId="12097" xr:uid="{00000000-0005-0000-0000-00009D350000}"/>
    <cellStyle name="Comma 13 29 4 3 2" xfId="27689" xr:uid="{00000000-0005-0000-0000-00009E350000}"/>
    <cellStyle name="Comma 13 29 4 3 3" xfId="43181" xr:uid="{00000000-0005-0000-0000-00009F350000}"/>
    <cellStyle name="Comma 13 29 4 4" xfId="19949" xr:uid="{00000000-0005-0000-0000-0000A0350000}"/>
    <cellStyle name="Comma 13 29 4 5" xfId="35441" xr:uid="{00000000-0005-0000-0000-0000A1350000}"/>
    <cellStyle name="Comma 13 29 5" xfId="6295" xr:uid="{00000000-0005-0000-0000-0000A2350000}"/>
    <cellStyle name="Comma 13 29 5 2" xfId="14040" xr:uid="{00000000-0005-0000-0000-0000A3350000}"/>
    <cellStyle name="Comma 13 29 5 2 2" xfId="29632" xr:uid="{00000000-0005-0000-0000-0000A4350000}"/>
    <cellStyle name="Comma 13 29 5 2 3" xfId="45124" xr:uid="{00000000-0005-0000-0000-0000A5350000}"/>
    <cellStyle name="Comma 13 29 5 3" xfId="21892" xr:uid="{00000000-0005-0000-0000-0000A6350000}"/>
    <cellStyle name="Comma 13 29 5 4" xfId="37384" xr:uid="{00000000-0005-0000-0000-0000A7350000}"/>
    <cellStyle name="Comma 13 29 6" xfId="10170" xr:uid="{00000000-0005-0000-0000-0000A8350000}"/>
    <cellStyle name="Comma 13 29 6 2" xfId="25762" xr:uid="{00000000-0005-0000-0000-0000A9350000}"/>
    <cellStyle name="Comma 13 29 6 3" xfId="41254" xr:uid="{00000000-0005-0000-0000-0000AA350000}"/>
    <cellStyle name="Comma 13 29 7" xfId="18022" xr:uid="{00000000-0005-0000-0000-0000AB350000}"/>
    <cellStyle name="Comma 13 29 8" xfId="33514" xr:uid="{00000000-0005-0000-0000-0000AC350000}"/>
    <cellStyle name="Comma 13 3" xfId="859" xr:uid="{00000000-0005-0000-0000-0000AD350000}"/>
    <cellStyle name="Comma 13 3 2" xfId="48963" xr:uid="{00000000-0005-0000-0000-0000AE350000}"/>
    <cellStyle name="Comma 13 30" xfId="2385" xr:uid="{00000000-0005-0000-0000-0000AF350000}"/>
    <cellStyle name="Comma 13 30 2" xfId="2697" xr:uid="{00000000-0005-0000-0000-0000B0350000}"/>
    <cellStyle name="Comma 13 30 2 2" xfId="3705" xr:uid="{00000000-0005-0000-0000-0000B1350000}"/>
    <cellStyle name="Comma 13 30 2 2 2" xfId="5644" xr:uid="{00000000-0005-0000-0000-0000B2350000}"/>
    <cellStyle name="Comma 13 30 2 2 2 2" xfId="9515" xr:uid="{00000000-0005-0000-0000-0000B3350000}"/>
    <cellStyle name="Comma 13 30 2 2 2 2 2" xfId="17260" xr:uid="{00000000-0005-0000-0000-0000B4350000}"/>
    <cellStyle name="Comma 13 30 2 2 2 2 2 2" xfId="32852" xr:uid="{00000000-0005-0000-0000-0000B5350000}"/>
    <cellStyle name="Comma 13 30 2 2 2 2 2 3" xfId="48344" xr:uid="{00000000-0005-0000-0000-0000B6350000}"/>
    <cellStyle name="Comma 13 30 2 2 2 2 3" xfId="25112" xr:uid="{00000000-0005-0000-0000-0000B7350000}"/>
    <cellStyle name="Comma 13 30 2 2 2 2 4" xfId="40604" xr:uid="{00000000-0005-0000-0000-0000B8350000}"/>
    <cellStyle name="Comma 13 30 2 2 2 3" xfId="13390" xr:uid="{00000000-0005-0000-0000-0000B9350000}"/>
    <cellStyle name="Comma 13 30 2 2 2 3 2" xfId="28982" xr:uid="{00000000-0005-0000-0000-0000BA350000}"/>
    <cellStyle name="Comma 13 30 2 2 2 3 3" xfId="44474" xr:uid="{00000000-0005-0000-0000-0000BB350000}"/>
    <cellStyle name="Comma 13 30 2 2 2 4" xfId="21242" xr:uid="{00000000-0005-0000-0000-0000BC350000}"/>
    <cellStyle name="Comma 13 30 2 2 2 5" xfId="36734" xr:uid="{00000000-0005-0000-0000-0000BD350000}"/>
    <cellStyle name="Comma 13 30 2 2 3" xfId="7588" xr:uid="{00000000-0005-0000-0000-0000BE350000}"/>
    <cellStyle name="Comma 13 30 2 2 3 2" xfId="15333" xr:uid="{00000000-0005-0000-0000-0000BF350000}"/>
    <cellStyle name="Comma 13 30 2 2 3 2 2" xfId="30925" xr:uid="{00000000-0005-0000-0000-0000C0350000}"/>
    <cellStyle name="Comma 13 30 2 2 3 2 3" xfId="46417" xr:uid="{00000000-0005-0000-0000-0000C1350000}"/>
    <cellStyle name="Comma 13 30 2 2 3 3" xfId="23185" xr:uid="{00000000-0005-0000-0000-0000C2350000}"/>
    <cellStyle name="Comma 13 30 2 2 3 4" xfId="38677" xr:uid="{00000000-0005-0000-0000-0000C3350000}"/>
    <cellStyle name="Comma 13 30 2 2 4" xfId="11463" xr:uid="{00000000-0005-0000-0000-0000C4350000}"/>
    <cellStyle name="Comma 13 30 2 2 4 2" xfId="27055" xr:uid="{00000000-0005-0000-0000-0000C5350000}"/>
    <cellStyle name="Comma 13 30 2 2 4 3" xfId="42547" xr:uid="{00000000-0005-0000-0000-0000C6350000}"/>
    <cellStyle name="Comma 13 30 2 2 5" xfId="19315" xr:uid="{00000000-0005-0000-0000-0000C7350000}"/>
    <cellStyle name="Comma 13 30 2 2 6" xfId="34807" xr:uid="{00000000-0005-0000-0000-0000C8350000}"/>
    <cellStyle name="Comma 13 30 2 3" xfId="4696" xr:uid="{00000000-0005-0000-0000-0000C9350000}"/>
    <cellStyle name="Comma 13 30 2 3 2" xfId="8567" xr:uid="{00000000-0005-0000-0000-0000CA350000}"/>
    <cellStyle name="Comma 13 30 2 3 2 2" xfId="16312" xr:uid="{00000000-0005-0000-0000-0000CB350000}"/>
    <cellStyle name="Comma 13 30 2 3 2 2 2" xfId="31904" xr:uid="{00000000-0005-0000-0000-0000CC350000}"/>
    <cellStyle name="Comma 13 30 2 3 2 2 3" xfId="47396" xr:uid="{00000000-0005-0000-0000-0000CD350000}"/>
    <cellStyle name="Comma 13 30 2 3 2 3" xfId="24164" xr:uid="{00000000-0005-0000-0000-0000CE350000}"/>
    <cellStyle name="Comma 13 30 2 3 2 4" xfId="39656" xr:uid="{00000000-0005-0000-0000-0000CF350000}"/>
    <cellStyle name="Comma 13 30 2 3 3" xfId="12442" xr:uid="{00000000-0005-0000-0000-0000D0350000}"/>
    <cellStyle name="Comma 13 30 2 3 3 2" xfId="28034" xr:uid="{00000000-0005-0000-0000-0000D1350000}"/>
    <cellStyle name="Comma 13 30 2 3 3 3" xfId="43526" xr:uid="{00000000-0005-0000-0000-0000D2350000}"/>
    <cellStyle name="Comma 13 30 2 3 4" xfId="20294" xr:uid="{00000000-0005-0000-0000-0000D3350000}"/>
    <cellStyle name="Comma 13 30 2 3 5" xfId="35786" xr:uid="{00000000-0005-0000-0000-0000D4350000}"/>
    <cellStyle name="Comma 13 30 2 4" xfId="6640" xr:uid="{00000000-0005-0000-0000-0000D5350000}"/>
    <cellStyle name="Comma 13 30 2 4 2" xfId="14385" xr:uid="{00000000-0005-0000-0000-0000D6350000}"/>
    <cellStyle name="Comma 13 30 2 4 2 2" xfId="29977" xr:uid="{00000000-0005-0000-0000-0000D7350000}"/>
    <cellStyle name="Comma 13 30 2 4 2 3" xfId="45469" xr:uid="{00000000-0005-0000-0000-0000D8350000}"/>
    <cellStyle name="Comma 13 30 2 4 3" xfId="22237" xr:uid="{00000000-0005-0000-0000-0000D9350000}"/>
    <cellStyle name="Comma 13 30 2 4 4" xfId="37729" xr:uid="{00000000-0005-0000-0000-0000DA350000}"/>
    <cellStyle name="Comma 13 30 2 5" xfId="10515" xr:uid="{00000000-0005-0000-0000-0000DB350000}"/>
    <cellStyle name="Comma 13 30 2 5 2" xfId="26107" xr:uid="{00000000-0005-0000-0000-0000DC350000}"/>
    <cellStyle name="Comma 13 30 2 5 3" xfId="41599" xr:uid="{00000000-0005-0000-0000-0000DD350000}"/>
    <cellStyle name="Comma 13 30 2 6" xfId="18367" xr:uid="{00000000-0005-0000-0000-0000DE350000}"/>
    <cellStyle name="Comma 13 30 2 7" xfId="33859" xr:uid="{00000000-0005-0000-0000-0000DF350000}"/>
    <cellStyle name="Comma 13 30 3" xfId="3396" xr:uid="{00000000-0005-0000-0000-0000E0350000}"/>
    <cellStyle name="Comma 13 30 3 2" xfId="5335" xr:uid="{00000000-0005-0000-0000-0000E1350000}"/>
    <cellStyle name="Comma 13 30 3 2 2" xfId="9206" xr:uid="{00000000-0005-0000-0000-0000E2350000}"/>
    <cellStyle name="Comma 13 30 3 2 2 2" xfId="16951" xr:uid="{00000000-0005-0000-0000-0000E3350000}"/>
    <cellStyle name="Comma 13 30 3 2 2 2 2" xfId="32543" xr:uid="{00000000-0005-0000-0000-0000E4350000}"/>
    <cellStyle name="Comma 13 30 3 2 2 2 3" xfId="48035" xr:uid="{00000000-0005-0000-0000-0000E5350000}"/>
    <cellStyle name="Comma 13 30 3 2 2 3" xfId="24803" xr:uid="{00000000-0005-0000-0000-0000E6350000}"/>
    <cellStyle name="Comma 13 30 3 2 2 4" xfId="40295" xr:uid="{00000000-0005-0000-0000-0000E7350000}"/>
    <cellStyle name="Comma 13 30 3 2 3" xfId="13081" xr:uid="{00000000-0005-0000-0000-0000E8350000}"/>
    <cellStyle name="Comma 13 30 3 2 3 2" xfId="28673" xr:uid="{00000000-0005-0000-0000-0000E9350000}"/>
    <cellStyle name="Comma 13 30 3 2 3 3" xfId="44165" xr:uid="{00000000-0005-0000-0000-0000EA350000}"/>
    <cellStyle name="Comma 13 30 3 2 4" xfId="20933" xr:uid="{00000000-0005-0000-0000-0000EB350000}"/>
    <cellStyle name="Comma 13 30 3 2 5" xfId="36425" xr:uid="{00000000-0005-0000-0000-0000EC350000}"/>
    <cellStyle name="Comma 13 30 3 3" xfId="7279" xr:uid="{00000000-0005-0000-0000-0000ED350000}"/>
    <cellStyle name="Comma 13 30 3 3 2" xfId="15024" xr:uid="{00000000-0005-0000-0000-0000EE350000}"/>
    <cellStyle name="Comma 13 30 3 3 2 2" xfId="30616" xr:uid="{00000000-0005-0000-0000-0000EF350000}"/>
    <cellStyle name="Comma 13 30 3 3 2 3" xfId="46108" xr:uid="{00000000-0005-0000-0000-0000F0350000}"/>
    <cellStyle name="Comma 13 30 3 3 3" xfId="22876" xr:uid="{00000000-0005-0000-0000-0000F1350000}"/>
    <cellStyle name="Comma 13 30 3 3 4" xfId="38368" xr:uid="{00000000-0005-0000-0000-0000F2350000}"/>
    <cellStyle name="Comma 13 30 3 4" xfId="11154" xr:uid="{00000000-0005-0000-0000-0000F3350000}"/>
    <cellStyle name="Comma 13 30 3 4 2" xfId="26746" xr:uid="{00000000-0005-0000-0000-0000F4350000}"/>
    <cellStyle name="Comma 13 30 3 4 3" xfId="42238" xr:uid="{00000000-0005-0000-0000-0000F5350000}"/>
    <cellStyle name="Comma 13 30 3 5" xfId="19006" xr:uid="{00000000-0005-0000-0000-0000F6350000}"/>
    <cellStyle name="Comma 13 30 3 6" xfId="34498" xr:uid="{00000000-0005-0000-0000-0000F7350000}"/>
    <cellStyle name="Comma 13 30 4" xfId="4387" xr:uid="{00000000-0005-0000-0000-0000F8350000}"/>
    <cellStyle name="Comma 13 30 4 2" xfId="8258" xr:uid="{00000000-0005-0000-0000-0000F9350000}"/>
    <cellStyle name="Comma 13 30 4 2 2" xfId="16003" xr:uid="{00000000-0005-0000-0000-0000FA350000}"/>
    <cellStyle name="Comma 13 30 4 2 2 2" xfId="31595" xr:uid="{00000000-0005-0000-0000-0000FB350000}"/>
    <cellStyle name="Comma 13 30 4 2 2 3" xfId="47087" xr:uid="{00000000-0005-0000-0000-0000FC350000}"/>
    <cellStyle name="Comma 13 30 4 2 3" xfId="23855" xr:uid="{00000000-0005-0000-0000-0000FD350000}"/>
    <cellStyle name="Comma 13 30 4 2 4" xfId="39347" xr:uid="{00000000-0005-0000-0000-0000FE350000}"/>
    <cellStyle name="Comma 13 30 4 3" xfId="12133" xr:uid="{00000000-0005-0000-0000-0000FF350000}"/>
    <cellStyle name="Comma 13 30 4 3 2" xfId="27725" xr:uid="{00000000-0005-0000-0000-000000360000}"/>
    <cellStyle name="Comma 13 30 4 3 3" xfId="43217" xr:uid="{00000000-0005-0000-0000-000001360000}"/>
    <cellStyle name="Comma 13 30 4 4" xfId="19985" xr:uid="{00000000-0005-0000-0000-000002360000}"/>
    <cellStyle name="Comma 13 30 4 5" xfId="35477" xr:uid="{00000000-0005-0000-0000-000003360000}"/>
    <cellStyle name="Comma 13 30 5" xfId="6331" xr:uid="{00000000-0005-0000-0000-000004360000}"/>
    <cellStyle name="Comma 13 30 5 2" xfId="14076" xr:uid="{00000000-0005-0000-0000-000005360000}"/>
    <cellStyle name="Comma 13 30 5 2 2" xfId="29668" xr:uid="{00000000-0005-0000-0000-000006360000}"/>
    <cellStyle name="Comma 13 30 5 2 3" xfId="45160" xr:uid="{00000000-0005-0000-0000-000007360000}"/>
    <cellStyle name="Comma 13 30 5 3" xfId="21928" xr:uid="{00000000-0005-0000-0000-000008360000}"/>
    <cellStyle name="Comma 13 30 5 4" xfId="37420" xr:uid="{00000000-0005-0000-0000-000009360000}"/>
    <cellStyle name="Comma 13 30 6" xfId="10206" xr:uid="{00000000-0005-0000-0000-00000A360000}"/>
    <cellStyle name="Comma 13 30 6 2" xfId="25798" xr:uid="{00000000-0005-0000-0000-00000B360000}"/>
    <cellStyle name="Comma 13 30 6 3" xfId="41290" xr:uid="{00000000-0005-0000-0000-00000C360000}"/>
    <cellStyle name="Comma 13 30 7" xfId="18058" xr:uid="{00000000-0005-0000-0000-00000D360000}"/>
    <cellStyle name="Comma 13 30 8" xfId="33550" xr:uid="{00000000-0005-0000-0000-00000E360000}"/>
    <cellStyle name="Comma 13 31" xfId="2423" xr:uid="{00000000-0005-0000-0000-00000F360000}"/>
    <cellStyle name="Comma 13 31 2" xfId="2733" xr:uid="{00000000-0005-0000-0000-000010360000}"/>
    <cellStyle name="Comma 13 31 2 2" xfId="3741" xr:uid="{00000000-0005-0000-0000-000011360000}"/>
    <cellStyle name="Comma 13 31 2 2 2" xfId="5680" xr:uid="{00000000-0005-0000-0000-000012360000}"/>
    <cellStyle name="Comma 13 31 2 2 2 2" xfId="9551" xr:uid="{00000000-0005-0000-0000-000013360000}"/>
    <cellStyle name="Comma 13 31 2 2 2 2 2" xfId="17296" xr:uid="{00000000-0005-0000-0000-000014360000}"/>
    <cellStyle name="Comma 13 31 2 2 2 2 2 2" xfId="32888" xr:uid="{00000000-0005-0000-0000-000015360000}"/>
    <cellStyle name="Comma 13 31 2 2 2 2 2 3" xfId="48380" xr:uid="{00000000-0005-0000-0000-000016360000}"/>
    <cellStyle name="Comma 13 31 2 2 2 2 3" xfId="25148" xr:uid="{00000000-0005-0000-0000-000017360000}"/>
    <cellStyle name="Comma 13 31 2 2 2 2 4" xfId="40640" xr:uid="{00000000-0005-0000-0000-000018360000}"/>
    <cellStyle name="Comma 13 31 2 2 2 3" xfId="13426" xr:uid="{00000000-0005-0000-0000-000019360000}"/>
    <cellStyle name="Comma 13 31 2 2 2 3 2" xfId="29018" xr:uid="{00000000-0005-0000-0000-00001A360000}"/>
    <cellStyle name="Comma 13 31 2 2 2 3 3" xfId="44510" xr:uid="{00000000-0005-0000-0000-00001B360000}"/>
    <cellStyle name="Comma 13 31 2 2 2 4" xfId="21278" xr:uid="{00000000-0005-0000-0000-00001C360000}"/>
    <cellStyle name="Comma 13 31 2 2 2 5" xfId="36770" xr:uid="{00000000-0005-0000-0000-00001D360000}"/>
    <cellStyle name="Comma 13 31 2 2 3" xfId="7624" xr:uid="{00000000-0005-0000-0000-00001E360000}"/>
    <cellStyle name="Comma 13 31 2 2 3 2" xfId="15369" xr:uid="{00000000-0005-0000-0000-00001F360000}"/>
    <cellStyle name="Comma 13 31 2 2 3 2 2" xfId="30961" xr:uid="{00000000-0005-0000-0000-000020360000}"/>
    <cellStyle name="Comma 13 31 2 2 3 2 3" xfId="46453" xr:uid="{00000000-0005-0000-0000-000021360000}"/>
    <cellStyle name="Comma 13 31 2 2 3 3" xfId="23221" xr:uid="{00000000-0005-0000-0000-000022360000}"/>
    <cellStyle name="Comma 13 31 2 2 3 4" xfId="38713" xr:uid="{00000000-0005-0000-0000-000023360000}"/>
    <cellStyle name="Comma 13 31 2 2 4" xfId="11499" xr:uid="{00000000-0005-0000-0000-000024360000}"/>
    <cellStyle name="Comma 13 31 2 2 4 2" xfId="27091" xr:uid="{00000000-0005-0000-0000-000025360000}"/>
    <cellStyle name="Comma 13 31 2 2 4 3" xfId="42583" xr:uid="{00000000-0005-0000-0000-000026360000}"/>
    <cellStyle name="Comma 13 31 2 2 5" xfId="19351" xr:uid="{00000000-0005-0000-0000-000027360000}"/>
    <cellStyle name="Comma 13 31 2 2 6" xfId="34843" xr:uid="{00000000-0005-0000-0000-000028360000}"/>
    <cellStyle name="Comma 13 31 2 3" xfId="4732" xr:uid="{00000000-0005-0000-0000-000029360000}"/>
    <cellStyle name="Comma 13 31 2 3 2" xfId="8603" xr:uid="{00000000-0005-0000-0000-00002A360000}"/>
    <cellStyle name="Comma 13 31 2 3 2 2" xfId="16348" xr:uid="{00000000-0005-0000-0000-00002B360000}"/>
    <cellStyle name="Comma 13 31 2 3 2 2 2" xfId="31940" xr:uid="{00000000-0005-0000-0000-00002C360000}"/>
    <cellStyle name="Comma 13 31 2 3 2 2 3" xfId="47432" xr:uid="{00000000-0005-0000-0000-00002D360000}"/>
    <cellStyle name="Comma 13 31 2 3 2 3" xfId="24200" xr:uid="{00000000-0005-0000-0000-00002E360000}"/>
    <cellStyle name="Comma 13 31 2 3 2 4" xfId="39692" xr:uid="{00000000-0005-0000-0000-00002F360000}"/>
    <cellStyle name="Comma 13 31 2 3 3" xfId="12478" xr:uid="{00000000-0005-0000-0000-000030360000}"/>
    <cellStyle name="Comma 13 31 2 3 3 2" xfId="28070" xr:uid="{00000000-0005-0000-0000-000031360000}"/>
    <cellStyle name="Comma 13 31 2 3 3 3" xfId="43562" xr:uid="{00000000-0005-0000-0000-000032360000}"/>
    <cellStyle name="Comma 13 31 2 3 4" xfId="20330" xr:uid="{00000000-0005-0000-0000-000033360000}"/>
    <cellStyle name="Comma 13 31 2 3 5" xfId="35822" xr:uid="{00000000-0005-0000-0000-000034360000}"/>
    <cellStyle name="Comma 13 31 2 4" xfId="6676" xr:uid="{00000000-0005-0000-0000-000035360000}"/>
    <cellStyle name="Comma 13 31 2 4 2" xfId="14421" xr:uid="{00000000-0005-0000-0000-000036360000}"/>
    <cellStyle name="Comma 13 31 2 4 2 2" xfId="30013" xr:uid="{00000000-0005-0000-0000-000037360000}"/>
    <cellStyle name="Comma 13 31 2 4 2 3" xfId="45505" xr:uid="{00000000-0005-0000-0000-000038360000}"/>
    <cellStyle name="Comma 13 31 2 4 3" xfId="22273" xr:uid="{00000000-0005-0000-0000-000039360000}"/>
    <cellStyle name="Comma 13 31 2 4 4" xfId="37765" xr:uid="{00000000-0005-0000-0000-00003A360000}"/>
    <cellStyle name="Comma 13 31 2 5" xfId="10551" xr:uid="{00000000-0005-0000-0000-00003B360000}"/>
    <cellStyle name="Comma 13 31 2 5 2" xfId="26143" xr:uid="{00000000-0005-0000-0000-00003C360000}"/>
    <cellStyle name="Comma 13 31 2 5 3" xfId="41635" xr:uid="{00000000-0005-0000-0000-00003D360000}"/>
    <cellStyle name="Comma 13 31 2 6" xfId="18403" xr:uid="{00000000-0005-0000-0000-00003E360000}"/>
    <cellStyle name="Comma 13 31 2 7" xfId="33895" xr:uid="{00000000-0005-0000-0000-00003F360000}"/>
    <cellStyle name="Comma 13 31 3" xfId="3432" xr:uid="{00000000-0005-0000-0000-000040360000}"/>
    <cellStyle name="Comma 13 31 3 2" xfId="5371" xr:uid="{00000000-0005-0000-0000-000041360000}"/>
    <cellStyle name="Comma 13 31 3 2 2" xfId="9242" xr:uid="{00000000-0005-0000-0000-000042360000}"/>
    <cellStyle name="Comma 13 31 3 2 2 2" xfId="16987" xr:uid="{00000000-0005-0000-0000-000043360000}"/>
    <cellStyle name="Comma 13 31 3 2 2 2 2" xfId="32579" xr:uid="{00000000-0005-0000-0000-000044360000}"/>
    <cellStyle name="Comma 13 31 3 2 2 2 3" xfId="48071" xr:uid="{00000000-0005-0000-0000-000045360000}"/>
    <cellStyle name="Comma 13 31 3 2 2 3" xfId="24839" xr:uid="{00000000-0005-0000-0000-000046360000}"/>
    <cellStyle name="Comma 13 31 3 2 2 4" xfId="40331" xr:uid="{00000000-0005-0000-0000-000047360000}"/>
    <cellStyle name="Comma 13 31 3 2 3" xfId="13117" xr:uid="{00000000-0005-0000-0000-000048360000}"/>
    <cellStyle name="Comma 13 31 3 2 3 2" xfId="28709" xr:uid="{00000000-0005-0000-0000-000049360000}"/>
    <cellStyle name="Comma 13 31 3 2 3 3" xfId="44201" xr:uid="{00000000-0005-0000-0000-00004A360000}"/>
    <cellStyle name="Comma 13 31 3 2 4" xfId="20969" xr:uid="{00000000-0005-0000-0000-00004B360000}"/>
    <cellStyle name="Comma 13 31 3 2 5" xfId="36461" xr:uid="{00000000-0005-0000-0000-00004C360000}"/>
    <cellStyle name="Comma 13 31 3 3" xfId="7315" xr:uid="{00000000-0005-0000-0000-00004D360000}"/>
    <cellStyle name="Comma 13 31 3 3 2" xfId="15060" xr:uid="{00000000-0005-0000-0000-00004E360000}"/>
    <cellStyle name="Comma 13 31 3 3 2 2" xfId="30652" xr:uid="{00000000-0005-0000-0000-00004F360000}"/>
    <cellStyle name="Comma 13 31 3 3 2 3" xfId="46144" xr:uid="{00000000-0005-0000-0000-000050360000}"/>
    <cellStyle name="Comma 13 31 3 3 3" xfId="22912" xr:uid="{00000000-0005-0000-0000-000051360000}"/>
    <cellStyle name="Comma 13 31 3 3 4" xfId="38404" xr:uid="{00000000-0005-0000-0000-000052360000}"/>
    <cellStyle name="Comma 13 31 3 4" xfId="11190" xr:uid="{00000000-0005-0000-0000-000053360000}"/>
    <cellStyle name="Comma 13 31 3 4 2" xfId="26782" xr:uid="{00000000-0005-0000-0000-000054360000}"/>
    <cellStyle name="Comma 13 31 3 4 3" xfId="42274" xr:uid="{00000000-0005-0000-0000-000055360000}"/>
    <cellStyle name="Comma 13 31 3 5" xfId="19042" xr:uid="{00000000-0005-0000-0000-000056360000}"/>
    <cellStyle name="Comma 13 31 3 6" xfId="34534" xr:uid="{00000000-0005-0000-0000-000057360000}"/>
    <cellStyle name="Comma 13 31 4" xfId="4423" xr:uid="{00000000-0005-0000-0000-000058360000}"/>
    <cellStyle name="Comma 13 31 4 2" xfId="8294" xr:uid="{00000000-0005-0000-0000-000059360000}"/>
    <cellStyle name="Comma 13 31 4 2 2" xfId="16039" xr:uid="{00000000-0005-0000-0000-00005A360000}"/>
    <cellStyle name="Comma 13 31 4 2 2 2" xfId="31631" xr:uid="{00000000-0005-0000-0000-00005B360000}"/>
    <cellStyle name="Comma 13 31 4 2 2 3" xfId="47123" xr:uid="{00000000-0005-0000-0000-00005C360000}"/>
    <cellStyle name="Comma 13 31 4 2 3" xfId="23891" xr:uid="{00000000-0005-0000-0000-00005D360000}"/>
    <cellStyle name="Comma 13 31 4 2 4" xfId="39383" xr:uid="{00000000-0005-0000-0000-00005E360000}"/>
    <cellStyle name="Comma 13 31 4 3" xfId="12169" xr:uid="{00000000-0005-0000-0000-00005F360000}"/>
    <cellStyle name="Comma 13 31 4 3 2" xfId="27761" xr:uid="{00000000-0005-0000-0000-000060360000}"/>
    <cellStyle name="Comma 13 31 4 3 3" xfId="43253" xr:uid="{00000000-0005-0000-0000-000061360000}"/>
    <cellStyle name="Comma 13 31 4 4" xfId="20021" xr:uid="{00000000-0005-0000-0000-000062360000}"/>
    <cellStyle name="Comma 13 31 4 5" xfId="35513" xr:uid="{00000000-0005-0000-0000-000063360000}"/>
    <cellStyle name="Comma 13 31 5" xfId="6367" xr:uid="{00000000-0005-0000-0000-000064360000}"/>
    <cellStyle name="Comma 13 31 5 2" xfId="14112" xr:uid="{00000000-0005-0000-0000-000065360000}"/>
    <cellStyle name="Comma 13 31 5 2 2" xfId="29704" xr:uid="{00000000-0005-0000-0000-000066360000}"/>
    <cellStyle name="Comma 13 31 5 2 3" xfId="45196" xr:uid="{00000000-0005-0000-0000-000067360000}"/>
    <cellStyle name="Comma 13 31 5 3" xfId="21964" xr:uid="{00000000-0005-0000-0000-000068360000}"/>
    <cellStyle name="Comma 13 31 5 4" xfId="37456" xr:uid="{00000000-0005-0000-0000-000069360000}"/>
    <cellStyle name="Comma 13 31 6" xfId="10242" xr:uid="{00000000-0005-0000-0000-00006A360000}"/>
    <cellStyle name="Comma 13 31 6 2" xfId="25834" xr:uid="{00000000-0005-0000-0000-00006B360000}"/>
    <cellStyle name="Comma 13 31 6 3" xfId="41326" xr:uid="{00000000-0005-0000-0000-00006C360000}"/>
    <cellStyle name="Comma 13 31 7" xfId="18094" xr:uid="{00000000-0005-0000-0000-00006D360000}"/>
    <cellStyle name="Comma 13 31 8" xfId="33586" xr:uid="{00000000-0005-0000-0000-00006E360000}"/>
    <cellStyle name="Comma 13 32" xfId="2460" xr:uid="{00000000-0005-0000-0000-00006F360000}"/>
    <cellStyle name="Comma 13 32 2" xfId="2769" xr:uid="{00000000-0005-0000-0000-000070360000}"/>
    <cellStyle name="Comma 13 32 2 2" xfId="3777" xr:uid="{00000000-0005-0000-0000-000071360000}"/>
    <cellStyle name="Comma 13 32 2 2 2" xfId="5716" xr:uid="{00000000-0005-0000-0000-000072360000}"/>
    <cellStyle name="Comma 13 32 2 2 2 2" xfId="9587" xr:uid="{00000000-0005-0000-0000-000073360000}"/>
    <cellStyle name="Comma 13 32 2 2 2 2 2" xfId="17332" xr:uid="{00000000-0005-0000-0000-000074360000}"/>
    <cellStyle name="Comma 13 32 2 2 2 2 2 2" xfId="32924" xr:uid="{00000000-0005-0000-0000-000075360000}"/>
    <cellStyle name="Comma 13 32 2 2 2 2 2 3" xfId="48416" xr:uid="{00000000-0005-0000-0000-000076360000}"/>
    <cellStyle name="Comma 13 32 2 2 2 2 3" xfId="25184" xr:uid="{00000000-0005-0000-0000-000077360000}"/>
    <cellStyle name="Comma 13 32 2 2 2 2 4" xfId="40676" xr:uid="{00000000-0005-0000-0000-000078360000}"/>
    <cellStyle name="Comma 13 32 2 2 2 3" xfId="13462" xr:uid="{00000000-0005-0000-0000-000079360000}"/>
    <cellStyle name="Comma 13 32 2 2 2 3 2" xfId="29054" xr:uid="{00000000-0005-0000-0000-00007A360000}"/>
    <cellStyle name="Comma 13 32 2 2 2 3 3" xfId="44546" xr:uid="{00000000-0005-0000-0000-00007B360000}"/>
    <cellStyle name="Comma 13 32 2 2 2 4" xfId="21314" xr:uid="{00000000-0005-0000-0000-00007C360000}"/>
    <cellStyle name="Comma 13 32 2 2 2 5" xfId="36806" xr:uid="{00000000-0005-0000-0000-00007D360000}"/>
    <cellStyle name="Comma 13 32 2 2 3" xfId="7660" xr:uid="{00000000-0005-0000-0000-00007E360000}"/>
    <cellStyle name="Comma 13 32 2 2 3 2" xfId="15405" xr:uid="{00000000-0005-0000-0000-00007F360000}"/>
    <cellStyle name="Comma 13 32 2 2 3 2 2" xfId="30997" xr:uid="{00000000-0005-0000-0000-000080360000}"/>
    <cellStyle name="Comma 13 32 2 2 3 2 3" xfId="46489" xr:uid="{00000000-0005-0000-0000-000081360000}"/>
    <cellStyle name="Comma 13 32 2 2 3 3" xfId="23257" xr:uid="{00000000-0005-0000-0000-000082360000}"/>
    <cellStyle name="Comma 13 32 2 2 3 4" xfId="38749" xr:uid="{00000000-0005-0000-0000-000083360000}"/>
    <cellStyle name="Comma 13 32 2 2 4" xfId="11535" xr:uid="{00000000-0005-0000-0000-000084360000}"/>
    <cellStyle name="Comma 13 32 2 2 4 2" xfId="27127" xr:uid="{00000000-0005-0000-0000-000085360000}"/>
    <cellStyle name="Comma 13 32 2 2 4 3" xfId="42619" xr:uid="{00000000-0005-0000-0000-000086360000}"/>
    <cellStyle name="Comma 13 32 2 2 5" xfId="19387" xr:uid="{00000000-0005-0000-0000-000087360000}"/>
    <cellStyle name="Comma 13 32 2 2 6" xfId="34879" xr:uid="{00000000-0005-0000-0000-000088360000}"/>
    <cellStyle name="Comma 13 32 2 3" xfId="4768" xr:uid="{00000000-0005-0000-0000-000089360000}"/>
    <cellStyle name="Comma 13 32 2 3 2" xfId="8639" xr:uid="{00000000-0005-0000-0000-00008A360000}"/>
    <cellStyle name="Comma 13 32 2 3 2 2" xfId="16384" xr:uid="{00000000-0005-0000-0000-00008B360000}"/>
    <cellStyle name="Comma 13 32 2 3 2 2 2" xfId="31976" xr:uid="{00000000-0005-0000-0000-00008C360000}"/>
    <cellStyle name="Comma 13 32 2 3 2 2 3" xfId="47468" xr:uid="{00000000-0005-0000-0000-00008D360000}"/>
    <cellStyle name="Comma 13 32 2 3 2 3" xfId="24236" xr:uid="{00000000-0005-0000-0000-00008E360000}"/>
    <cellStyle name="Comma 13 32 2 3 2 4" xfId="39728" xr:uid="{00000000-0005-0000-0000-00008F360000}"/>
    <cellStyle name="Comma 13 32 2 3 3" xfId="12514" xr:uid="{00000000-0005-0000-0000-000090360000}"/>
    <cellStyle name="Comma 13 32 2 3 3 2" xfId="28106" xr:uid="{00000000-0005-0000-0000-000091360000}"/>
    <cellStyle name="Comma 13 32 2 3 3 3" xfId="43598" xr:uid="{00000000-0005-0000-0000-000092360000}"/>
    <cellStyle name="Comma 13 32 2 3 4" xfId="20366" xr:uid="{00000000-0005-0000-0000-000093360000}"/>
    <cellStyle name="Comma 13 32 2 3 5" xfId="35858" xr:uid="{00000000-0005-0000-0000-000094360000}"/>
    <cellStyle name="Comma 13 32 2 4" xfId="6712" xr:uid="{00000000-0005-0000-0000-000095360000}"/>
    <cellStyle name="Comma 13 32 2 4 2" xfId="14457" xr:uid="{00000000-0005-0000-0000-000096360000}"/>
    <cellStyle name="Comma 13 32 2 4 2 2" xfId="30049" xr:uid="{00000000-0005-0000-0000-000097360000}"/>
    <cellStyle name="Comma 13 32 2 4 2 3" xfId="45541" xr:uid="{00000000-0005-0000-0000-000098360000}"/>
    <cellStyle name="Comma 13 32 2 4 3" xfId="22309" xr:uid="{00000000-0005-0000-0000-000099360000}"/>
    <cellStyle name="Comma 13 32 2 4 4" xfId="37801" xr:uid="{00000000-0005-0000-0000-00009A360000}"/>
    <cellStyle name="Comma 13 32 2 5" xfId="10587" xr:uid="{00000000-0005-0000-0000-00009B360000}"/>
    <cellStyle name="Comma 13 32 2 5 2" xfId="26179" xr:uid="{00000000-0005-0000-0000-00009C360000}"/>
    <cellStyle name="Comma 13 32 2 5 3" xfId="41671" xr:uid="{00000000-0005-0000-0000-00009D360000}"/>
    <cellStyle name="Comma 13 32 2 6" xfId="18439" xr:uid="{00000000-0005-0000-0000-00009E360000}"/>
    <cellStyle name="Comma 13 32 2 7" xfId="33931" xr:uid="{00000000-0005-0000-0000-00009F360000}"/>
    <cellStyle name="Comma 13 32 3" xfId="3468" xr:uid="{00000000-0005-0000-0000-0000A0360000}"/>
    <cellStyle name="Comma 13 32 3 2" xfId="5407" xr:uid="{00000000-0005-0000-0000-0000A1360000}"/>
    <cellStyle name="Comma 13 32 3 2 2" xfId="9278" xr:uid="{00000000-0005-0000-0000-0000A2360000}"/>
    <cellStyle name="Comma 13 32 3 2 2 2" xfId="17023" xr:uid="{00000000-0005-0000-0000-0000A3360000}"/>
    <cellStyle name="Comma 13 32 3 2 2 2 2" xfId="32615" xr:uid="{00000000-0005-0000-0000-0000A4360000}"/>
    <cellStyle name="Comma 13 32 3 2 2 2 3" xfId="48107" xr:uid="{00000000-0005-0000-0000-0000A5360000}"/>
    <cellStyle name="Comma 13 32 3 2 2 3" xfId="24875" xr:uid="{00000000-0005-0000-0000-0000A6360000}"/>
    <cellStyle name="Comma 13 32 3 2 2 4" xfId="40367" xr:uid="{00000000-0005-0000-0000-0000A7360000}"/>
    <cellStyle name="Comma 13 32 3 2 3" xfId="13153" xr:uid="{00000000-0005-0000-0000-0000A8360000}"/>
    <cellStyle name="Comma 13 32 3 2 3 2" xfId="28745" xr:uid="{00000000-0005-0000-0000-0000A9360000}"/>
    <cellStyle name="Comma 13 32 3 2 3 3" xfId="44237" xr:uid="{00000000-0005-0000-0000-0000AA360000}"/>
    <cellStyle name="Comma 13 32 3 2 4" xfId="21005" xr:uid="{00000000-0005-0000-0000-0000AB360000}"/>
    <cellStyle name="Comma 13 32 3 2 5" xfId="36497" xr:uid="{00000000-0005-0000-0000-0000AC360000}"/>
    <cellStyle name="Comma 13 32 3 3" xfId="7351" xr:uid="{00000000-0005-0000-0000-0000AD360000}"/>
    <cellStyle name="Comma 13 32 3 3 2" xfId="15096" xr:uid="{00000000-0005-0000-0000-0000AE360000}"/>
    <cellStyle name="Comma 13 32 3 3 2 2" xfId="30688" xr:uid="{00000000-0005-0000-0000-0000AF360000}"/>
    <cellStyle name="Comma 13 32 3 3 2 3" xfId="46180" xr:uid="{00000000-0005-0000-0000-0000B0360000}"/>
    <cellStyle name="Comma 13 32 3 3 3" xfId="22948" xr:uid="{00000000-0005-0000-0000-0000B1360000}"/>
    <cellStyle name="Comma 13 32 3 3 4" xfId="38440" xr:uid="{00000000-0005-0000-0000-0000B2360000}"/>
    <cellStyle name="Comma 13 32 3 4" xfId="11226" xr:uid="{00000000-0005-0000-0000-0000B3360000}"/>
    <cellStyle name="Comma 13 32 3 4 2" xfId="26818" xr:uid="{00000000-0005-0000-0000-0000B4360000}"/>
    <cellStyle name="Comma 13 32 3 4 3" xfId="42310" xr:uid="{00000000-0005-0000-0000-0000B5360000}"/>
    <cellStyle name="Comma 13 32 3 5" xfId="19078" xr:uid="{00000000-0005-0000-0000-0000B6360000}"/>
    <cellStyle name="Comma 13 32 3 6" xfId="34570" xr:uid="{00000000-0005-0000-0000-0000B7360000}"/>
    <cellStyle name="Comma 13 32 4" xfId="4459" xr:uid="{00000000-0005-0000-0000-0000B8360000}"/>
    <cellStyle name="Comma 13 32 4 2" xfId="8330" xr:uid="{00000000-0005-0000-0000-0000B9360000}"/>
    <cellStyle name="Comma 13 32 4 2 2" xfId="16075" xr:uid="{00000000-0005-0000-0000-0000BA360000}"/>
    <cellStyle name="Comma 13 32 4 2 2 2" xfId="31667" xr:uid="{00000000-0005-0000-0000-0000BB360000}"/>
    <cellStyle name="Comma 13 32 4 2 2 3" xfId="47159" xr:uid="{00000000-0005-0000-0000-0000BC360000}"/>
    <cellStyle name="Comma 13 32 4 2 3" xfId="23927" xr:uid="{00000000-0005-0000-0000-0000BD360000}"/>
    <cellStyle name="Comma 13 32 4 2 4" xfId="39419" xr:uid="{00000000-0005-0000-0000-0000BE360000}"/>
    <cellStyle name="Comma 13 32 4 3" xfId="12205" xr:uid="{00000000-0005-0000-0000-0000BF360000}"/>
    <cellStyle name="Comma 13 32 4 3 2" xfId="27797" xr:uid="{00000000-0005-0000-0000-0000C0360000}"/>
    <cellStyle name="Comma 13 32 4 3 3" xfId="43289" xr:uid="{00000000-0005-0000-0000-0000C1360000}"/>
    <cellStyle name="Comma 13 32 4 4" xfId="20057" xr:uid="{00000000-0005-0000-0000-0000C2360000}"/>
    <cellStyle name="Comma 13 32 4 5" xfId="35549" xr:uid="{00000000-0005-0000-0000-0000C3360000}"/>
    <cellStyle name="Comma 13 32 5" xfId="6403" xr:uid="{00000000-0005-0000-0000-0000C4360000}"/>
    <cellStyle name="Comma 13 32 5 2" xfId="14148" xr:uid="{00000000-0005-0000-0000-0000C5360000}"/>
    <cellStyle name="Comma 13 32 5 2 2" xfId="29740" xr:uid="{00000000-0005-0000-0000-0000C6360000}"/>
    <cellStyle name="Comma 13 32 5 2 3" xfId="45232" xr:uid="{00000000-0005-0000-0000-0000C7360000}"/>
    <cellStyle name="Comma 13 32 5 3" xfId="22000" xr:uid="{00000000-0005-0000-0000-0000C8360000}"/>
    <cellStyle name="Comma 13 32 5 4" xfId="37492" xr:uid="{00000000-0005-0000-0000-0000C9360000}"/>
    <cellStyle name="Comma 13 32 6" xfId="10278" xr:uid="{00000000-0005-0000-0000-0000CA360000}"/>
    <cellStyle name="Comma 13 32 6 2" xfId="25870" xr:uid="{00000000-0005-0000-0000-0000CB360000}"/>
    <cellStyle name="Comma 13 32 6 3" xfId="41362" xr:uid="{00000000-0005-0000-0000-0000CC360000}"/>
    <cellStyle name="Comma 13 32 7" xfId="18130" xr:uid="{00000000-0005-0000-0000-0000CD360000}"/>
    <cellStyle name="Comma 13 32 8" xfId="33622" xr:uid="{00000000-0005-0000-0000-0000CE360000}"/>
    <cellStyle name="Comma 13 33" xfId="2806" xr:uid="{00000000-0005-0000-0000-0000CF360000}"/>
    <cellStyle name="Comma 13 33 2" xfId="3813" xr:uid="{00000000-0005-0000-0000-0000D0360000}"/>
    <cellStyle name="Comma 13 33 2 2" xfId="5752" xr:uid="{00000000-0005-0000-0000-0000D1360000}"/>
    <cellStyle name="Comma 13 33 2 2 2" xfId="9623" xr:uid="{00000000-0005-0000-0000-0000D2360000}"/>
    <cellStyle name="Comma 13 33 2 2 2 2" xfId="17368" xr:uid="{00000000-0005-0000-0000-0000D3360000}"/>
    <cellStyle name="Comma 13 33 2 2 2 2 2" xfId="32960" xr:uid="{00000000-0005-0000-0000-0000D4360000}"/>
    <cellStyle name="Comma 13 33 2 2 2 2 3" xfId="48452" xr:uid="{00000000-0005-0000-0000-0000D5360000}"/>
    <cellStyle name="Comma 13 33 2 2 2 3" xfId="25220" xr:uid="{00000000-0005-0000-0000-0000D6360000}"/>
    <cellStyle name="Comma 13 33 2 2 2 4" xfId="40712" xr:uid="{00000000-0005-0000-0000-0000D7360000}"/>
    <cellStyle name="Comma 13 33 2 2 3" xfId="13498" xr:uid="{00000000-0005-0000-0000-0000D8360000}"/>
    <cellStyle name="Comma 13 33 2 2 3 2" xfId="29090" xr:uid="{00000000-0005-0000-0000-0000D9360000}"/>
    <cellStyle name="Comma 13 33 2 2 3 3" xfId="44582" xr:uid="{00000000-0005-0000-0000-0000DA360000}"/>
    <cellStyle name="Comma 13 33 2 2 4" xfId="21350" xr:uid="{00000000-0005-0000-0000-0000DB360000}"/>
    <cellStyle name="Comma 13 33 2 2 5" xfId="36842" xr:uid="{00000000-0005-0000-0000-0000DC360000}"/>
    <cellStyle name="Comma 13 33 2 3" xfId="7696" xr:uid="{00000000-0005-0000-0000-0000DD360000}"/>
    <cellStyle name="Comma 13 33 2 3 2" xfId="15441" xr:uid="{00000000-0005-0000-0000-0000DE360000}"/>
    <cellStyle name="Comma 13 33 2 3 2 2" xfId="31033" xr:uid="{00000000-0005-0000-0000-0000DF360000}"/>
    <cellStyle name="Comma 13 33 2 3 2 3" xfId="46525" xr:uid="{00000000-0005-0000-0000-0000E0360000}"/>
    <cellStyle name="Comma 13 33 2 3 3" xfId="23293" xr:uid="{00000000-0005-0000-0000-0000E1360000}"/>
    <cellStyle name="Comma 13 33 2 3 4" xfId="38785" xr:uid="{00000000-0005-0000-0000-0000E2360000}"/>
    <cellStyle name="Comma 13 33 2 4" xfId="11571" xr:uid="{00000000-0005-0000-0000-0000E3360000}"/>
    <cellStyle name="Comma 13 33 2 4 2" xfId="27163" xr:uid="{00000000-0005-0000-0000-0000E4360000}"/>
    <cellStyle name="Comma 13 33 2 4 3" xfId="42655" xr:uid="{00000000-0005-0000-0000-0000E5360000}"/>
    <cellStyle name="Comma 13 33 2 5" xfId="19423" xr:uid="{00000000-0005-0000-0000-0000E6360000}"/>
    <cellStyle name="Comma 13 33 2 6" xfId="34915" xr:uid="{00000000-0005-0000-0000-0000E7360000}"/>
    <cellStyle name="Comma 13 33 3" xfId="4804" xr:uid="{00000000-0005-0000-0000-0000E8360000}"/>
    <cellStyle name="Comma 13 33 3 2" xfId="8675" xr:uid="{00000000-0005-0000-0000-0000E9360000}"/>
    <cellStyle name="Comma 13 33 3 2 2" xfId="16420" xr:uid="{00000000-0005-0000-0000-0000EA360000}"/>
    <cellStyle name="Comma 13 33 3 2 2 2" xfId="32012" xr:uid="{00000000-0005-0000-0000-0000EB360000}"/>
    <cellStyle name="Comma 13 33 3 2 2 3" xfId="47504" xr:uid="{00000000-0005-0000-0000-0000EC360000}"/>
    <cellStyle name="Comma 13 33 3 2 3" xfId="24272" xr:uid="{00000000-0005-0000-0000-0000ED360000}"/>
    <cellStyle name="Comma 13 33 3 2 4" xfId="39764" xr:uid="{00000000-0005-0000-0000-0000EE360000}"/>
    <cellStyle name="Comma 13 33 3 3" xfId="12550" xr:uid="{00000000-0005-0000-0000-0000EF360000}"/>
    <cellStyle name="Comma 13 33 3 3 2" xfId="28142" xr:uid="{00000000-0005-0000-0000-0000F0360000}"/>
    <cellStyle name="Comma 13 33 3 3 3" xfId="43634" xr:uid="{00000000-0005-0000-0000-0000F1360000}"/>
    <cellStyle name="Comma 13 33 3 4" xfId="20402" xr:uid="{00000000-0005-0000-0000-0000F2360000}"/>
    <cellStyle name="Comma 13 33 3 5" xfId="35894" xr:uid="{00000000-0005-0000-0000-0000F3360000}"/>
    <cellStyle name="Comma 13 33 4" xfId="6748" xr:uid="{00000000-0005-0000-0000-0000F4360000}"/>
    <cellStyle name="Comma 13 33 4 2" xfId="14493" xr:uid="{00000000-0005-0000-0000-0000F5360000}"/>
    <cellStyle name="Comma 13 33 4 2 2" xfId="30085" xr:uid="{00000000-0005-0000-0000-0000F6360000}"/>
    <cellStyle name="Comma 13 33 4 2 3" xfId="45577" xr:uid="{00000000-0005-0000-0000-0000F7360000}"/>
    <cellStyle name="Comma 13 33 4 3" xfId="22345" xr:uid="{00000000-0005-0000-0000-0000F8360000}"/>
    <cellStyle name="Comma 13 33 4 4" xfId="37837" xr:uid="{00000000-0005-0000-0000-0000F9360000}"/>
    <cellStyle name="Comma 13 33 5" xfId="10623" xr:uid="{00000000-0005-0000-0000-0000FA360000}"/>
    <cellStyle name="Comma 13 33 5 2" xfId="26215" xr:uid="{00000000-0005-0000-0000-0000FB360000}"/>
    <cellStyle name="Comma 13 33 5 3" xfId="41707" xr:uid="{00000000-0005-0000-0000-0000FC360000}"/>
    <cellStyle name="Comma 13 33 6" xfId="18475" xr:uid="{00000000-0005-0000-0000-0000FD360000}"/>
    <cellStyle name="Comma 13 33 7" xfId="33967" xr:uid="{00000000-0005-0000-0000-0000FE360000}"/>
    <cellStyle name="Comma 13 34" xfId="2845" xr:uid="{00000000-0005-0000-0000-0000FF360000}"/>
    <cellStyle name="Comma 13 34 2" xfId="3851" xr:uid="{00000000-0005-0000-0000-000000370000}"/>
    <cellStyle name="Comma 13 34 2 2" xfId="5790" xr:uid="{00000000-0005-0000-0000-000001370000}"/>
    <cellStyle name="Comma 13 34 2 2 2" xfId="9661" xr:uid="{00000000-0005-0000-0000-000002370000}"/>
    <cellStyle name="Comma 13 34 2 2 2 2" xfId="17406" xr:uid="{00000000-0005-0000-0000-000003370000}"/>
    <cellStyle name="Comma 13 34 2 2 2 2 2" xfId="32998" xr:uid="{00000000-0005-0000-0000-000004370000}"/>
    <cellStyle name="Comma 13 34 2 2 2 2 3" xfId="48490" xr:uid="{00000000-0005-0000-0000-000005370000}"/>
    <cellStyle name="Comma 13 34 2 2 2 3" xfId="25258" xr:uid="{00000000-0005-0000-0000-000006370000}"/>
    <cellStyle name="Comma 13 34 2 2 2 4" xfId="40750" xr:uid="{00000000-0005-0000-0000-000007370000}"/>
    <cellStyle name="Comma 13 34 2 2 3" xfId="13536" xr:uid="{00000000-0005-0000-0000-000008370000}"/>
    <cellStyle name="Comma 13 34 2 2 3 2" xfId="29128" xr:uid="{00000000-0005-0000-0000-000009370000}"/>
    <cellStyle name="Comma 13 34 2 2 3 3" xfId="44620" xr:uid="{00000000-0005-0000-0000-00000A370000}"/>
    <cellStyle name="Comma 13 34 2 2 4" xfId="21388" xr:uid="{00000000-0005-0000-0000-00000B370000}"/>
    <cellStyle name="Comma 13 34 2 2 5" xfId="36880" xr:uid="{00000000-0005-0000-0000-00000C370000}"/>
    <cellStyle name="Comma 13 34 2 3" xfId="7734" xr:uid="{00000000-0005-0000-0000-00000D370000}"/>
    <cellStyle name="Comma 13 34 2 3 2" xfId="15479" xr:uid="{00000000-0005-0000-0000-00000E370000}"/>
    <cellStyle name="Comma 13 34 2 3 2 2" xfId="31071" xr:uid="{00000000-0005-0000-0000-00000F370000}"/>
    <cellStyle name="Comma 13 34 2 3 2 3" xfId="46563" xr:uid="{00000000-0005-0000-0000-000010370000}"/>
    <cellStyle name="Comma 13 34 2 3 3" xfId="23331" xr:uid="{00000000-0005-0000-0000-000011370000}"/>
    <cellStyle name="Comma 13 34 2 3 4" xfId="38823" xr:uid="{00000000-0005-0000-0000-000012370000}"/>
    <cellStyle name="Comma 13 34 2 4" xfId="11609" xr:uid="{00000000-0005-0000-0000-000013370000}"/>
    <cellStyle name="Comma 13 34 2 4 2" xfId="27201" xr:uid="{00000000-0005-0000-0000-000014370000}"/>
    <cellStyle name="Comma 13 34 2 4 3" xfId="42693" xr:uid="{00000000-0005-0000-0000-000015370000}"/>
    <cellStyle name="Comma 13 34 2 5" xfId="19461" xr:uid="{00000000-0005-0000-0000-000016370000}"/>
    <cellStyle name="Comma 13 34 2 6" xfId="34953" xr:uid="{00000000-0005-0000-0000-000017370000}"/>
    <cellStyle name="Comma 13 34 3" xfId="4842" xr:uid="{00000000-0005-0000-0000-000018370000}"/>
    <cellStyle name="Comma 13 34 3 2" xfId="8713" xr:uid="{00000000-0005-0000-0000-000019370000}"/>
    <cellStyle name="Comma 13 34 3 2 2" xfId="16458" xr:uid="{00000000-0005-0000-0000-00001A370000}"/>
    <cellStyle name="Comma 13 34 3 2 2 2" xfId="32050" xr:uid="{00000000-0005-0000-0000-00001B370000}"/>
    <cellStyle name="Comma 13 34 3 2 2 3" xfId="47542" xr:uid="{00000000-0005-0000-0000-00001C370000}"/>
    <cellStyle name="Comma 13 34 3 2 3" xfId="24310" xr:uid="{00000000-0005-0000-0000-00001D370000}"/>
    <cellStyle name="Comma 13 34 3 2 4" xfId="39802" xr:uid="{00000000-0005-0000-0000-00001E370000}"/>
    <cellStyle name="Comma 13 34 3 3" xfId="12588" xr:uid="{00000000-0005-0000-0000-00001F370000}"/>
    <cellStyle name="Comma 13 34 3 3 2" xfId="28180" xr:uid="{00000000-0005-0000-0000-000020370000}"/>
    <cellStyle name="Comma 13 34 3 3 3" xfId="43672" xr:uid="{00000000-0005-0000-0000-000021370000}"/>
    <cellStyle name="Comma 13 34 3 4" xfId="20440" xr:uid="{00000000-0005-0000-0000-000022370000}"/>
    <cellStyle name="Comma 13 34 3 5" xfId="35932" xr:uid="{00000000-0005-0000-0000-000023370000}"/>
    <cellStyle name="Comma 13 34 4" xfId="6786" xr:uid="{00000000-0005-0000-0000-000024370000}"/>
    <cellStyle name="Comma 13 34 4 2" xfId="14531" xr:uid="{00000000-0005-0000-0000-000025370000}"/>
    <cellStyle name="Comma 13 34 4 2 2" xfId="30123" xr:uid="{00000000-0005-0000-0000-000026370000}"/>
    <cellStyle name="Comma 13 34 4 2 3" xfId="45615" xr:uid="{00000000-0005-0000-0000-000027370000}"/>
    <cellStyle name="Comma 13 34 4 3" xfId="22383" xr:uid="{00000000-0005-0000-0000-000028370000}"/>
    <cellStyle name="Comma 13 34 4 4" xfId="37875" xr:uid="{00000000-0005-0000-0000-000029370000}"/>
    <cellStyle name="Comma 13 34 5" xfId="10661" xr:uid="{00000000-0005-0000-0000-00002A370000}"/>
    <cellStyle name="Comma 13 34 5 2" xfId="26253" xr:uid="{00000000-0005-0000-0000-00002B370000}"/>
    <cellStyle name="Comma 13 34 5 3" xfId="41745" xr:uid="{00000000-0005-0000-0000-00002C370000}"/>
    <cellStyle name="Comma 13 34 6" xfId="18513" xr:uid="{00000000-0005-0000-0000-00002D370000}"/>
    <cellStyle name="Comma 13 34 7" xfId="34005" xr:uid="{00000000-0005-0000-0000-00002E370000}"/>
    <cellStyle name="Comma 13 35" xfId="2882" xr:uid="{00000000-0005-0000-0000-00002F370000}"/>
    <cellStyle name="Comma 13 35 2" xfId="3887" xr:uid="{00000000-0005-0000-0000-000030370000}"/>
    <cellStyle name="Comma 13 35 2 2" xfId="5826" xr:uid="{00000000-0005-0000-0000-000031370000}"/>
    <cellStyle name="Comma 13 35 2 2 2" xfId="9697" xr:uid="{00000000-0005-0000-0000-000032370000}"/>
    <cellStyle name="Comma 13 35 2 2 2 2" xfId="17442" xr:uid="{00000000-0005-0000-0000-000033370000}"/>
    <cellStyle name="Comma 13 35 2 2 2 2 2" xfId="33034" xr:uid="{00000000-0005-0000-0000-000034370000}"/>
    <cellStyle name="Comma 13 35 2 2 2 2 3" xfId="48526" xr:uid="{00000000-0005-0000-0000-000035370000}"/>
    <cellStyle name="Comma 13 35 2 2 2 3" xfId="25294" xr:uid="{00000000-0005-0000-0000-000036370000}"/>
    <cellStyle name="Comma 13 35 2 2 2 4" xfId="40786" xr:uid="{00000000-0005-0000-0000-000037370000}"/>
    <cellStyle name="Comma 13 35 2 2 3" xfId="13572" xr:uid="{00000000-0005-0000-0000-000038370000}"/>
    <cellStyle name="Comma 13 35 2 2 3 2" xfId="29164" xr:uid="{00000000-0005-0000-0000-000039370000}"/>
    <cellStyle name="Comma 13 35 2 2 3 3" xfId="44656" xr:uid="{00000000-0005-0000-0000-00003A370000}"/>
    <cellStyle name="Comma 13 35 2 2 4" xfId="21424" xr:uid="{00000000-0005-0000-0000-00003B370000}"/>
    <cellStyle name="Comma 13 35 2 2 5" xfId="36916" xr:uid="{00000000-0005-0000-0000-00003C370000}"/>
    <cellStyle name="Comma 13 35 2 3" xfId="7770" xr:uid="{00000000-0005-0000-0000-00003D370000}"/>
    <cellStyle name="Comma 13 35 2 3 2" xfId="15515" xr:uid="{00000000-0005-0000-0000-00003E370000}"/>
    <cellStyle name="Comma 13 35 2 3 2 2" xfId="31107" xr:uid="{00000000-0005-0000-0000-00003F370000}"/>
    <cellStyle name="Comma 13 35 2 3 2 3" xfId="46599" xr:uid="{00000000-0005-0000-0000-000040370000}"/>
    <cellStyle name="Comma 13 35 2 3 3" xfId="23367" xr:uid="{00000000-0005-0000-0000-000041370000}"/>
    <cellStyle name="Comma 13 35 2 3 4" xfId="38859" xr:uid="{00000000-0005-0000-0000-000042370000}"/>
    <cellStyle name="Comma 13 35 2 4" xfId="11645" xr:uid="{00000000-0005-0000-0000-000043370000}"/>
    <cellStyle name="Comma 13 35 2 4 2" xfId="27237" xr:uid="{00000000-0005-0000-0000-000044370000}"/>
    <cellStyle name="Comma 13 35 2 4 3" xfId="42729" xr:uid="{00000000-0005-0000-0000-000045370000}"/>
    <cellStyle name="Comma 13 35 2 5" xfId="19497" xr:uid="{00000000-0005-0000-0000-000046370000}"/>
    <cellStyle name="Comma 13 35 2 6" xfId="34989" xr:uid="{00000000-0005-0000-0000-000047370000}"/>
    <cellStyle name="Comma 13 35 3" xfId="4878" xr:uid="{00000000-0005-0000-0000-000048370000}"/>
    <cellStyle name="Comma 13 35 3 2" xfId="8749" xr:uid="{00000000-0005-0000-0000-000049370000}"/>
    <cellStyle name="Comma 13 35 3 2 2" xfId="16494" xr:uid="{00000000-0005-0000-0000-00004A370000}"/>
    <cellStyle name="Comma 13 35 3 2 2 2" xfId="32086" xr:uid="{00000000-0005-0000-0000-00004B370000}"/>
    <cellStyle name="Comma 13 35 3 2 2 3" xfId="47578" xr:uid="{00000000-0005-0000-0000-00004C370000}"/>
    <cellStyle name="Comma 13 35 3 2 3" xfId="24346" xr:uid="{00000000-0005-0000-0000-00004D370000}"/>
    <cellStyle name="Comma 13 35 3 2 4" xfId="39838" xr:uid="{00000000-0005-0000-0000-00004E370000}"/>
    <cellStyle name="Comma 13 35 3 3" xfId="12624" xr:uid="{00000000-0005-0000-0000-00004F370000}"/>
    <cellStyle name="Comma 13 35 3 3 2" xfId="28216" xr:uid="{00000000-0005-0000-0000-000050370000}"/>
    <cellStyle name="Comma 13 35 3 3 3" xfId="43708" xr:uid="{00000000-0005-0000-0000-000051370000}"/>
    <cellStyle name="Comma 13 35 3 4" xfId="20476" xr:uid="{00000000-0005-0000-0000-000052370000}"/>
    <cellStyle name="Comma 13 35 3 5" xfId="35968" xr:uid="{00000000-0005-0000-0000-000053370000}"/>
    <cellStyle name="Comma 13 35 4" xfId="6822" xr:uid="{00000000-0005-0000-0000-000054370000}"/>
    <cellStyle name="Comma 13 35 4 2" xfId="14567" xr:uid="{00000000-0005-0000-0000-000055370000}"/>
    <cellStyle name="Comma 13 35 4 2 2" xfId="30159" xr:uid="{00000000-0005-0000-0000-000056370000}"/>
    <cellStyle name="Comma 13 35 4 2 3" xfId="45651" xr:uid="{00000000-0005-0000-0000-000057370000}"/>
    <cellStyle name="Comma 13 35 4 3" xfId="22419" xr:uid="{00000000-0005-0000-0000-000058370000}"/>
    <cellStyle name="Comma 13 35 4 4" xfId="37911" xr:uid="{00000000-0005-0000-0000-000059370000}"/>
    <cellStyle name="Comma 13 35 5" xfId="10697" xr:uid="{00000000-0005-0000-0000-00005A370000}"/>
    <cellStyle name="Comma 13 35 5 2" xfId="26289" xr:uid="{00000000-0005-0000-0000-00005B370000}"/>
    <cellStyle name="Comma 13 35 5 3" xfId="41781" xr:uid="{00000000-0005-0000-0000-00005C370000}"/>
    <cellStyle name="Comma 13 35 6" xfId="18549" xr:uid="{00000000-0005-0000-0000-00005D370000}"/>
    <cellStyle name="Comma 13 35 7" xfId="34041" xr:uid="{00000000-0005-0000-0000-00005E370000}"/>
    <cellStyle name="Comma 13 36" xfId="2919" xr:uid="{00000000-0005-0000-0000-00005F370000}"/>
    <cellStyle name="Comma 13 36 2" xfId="3923" xr:uid="{00000000-0005-0000-0000-000060370000}"/>
    <cellStyle name="Comma 13 36 2 2" xfId="5862" xr:uid="{00000000-0005-0000-0000-000061370000}"/>
    <cellStyle name="Comma 13 36 2 2 2" xfId="9733" xr:uid="{00000000-0005-0000-0000-000062370000}"/>
    <cellStyle name="Comma 13 36 2 2 2 2" xfId="17478" xr:uid="{00000000-0005-0000-0000-000063370000}"/>
    <cellStyle name="Comma 13 36 2 2 2 2 2" xfId="33070" xr:uid="{00000000-0005-0000-0000-000064370000}"/>
    <cellStyle name="Comma 13 36 2 2 2 2 3" xfId="48562" xr:uid="{00000000-0005-0000-0000-000065370000}"/>
    <cellStyle name="Comma 13 36 2 2 2 3" xfId="25330" xr:uid="{00000000-0005-0000-0000-000066370000}"/>
    <cellStyle name="Comma 13 36 2 2 2 4" xfId="40822" xr:uid="{00000000-0005-0000-0000-000067370000}"/>
    <cellStyle name="Comma 13 36 2 2 3" xfId="13608" xr:uid="{00000000-0005-0000-0000-000068370000}"/>
    <cellStyle name="Comma 13 36 2 2 3 2" xfId="29200" xr:uid="{00000000-0005-0000-0000-000069370000}"/>
    <cellStyle name="Comma 13 36 2 2 3 3" xfId="44692" xr:uid="{00000000-0005-0000-0000-00006A370000}"/>
    <cellStyle name="Comma 13 36 2 2 4" xfId="21460" xr:uid="{00000000-0005-0000-0000-00006B370000}"/>
    <cellStyle name="Comma 13 36 2 2 5" xfId="36952" xr:uid="{00000000-0005-0000-0000-00006C370000}"/>
    <cellStyle name="Comma 13 36 2 3" xfId="7806" xr:uid="{00000000-0005-0000-0000-00006D370000}"/>
    <cellStyle name="Comma 13 36 2 3 2" xfId="15551" xr:uid="{00000000-0005-0000-0000-00006E370000}"/>
    <cellStyle name="Comma 13 36 2 3 2 2" xfId="31143" xr:uid="{00000000-0005-0000-0000-00006F370000}"/>
    <cellStyle name="Comma 13 36 2 3 2 3" xfId="46635" xr:uid="{00000000-0005-0000-0000-000070370000}"/>
    <cellStyle name="Comma 13 36 2 3 3" xfId="23403" xr:uid="{00000000-0005-0000-0000-000071370000}"/>
    <cellStyle name="Comma 13 36 2 3 4" xfId="38895" xr:uid="{00000000-0005-0000-0000-000072370000}"/>
    <cellStyle name="Comma 13 36 2 4" xfId="11681" xr:uid="{00000000-0005-0000-0000-000073370000}"/>
    <cellStyle name="Comma 13 36 2 4 2" xfId="27273" xr:uid="{00000000-0005-0000-0000-000074370000}"/>
    <cellStyle name="Comma 13 36 2 4 3" xfId="42765" xr:uid="{00000000-0005-0000-0000-000075370000}"/>
    <cellStyle name="Comma 13 36 2 5" xfId="19533" xr:uid="{00000000-0005-0000-0000-000076370000}"/>
    <cellStyle name="Comma 13 36 2 6" xfId="35025" xr:uid="{00000000-0005-0000-0000-000077370000}"/>
    <cellStyle name="Comma 13 36 3" xfId="4914" xr:uid="{00000000-0005-0000-0000-000078370000}"/>
    <cellStyle name="Comma 13 36 3 2" xfId="8785" xr:uid="{00000000-0005-0000-0000-000079370000}"/>
    <cellStyle name="Comma 13 36 3 2 2" xfId="16530" xr:uid="{00000000-0005-0000-0000-00007A370000}"/>
    <cellStyle name="Comma 13 36 3 2 2 2" xfId="32122" xr:uid="{00000000-0005-0000-0000-00007B370000}"/>
    <cellStyle name="Comma 13 36 3 2 2 3" xfId="47614" xr:uid="{00000000-0005-0000-0000-00007C370000}"/>
    <cellStyle name="Comma 13 36 3 2 3" xfId="24382" xr:uid="{00000000-0005-0000-0000-00007D370000}"/>
    <cellStyle name="Comma 13 36 3 2 4" xfId="39874" xr:uid="{00000000-0005-0000-0000-00007E370000}"/>
    <cellStyle name="Comma 13 36 3 3" xfId="12660" xr:uid="{00000000-0005-0000-0000-00007F370000}"/>
    <cellStyle name="Comma 13 36 3 3 2" xfId="28252" xr:uid="{00000000-0005-0000-0000-000080370000}"/>
    <cellStyle name="Comma 13 36 3 3 3" xfId="43744" xr:uid="{00000000-0005-0000-0000-000081370000}"/>
    <cellStyle name="Comma 13 36 3 4" xfId="20512" xr:uid="{00000000-0005-0000-0000-000082370000}"/>
    <cellStyle name="Comma 13 36 3 5" xfId="36004" xr:uid="{00000000-0005-0000-0000-000083370000}"/>
    <cellStyle name="Comma 13 36 4" xfId="6858" xr:uid="{00000000-0005-0000-0000-000084370000}"/>
    <cellStyle name="Comma 13 36 4 2" xfId="14603" xr:uid="{00000000-0005-0000-0000-000085370000}"/>
    <cellStyle name="Comma 13 36 4 2 2" xfId="30195" xr:uid="{00000000-0005-0000-0000-000086370000}"/>
    <cellStyle name="Comma 13 36 4 2 3" xfId="45687" xr:uid="{00000000-0005-0000-0000-000087370000}"/>
    <cellStyle name="Comma 13 36 4 3" xfId="22455" xr:uid="{00000000-0005-0000-0000-000088370000}"/>
    <cellStyle name="Comma 13 36 4 4" xfId="37947" xr:uid="{00000000-0005-0000-0000-000089370000}"/>
    <cellStyle name="Comma 13 36 5" xfId="10733" xr:uid="{00000000-0005-0000-0000-00008A370000}"/>
    <cellStyle name="Comma 13 36 5 2" xfId="26325" xr:uid="{00000000-0005-0000-0000-00008B370000}"/>
    <cellStyle name="Comma 13 36 5 3" xfId="41817" xr:uid="{00000000-0005-0000-0000-00008C370000}"/>
    <cellStyle name="Comma 13 36 6" xfId="18585" xr:uid="{00000000-0005-0000-0000-00008D370000}"/>
    <cellStyle name="Comma 13 36 7" xfId="34077" xr:uid="{00000000-0005-0000-0000-00008E370000}"/>
    <cellStyle name="Comma 13 37" xfId="2958" xr:uid="{00000000-0005-0000-0000-00008F370000}"/>
    <cellStyle name="Comma 13 37 2" xfId="3959" xr:uid="{00000000-0005-0000-0000-000090370000}"/>
    <cellStyle name="Comma 13 37 2 2" xfId="5898" xr:uid="{00000000-0005-0000-0000-000091370000}"/>
    <cellStyle name="Comma 13 37 2 2 2" xfId="9769" xr:uid="{00000000-0005-0000-0000-000092370000}"/>
    <cellStyle name="Comma 13 37 2 2 2 2" xfId="17514" xr:uid="{00000000-0005-0000-0000-000093370000}"/>
    <cellStyle name="Comma 13 37 2 2 2 2 2" xfId="33106" xr:uid="{00000000-0005-0000-0000-000094370000}"/>
    <cellStyle name="Comma 13 37 2 2 2 2 3" xfId="48598" xr:uid="{00000000-0005-0000-0000-000095370000}"/>
    <cellStyle name="Comma 13 37 2 2 2 3" xfId="25366" xr:uid="{00000000-0005-0000-0000-000096370000}"/>
    <cellStyle name="Comma 13 37 2 2 2 4" xfId="40858" xr:uid="{00000000-0005-0000-0000-000097370000}"/>
    <cellStyle name="Comma 13 37 2 2 3" xfId="13644" xr:uid="{00000000-0005-0000-0000-000098370000}"/>
    <cellStyle name="Comma 13 37 2 2 3 2" xfId="29236" xr:uid="{00000000-0005-0000-0000-000099370000}"/>
    <cellStyle name="Comma 13 37 2 2 3 3" xfId="44728" xr:uid="{00000000-0005-0000-0000-00009A370000}"/>
    <cellStyle name="Comma 13 37 2 2 4" xfId="21496" xr:uid="{00000000-0005-0000-0000-00009B370000}"/>
    <cellStyle name="Comma 13 37 2 2 5" xfId="36988" xr:uid="{00000000-0005-0000-0000-00009C370000}"/>
    <cellStyle name="Comma 13 37 2 3" xfId="7842" xr:uid="{00000000-0005-0000-0000-00009D370000}"/>
    <cellStyle name="Comma 13 37 2 3 2" xfId="15587" xr:uid="{00000000-0005-0000-0000-00009E370000}"/>
    <cellStyle name="Comma 13 37 2 3 2 2" xfId="31179" xr:uid="{00000000-0005-0000-0000-00009F370000}"/>
    <cellStyle name="Comma 13 37 2 3 2 3" xfId="46671" xr:uid="{00000000-0005-0000-0000-0000A0370000}"/>
    <cellStyle name="Comma 13 37 2 3 3" xfId="23439" xr:uid="{00000000-0005-0000-0000-0000A1370000}"/>
    <cellStyle name="Comma 13 37 2 3 4" xfId="38931" xr:uid="{00000000-0005-0000-0000-0000A2370000}"/>
    <cellStyle name="Comma 13 37 2 4" xfId="11717" xr:uid="{00000000-0005-0000-0000-0000A3370000}"/>
    <cellStyle name="Comma 13 37 2 4 2" xfId="27309" xr:uid="{00000000-0005-0000-0000-0000A4370000}"/>
    <cellStyle name="Comma 13 37 2 4 3" xfId="42801" xr:uid="{00000000-0005-0000-0000-0000A5370000}"/>
    <cellStyle name="Comma 13 37 2 5" xfId="19569" xr:uid="{00000000-0005-0000-0000-0000A6370000}"/>
    <cellStyle name="Comma 13 37 2 6" xfId="35061" xr:uid="{00000000-0005-0000-0000-0000A7370000}"/>
    <cellStyle name="Comma 13 37 3" xfId="4950" xr:uid="{00000000-0005-0000-0000-0000A8370000}"/>
    <cellStyle name="Comma 13 37 3 2" xfId="8821" xr:uid="{00000000-0005-0000-0000-0000A9370000}"/>
    <cellStyle name="Comma 13 37 3 2 2" xfId="16566" xr:uid="{00000000-0005-0000-0000-0000AA370000}"/>
    <cellStyle name="Comma 13 37 3 2 2 2" xfId="32158" xr:uid="{00000000-0005-0000-0000-0000AB370000}"/>
    <cellStyle name="Comma 13 37 3 2 2 3" xfId="47650" xr:uid="{00000000-0005-0000-0000-0000AC370000}"/>
    <cellStyle name="Comma 13 37 3 2 3" xfId="24418" xr:uid="{00000000-0005-0000-0000-0000AD370000}"/>
    <cellStyle name="Comma 13 37 3 2 4" xfId="39910" xr:uid="{00000000-0005-0000-0000-0000AE370000}"/>
    <cellStyle name="Comma 13 37 3 3" xfId="12696" xr:uid="{00000000-0005-0000-0000-0000AF370000}"/>
    <cellStyle name="Comma 13 37 3 3 2" xfId="28288" xr:uid="{00000000-0005-0000-0000-0000B0370000}"/>
    <cellStyle name="Comma 13 37 3 3 3" xfId="43780" xr:uid="{00000000-0005-0000-0000-0000B1370000}"/>
    <cellStyle name="Comma 13 37 3 4" xfId="20548" xr:uid="{00000000-0005-0000-0000-0000B2370000}"/>
    <cellStyle name="Comma 13 37 3 5" xfId="36040" xr:uid="{00000000-0005-0000-0000-0000B3370000}"/>
    <cellStyle name="Comma 13 37 4" xfId="6894" xr:uid="{00000000-0005-0000-0000-0000B4370000}"/>
    <cellStyle name="Comma 13 37 4 2" xfId="14639" xr:uid="{00000000-0005-0000-0000-0000B5370000}"/>
    <cellStyle name="Comma 13 37 4 2 2" xfId="30231" xr:uid="{00000000-0005-0000-0000-0000B6370000}"/>
    <cellStyle name="Comma 13 37 4 2 3" xfId="45723" xr:uid="{00000000-0005-0000-0000-0000B7370000}"/>
    <cellStyle name="Comma 13 37 4 3" xfId="22491" xr:uid="{00000000-0005-0000-0000-0000B8370000}"/>
    <cellStyle name="Comma 13 37 4 4" xfId="37983" xr:uid="{00000000-0005-0000-0000-0000B9370000}"/>
    <cellStyle name="Comma 13 37 5" xfId="10769" xr:uid="{00000000-0005-0000-0000-0000BA370000}"/>
    <cellStyle name="Comma 13 37 5 2" xfId="26361" xr:uid="{00000000-0005-0000-0000-0000BB370000}"/>
    <cellStyle name="Comma 13 37 5 3" xfId="41853" xr:uid="{00000000-0005-0000-0000-0000BC370000}"/>
    <cellStyle name="Comma 13 37 6" xfId="18621" xr:uid="{00000000-0005-0000-0000-0000BD370000}"/>
    <cellStyle name="Comma 13 37 7" xfId="34113" xr:uid="{00000000-0005-0000-0000-0000BE370000}"/>
    <cellStyle name="Comma 13 38" xfId="2998" xr:uid="{00000000-0005-0000-0000-0000BF370000}"/>
    <cellStyle name="Comma 13 38 2" xfId="3995" xr:uid="{00000000-0005-0000-0000-0000C0370000}"/>
    <cellStyle name="Comma 13 38 2 2" xfId="5934" xr:uid="{00000000-0005-0000-0000-0000C1370000}"/>
    <cellStyle name="Comma 13 38 2 2 2" xfId="9805" xr:uid="{00000000-0005-0000-0000-0000C2370000}"/>
    <cellStyle name="Comma 13 38 2 2 2 2" xfId="17550" xr:uid="{00000000-0005-0000-0000-0000C3370000}"/>
    <cellStyle name="Comma 13 38 2 2 2 2 2" xfId="33142" xr:uid="{00000000-0005-0000-0000-0000C4370000}"/>
    <cellStyle name="Comma 13 38 2 2 2 2 3" xfId="48634" xr:uid="{00000000-0005-0000-0000-0000C5370000}"/>
    <cellStyle name="Comma 13 38 2 2 2 3" xfId="25402" xr:uid="{00000000-0005-0000-0000-0000C6370000}"/>
    <cellStyle name="Comma 13 38 2 2 2 4" xfId="40894" xr:uid="{00000000-0005-0000-0000-0000C7370000}"/>
    <cellStyle name="Comma 13 38 2 2 3" xfId="13680" xr:uid="{00000000-0005-0000-0000-0000C8370000}"/>
    <cellStyle name="Comma 13 38 2 2 3 2" xfId="29272" xr:uid="{00000000-0005-0000-0000-0000C9370000}"/>
    <cellStyle name="Comma 13 38 2 2 3 3" xfId="44764" xr:uid="{00000000-0005-0000-0000-0000CA370000}"/>
    <cellStyle name="Comma 13 38 2 2 4" xfId="21532" xr:uid="{00000000-0005-0000-0000-0000CB370000}"/>
    <cellStyle name="Comma 13 38 2 2 5" xfId="37024" xr:uid="{00000000-0005-0000-0000-0000CC370000}"/>
    <cellStyle name="Comma 13 38 2 3" xfId="7878" xr:uid="{00000000-0005-0000-0000-0000CD370000}"/>
    <cellStyle name="Comma 13 38 2 3 2" xfId="15623" xr:uid="{00000000-0005-0000-0000-0000CE370000}"/>
    <cellStyle name="Comma 13 38 2 3 2 2" xfId="31215" xr:uid="{00000000-0005-0000-0000-0000CF370000}"/>
    <cellStyle name="Comma 13 38 2 3 2 3" xfId="46707" xr:uid="{00000000-0005-0000-0000-0000D0370000}"/>
    <cellStyle name="Comma 13 38 2 3 3" xfId="23475" xr:uid="{00000000-0005-0000-0000-0000D1370000}"/>
    <cellStyle name="Comma 13 38 2 3 4" xfId="38967" xr:uid="{00000000-0005-0000-0000-0000D2370000}"/>
    <cellStyle name="Comma 13 38 2 4" xfId="11753" xr:uid="{00000000-0005-0000-0000-0000D3370000}"/>
    <cellStyle name="Comma 13 38 2 4 2" xfId="27345" xr:uid="{00000000-0005-0000-0000-0000D4370000}"/>
    <cellStyle name="Comma 13 38 2 4 3" xfId="42837" xr:uid="{00000000-0005-0000-0000-0000D5370000}"/>
    <cellStyle name="Comma 13 38 2 5" xfId="19605" xr:uid="{00000000-0005-0000-0000-0000D6370000}"/>
    <cellStyle name="Comma 13 38 2 6" xfId="35097" xr:uid="{00000000-0005-0000-0000-0000D7370000}"/>
    <cellStyle name="Comma 13 38 3" xfId="4986" xr:uid="{00000000-0005-0000-0000-0000D8370000}"/>
    <cellStyle name="Comma 13 38 3 2" xfId="8857" xr:uid="{00000000-0005-0000-0000-0000D9370000}"/>
    <cellStyle name="Comma 13 38 3 2 2" xfId="16602" xr:uid="{00000000-0005-0000-0000-0000DA370000}"/>
    <cellStyle name="Comma 13 38 3 2 2 2" xfId="32194" xr:uid="{00000000-0005-0000-0000-0000DB370000}"/>
    <cellStyle name="Comma 13 38 3 2 2 3" xfId="47686" xr:uid="{00000000-0005-0000-0000-0000DC370000}"/>
    <cellStyle name="Comma 13 38 3 2 3" xfId="24454" xr:uid="{00000000-0005-0000-0000-0000DD370000}"/>
    <cellStyle name="Comma 13 38 3 2 4" xfId="39946" xr:uid="{00000000-0005-0000-0000-0000DE370000}"/>
    <cellStyle name="Comma 13 38 3 3" xfId="12732" xr:uid="{00000000-0005-0000-0000-0000DF370000}"/>
    <cellStyle name="Comma 13 38 3 3 2" xfId="28324" xr:uid="{00000000-0005-0000-0000-0000E0370000}"/>
    <cellStyle name="Comma 13 38 3 3 3" xfId="43816" xr:uid="{00000000-0005-0000-0000-0000E1370000}"/>
    <cellStyle name="Comma 13 38 3 4" xfId="20584" xr:uid="{00000000-0005-0000-0000-0000E2370000}"/>
    <cellStyle name="Comma 13 38 3 5" xfId="36076" xr:uid="{00000000-0005-0000-0000-0000E3370000}"/>
    <cellStyle name="Comma 13 38 4" xfId="6930" xr:uid="{00000000-0005-0000-0000-0000E4370000}"/>
    <cellStyle name="Comma 13 38 4 2" xfId="14675" xr:uid="{00000000-0005-0000-0000-0000E5370000}"/>
    <cellStyle name="Comma 13 38 4 2 2" xfId="30267" xr:uid="{00000000-0005-0000-0000-0000E6370000}"/>
    <cellStyle name="Comma 13 38 4 2 3" xfId="45759" xr:uid="{00000000-0005-0000-0000-0000E7370000}"/>
    <cellStyle name="Comma 13 38 4 3" xfId="22527" xr:uid="{00000000-0005-0000-0000-0000E8370000}"/>
    <cellStyle name="Comma 13 38 4 4" xfId="38019" xr:uid="{00000000-0005-0000-0000-0000E9370000}"/>
    <cellStyle name="Comma 13 38 5" xfId="10805" xr:uid="{00000000-0005-0000-0000-0000EA370000}"/>
    <cellStyle name="Comma 13 38 5 2" xfId="26397" xr:uid="{00000000-0005-0000-0000-0000EB370000}"/>
    <cellStyle name="Comma 13 38 5 3" xfId="41889" xr:uid="{00000000-0005-0000-0000-0000EC370000}"/>
    <cellStyle name="Comma 13 38 6" xfId="18657" xr:uid="{00000000-0005-0000-0000-0000ED370000}"/>
    <cellStyle name="Comma 13 38 7" xfId="34149" xr:uid="{00000000-0005-0000-0000-0000EE370000}"/>
    <cellStyle name="Comma 13 39" xfId="3036" xr:uid="{00000000-0005-0000-0000-0000EF370000}"/>
    <cellStyle name="Comma 13 39 2" xfId="4031" xr:uid="{00000000-0005-0000-0000-0000F0370000}"/>
    <cellStyle name="Comma 13 39 2 2" xfId="5970" xr:uid="{00000000-0005-0000-0000-0000F1370000}"/>
    <cellStyle name="Comma 13 39 2 2 2" xfId="9841" xr:uid="{00000000-0005-0000-0000-0000F2370000}"/>
    <cellStyle name="Comma 13 39 2 2 2 2" xfId="17586" xr:uid="{00000000-0005-0000-0000-0000F3370000}"/>
    <cellStyle name="Comma 13 39 2 2 2 2 2" xfId="33178" xr:uid="{00000000-0005-0000-0000-0000F4370000}"/>
    <cellStyle name="Comma 13 39 2 2 2 2 3" xfId="48670" xr:uid="{00000000-0005-0000-0000-0000F5370000}"/>
    <cellStyle name="Comma 13 39 2 2 2 3" xfId="25438" xr:uid="{00000000-0005-0000-0000-0000F6370000}"/>
    <cellStyle name="Comma 13 39 2 2 2 4" xfId="40930" xr:uid="{00000000-0005-0000-0000-0000F7370000}"/>
    <cellStyle name="Comma 13 39 2 2 3" xfId="13716" xr:uid="{00000000-0005-0000-0000-0000F8370000}"/>
    <cellStyle name="Comma 13 39 2 2 3 2" xfId="29308" xr:uid="{00000000-0005-0000-0000-0000F9370000}"/>
    <cellStyle name="Comma 13 39 2 2 3 3" xfId="44800" xr:uid="{00000000-0005-0000-0000-0000FA370000}"/>
    <cellStyle name="Comma 13 39 2 2 4" xfId="21568" xr:uid="{00000000-0005-0000-0000-0000FB370000}"/>
    <cellStyle name="Comma 13 39 2 2 5" xfId="37060" xr:uid="{00000000-0005-0000-0000-0000FC370000}"/>
    <cellStyle name="Comma 13 39 2 3" xfId="7914" xr:uid="{00000000-0005-0000-0000-0000FD370000}"/>
    <cellStyle name="Comma 13 39 2 3 2" xfId="15659" xr:uid="{00000000-0005-0000-0000-0000FE370000}"/>
    <cellStyle name="Comma 13 39 2 3 2 2" xfId="31251" xr:uid="{00000000-0005-0000-0000-0000FF370000}"/>
    <cellStyle name="Comma 13 39 2 3 2 3" xfId="46743" xr:uid="{00000000-0005-0000-0000-000000380000}"/>
    <cellStyle name="Comma 13 39 2 3 3" xfId="23511" xr:uid="{00000000-0005-0000-0000-000001380000}"/>
    <cellStyle name="Comma 13 39 2 3 4" xfId="39003" xr:uid="{00000000-0005-0000-0000-000002380000}"/>
    <cellStyle name="Comma 13 39 2 4" xfId="11789" xr:uid="{00000000-0005-0000-0000-000003380000}"/>
    <cellStyle name="Comma 13 39 2 4 2" xfId="27381" xr:uid="{00000000-0005-0000-0000-000004380000}"/>
    <cellStyle name="Comma 13 39 2 4 3" xfId="42873" xr:uid="{00000000-0005-0000-0000-000005380000}"/>
    <cellStyle name="Comma 13 39 2 5" xfId="19641" xr:uid="{00000000-0005-0000-0000-000006380000}"/>
    <cellStyle name="Comma 13 39 2 6" xfId="35133" xr:uid="{00000000-0005-0000-0000-000007380000}"/>
    <cellStyle name="Comma 13 39 3" xfId="5022" xr:uid="{00000000-0005-0000-0000-000008380000}"/>
    <cellStyle name="Comma 13 39 3 2" xfId="8893" xr:uid="{00000000-0005-0000-0000-000009380000}"/>
    <cellStyle name="Comma 13 39 3 2 2" xfId="16638" xr:uid="{00000000-0005-0000-0000-00000A380000}"/>
    <cellStyle name="Comma 13 39 3 2 2 2" xfId="32230" xr:uid="{00000000-0005-0000-0000-00000B380000}"/>
    <cellStyle name="Comma 13 39 3 2 2 3" xfId="47722" xr:uid="{00000000-0005-0000-0000-00000C380000}"/>
    <cellStyle name="Comma 13 39 3 2 3" xfId="24490" xr:uid="{00000000-0005-0000-0000-00000D380000}"/>
    <cellStyle name="Comma 13 39 3 2 4" xfId="39982" xr:uid="{00000000-0005-0000-0000-00000E380000}"/>
    <cellStyle name="Comma 13 39 3 3" xfId="12768" xr:uid="{00000000-0005-0000-0000-00000F380000}"/>
    <cellStyle name="Comma 13 39 3 3 2" xfId="28360" xr:uid="{00000000-0005-0000-0000-000010380000}"/>
    <cellStyle name="Comma 13 39 3 3 3" xfId="43852" xr:uid="{00000000-0005-0000-0000-000011380000}"/>
    <cellStyle name="Comma 13 39 3 4" xfId="20620" xr:uid="{00000000-0005-0000-0000-000012380000}"/>
    <cellStyle name="Comma 13 39 3 5" xfId="36112" xr:uid="{00000000-0005-0000-0000-000013380000}"/>
    <cellStyle name="Comma 13 39 4" xfId="6966" xr:uid="{00000000-0005-0000-0000-000014380000}"/>
    <cellStyle name="Comma 13 39 4 2" xfId="14711" xr:uid="{00000000-0005-0000-0000-000015380000}"/>
    <cellStyle name="Comma 13 39 4 2 2" xfId="30303" xr:uid="{00000000-0005-0000-0000-000016380000}"/>
    <cellStyle name="Comma 13 39 4 2 3" xfId="45795" xr:uid="{00000000-0005-0000-0000-000017380000}"/>
    <cellStyle name="Comma 13 39 4 3" xfId="22563" xr:uid="{00000000-0005-0000-0000-000018380000}"/>
    <cellStyle name="Comma 13 39 4 4" xfId="38055" xr:uid="{00000000-0005-0000-0000-000019380000}"/>
    <cellStyle name="Comma 13 39 5" xfId="10841" xr:uid="{00000000-0005-0000-0000-00001A380000}"/>
    <cellStyle name="Comma 13 39 5 2" xfId="26433" xr:uid="{00000000-0005-0000-0000-00001B380000}"/>
    <cellStyle name="Comma 13 39 5 3" xfId="41925" xr:uid="{00000000-0005-0000-0000-00001C380000}"/>
    <cellStyle name="Comma 13 39 6" xfId="18693" xr:uid="{00000000-0005-0000-0000-00001D380000}"/>
    <cellStyle name="Comma 13 39 7" xfId="34185" xr:uid="{00000000-0005-0000-0000-00001E380000}"/>
    <cellStyle name="Comma 13 4" xfId="860" xr:uid="{00000000-0005-0000-0000-00001F380000}"/>
    <cellStyle name="Comma 13 40" xfId="3073" xr:uid="{00000000-0005-0000-0000-000020380000}"/>
    <cellStyle name="Comma 13 40 2" xfId="4067" xr:uid="{00000000-0005-0000-0000-000021380000}"/>
    <cellStyle name="Comma 13 40 2 2" xfId="6006" xr:uid="{00000000-0005-0000-0000-000022380000}"/>
    <cellStyle name="Comma 13 40 2 2 2" xfId="9877" xr:uid="{00000000-0005-0000-0000-000023380000}"/>
    <cellStyle name="Comma 13 40 2 2 2 2" xfId="17622" xr:uid="{00000000-0005-0000-0000-000024380000}"/>
    <cellStyle name="Comma 13 40 2 2 2 2 2" xfId="33214" xr:uid="{00000000-0005-0000-0000-000025380000}"/>
    <cellStyle name="Comma 13 40 2 2 2 2 3" xfId="48706" xr:uid="{00000000-0005-0000-0000-000026380000}"/>
    <cellStyle name="Comma 13 40 2 2 2 3" xfId="25474" xr:uid="{00000000-0005-0000-0000-000027380000}"/>
    <cellStyle name="Comma 13 40 2 2 2 4" xfId="40966" xr:uid="{00000000-0005-0000-0000-000028380000}"/>
    <cellStyle name="Comma 13 40 2 2 3" xfId="13752" xr:uid="{00000000-0005-0000-0000-000029380000}"/>
    <cellStyle name="Comma 13 40 2 2 3 2" xfId="29344" xr:uid="{00000000-0005-0000-0000-00002A380000}"/>
    <cellStyle name="Comma 13 40 2 2 3 3" xfId="44836" xr:uid="{00000000-0005-0000-0000-00002B380000}"/>
    <cellStyle name="Comma 13 40 2 2 4" xfId="21604" xr:uid="{00000000-0005-0000-0000-00002C380000}"/>
    <cellStyle name="Comma 13 40 2 2 5" xfId="37096" xr:uid="{00000000-0005-0000-0000-00002D380000}"/>
    <cellStyle name="Comma 13 40 2 3" xfId="7950" xr:uid="{00000000-0005-0000-0000-00002E380000}"/>
    <cellStyle name="Comma 13 40 2 3 2" xfId="15695" xr:uid="{00000000-0005-0000-0000-00002F380000}"/>
    <cellStyle name="Comma 13 40 2 3 2 2" xfId="31287" xr:uid="{00000000-0005-0000-0000-000030380000}"/>
    <cellStyle name="Comma 13 40 2 3 2 3" xfId="46779" xr:uid="{00000000-0005-0000-0000-000031380000}"/>
    <cellStyle name="Comma 13 40 2 3 3" xfId="23547" xr:uid="{00000000-0005-0000-0000-000032380000}"/>
    <cellStyle name="Comma 13 40 2 3 4" xfId="39039" xr:uid="{00000000-0005-0000-0000-000033380000}"/>
    <cellStyle name="Comma 13 40 2 4" xfId="11825" xr:uid="{00000000-0005-0000-0000-000034380000}"/>
    <cellStyle name="Comma 13 40 2 4 2" xfId="27417" xr:uid="{00000000-0005-0000-0000-000035380000}"/>
    <cellStyle name="Comma 13 40 2 4 3" xfId="42909" xr:uid="{00000000-0005-0000-0000-000036380000}"/>
    <cellStyle name="Comma 13 40 2 5" xfId="19677" xr:uid="{00000000-0005-0000-0000-000037380000}"/>
    <cellStyle name="Comma 13 40 2 6" xfId="35169" xr:uid="{00000000-0005-0000-0000-000038380000}"/>
    <cellStyle name="Comma 13 40 3" xfId="5058" xr:uid="{00000000-0005-0000-0000-000039380000}"/>
    <cellStyle name="Comma 13 40 3 2" xfId="8929" xr:uid="{00000000-0005-0000-0000-00003A380000}"/>
    <cellStyle name="Comma 13 40 3 2 2" xfId="16674" xr:uid="{00000000-0005-0000-0000-00003B380000}"/>
    <cellStyle name="Comma 13 40 3 2 2 2" xfId="32266" xr:uid="{00000000-0005-0000-0000-00003C380000}"/>
    <cellStyle name="Comma 13 40 3 2 2 3" xfId="47758" xr:uid="{00000000-0005-0000-0000-00003D380000}"/>
    <cellStyle name="Comma 13 40 3 2 3" xfId="24526" xr:uid="{00000000-0005-0000-0000-00003E380000}"/>
    <cellStyle name="Comma 13 40 3 2 4" xfId="40018" xr:uid="{00000000-0005-0000-0000-00003F380000}"/>
    <cellStyle name="Comma 13 40 3 3" xfId="12804" xr:uid="{00000000-0005-0000-0000-000040380000}"/>
    <cellStyle name="Comma 13 40 3 3 2" xfId="28396" xr:uid="{00000000-0005-0000-0000-000041380000}"/>
    <cellStyle name="Comma 13 40 3 3 3" xfId="43888" xr:uid="{00000000-0005-0000-0000-000042380000}"/>
    <cellStyle name="Comma 13 40 3 4" xfId="20656" xr:uid="{00000000-0005-0000-0000-000043380000}"/>
    <cellStyle name="Comma 13 40 3 5" xfId="36148" xr:uid="{00000000-0005-0000-0000-000044380000}"/>
    <cellStyle name="Comma 13 40 4" xfId="7002" xr:uid="{00000000-0005-0000-0000-000045380000}"/>
    <cellStyle name="Comma 13 40 4 2" xfId="14747" xr:uid="{00000000-0005-0000-0000-000046380000}"/>
    <cellStyle name="Comma 13 40 4 2 2" xfId="30339" xr:uid="{00000000-0005-0000-0000-000047380000}"/>
    <cellStyle name="Comma 13 40 4 2 3" xfId="45831" xr:uid="{00000000-0005-0000-0000-000048380000}"/>
    <cellStyle name="Comma 13 40 4 3" xfId="22599" xr:uid="{00000000-0005-0000-0000-000049380000}"/>
    <cellStyle name="Comma 13 40 4 4" xfId="38091" xr:uid="{00000000-0005-0000-0000-00004A380000}"/>
    <cellStyle name="Comma 13 40 5" xfId="10877" xr:uid="{00000000-0005-0000-0000-00004B380000}"/>
    <cellStyle name="Comma 13 40 5 2" xfId="26469" xr:uid="{00000000-0005-0000-0000-00004C380000}"/>
    <cellStyle name="Comma 13 40 5 3" xfId="41961" xr:uid="{00000000-0005-0000-0000-00004D380000}"/>
    <cellStyle name="Comma 13 40 6" xfId="18729" xr:uid="{00000000-0005-0000-0000-00004E380000}"/>
    <cellStyle name="Comma 13 40 7" xfId="34221" xr:uid="{00000000-0005-0000-0000-00004F380000}"/>
    <cellStyle name="Comma 13 41" xfId="3120" xr:uid="{00000000-0005-0000-0000-000050380000}"/>
    <cellStyle name="Comma 13 41 2" xfId="4103" xr:uid="{00000000-0005-0000-0000-000051380000}"/>
    <cellStyle name="Comma 13 41 2 2" xfId="6042" xr:uid="{00000000-0005-0000-0000-000052380000}"/>
    <cellStyle name="Comma 13 41 2 2 2" xfId="9913" xr:uid="{00000000-0005-0000-0000-000053380000}"/>
    <cellStyle name="Comma 13 41 2 2 2 2" xfId="17658" xr:uid="{00000000-0005-0000-0000-000054380000}"/>
    <cellStyle name="Comma 13 41 2 2 2 2 2" xfId="33250" xr:uid="{00000000-0005-0000-0000-000055380000}"/>
    <cellStyle name="Comma 13 41 2 2 2 2 3" xfId="48742" xr:uid="{00000000-0005-0000-0000-000056380000}"/>
    <cellStyle name="Comma 13 41 2 2 2 3" xfId="25510" xr:uid="{00000000-0005-0000-0000-000057380000}"/>
    <cellStyle name="Comma 13 41 2 2 2 4" xfId="41002" xr:uid="{00000000-0005-0000-0000-000058380000}"/>
    <cellStyle name="Comma 13 41 2 2 3" xfId="13788" xr:uid="{00000000-0005-0000-0000-000059380000}"/>
    <cellStyle name="Comma 13 41 2 2 3 2" xfId="29380" xr:uid="{00000000-0005-0000-0000-00005A380000}"/>
    <cellStyle name="Comma 13 41 2 2 3 3" xfId="44872" xr:uid="{00000000-0005-0000-0000-00005B380000}"/>
    <cellStyle name="Comma 13 41 2 2 4" xfId="21640" xr:uid="{00000000-0005-0000-0000-00005C380000}"/>
    <cellStyle name="Comma 13 41 2 2 5" xfId="37132" xr:uid="{00000000-0005-0000-0000-00005D380000}"/>
    <cellStyle name="Comma 13 41 2 3" xfId="7986" xr:uid="{00000000-0005-0000-0000-00005E380000}"/>
    <cellStyle name="Comma 13 41 2 3 2" xfId="15731" xr:uid="{00000000-0005-0000-0000-00005F380000}"/>
    <cellStyle name="Comma 13 41 2 3 2 2" xfId="31323" xr:uid="{00000000-0005-0000-0000-000060380000}"/>
    <cellStyle name="Comma 13 41 2 3 2 3" xfId="46815" xr:uid="{00000000-0005-0000-0000-000061380000}"/>
    <cellStyle name="Comma 13 41 2 3 3" xfId="23583" xr:uid="{00000000-0005-0000-0000-000062380000}"/>
    <cellStyle name="Comma 13 41 2 3 4" xfId="39075" xr:uid="{00000000-0005-0000-0000-000063380000}"/>
    <cellStyle name="Comma 13 41 2 4" xfId="11861" xr:uid="{00000000-0005-0000-0000-000064380000}"/>
    <cellStyle name="Comma 13 41 2 4 2" xfId="27453" xr:uid="{00000000-0005-0000-0000-000065380000}"/>
    <cellStyle name="Comma 13 41 2 4 3" xfId="42945" xr:uid="{00000000-0005-0000-0000-000066380000}"/>
    <cellStyle name="Comma 13 41 2 5" xfId="19713" xr:uid="{00000000-0005-0000-0000-000067380000}"/>
    <cellStyle name="Comma 13 41 2 6" xfId="35205" xr:uid="{00000000-0005-0000-0000-000068380000}"/>
    <cellStyle name="Comma 13 41 3" xfId="5094" xr:uid="{00000000-0005-0000-0000-000069380000}"/>
    <cellStyle name="Comma 13 41 3 2" xfId="8965" xr:uid="{00000000-0005-0000-0000-00006A380000}"/>
    <cellStyle name="Comma 13 41 3 2 2" xfId="16710" xr:uid="{00000000-0005-0000-0000-00006B380000}"/>
    <cellStyle name="Comma 13 41 3 2 2 2" xfId="32302" xr:uid="{00000000-0005-0000-0000-00006C380000}"/>
    <cellStyle name="Comma 13 41 3 2 2 3" xfId="47794" xr:uid="{00000000-0005-0000-0000-00006D380000}"/>
    <cellStyle name="Comma 13 41 3 2 3" xfId="24562" xr:uid="{00000000-0005-0000-0000-00006E380000}"/>
    <cellStyle name="Comma 13 41 3 2 4" xfId="40054" xr:uid="{00000000-0005-0000-0000-00006F380000}"/>
    <cellStyle name="Comma 13 41 3 3" xfId="12840" xr:uid="{00000000-0005-0000-0000-000070380000}"/>
    <cellStyle name="Comma 13 41 3 3 2" xfId="28432" xr:uid="{00000000-0005-0000-0000-000071380000}"/>
    <cellStyle name="Comma 13 41 3 3 3" xfId="43924" xr:uid="{00000000-0005-0000-0000-000072380000}"/>
    <cellStyle name="Comma 13 41 3 4" xfId="20692" xr:uid="{00000000-0005-0000-0000-000073380000}"/>
    <cellStyle name="Comma 13 41 3 5" xfId="36184" xr:uid="{00000000-0005-0000-0000-000074380000}"/>
    <cellStyle name="Comma 13 41 4" xfId="7038" xr:uid="{00000000-0005-0000-0000-000075380000}"/>
    <cellStyle name="Comma 13 41 4 2" xfId="14783" xr:uid="{00000000-0005-0000-0000-000076380000}"/>
    <cellStyle name="Comma 13 41 4 2 2" xfId="30375" xr:uid="{00000000-0005-0000-0000-000077380000}"/>
    <cellStyle name="Comma 13 41 4 2 3" xfId="45867" xr:uid="{00000000-0005-0000-0000-000078380000}"/>
    <cellStyle name="Comma 13 41 4 3" xfId="22635" xr:uid="{00000000-0005-0000-0000-000079380000}"/>
    <cellStyle name="Comma 13 41 4 4" xfId="38127" xr:uid="{00000000-0005-0000-0000-00007A380000}"/>
    <cellStyle name="Comma 13 41 5" xfId="10913" xr:uid="{00000000-0005-0000-0000-00007B380000}"/>
    <cellStyle name="Comma 13 41 5 2" xfId="26505" xr:uid="{00000000-0005-0000-0000-00007C380000}"/>
    <cellStyle name="Comma 13 41 5 3" xfId="41997" xr:uid="{00000000-0005-0000-0000-00007D380000}"/>
    <cellStyle name="Comma 13 41 6" xfId="18765" xr:uid="{00000000-0005-0000-0000-00007E380000}"/>
    <cellStyle name="Comma 13 41 7" xfId="34257" xr:uid="{00000000-0005-0000-0000-00007F380000}"/>
    <cellStyle name="Comma 13 42" xfId="48848" xr:uid="{00000000-0005-0000-0000-000080380000}"/>
    <cellStyle name="Comma 13 5" xfId="861" xr:uid="{00000000-0005-0000-0000-000081380000}"/>
    <cellStyle name="Comma 13 6" xfId="862" xr:uid="{00000000-0005-0000-0000-000082380000}"/>
    <cellStyle name="Comma 13 7" xfId="863" xr:uid="{00000000-0005-0000-0000-000083380000}"/>
    <cellStyle name="Comma 13 8" xfId="864" xr:uid="{00000000-0005-0000-0000-000084380000}"/>
    <cellStyle name="Comma 13 9" xfId="865" xr:uid="{00000000-0005-0000-0000-000085380000}"/>
    <cellStyle name="Comma 130" xfId="17837" xr:uid="{00000000-0005-0000-0000-000086380000}"/>
    <cellStyle name="Comma 131" xfId="17839" xr:uid="{00000000-0005-0000-0000-000087380000}"/>
    <cellStyle name="Comma 132" xfId="17842" xr:uid="{00000000-0005-0000-0000-000088380000}"/>
    <cellStyle name="Comma 133" xfId="17844" xr:uid="{00000000-0005-0000-0000-000089380000}"/>
    <cellStyle name="Comma 134" xfId="17846" xr:uid="{00000000-0005-0000-0000-00008A380000}"/>
    <cellStyle name="Comma 135" xfId="33338" xr:uid="{00000000-0005-0000-0000-00008B380000}"/>
    <cellStyle name="Comma 136" xfId="48830" xr:uid="{00000000-0005-0000-0000-00008C380000}"/>
    <cellStyle name="Comma 137" xfId="48831" xr:uid="{00000000-0005-0000-0000-00008D380000}"/>
    <cellStyle name="Comma 138" xfId="48992" xr:uid="{00000000-0005-0000-0000-00008E380000}"/>
    <cellStyle name="Comma 14" xfId="866" xr:uid="{00000000-0005-0000-0000-00008F380000}"/>
    <cellStyle name="Comma 14 10" xfId="867" xr:uid="{00000000-0005-0000-0000-000090380000}"/>
    <cellStyle name="Comma 14 11" xfId="868" xr:uid="{00000000-0005-0000-0000-000091380000}"/>
    <cellStyle name="Comma 14 12" xfId="869" xr:uid="{00000000-0005-0000-0000-000092380000}"/>
    <cellStyle name="Comma 14 13" xfId="870" xr:uid="{00000000-0005-0000-0000-000093380000}"/>
    <cellStyle name="Comma 14 14" xfId="871" xr:uid="{00000000-0005-0000-0000-000094380000}"/>
    <cellStyle name="Comma 14 15" xfId="872" xr:uid="{00000000-0005-0000-0000-000095380000}"/>
    <cellStyle name="Comma 14 16" xfId="873" xr:uid="{00000000-0005-0000-0000-000096380000}"/>
    <cellStyle name="Comma 14 17" xfId="874" xr:uid="{00000000-0005-0000-0000-000097380000}"/>
    <cellStyle name="Comma 14 18" xfId="875" xr:uid="{00000000-0005-0000-0000-000098380000}"/>
    <cellStyle name="Comma 14 19" xfId="876" xr:uid="{00000000-0005-0000-0000-000099380000}"/>
    <cellStyle name="Comma 14 2" xfId="877" xr:uid="{00000000-0005-0000-0000-00009A380000}"/>
    <cellStyle name="Comma 14 2 2" xfId="48964" xr:uid="{00000000-0005-0000-0000-00009B380000}"/>
    <cellStyle name="Comma 14 2 3" xfId="48965" xr:uid="{00000000-0005-0000-0000-00009C380000}"/>
    <cellStyle name="Comma 14 20" xfId="878" xr:uid="{00000000-0005-0000-0000-00009D380000}"/>
    <cellStyle name="Comma 14 21" xfId="879" xr:uid="{00000000-0005-0000-0000-00009E380000}"/>
    <cellStyle name="Comma 14 22" xfId="880" xr:uid="{00000000-0005-0000-0000-00009F380000}"/>
    <cellStyle name="Comma 14 23" xfId="881" xr:uid="{00000000-0005-0000-0000-0000A0380000}"/>
    <cellStyle name="Comma 14 24" xfId="882" xr:uid="{00000000-0005-0000-0000-0000A1380000}"/>
    <cellStyle name="Comma 14 25" xfId="883" xr:uid="{00000000-0005-0000-0000-0000A2380000}"/>
    <cellStyle name="Comma 14 26" xfId="2173" xr:uid="{00000000-0005-0000-0000-0000A3380000}"/>
    <cellStyle name="Comma 14 26 2" xfId="2516" xr:uid="{00000000-0005-0000-0000-0000A4380000}"/>
    <cellStyle name="Comma 14 26 2 2" xfId="3524" xr:uid="{00000000-0005-0000-0000-0000A5380000}"/>
    <cellStyle name="Comma 14 26 2 2 2" xfId="5463" xr:uid="{00000000-0005-0000-0000-0000A6380000}"/>
    <cellStyle name="Comma 14 26 2 2 2 2" xfId="9334" xr:uid="{00000000-0005-0000-0000-0000A7380000}"/>
    <cellStyle name="Comma 14 26 2 2 2 2 2" xfId="17079" xr:uid="{00000000-0005-0000-0000-0000A8380000}"/>
    <cellStyle name="Comma 14 26 2 2 2 2 2 2" xfId="32671" xr:uid="{00000000-0005-0000-0000-0000A9380000}"/>
    <cellStyle name="Comma 14 26 2 2 2 2 2 3" xfId="48163" xr:uid="{00000000-0005-0000-0000-0000AA380000}"/>
    <cellStyle name="Comma 14 26 2 2 2 2 3" xfId="24931" xr:uid="{00000000-0005-0000-0000-0000AB380000}"/>
    <cellStyle name="Comma 14 26 2 2 2 2 4" xfId="40423" xr:uid="{00000000-0005-0000-0000-0000AC380000}"/>
    <cellStyle name="Comma 14 26 2 2 2 3" xfId="13209" xr:uid="{00000000-0005-0000-0000-0000AD380000}"/>
    <cellStyle name="Comma 14 26 2 2 2 3 2" xfId="28801" xr:uid="{00000000-0005-0000-0000-0000AE380000}"/>
    <cellStyle name="Comma 14 26 2 2 2 3 3" xfId="44293" xr:uid="{00000000-0005-0000-0000-0000AF380000}"/>
    <cellStyle name="Comma 14 26 2 2 2 4" xfId="21061" xr:uid="{00000000-0005-0000-0000-0000B0380000}"/>
    <cellStyle name="Comma 14 26 2 2 2 5" xfId="36553" xr:uid="{00000000-0005-0000-0000-0000B1380000}"/>
    <cellStyle name="Comma 14 26 2 2 3" xfId="7407" xr:uid="{00000000-0005-0000-0000-0000B2380000}"/>
    <cellStyle name="Comma 14 26 2 2 3 2" xfId="15152" xr:uid="{00000000-0005-0000-0000-0000B3380000}"/>
    <cellStyle name="Comma 14 26 2 2 3 2 2" xfId="30744" xr:uid="{00000000-0005-0000-0000-0000B4380000}"/>
    <cellStyle name="Comma 14 26 2 2 3 2 3" xfId="46236" xr:uid="{00000000-0005-0000-0000-0000B5380000}"/>
    <cellStyle name="Comma 14 26 2 2 3 3" xfId="23004" xr:uid="{00000000-0005-0000-0000-0000B6380000}"/>
    <cellStyle name="Comma 14 26 2 2 3 4" xfId="38496" xr:uid="{00000000-0005-0000-0000-0000B7380000}"/>
    <cellStyle name="Comma 14 26 2 2 4" xfId="11282" xr:uid="{00000000-0005-0000-0000-0000B8380000}"/>
    <cellStyle name="Comma 14 26 2 2 4 2" xfId="26874" xr:uid="{00000000-0005-0000-0000-0000B9380000}"/>
    <cellStyle name="Comma 14 26 2 2 4 3" xfId="42366" xr:uid="{00000000-0005-0000-0000-0000BA380000}"/>
    <cellStyle name="Comma 14 26 2 2 5" xfId="19134" xr:uid="{00000000-0005-0000-0000-0000BB380000}"/>
    <cellStyle name="Comma 14 26 2 2 6" xfId="34626" xr:uid="{00000000-0005-0000-0000-0000BC380000}"/>
    <cellStyle name="Comma 14 26 2 3" xfId="4515" xr:uid="{00000000-0005-0000-0000-0000BD380000}"/>
    <cellStyle name="Comma 14 26 2 3 2" xfId="8386" xr:uid="{00000000-0005-0000-0000-0000BE380000}"/>
    <cellStyle name="Comma 14 26 2 3 2 2" xfId="16131" xr:uid="{00000000-0005-0000-0000-0000BF380000}"/>
    <cellStyle name="Comma 14 26 2 3 2 2 2" xfId="31723" xr:uid="{00000000-0005-0000-0000-0000C0380000}"/>
    <cellStyle name="Comma 14 26 2 3 2 2 3" xfId="47215" xr:uid="{00000000-0005-0000-0000-0000C1380000}"/>
    <cellStyle name="Comma 14 26 2 3 2 3" xfId="23983" xr:uid="{00000000-0005-0000-0000-0000C2380000}"/>
    <cellStyle name="Comma 14 26 2 3 2 4" xfId="39475" xr:uid="{00000000-0005-0000-0000-0000C3380000}"/>
    <cellStyle name="Comma 14 26 2 3 3" xfId="12261" xr:uid="{00000000-0005-0000-0000-0000C4380000}"/>
    <cellStyle name="Comma 14 26 2 3 3 2" xfId="27853" xr:uid="{00000000-0005-0000-0000-0000C5380000}"/>
    <cellStyle name="Comma 14 26 2 3 3 3" xfId="43345" xr:uid="{00000000-0005-0000-0000-0000C6380000}"/>
    <cellStyle name="Comma 14 26 2 3 4" xfId="20113" xr:uid="{00000000-0005-0000-0000-0000C7380000}"/>
    <cellStyle name="Comma 14 26 2 3 5" xfId="35605" xr:uid="{00000000-0005-0000-0000-0000C8380000}"/>
    <cellStyle name="Comma 14 26 2 4" xfId="6459" xr:uid="{00000000-0005-0000-0000-0000C9380000}"/>
    <cellStyle name="Comma 14 26 2 4 2" xfId="14204" xr:uid="{00000000-0005-0000-0000-0000CA380000}"/>
    <cellStyle name="Comma 14 26 2 4 2 2" xfId="29796" xr:uid="{00000000-0005-0000-0000-0000CB380000}"/>
    <cellStyle name="Comma 14 26 2 4 2 3" xfId="45288" xr:uid="{00000000-0005-0000-0000-0000CC380000}"/>
    <cellStyle name="Comma 14 26 2 4 3" xfId="22056" xr:uid="{00000000-0005-0000-0000-0000CD380000}"/>
    <cellStyle name="Comma 14 26 2 4 4" xfId="37548" xr:uid="{00000000-0005-0000-0000-0000CE380000}"/>
    <cellStyle name="Comma 14 26 2 5" xfId="10334" xr:uid="{00000000-0005-0000-0000-0000CF380000}"/>
    <cellStyle name="Comma 14 26 2 5 2" xfId="25926" xr:uid="{00000000-0005-0000-0000-0000D0380000}"/>
    <cellStyle name="Comma 14 26 2 5 3" xfId="41418" xr:uid="{00000000-0005-0000-0000-0000D1380000}"/>
    <cellStyle name="Comma 14 26 2 6" xfId="18186" xr:uid="{00000000-0005-0000-0000-0000D2380000}"/>
    <cellStyle name="Comma 14 26 2 7" xfId="33678" xr:uid="{00000000-0005-0000-0000-0000D3380000}"/>
    <cellStyle name="Comma 14 26 3" xfId="3215" xr:uid="{00000000-0005-0000-0000-0000D4380000}"/>
    <cellStyle name="Comma 14 26 3 2" xfId="5154" xr:uid="{00000000-0005-0000-0000-0000D5380000}"/>
    <cellStyle name="Comma 14 26 3 2 2" xfId="9025" xr:uid="{00000000-0005-0000-0000-0000D6380000}"/>
    <cellStyle name="Comma 14 26 3 2 2 2" xfId="16770" xr:uid="{00000000-0005-0000-0000-0000D7380000}"/>
    <cellStyle name="Comma 14 26 3 2 2 2 2" xfId="32362" xr:uid="{00000000-0005-0000-0000-0000D8380000}"/>
    <cellStyle name="Comma 14 26 3 2 2 2 3" xfId="47854" xr:uid="{00000000-0005-0000-0000-0000D9380000}"/>
    <cellStyle name="Comma 14 26 3 2 2 3" xfId="24622" xr:uid="{00000000-0005-0000-0000-0000DA380000}"/>
    <cellStyle name="Comma 14 26 3 2 2 4" xfId="40114" xr:uid="{00000000-0005-0000-0000-0000DB380000}"/>
    <cellStyle name="Comma 14 26 3 2 3" xfId="12900" xr:uid="{00000000-0005-0000-0000-0000DC380000}"/>
    <cellStyle name="Comma 14 26 3 2 3 2" xfId="28492" xr:uid="{00000000-0005-0000-0000-0000DD380000}"/>
    <cellStyle name="Comma 14 26 3 2 3 3" xfId="43984" xr:uid="{00000000-0005-0000-0000-0000DE380000}"/>
    <cellStyle name="Comma 14 26 3 2 4" xfId="20752" xr:uid="{00000000-0005-0000-0000-0000DF380000}"/>
    <cellStyle name="Comma 14 26 3 2 5" xfId="36244" xr:uid="{00000000-0005-0000-0000-0000E0380000}"/>
    <cellStyle name="Comma 14 26 3 3" xfId="7098" xr:uid="{00000000-0005-0000-0000-0000E1380000}"/>
    <cellStyle name="Comma 14 26 3 3 2" xfId="14843" xr:uid="{00000000-0005-0000-0000-0000E2380000}"/>
    <cellStyle name="Comma 14 26 3 3 2 2" xfId="30435" xr:uid="{00000000-0005-0000-0000-0000E3380000}"/>
    <cellStyle name="Comma 14 26 3 3 2 3" xfId="45927" xr:uid="{00000000-0005-0000-0000-0000E4380000}"/>
    <cellStyle name="Comma 14 26 3 3 3" xfId="22695" xr:uid="{00000000-0005-0000-0000-0000E5380000}"/>
    <cellStyle name="Comma 14 26 3 3 4" xfId="38187" xr:uid="{00000000-0005-0000-0000-0000E6380000}"/>
    <cellStyle name="Comma 14 26 3 4" xfId="10973" xr:uid="{00000000-0005-0000-0000-0000E7380000}"/>
    <cellStyle name="Comma 14 26 3 4 2" xfId="26565" xr:uid="{00000000-0005-0000-0000-0000E8380000}"/>
    <cellStyle name="Comma 14 26 3 4 3" xfId="42057" xr:uid="{00000000-0005-0000-0000-0000E9380000}"/>
    <cellStyle name="Comma 14 26 3 5" xfId="18825" xr:uid="{00000000-0005-0000-0000-0000EA380000}"/>
    <cellStyle name="Comma 14 26 3 6" xfId="34317" xr:uid="{00000000-0005-0000-0000-0000EB380000}"/>
    <cellStyle name="Comma 14 26 4" xfId="4206" xr:uid="{00000000-0005-0000-0000-0000EC380000}"/>
    <cellStyle name="Comma 14 26 4 2" xfId="8077" xr:uid="{00000000-0005-0000-0000-0000ED380000}"/>
    <cellStyle name="Comma 14 26 4 2 2" xfId="15822" xr:uid="{00000000-0005-0000-0000-0000EE380000}"/>
    <cellStyle name="Comma 14 26 4 2 2 2" xfId="31414" xr:uid="{00000000-0005-0000-0000-0000EF380000}"/>
    <cellStyle name="Comma 14 26 4 2 2 3" xfId="46906" xr:uid="{00000000-0005-0000-0000-0000F0380000}"/>
    <cellStyle name="Comma 14 26 4 2 3" xfId="23674" xr:uid="{00000000-0005-0000-0000-0000F1380000}"/>
    <cellStyle name="Comma 14 26 4 2 4" xfId="39166" xr:uid="{00000000-0005-0000-0000-0000F2380000}"/>
    <cellStyle name="Comma 14 26 4 3" xfId="11952" xr:uid="{00000000-0005-0000-0000-0000F3380000}"/>
    <cellStyle name="Comma 14 26 4 3 2" xfId="27544" xr:uid="{00000000-0005-0000-0000-0000F4380000}"/>
    <cellStyle name="Comma 14 26 4 3 3" xfId="43036" xr:uid="{00000000-0005-0000-0000-0000F5380000}"/>
    <cellStyle name="Comma 14 26 4 4" xfId="19804" xr:uid="{00000000-0005-0000-0000-0000F6380000}"/>
    <cellStyle name="Comma 14 26 4 5" xfId="35296" xr:uid="{00000000-0005-0000-0000-0000F7380000}"/>
    <cellStyle name="Comma 14 26 5" xfId="6150" xr:uid="{00000000-0005-0000-0000-0000F8380000}"/>
    <cellStyle name="Comma 14 26 5 2" xfId="13895" xr:uid="{00000000-0005-0000-0000-0000F9380000}"/>
    <cellStyle name="Comma 14 26 5 2 2" xfId="29487" xr:uid="{00000000-0005-0000-0000-0000FA380000}"/>
    <cellStyle name="Comma 14 26 5 2 3" xfId="44979" xr:uid="{00000000-0005-0000-0000-0000FB380000}"/>
    <cellStyle name="Comma 14 26 5 3" xfId="21747" xr:uid="{00000000-0005-0000-0000-0000FC380000}"/>
    <cellStyle name="Comma 14 26 5 4" xfId="37239" xr:uid="{00000000-0005-0000-0000-0000FD380000}"/>
    <cellStyle name="Comma 14 26 6" xfId="10025" xr:uid="{00000000-0005-0000-0000-0000FE380000}"/>
    <cellStyle name="Comma 14 26 6 2" xfId="25617" xr:uid="{00000000-0005-0000-0000-0000FF380000}"/>
    <cellStyle name="Comma 14 26 6 3" xfId="41109" xr:uid="{00000000-0005-0000-0000-000000390000}"/>
    <cellStyle name="Comma 14 26 7" xfId="17877" xr:uid="{00000000-0005-0000-0000-000001390000}"/>
    <cellStyle name="Comma 14 26 8" xfId="33369" xr:uid="{00000000-0005-0000-0000-000002390000}"/>
    <cellStyle name="Comma 14 27" xfId="2237" xr:uid="{00000000-0005-0000-0000-000003390000}"/>
    <cellStyle name="Comma 14 27 2" xfId="2554" xr:uid="{00000000-0005-0000-0000-000004390000}"/>
    <cellStyle name="Comma 14 27 2 2" xfId="3562" xr:uid="{00000000-0005-0000-0000-000005390000}"/>
    <cellStyle name="Comma 14 27 2 2 2" xfId="5501" xr:uid="{00000000-0005-0000-0000-000006390000}"/>
    <cellStyle name="Comma 14 27 2 2 2 2" xfId="9372" xr:uid="{00000000-0005-0000-0000-000007390000}"/>
    <cellStyle name="Comma 14 27 2 2 2 2 2" xfId="17117" xr:uid="{00000000-0005-0000-0000-000008390000}"/>
    <cellStyle name="Comma 14 27 2 2 2 2 2 2" xfId="32709" xr:uid="{00000000-0005-0000-0000-000009390000}"/>
    <cellStyle name="Comma 14 27 2 2 2 2 2 3" xfId="48201" xr:uid="{00000000-0005-0000-0000-00000A390000}"/>
    <cellStyle name="Comma 14 27 2 2 2 2 3" xfId="24969" xr:uid="{00000000-0005-0000-0000-00000B390000}"/>
    <cellStyle name="Comma 14 27 2 2 2 2 4" xfId="40461" xr:uid="{00000000-0005-0000-0000-00000C390000}"/>
    <cellStyle name="Comma 14 27 2 2 2 3" xfId="13247" xr:uid="{00000000-0005-0000-0000-00000D390000}"/>
    <cellStyle name="Comma 14 27 2 2 2 3 2" xfId="28839" xr:uid="{00000000-0005-0000-0000-00000E390000}"/>
    <cellStyle name="Comma 14 27 2 2 2 3 3" xfId="44331" xr:uid="{00000000-0005-0000-0000-00000F390000}"/>
    <cellStyle name="Comma 14 27 2 2 2 4" xfId="21099" xr:uid="{00000000-0005-0000-0000-000010390000}"/>
    <cellStyle name="Comma 14 27 2 2 2 5" xfId="36591" xr:uid="{00000000-0005-0000-0000-000011390000}"/>
    <cellStyle name="Comma 14 27 2 2 3" xfId="7445" xr:uid="{00000000-0005-0000-0000-000012390000}"/>
    <cellStyle name="Comma 14 27 2 2 3 2" xfId="15190" xr:uid="{00000000-0005-0000-0000-000013390000}"/>
    <cellStyle name="Comma 14 27 2 2 3 2 2" xfId="30782" xr:uid="{00000000-0005-0000-0000-000014390000}"/>
    <cellStyle name="Comma 14 27 2 2 3 2 3" xfId="46274" xr:uid="{00000000-0005-0000-0000-000015390000}"/>
    <cellStyle name="Comma 14 27 2 2 3 3" xfId="23042" xr:uid="{00000000-0005-0000-0000-000016390000}"/>
    <cellStyle name="Comma 14 27 2 2 3 4" xfId="38534" xr:uid="{00000000-0005-0000-0000-000017390000}"/>
    <cellStyle name="Comma 14 27 2 2 4" xfId="11320" xr:uid="{00000000-0005-0000-0000-000018390000}"/>
    <cellStyle name="Comma 14 27 2 2 4 2" xfId="26912" xr:uid="{00000000-0005-0000-0000-000019390000}"/>
    <cellStyle name="Comma 14 27 2 2 4 3" xfId="42404" xr:uid="{00000000-0005-0000-0000-00001A390000}"/>
    <cellStyle name="Comma 14 27 2 2 5" xfId="19172" xr:uid="{00000000-0005-0000-0000-00001B390000}"/>
    <cellStyle name="Comma 14 27 2 2 6" xfId="34664" xr:uid="{00000000-0005-0000-0000-00001C390000}"/>
    <cellStyle name="Comma 14 27 2 3" xfId="4553" xr:uid="{00000000-0005-0000-0000-00001D390000}"/>
    <cellStyle name="Comma 14 27 2 3 2" xfId="8424" xr:uid="{00000000-0005-0000-0000-00001E390000}"/>
    <cellStyle name="Comma 14 27 2 3 2 2" xfId="16169" xr:uid="{00000000-0005-0000-0000-00001F390000}"/>
    <cellStyle name="Comma 14 27 2 3 2 2 2" xfId="31761" xr:uid="{00000000-0005-0000-0000-000020390000}"/>
    <cellStyle name="Comma 14 27 2 3 2 2 3" xfId="47253" xr:uid="{00000000-0005-0000-0000-000021390000}"/>
    <cellStyle name="Comma 14 27 2 3 2 3" xfId="24021" xr:uid="{00000000-0005-0000-0000-000022390000}"/>
    <cellStyle name="Comma 14 27 2 3 2 4" xfId="39513" xr:uid="{00000000-0005-0000-0000-000023390000}"/>
    <cellStyle name="Comma 14 27 2 3 3" xfId="12299" xr:uid="{00000000-0005-0000-0000-000024390000}"/>
    <cellStyle name="Comma 14 27 2 3 3 2" xfId="27891" xr:uid="{00000000-0005-0000-0000-000025390000}"/>
    <cellStyle name="Comma 14 27 2 3 3 3" xfId="43383" xr:uid="{00000000-0005-0000-0000-000026390000}"/>
    <cellStyle name="Comma 14 27 2 3 4" xfId="20151" xr:uid="{00000000-0005-0000-0000-000027390000}"/>
    <cellStyle name="Comma 14 27 2 3 5" xfId="35643" xr:uid="{00000000-0005-0000-0000-000028390000}"/>
    <cellStyle name="Comma 14 27 2 4" xfId="6497" xr:uid="{00000000-0005-0000-0000-000029390000}"/>
    <cellStyle name="Comma 14 27 2 4 2" xfId="14242" xr:uid="{00000000-0005-0000-0000-00002A390000}"/>
    <cellStyle name="Comma 14 27 2 4 2 2" xfId="29834" xr:uid="{00000000-0005-0000-0000-00002B390000}"/>
    <cellStyle name="Comma 14 27 2 4 2 3" xfId="45326" xr:uid="{00000000-0005-0000-0000-00002C390000}"/>
    <cellStyle name="Comma 14 27 2 4 3" xfId="22094" xr:uid="{00000000-0005-0000-0000-00002D390000}"/>
    <cellStyle name="Comma 14 27 2 4 4" xfId="37586" xr:uid="{00000000-0005-0000-0000-00002E390000}"/>
    <cellStyle name="Comma 14 27 2 5" xfId="10372" xr:uid="{00000000-0005-0000-0000-00002F390000}"/>
    <cellStyle name="Comma 14 27 2 5 2" xfId="25964" xr:uid="{00000000-0005-0000-0000-000030390000}"/>
    <cellStyle name="Comma 14 27 2 5 3" xfId="41456" xr:uid="{00000000-0005-0000-0000-000031390000}"/>
    <cellStyle name="Comma 14 27 2 6" xfId="18224" xr:uid="{00000000-0005-0000-0000-000032390000}"/>
    <cellStyle name="Comma 14 27 2 7" xfId="33716" xr:uid="{00000000-0005-0000-0000-000033390000}"/>
    <cellStyle name="Comma 14 27 3" xfId="3253" xr:uid="{00000000-0005-0000-0000-000034390000}"/>
    <cellStyle name="Comma 14 27 3 2" xfId="5192" xr:uid="{00000000-0005-0000-0000-000035390000}"/>
    <cellStyle name="Comma 14 27 3 2 2" xfId="9063" xr:uid="{00000000-0005-0000-0000-000036390000}"/>
    <cellStyle name="Comma 14 27 3 2 2 2" xfId="16808" xr:uid="{00000000-0005-0000-0000-000037390000}"/>
    <cellStyle name="Comma 14 27 3 2 2 2 2" xfId="32400" xr:uid="{00000000-0005-0000-0000-000038390000}"/>
    <cellStyle name="Comma 14 27 3 2 2 2 3" xfId="47892" xr:uid="{00000000-0005-0000-0000-000039390000}"/>
    <cellStyle name="Comma 14 27 3 2 2 3" xfId="24660" xr:uid="{00000000-0005-0000-0000-00003A390000}"/>
    <cellStyle name="Comma 14 27 3 2 2 4" xfId="40152" xr:uid="{00000000-0005-0000-0000-00003B390000}"/>
    <cellStyle name="Comma 14 27 3 2 3" xfId="12938" xr:uid="{00000000-0005-0000-0000-00003C390000}"/>
    <cellStyle name="Comma 14 27 3 2 3 2" xfId="28530" xr:uid="{00000000-0005-0000-0000-00003D390000}"/>
    <cellStyle name="Comma 14 27 3 2 3 3" xfId="44022" xr:uid="{00000000-0005-0000-0000-00003E390000}"/>
    <cellStyle name="Comma 14 27 3 2 4" xfId="20790" xr:uid="{00000000-0005-0000-0000-00003F390000}"/>
    <cellStyle name="Comma 14 27 3 2 5" xfId="36282" xr:uid="{00000000-0005-0000-0000-000040390000}"/>
    <cellStyle name="Comma 14 27 3 3" xfId="7136" xr:uid="{00000000-0005-0000-0000-000041390000}"/>
    <cellStyle name="Comma 14 27 3 3 2" xfId="14881" xr:uid="{00000000-0005-0000-0000-000042390000}"/>
    <cellStyle name="Comma 14 27 3 3 2 2" xfId="30473" xr:uid="{00000000-0005-0000-0000-000043390000}"/>
    <cellStyle name="Comma 14 27 3 3 2 3" xfId="45965" xr:uid="{00000000-0005-0000-0000-000044390000}"/>
    <cellStyle name="Comma 14 27 3 3 3" xfId="22733" xr:uid="{00000000-0005-0000-0000-000045390000}"/>
    <cellStyle name="Comma 14 27 3 3 4" xfId="38225" xr:uid="{00000000-0005-0000-0000-000046390000}"/>
    <cellStyle name="Comma 14 27 3 4" xfId="11011" xr:uid="{00000000-0005-0000-0000-000047390000}"/>
    <cellStyle name="Comma 14 27 3 4 2" xfId="26603" xr:uid="{00000000-0005-0000-0000-000048390000}"/>
    <cellStyle name="Comma 14 27 3 4 3" xfId="42095" xr:uid="{00000000-0005-0000-0000-000049390000}"/>
    <cellStyle name="Comma 14 27 3 5" xfId="18863" xr:uid="{00000000-0005-0000-0000-00004A390000}"/>
    <cellStyle name="Comma 14 27 3 6" xfId="34355" xr:uid="{00000000-0005-0000-0000-00004B390000}"/>
    <cellStyle name="Comma 14 27 4" xfId="4244" xr:uid="{00000000-0005-0000-0000-00004C390000}"/>
    <cellStyle name="Comma 14 27 4 2" xfId="8115" xr:uid="{00000000-0005-0000-0000-00004D390000}"/>
    <cellStyle name="Comma 14 27 4 2 2" xfId="15860" xr:uid="{00000000-0005-0000-0000-00004E390000}"/>
    <cellStyle name="Comma 14 27 4 2 2 2" xfId="31452" xr:uid="{00000000-0005-0000-0000-00004F390000}"/>
    <cellStyle name="Comma 14 27 4 2 2 3" xfId="46944" xr:uid="{00000000-0005-0000-0000-000050390000}"/>
    <cellStyle name="Comma 14 27 4 2 3" xfId="23712" xr:uid="{00000000-0005-0000-0000-000051390000}"/>
    <cellStyle name="Comma 14 27 4 2 4" xfId="39204" xr:uid="{00000000-0005-0000-0000-000052390000}"/>
    <cellStyle name="Comma 14 27 4 3" xfId="11990" xr:uid="{00000000-0005-0000-0000-000053390000}"/>
    <cellStyle name="Comma 14 27 4 3 2" xfId="27582" xr:uid="{00000000-0005-0000-0000-000054390000}"/>
    <cellStyle name="Comma 14 27 4 3 3" xfId="43074" xr:uid="{00000000-0005-0000-0000-000055390000}"/>
    <cellStyle name="Comma 14 27 4 4" xfId="19842" xr:uid="{00000000-0005-0000-0000-000056390000}"/>
    <cellStyle name="Comma 14 27 4 5" xfId="35334" xr:uid="{00000000-0005-0000-0000-000057390000}"/>
    <cellStyle name="Comma 14 27 5" xfId="6188" xr:uid="{00000000-0005-0000-0000-000058390000}"/>
    <cellStyle name="Comma 14 27 5 2" xfId="13933" xr:uid="{00000000-0005-0000-0000-000059390000}"/>
    <cellStyle name="Comma 14 27 5 2 2" xfId="29525" xr:uid="{00000000-0005-0000-0000-00005A390000}"/>
    <cellStyle name="Comma 14 27 5 2 3" xfId="45017" xr:uid="{00000000-0005-0000-0000-00005B390000}"/>
    <cellStyle name="Comma 14 27 5 3" xfId="21785" xr:uid="{00000000-0005-0000-0000-00005C390000}"/>
    <cellStyle name="Comma 14 27 5 4" xfId="37277" xr:uid="{00000000-0005-0000-0000-00005D390000}"/>
    <cellStyle name="Comma 14 27 6" xfId="10063" xr:uid="{00000000-0005-0000-0000-00005E390000}"/>
    <cellStyle name="Comma 14 27 6 2" xfId="25655" xr:uid="{00000000-0005-0000-0000-00005F390000}"/>
    <cellStyle name="Comma 14 27 6 3" xfId="41147" xr:uid="{00000000-0005-0000-0000-000060390000}"/>
    <cellStyle name="Comma 14 27 7" xfId="17915" xr:uid="{00000000-0005-0000-0000-000061390000}"/>
    <cellStyle name="Comma 14 27 8" xfId="33407" xr:uid="{00000000-0005-0000-0000-000062390000}"/>
    <cellStyle name="Comma 14 28" xfId="2274" xr:uid="{00000000-0005-0000-0000-000063390000}"/>
    <cellStyle name="Comma 14 28 2" xfId="2590" xr:uid="{00000000-0005-0000-0000-000064390000}"/>
    <cellStyle name="Comma 14 28 2 2" xfId="3598" xr:uid="{00000000-0005-0000-0000-000065390000}"/>
    <cellStyle name="Comma 14 28 2 2 2" xfId="5537" xr:uid="{00000000-0005-0000-0000-000066390000}"/>
    <cellStyle name="Comma 14 28 2 2 2 2" xfId="9408" xr:uid="{00000000-0005-0000-0000-000067390000}"/>
    <cellStyle name="Comma 14 28 2 2 2 2 2" xfId="17153" xr:uid="{00000000-0005-0000-0000-000068390000}"/>
    <cellStyle name="Comma 14 28 2 2 2 2 2 2" xfId="32745" xr:uid="{00000000-0005-0000-0000-000069390000}"/>
    <cellStyle name="Comma 14 28 2 2 2 2 2 3" xfId="48237" xr:uid="{00000000-0005-0000-0000-00006A390000}"/>
    <cellStyle name="Comma 14 28 2 2 2 2 3" xfId="25005" xr:uid="{00000000-0005-0000-0000-00006B390000}"/>
    <cellStyle name="Comma 14 28 2 2 2 2 4" xfId="40497" xr:uid="{00000000-0005-0000-0000-00006C390000}"/>
    <cellStyle name="Comma 14 28 2 2 2 3" xfId="13283" xr:uid="{00000000-0005-0000-0000-00006D390000}"/>
    <cellStyle name="Comma 14 28 2 2 2 3 2" xfId="28875" xr:uid="{00000000-0005-0000-0000-00006E390000}"/>
    <cellStyle name="Comma 14 28 2 2 2 3 3" xfId="44367" xr:uid="{00000000-0005-0000-0000-00006F390000}"/>
    <cellStyle name="Comma 14 28 2 2 2 4" xfId="21135" xr:uid="{00000000-0005-0000-0000-000070390000}"/>
    <cellStyle name="Comma 14 28 2 2 2 5" xfId="36627" xr:uid="{00000000-0005-0000-0000-000071390000}"/>
    <cellStyle name="Comma 14 28 2 2 3" xfId="7481" xr:uid="{00000000-0005-0000-0000-000072390000}"/>
    <cellStyle name="Comma 14 28 2 2 3 2" xfId="15226" xr:uid="{00000000-0005-0000-0000-000073390000}"/>
    <cellStyle name="Comma 14 28 2 2 3 2 2" xfId="30818" xr:uid="{00000000-0005-0000-0000-000074390000}"/>
    <cellStyle name="Comma 14 28 2 2 3 2 3" xfId="46310" xr:uid="{00000000-0005-0000-0000-000075390000}"/>
    <cellStyle name="Comma 14 28 2 2 3 3" xfId="23078" xr:uid="{00000000-0005-0000-0000-000076390000}"/>
    <cellStyle name="Comma 14 28 2 2 3 4" xfId="38570" xr:uid="{00000000-0005-0000-0000-000077390000}"/>
    <cellStyle name="Comma 14 28 2 2 4" xfId="11356" xr:uid="{00000000-0005-0000-0000-000078390000}"/>
    <cellStyle name="Comma 14 28 2 2 4 2" xfId="26948" xr:uid="{00000000-0005-0000-0000-000079390000}"/>
    <cellStyle name="Comma 14 28 2 2 4 3" xfId="42440" xr:uid="{00000000-0005-0000-0000-00007A390000}"/>
    <cellStyle name="Comma 14 28 2 2 5" xfId="19208" xr:uid="{00000000-0005-0000-0000-00007B390000}"/>
    <cellStyle name="Comma 14 28 2 2 6" xfId="34700" xr:uid="{00000000-0005-0000-0000-00007C390000}"/>
    <cellStyle name="Comma 14 28 2 3" xfId="4589" xr:uid="{00000000-0005-0000-0000-00007D390000}"/>
    <cellStyle name="Comma 14 28 2 3 2" xfId="8460" xr:uid="{00000000-0005-0000-0000-00007E390000}"/>
    <cellStyle name="Comma 14 28 2 3 2 2" xfId="16205" xr:uid="{00000000-0005-0000-0000-00007F390000}"/>
    <cellStyle name="Comma 14 28 2 3 2 2 2" xfId="31797" xr:uid="{00000000-0005-0000-0000-000080390000}"/>
    <cellStyle name="Comma 14 28 2 3 2 2 3" xfId="47289" xr:uid="{00000000-0005-0000-0000-000081390000}"/>
    <cellStyle name="Comma 14 28 2 3 2 3" xfId="24057" xr:uid="{00000000-0005-0000-0000-000082390000}"/>
    <cellStyle name="Comma 14 28 2 3 2 4" xfId="39549" xr:uid="{00000000-0005-0000-0000-000083390000}"/>
    <cellStyle name="Comma 14 28 2 3 3" xfId="12335" xr:uid="{00000000-0005-0000-0000-000084390000}"/>
    <cellStyle name="Comma 14 28 2 3 3 2" xfId="27927" xr:uid="{00000000-0005-0000-0000-000085390000}"/>
    <cellStyle name="Comma 14 28 2 3 3 3" xfId="43419" xr:uid="{00000000-0005-0000-0000-000086390000}"/>
    <cellStyle name="Comma 14 28 2 3 4" xfId="20187" xr:uid="{00000000-0005-0000-0000-000087390000}"/>
    <cellStyle name="Comma 14 28 2 3 5" xfId="35679" xr:uid="{00000000-0005-0000-0000-000088390000}"/>
    <cellStyle name="Comma 14 28 2 4" xfId="6533" xr:uid="{00000000-0005-0000-0000-000089390000}"/>
    <cellStyle name="Comma 14 28 2 4 2" xfId="14278" xr:uid="{00000000-0005-0000-0000-00008A390000}"/>
    <cellStyle name="Comma 14 28 2 4 2 2" xfId="29870" xr:uid="{00000000-0005-0000-0000-00008B390000}"/>
    <cellStyle name="Comma 14 28 2 4 2 3" xfId="45362" xr:uid="{00000000-0005-0000-0000-00008C390000}"/>
    <cellStyle name="Comma 14 28 2 4 3" xfId="22130" xr:uid="{00000000-0005-0000-0000-00008D390000}"/>
    <cellStyle name="Comma 14 28 2 4 4" xfId="37622" xr:uid="{00000000-0005-0000-0000-00008E390000}"/>
    <cellStyle name="Comma 14 28 2 5" xfId="10408" xr:uid="{00000000-0005-0000-0000-00008F390000}"/>
    <cellStyle name="Comma 14 28 2 5 2" xfId="26000" xr:uid="{00000000-0005-0000-0000-000090390000}"/>
    <cellStyle name="Comma 14 28 2 5 3" xfId="41492" xr:uid="{00000000-0005-0000-0000-000091390000}"/>
    <cellStyle name="Comma 14 28 2 6" xfId="18260" xr:uid="{00000000-0005-0000-0000-000092390000}"/>
    <cellStyle name="Comma 14 28 2 7" xfId="33752" xr:uid="{00000000-0005-0000-0000-000093390000}"/>
    <cellStyle name="Comma 14 28 3" xfId="3289" xr:uid="{00000000-0005-0000-0000-000094390000}"/>
    <cellStyle name="Comma 14 28 3 2" xfId="5228" xr:uid="{00000000-0005-0000-0000-000095390000}"/>
    <cellStyle name="Comma 14 28 3 2 2" xfId="9099" xr:uid="{00000000-0005-0000-0000-000096390000}"/>
    <cellStyle name="Comma 14 28 3 2 2 2" xfId="16844" xr:uid="{00000000-0005-0000-0000-000097390000}"/>
    <cellStyle name="Comma 14 28 3 2 2 2 2" xfId="32436" xr:uid="{00000000-0005-0000-0000-000098390000}"/>
    <cellStyle name="Comma 14 28 3 2 2 2 3" xfId="47928" xr:uid="{00000000-0005-0000-0000-000099390000}"/>
    <cellStyle name="Comma 14 28 3 2 2 3" xfId="24696" xr:uid="{00000000-0005-0000-0000-00009A390000}"/>
    <cellStyle name="Comma 14 28 3 2 2 4" xfId="40188" xr:uid="{00000000-0005-0000-0000-00009B390000}"/>
    <cellStyle name="Comma 14 28 3 2 3" xfId="12974" xr:uid="{00000000-0005-0000-0000-00009C390000}"/>
    <cellStyle name="Comma 14 28 3 2 3 2" xfId="28566" xr:uid="{00000000-0005-0000-0000-00009D390000}"/>
    <cellStyle name="Comma 14 28 3 2 3 3" xfId="44058" xr:uid="{00000000-0005-0000-0000-00009E390000}"/>
    <cellStyle name="Comma 14 28 3 2 4" xfId="20826" xr:uid="{00000000-0005-0000-0000-00009F390000}"/>
    <cellStyle name="Comma 14 28 3 2 5" xfId="36318" xr:uid="{00000000-0005-0000-0000-0000A0390000}"/>
    <cellStyle name="Comma 14 28 3 3" xfId="7172" xr:uid="{00000000-0005-0000-0000-0000A1390000}"/>
    <cellStyle name="Comma 14 28 3 3 2" xfId="14917" xr:uid="{00000000-0005-0000-0000-0000A2390000}"/>
    <cellStyle name="Comma 14 28 3 3 2 2" xfId="30509" xr:uid="{00000000-0005-0000-0000-0000A3390000}"/>
    <cellStyle name="Comma 14 28 3 3 2 3" xfId="46001" xr:uid="{00000000-0005-0000-0000-0000A4390000}"/>
    <cellStyle name="Comma 14 28 3 3 3" xfId="22769" xr:uid="{00000000-0005-0000-0000-0000A5390000}"/>
    <cellStyle name="Comma 14 28 3 3 4" xfId="38261" xr:uid="{00000000-0005-0000-0000-0000A6390000}"/>
    <cellStyle name="Comma 14 28 3 4" xfId="11047" xr:uid="{00000000-0005-0000-0000-0000A7390000}"/>
    <cellStyle name="Comma 14 28 3 4 2" xfId="26639" xr:uid="{00000000-0005-0000-0000-0000A8390000}"/>
    <cellStyle name="Comma 14 28 3 4 3" xfId="42131" xr:uid="{00000000-0005-0000-0000-0000A9390000}"/>
    <cellStyle name="Comma 14 28 3 5" xfId="18899" xr:uid="{00000000-0005-0000-0000-0000AA390000}"/>
    <cellStyle name="Comma 14 28 3 6" xfId="34391" xr:uid="{00000000-0005-0000-0000-0000AB390000}"/>
    <cellStyle name="Comma 14 28 4" xfId="4280" xr:uid="{00000000-0005-0000-0000-0000AC390000}"/>
    <cellStyle name="Comma 14 28 4 2" xfId="8151" xr:uid="{00000000-0005-0000-0000-0000AD390000}"/>
    <cellStyle name="Comma 14 28 4 2 2" xfId="15896" xr:uid="{00000000-0005-0000-0000-0000AE390000}"/>
    <cellStyle name="Comma 14 28 4 2 2 2" xfId="31488" xr:uid="{00000000-0005-0000-0000-0000AF390000}"/>
    <cellStyle name="Comma 14 28 4 2 2 3" xfId="46980" xr:uid="{00000000-0005-0000-0000-0000B0390000}"/>
    <cellStyle name="Comma 14 28 4 2 3" xfId="23748" xr:uid="{00000000-0005-0000-0000-0000B1390000}"/>
    <cellStyle name="Comma 14 28 4 2 4" xfId="39240" xr:uid="{00000000-0005-0000-0000-0000B2390000}"/>
    <cellStyle name="Comma 14 28 4 3" xfId="12026" xr:uid="{00000000-0005-0000-0000-0000B3390000}"/>
    <cellStyle name="Comma 14 28 4 3 2" xfId="27618" xr:uid="{00000000-0005-0000-0000-0000B4390000}"/>
    <cellStyle name="Comma 14 28 4 3 3" xfId="43110" xr:uid="{00000000-0005-0000-0000-0000B5390000}"/>
    <cellStyle name="Comma 14 28 4 4" xfId="19878" xr:uid="{00000000-0005-0000-0000-0000B6390000}"/>
    <cellStyle name="Comma 14 28 4 5" xfId="35370" xr:uid="{00000000-0005-0000-0000-0000B7390000}"/>
    <cellStyle name="Comma 14 28 5" xfId="6224" xr:uid="{00000000-0005-0000-0000-0000B8390000}"/>
    <cellStyle name="Comma 14 28 5 2" xfId="13969" xr:uid="{00000000-0005-0000-0000-0000B9390000}"/>
    <cellStyle name="Comma 14 28 5 2 2" xfId="29561" xr:uid="{00000000-0005-0000-0000-0000BA390000}"/>
    <cellStyle name="Comma 14 28 5 2 3" xfId="45053" xr:uid="{00000000-0005-0000-0000-0000BB390000}"/>
    <cellStyle name="Comma 14 28 5 3" xfId="21821" xr:uid="{00000000-0005-0000-0000-0000BC390000}"/>
    <cellStyle name="Comma 14 28 5 4" xfId="37313" xr:uid="{00000000-0005-0000-0000-0000BD390000}"/>
    <cellStyle name="Comma 14 28 6" xfId="10099" xr:uid="{00000000-0005-0000-0000-0000BE390000}"/>
    <cellStyle name="Comma 14 28 6 2" xfId="25691" xr:uid="{00000000-0005-0000-0000-0000BF390000}"/>
    <cellStyle name="Comma 14 28 6 3" xfId="41183" xr:uid="{00000000-0005-0000-0000-0000C0390000}"/>
    <cellStyle name="Comma 14 28 7" xfId="17951" xr:uid="{00000000-0005-0000-0000-0000C1390000}"/>
    <cellStyle name="Comma 14 28 8" xfId="33443" xr:uid="{00000000-0005-0000-0000-0000C2390000}"/>
    <cellStyle name="Comma 14 29" xfId="2311" xr:uid="{00000000-0005-0000-0000-0000C3390000}"/>
    <cellStyle name="Comma 14 29 2" xfId="2626" xr:uid="{00000000-0005-0000-0000-0000C4390000}"/>
    <cellStyle name="Comma 14 29 2 2" xfId="3634" xr:uid="{00000000-0005-0000-0000-0000C5390000}"/>
    <cellStyle name="Comma 14 29 2 2 2" xfId="5573" xr:uid="{00000000-0005-0000-0000-0000C6390000}"/>
    <cellStyle name="Comma 14 29 2 2 2 2" xfId="9444" xr:uid="{00000000-0005-0000-0000-0000C7390000}"/>
    <cellStyle name="Comma 14 29 2 2 2 2 2" xfId="17189" xr:uid="{00000000-0005-0000-0000-0000C8390000}"/>
    <cellStyle name="Comma 14 29 2 2 2 2 2 2" xfId="32781" xr:uid="{00000000-0005-0000-0000-0000C9390000}"/>
    <cellStyle name="Comma 14 29 2 2 2 2 2 3" xfId="48273" xr:uid="{00000000-0005-0000-0000-0000CA390000}"/>
    <cellStyle name="Comma 14 29 2 2 2 2 3" xfId="25041" xr:uid="{00000000-0005-0000-0000-0000CB390000}"/>
    <cellStyle name="Comma 14 29 2 2 2 2 4" xfId="40533" xr:uid="{00000000-0005-0000-0000-0000CC390000}"/>
    <cellStyle name="Comma 14 29 2 2 2 3" xfId="13319" xr:uid="{00000000-0005-0000-0000-0000CD390000}"/>
    <cellStyle name="Comma 14 29 2 2 2 3 2" xfId="28911" xr:uid="{00000000-0005-0000-0000-0000CE390000}"/>
    <cellStyle name="Comma 14 29 2 2 2 3 3" xfId="44403" xr:uid="{00000000-0005-0000-0000-0000CF390000}"/>
    <cellStyle name="Comma 14 29 2 2 2 4" xfId="21171" xr:uid="{00000000-0005-0000-0000-0000D0390000}"/>
    <cellStyle name="Comma 14 29 2 2 2 5" xfId="36663" xr:uid="{00000000-0005-0000-0000-0000D1390000}"/>
    <cellStyle name="Comma 14 29 2 2 3" xfId="7517" xr:uid="{00000000-0005-0000-0000-0000D2390000}"/>
    <cellStyle name="Comma 14 29 2 2 3 2" xfId="15262" xr:uid="{00000000-0005-0000-0000-0000D3390000}"/>
    <cellStyle name="Comma 14 29 2 2 3 2 2" xfId="30854" xr:uid="{00000000-0005-0000-0000-0000D4390000}"/>
    <cellStyle name="Comma 14 29 2 2 3 2 3" xfId="46346" xr:uid="{00000000-0005-0000-0000-0000D5390000}"/>
    <cellStyle name="Comma 14 29 2 2 3 3" xfId="23114" xr:uid="{00000000-0005-0000-0000-0000D6390000}"/>
    <cellStyle name="Comma 14 29 2 2 3 4" xfId="38606" xr:uid="{00000000-0005-0000-0000-0000D7390000}"/>
    <cellStyle name="Comma 14 29 2 2 4" xfId="11392" xr:uid="{00000000-0005-0000-0000-0000D8390000}"/>
    <cellStyle name="Comma 14 29 2 2 4 2" xfId="26984" xr:uid="{00000000-0005-0000-0000-0000D9390000}"/>
    <cellStyle name="Comma 14 29 2 2 4 3" xfId="42476" xr:uid="{00000000-0005-0000-0000-0000DA390000}"/>
    <cellStyle name="Comma 14 29 2 2 5" xfId="19244" xr:uid="{00000000-0005-0000-0000-0000DB390000}"/>
    <cellStyle name="Comma 14 29 2 2 6" xfId="34736" xr:uid="{00000000-0005-0000-0000-0000DC390000}"/>
    <cellStyle name="Comma 14 29 2 3" xfId="4625" xr:uid="{00000000-0005-0000-0000-0000DD390000}"/>
    <cellStyle name="Comma 14 29 2 3 2" xfId="8496" xr:uid="{00000000-0005-0000-0000-0000DE390000}"/>
    <cellStyle name="Comma 14 29 2 3 2 2" xfId="16241" xr:uid="{00000000-0005-0000-0000-0000DF390000}"/>
    <cellStyle name="Comma 14 29 2 3 2 2 2" xfId="31833" xr:uid="{00000000-0005-0000-0000-0000E0390000}"/>
    <cellStyle name="Comma 14 29 2 3 2 2 3" xfId="47325" xr:uid="{00000000-0005-0000-0000-0000E1390000}"/>
    <cellStyle name="Comma 14 29 2 3 2 3" xfId="24093" xr:uid="{00000000-0005-0000-0000-0000E2390000}"/>
    <cellStyle name="Comma 14 29 2 3 2 4" xfId="39585" xr:uid="{00000000-0005-0000-0000-0000E3390000}"/>
    <cellStyle name="Comma 14 29 2 3 3" xfId="12371" xr:uid="{00000000-0005-0000-0000-0000E4390000}"/>
    <cellStyle name="Comma 14 29 2 3 3 2" xfId="27963" xr:uid="{00000000-0005-0000-0000-0000E5390000}"/>
    <cellStyle name="Comma 14 29 2 3 3 3" xfId="43455" xr:uid="{00000000-0005-0000-0000-0000E6390000}"/>
    <cellStyle name="Comma 14 29 2 3 4" xfId="20223" xr:uid="{00000000-0005-0000-0000-0000E7390000}"/>
    <cellStyle name="Comma 14 29 2 3 5" xfId="35715" xr:uid="{00000000-0005-0000-0000-0000E8390000}"/>
    <cellStyle name="Comma 14 29 2 4" xfId="6569" xr:uid="{00000000-0005-0000-0000-0000E9390000}"/>
    <cellStyle name="Comma 14 29 2 4 2" xfId="14314" xr:uid="{00000000-0005-0000-0000-0000EA390000}"/>
    <cellStyle name="Comma 14 29 2 4 2 2" xfId="29906" xr:uid="{00000000-0005-0000-0000-0000EB390000}"/>
    <cellStyle name="Comma 14 29 2 4 2 3" xfId="45398" xr:uid="{00000000-0005-0000-0000-0000EC390000}"/>
    <cellStyle name="Comma 14 29 2 4 3" xfId="22166" xr:uid="{00000000-0005-0000-0000-0000ED390000}"/>
    <cellStyle name="Comma 14 29 2 4 4" xfId="37658" xr:uid="{00000000-0005-0000-0000-0000EE390000}"/>
    <cellStyle name="Comma 14 29 2 5" xfId="10444" xr:uid="{00000000-0005-0000-0000-0000EF390000}"/>
    <cellStyle name="Comma 14 29 2 5 2" xfId="26036" xr:uid="{00000000-0005-0000-0000-0000F0390000}"/>
    <cellStyle name="Comma 14 29 2 5 3" xfId="41528" xr:uid="{00000000-0005-0000-0000-0000F1390000}"/>
    <cellStyle name="Comma 14 29 2 6" xfId="18296" xr:uid="{00000000-0005-0000-0000-0000F2390000}"/>
    <cellStyle name="Comma 14 29 2 7" xfId="33788" xr:uid="{00000000-0005-0000-0000-0000F3390000}"/>
    <cellStyle name="Comma 14 29 3" xfId="3325" xr:uid="{00000000-0005-0000-0000-0000F4390000}"/>
    <cellStyle name="Comma 14 29 3 2" xfId="5264" xr:uid="{00000000-0005-0000-0000-0000F5390000}"/>
    <cellStyle name="Comma 14 29 3 2 2" xfId="9135" xr:uid="{00000000-0005-0000-0000-0000F6390000}"/>
    <cellStyle name="Comma 14 29 3 2 2 2" xfId="16880" xr:uid="{00000000-0005-0000-0000-0000F7390000}"/>
    <cellStyle name="Comma 14 29 3 2 2 2 2" xfId="32472" xr:uid="{00000000-0005-0000-0000-0000F8390000}"/>
    <cellStyle name="Comma 14 29 3 2 2 2 3" xfId="47964" xr:uid="{00000000-0005-0000-0000-0000F9390000}"/>
    <cellStyle name="Comma 14 29 3 2 2 3" xfId="24732" xr:uid="{00000000-0005-0000-0000-0000FA390000}"/>
    <cellStyle name="Comma 14 29 3 2 2 4" xfId="40224" xr:uid="{00000000-0005-0000-0000-0000FB390000}"/>
    <cellStyle name="Comma 14 29 3 2 3" xfId="13010" xr:uid="{00000000-0005-0000-0000-0000FC390000}"/>
    <cellStyle name="Comma 14 29 3 2 3 2" xfId="28602" xr:uid="{00000000-0005-0000-0000-0000FD390000}"/>
    <cellStyle name="Comma 14 29 3 2 3 3" xfId="44094" xr:uid="{00000000-0005-0000-0000-0000FE390000}"/>
    <cellStyle name="Comma 14 29 3 2 4" xfId="20862" xr:uid="{00000000-0005-0000-0000-0000FF390000}"/>
    <cellStyle name="Comma 14 29 3 2 5" xfId="36354" xr:uid="{00000000-0005-0000-0000-0000003A0000}"/>
    <cellStyle name="Comma 14 29 3 3" xfId="7208" xr:uid="{00000000-0005-0000-0000-0000013A0000}"/>
    <cellStyle name="Comma 14 29 3 3 2" xfId="14953" xr:uid="{00000000-0005-0000-0000-0000023A0000}"/>
    <cellStyle name="Comma 14 29 3 3 2 2" xfId="30545" xr:uid="{00000000-0005-0000-0000-0000033A0000}"/>
    <cellStyle name="Comma 14 29 3 3 2 3" xfId="46037" xr:uid="{00000000-0005-0000-0000-0000043A0000}"/>
    <cellStyle name="Comma 14 29 3 3 3" xfId="22805" xr:uid="{00000000-0005-0000-0000-0000053A0000}"/>
    <cellStyle name="Comma 14 29 3 3 4" xfId="38297" xr:uid="{00000000-0005-0000-0000-0000063A0000}"/>
    <cellStyle name="Comma 14 29 3 4" xfId="11083" xr:uid="{00000000-0005-0000-0000-0000073A0000}"/>
    <cellStyle name="Comma 14 29 3 4 2" xfId="26675" xr:uid="{00000000-0005-0000-0000-0000083A0000}"/>
    <cellStyle name="Comma 14 29 3 4 3" xfId="42167" xr:uid="{00000000-0005-0000-0000-0000093A0000}"/>
    <cellStyle name="Comma 14 29 3 5" xfId="18935" xr:uid="{00000000-0005-0000-0000-00000A3A0000}"/>
    <cellStyle name="Comma 14 29 3 6" xfId="34427" xr:uid="{00000000-0005-0000-0000-00000B3A0000}"/>
    <cellStyle name="Comma 14 29 4" xfId="4316" xr:uid="{00000000-0005-0000-0000-00000C3A0000}"/>
    <cellStyle name="Comma 14 29 4 2" xfId="8187" xr:uid="{00000000-0005-0000-0000-00000D3A0000}"/>
    <cellStyle name="Comma 14 29 4 2 2" xfId="15932" xr:uid="{00000000-0005-0000-0000-00000E3A0000}"/>
    <cellStyle name="Comma 14 29 4 2 2 2" xfId="31524" xr:uid="{00000000-0005-0000-0000-00000F3A0000}"/>
    <cellStyle name="Comma 14 29 4 2 2 3" xfId="47016" xr:uid="{00000000-0005-0000-0000-0000103A0000}"/>
    <cellStyle name="Comma 14 29 4 2 3" xfId="23784" xr:uid="{00000000-0005-0000-0000-0000113A0000}"/>
    <cellStyle name="Comma 14 29 4 2 4" xfId="39276" xr:uid="{00000000-0005-0000-0000-0000123A0000}"/>
    <cellStyle name="Comma 14 29 4 3" xfId="12062" xr:uid="{00000000-0005-0000-0000-0000133A0000}"/>
    <cellStyle name="Comma 14 29 4 3 2" xfId="27654" xr:uid="{00000000-0005-0000-0000-0000143A0000}"/>
    <cellStyle name="Comma 14 29 4 3 3" xfId="43146" xr:uid="{00000000-0005-0000-0000-0000153A0000}"/>
    <cellStyle name="Comma 14 29 4 4" xfId="19914" xr:uid="{00000000-0005-0000-0000-0000163A0000}"/>
    <cellStyle name="Comma 14 29 4 5" xfId="35406" xr:uid="{00000000-0005-0000-0000-0000173A0000}"/>
    <cellStyle name="Comma 14 29 5" xfId="6260" xr:uid="{00000000-0005-0000-0000-0000183A0000}"/>
    <cellStyle name="Comma 14 29 5 2" xfId="14005" xr:uid="{00000000-0005-0000-0000-0000193A0000}"/>
    <cellStyle name="Comma 14 29 5 2 2" xfId="29597" xr:uid="{00000000-0005-0000-0000-00001A3A0000}"/>
    <cellStyle name="Comma 14 29 5 2 3" xfId="45089" xr:uid="{00000000-0005-0000-0000-00001B3A0000}"/>
    <cellStyle name="Comma 14 29 5 3" xfId="21857" xr:uid="{00000000-0005-0000-0000-00001C3A0000}"/>
    <cellStyle name="Comma 14 29 5 4" xfId="37349" xr:uid="{00000000-0005-0000-0000-00001D3A0000}"/>
    <cellStyle name="Comma 14 29 6" xfId="10135" xr:uid="{00000000-0005-0000-0000-00001E3A0000}"/>
    <cellStyle name="Comma 14 29 6 2" xfId="25727" xr:uid="{00000000-0005-0000-0000-00001F3A0000}"/>
    <cellStyle name="Comma 14 29 6 3" xfId="41219" xr:uid="{00000000-0005-0000-0000-0000203A0000}"/>
    <cellStyle name="Comma 14 29 7" xfId="17987" xr:uid="{00000000-0005-0000-0000-0000213A0000}"/>
    <cellStyle name="Comma 14 29 8" xfId="33479" xr:uid="{00000000-0005-0000-0000-0000223A0000}"/>
    <cellStyle name="Comma 14 3" xfId="884" xr:uid="{00000000-0005-0000-0000-0000233A0000}"/>
    <cellStyle name="Comma 14 30" xfId="2349" xr:uid="{00000000-0005-0000-0000-0000243A0000}"/>
    <cellStyle name="Comma 14 30 2" xfId="2662" xr:uid="{00000000-0005-0000-0000-0000253A0000}"/>
    <cellStyle name="Comma 14 30 2 2" xfId="3670" xr:uid="{00000000-0005-0000-0000-0000263A0000}"/>
    <cellStyle name="Comma 14 30 2 2 2" xfId="5609" xr:uid="{00000000-0005-0000-0000-0000273A0000}"/>
    <cellStyle name="Comma 14 30 2 2 2 2" xfId="9480" xr:uid="{00000000-0005-0000-0000-0000283A0000}"/>
    <cellStyle name="Comma 14 30 2 2 2 2 2" xfId="17225" xr:uid="{00000000-0005-0000-0000-0000293A0000}"/>
    <cellStyle name="Comma 14 30 2 2 2 2 2 2" xfId="32817" xr:uid="{00000000-0005-0000-0000-00002A3A0000}"/>
    <cellStyle name="Comma 14 30 2 2 2 2 2 3" xfId="48309" xr:uid="{00000000-0005-0000-0000-00002B3A0000}"/>
    <cellStyle name="Comma 14 30 2 2 2 2 3" xfId="25077" xr:uid="{00000000-0005-0000-0000-00002C3A0000}"/>
    <cellStyle name="Comma 14 30 2 2 2 2 4" xfId="40569" xr:uid="{00000000-0005-0000-0000-00002D3A0000}"/>
    <cellStyle name="Comma 14 30 2 2 2 3" xfId="13355" xr:uid="{00000000-0005-0000-0000-00002E3A0000}"/>
    <cellStyle name="Comma 14 30 2 2 2 3 2" xfId="28947" xr:uid="{00000000-0005-0000-0000-00002F3A0000}"/>
    <cellStyle name="Comma 14 30 2 2 2 3 3" xfId="44439" xr:uid="{00000000-0005-0000-0000-0000303A0000}"/>
    <cellStyle name="Comma 14 30 2 2 2 4" xfId="21207" xr:uid="{00000000-0005-0000-0000-0000313A0000}"/>
    <cellStyle name="Comma 14 30 2 2 2 5" xfId="36699" xr:uid="{00000000-0005-0000-0000-0000323A0000}"/>
    <cellStyle name="Comma 14 30 2 2 3" xfId="7553" xr:uid="{00000000-0005-0000-0000-0000333A0000}"/>
    <cellStyle name="Comma 14 30 2 2 3 2" xfId="15298" xr:uid="{00000000-0005-0000-0000-0000343A0000}"/>
    <cellStyle name="Comma 14 30 2 2 3 2 2" xfId="30890" xr:uid="{00000000-0005-0000-0000-0000353A0000}"/>
    <cellStyle name="Comma 14 30 2 2 3 2 3" xfId="46382" xr:uid="{00000000-0005-0000-0000-0000363A0000}"/>
    <cellStyle name="Comma 14 30 2 2 3 3" xfId="23150" xr:uid="{00000000-0005-0000-0000-0000373A0000}"/>
    <cellStyle name="Comma 14 30 2 2 3 4" xfId="38642" xr:uid="{00000000-0005-0000-0000-0000383A0000}"/>
    <cellStyle name="Comma 14 30 2 2 4" xfId="11428" xr:uid="{00000000-0005-0000-0000-0000393A0000}"/>
    <cellStyle name="Comma 14 30 2 2 4 2" xfId="27020" xr:uid="{00000000-0005-0000-0000-00003A3A0000}"/>
    <cellStyle name="Comma 14 30 2 2 4 3" xfId="42512" xr:uid="{00000000-0005-0000-0000-00003B3A0000}"/>
    <cellStyle name="Comma 14 30 2 2 5" xfId="19280" xr:uid="{00000000-0005-0000-0000-00003C3A0000}"/>
    <cellStyle name="Comma 14 30 2 2 6" xfId="34772" xr:uid="{00000000-0005-0000-0000-00003D3A0000}"/>
    <cellStyle name="Comma 14 30 2 3" xfId="4661" xr:uid="{00000000-0005-0000-0000-00003E3A0000}"/>
    <cellStyle name="Comma 14 30 2 3 2" xfId="8532" xr:uid="{00000000-0005-0000-0000-00003F3A0000}"/>
    <cellStyle name="Comma 14 30 2 3 2 2" xfId="16277" xr:uid="{00000000-0005-0000-0000-0000403A0000}"/>
    <cellStyle name="Comma 14 30 2 3 2 2 2" xfId="31869" xr:uid="{00000000-0005-0000-0000-0000413A0000}"/>
    <cellStyle name="Comma 14 30 2 3 2 2 3" xfId="47361" xr:uid="{00000000-0005-0000-0000-0000423A0000}"/>
    <cellStyle name="Comma 14 30 2 3 2 3" xfId="24129" xr:uid="{00000000-0005-0000-0000-0000433A0000}"/>
    <cellStyle name="Comma 14 30 2 3 2 4" xfId="39621" xr:uid="{00000000-0005-0000-0000-0000443A0000}"/>
    <cellStyle name="Comma 14 30 2 3 3" xfId="12407" xr:uid="{00000000-0005-0000-0000-0000453A0000}"/>
    <cellStyle name="Comma 14 30 2 3 3 2" xfId="27999" xr:uid="{00000000-0005-0000-0000-0000463A0000}"/>
    <cellStyle name="Comma 14 30 2 3 3 3" xfId="43491" xr:uid="{00000000-0005-0000-0000-0000473A0000}"/>
    <cellStyle name="Comma 14 30 2 3 4" xfId="20259" xr:uid="{00000000-0005-0000-0000-0000483A0000}"/>
    <cellStyle name="Comma 14 30 2 3 5" xfId="35751" xr:uid="{00000000-0005-0000-0000-0000493A0000}"/>
    <cellStyle name="Comma 14 30 2 4" xfId="6605" xr:uid="{00000000-0005-0000-0000-00004A3A0000}"/>
    <cellStyle name="Comma 14 30 2 4 2" xfId="14350" xr:uid="{00000000-0005-0000-0000-00004B3A0000}"/>
    <cellStyle name="Comma 14 30 2 4 2 2" xfId="29942" xr:uid="{00000000-0005-0000-0000-00004C3A0000}"/>
    <cellStyle name="Comma 14 30 2 4 2 3" xfId="45434" xr:uid="{00000000-0005-0000-0000-00004D3A0000}"/>
    <cellStyle name="Comma 14 30 2 4 3" xfId="22202" xr:uid="{00000000-0005-0000-0000-00004E3A0000}"/>
    <cellStyle name="Comma 14 30 2 4 4" xfId="37694" xr:uid="{00000000-0005-0000-0000-00004F3A0000}"/>
    <cellStyle name="Comma 14 30 2 5" xfId="10480" xr:uid="{00000000-0005-0000-0000-0000503A0000}"/>
    <cellStyle name="Comma 14 30 2 5 2" xfId="26072" xr:uid="{00000000-0005-0000-0000-0000513A0000}"/>
    <cellStyle name="Comma 14 30 2 5 3" xfId="41564" xr:uid="{00000000-0005-0000-0000-0000523A0000}"/>
    <cellStyle name="Comma 14 30 2 6" xfId="18332" xr:uid="{00000000-0005-0000-0000-0000533A0000}"/>
    <cellStyle name="Comma 14 30 2 7" xfId="33824" xr:uid="{00000000-0005-0000-0000-0000543A0000}"/>
    <cellStyle name="Comma 14 30 3" xfId="3361" xr:uid="{00000000-0005-0000-0000-0000553A0000}"/>
    <cellStyle name="Comma 14 30 3 2" xfId="5300" xr:uid="{00000000-0005-0000-0000-0000563A0000}"/>
    <cellStyle name="Comma 14 30 3 2 2" xfId="9171" xr:uid="{00000000-0005-0000-0000-0000573A0000}"/>
    <cellStyle name="Comma 14 30 3 2 2 2" xfId="16916" xr:uid="{00000000-0005-0000-0000-0000583A0000}"/>
    <cellStyle name="Comma 14 30 3 2 2 2 2" xfId="32508" xr:uid="{00000000-0005-0000-0000-0000593A0000}"/>
    <cellStyle name="Comma 14 30 3 2 2 2 3" xfId="48000" xr:uid="{00000000-0005-0000-0000-00005A3A0000}"/>
    <cellStyle name="Comma 14 30 3 2 2 3" xfId="24768" xr:uid="{00000000-0005-0000-0000-00005B3A0000}"/>
    <cellStyle name="Comma 14 30 3 2 2 4" xfId="40260" xr:uid="{00000000-0005-0000-0000-00005C3A0000}"/>
    <cellStyle name="Comma 14 30 3 2 3" xfId="13046" xr:uid="{00000000-0005-0000-0000-00005D3A0000}"/>
    <cellStyle name="Comma 14 30 3 2 3 2" xfId="28638" xr:uid="{00000000-0005-0000-0000-00005E3A0000}"/>
    <cellStyle name="Comma 14 30 3 2 3 3" xfId="44130" xr:uid="{00000000-0005-0000-0000-00005F3A0000}"/>
    <cellStyle name="Comma 14 30 3 2 4" xfId="20898" xr:uid="{00000000-0005-0000-0000-0000603A0000}"/>
    <cellStyle name="Comma 14 30 3 2 5" xfId="36390" xr:uid="{00000000-0005-0000-0000-0000613A0000}"/>
    <cellStyle name="Comma 14 30 3 3" xfId="7244" xr:uid="{00000000-0005-0000-0000-0000623A0000}"/>
    <cellStyle name="Comma 14 30 3 3 2" xfId="14989" xr:uid="{00000000-0005-0000-0000-0000633A0000}"/>
    <cellStyle name="Comma 14 30 3 3 2 2" xfId="30581" xr:uid="{00000000-0005-0000-0000-0000643A0000}"/>
    <cellStyle name="Comma 14 30 3 3 2 3" xfId="46073" xr:uid="{00000000-0005-0000-0000-0000653A0000}"/>
    <cellStyle name="Comma 14 30 3 3 3" xfId="22841" xr:uid="{00000000-0005-0000-0000-0000663A0000}"/>
    <cellStyle name="Comma 14 30 3 3 4" xfId="38333" xr:uid="{00000000-0005-0000-0000-0000673A0000}"/>
    <cellStyle name="Comma 14 30 3 4" xfId="11119" xr:uid="{00000000-0005-0000-0000-0000683A0000}"/>
    <cellStyle name="Comma 14 30 3 4 2" xfId="26711" xr:uid="{00000000-0005-0000-0000-0000693A0000}"/>
    <cellStyle name="Comma 14 30 3 4 3" xfId="42203" xr:uid="{00000000-0005-0000-0000-00006A3A0000}"/>
    <cellStyle name="Comma 14 30 3 5" xfId="18971" xr:uid="{00000000-0005-0000-0000-00006B3A0000}"/>
    <cellStyle name="Comma 14 30 3 6" xfId="34463" xr:uid="{00000000-0005-0000-0000-00006C3A0000}"/>
    <cellStyle name="Comma 14 30 4" xfId="4352" xr:uid="{00000000-0005-0000-0000-00006D3A0000}"/>
    <cellStyle name="Comma 14 30 4 2" xfId="8223" xr:uid="{00000000-0005-0000-0000-00006E3A0000}"/>
    <cellStyle name="Comma 14 30 4 2 2" xfId="15968" xr:uid="{00000000-0005-0000-0000-00006F3A0000}"/>
    <cellStyle name="Comma 14 30 4 2 2 2" xfId="31560" xr:uid="{00000000-0005-0000-0000-0000703A0000}"/>
    <cellStyle name="Comma 14 30 4 2 2 3" xfId="47052" xr:uid="{00000000-0005-0000-0000-0000713A0000}"/>
    <cellStyle name="Comma 14 30 4 2 3" xfId="23820" xr:uid="{00000000-0005-0000-0000-0000723A0000}"/>
    <cellStyle name="Comma 14 30 4 2 4" xfId="39312" xr:uid="{00000000-0005-0000-0000-0000733A0000}"/>
    <cellStyle name="Comma 14 30 4 3" xfId="12098" xr:uid="{00000000-0005-0000-0000-0000743A0000}"/>
    <cellStyle name="Comma 14 30 4 3 2" xfId="27690" xr:uid="{00000000-0005-0000-0000-0000753A0000}"/>
    <cellStyle name="Comma 14 30 4 3 3" xfId="43182" xr:uid="{00000000-0005-0000-0000-0000763A0000}"/>
    <cellStyle name="Comma 14 30 4 4" xfId="19950" xr:uid="{00000000-0005-0000-0000-0000773A0000}"/>
    <cellStyle name="Comma 14 30 4 5" xfId="35442" xr:uid="{00000000-0005-0000-0000-0000783A0000}"/>
    <cellStyle name="Comma 14 30 5" xfId="6296" xr:uid="{00000000-0005-0000-0000-0000793A0000}"/>
    <cellStyle name="Comma 14 30 5 2" xfId="14041" xr:uid="{00000000-0005-0000-0000-00007A3A0000}"/>
    <cellStyle name="Comma 14 30 5 2 2" xfId="29633" xr:uid="{00000000-0005-0000-0000-00007B3A0000}"/>
    <cellStyle name="Comma 14 30 5 2 3" xfId="45125" xr:uid="{00000000-0005-0000-0000-00007C3A0000}"/>
    <cellStyle name="Comma 14 30 5 3" xfId="21893" xr:uid="{00000000-0005-0000-0000-00007D3A0000}"/>
    <cellStyle name="Comma 14 30 5 4" xfId="37385" xr:uid="{00000000-0005-0000-0000-00007E3A0000}"/>
    <cellStyle name="Comma 14 30 6" xfId="10171" xr:uid="{00000000-0005-0000-0000-00007F3A0000}"/>
    <cellStyle name="Comma 14 30 6 2" xfId="25763" xr:uid="{00000000-0005-0000-0000-0000803A0000}"/>
    <cellStyle name="Comma 14 30 6 3" xfId="41255" xr:uid="{00000000-0005-0000-0000-0000813A0000}"/>
    <cellStyle name="Comma 14 30 7" xfId="18023" xr:uid="{00000000-0005-0000-0000-0000823A0000}"/>
    <cellStyle name="Comma 14 30 8" xfId="33515" xr:uid="{00000000-0005-0000-0000-0000833A0000}"/>
    <cellStyle name="Comma 14 31" xfId="2386" xr:uid="{00000000-0005-0000-0000-0000843A0000}"/>
    <cellStyle name="Comma 14 31 2" xfId="2698" xr:uid="{00000000-0005-0000-0000-0000853A0000}"/>
    <cellStyle name="Comma 14 31 2 2" xfId="3706" xr:uid="{00000000-0005-0000-0000-0000863A0000}"/>
    <cellStyle name="Comma 14 31 2 2 2" xfId="5645" xr:uid="{00000000-0005-0000-0000-0000873A0000}"/>
    <cellStyle name="Comma 14 31 2 2 2 2" xfId="9516" xr:uid="{00000000-0005-0000-0000-0000883A0000}"/>
    <cellStyle name="Comma 14 31 2 2 2 2 2" xfId="17261" xr:uid="{00000000-0005-0000-0000-0000893A0000}"/>
    <cellStyle name="Comma 14 31 2 2 2 2 2 2" xfId="32853" xr:uid="{00000000-0005-0000-0000-00008A3A0000}"/>
    <cellStyle name="Comma 14 31 2 2 2 2 2 3" xfId="48345" xr:uid="{00000000-0005-0000-0000-00008B3A0000}"/>
    <cellStyle name="Comma 14 31 2 2 2 2 3" xfId="25113" xr:uid="{00000000-0005-0000-0000-00008C3A0000}"/>
    <cellStyle name="Comma 14 31 2 2 2 2 4" xfId="40605" xr:uid="{00000000-0005-0000-0000-00008D3A0000}"/>
    <cellStyle name="Comma 14 31 2 2 2 3" xfId="13391" xr:uid="{00000000-0005-0000-0000-00008E3A0000}"/>
    <cellStyle name="Comma 14 31 2 2 2 3 2" xfId="28983" xr:uid="{00000000-0005-0000-0000-00008F3A0000}"/>
    <cellStyle name="Comma 14 31 2 2 2 3 3" xfId="44475" xr:uid="{00000000-0005-0000-0000-0000903A0000}"/>
    <cellStyle name="Comma 14 31 2 2 2 4" xfId="21243" xr:uid="{00000000-0005-0000-0000-0000913A0000}"/>
    <cellStyle name="Comma 14 31 2 2 2 5" xfId="36735" xr:uid="{00000000-0005-0000-0000-0000923A0000}"/>
    <cellStyle name="Comma 14 31 2 2 3" xfId="7589" xr:uid="{00000000-0005-0000-0000-0000933A0000}"/>
    <cellStyle name="Comma 14 31 2 2 3 2" xfId="15334" xr:uid="{00000000-0005-0000-0000-0000943A0000}"/>
    <cellStyle name="Comma 14 31 2 2 3 2 2" xfId="30926" xr:uid="{00000000-0005-0000-0000-0000953A0000}"/>
    <cellStyle name="Comma 14 31 2 2 3 2 3" xfId="46418" xr:uid="{00000000-0005-0000-0000-0000963A0000}"/>
    <cellStyle name="Comma 14 31 2 2 3 3" xfId="23186" xr:uid="{00000000-0005-0000-0000-0000973A0000}"/>
    <cellStyle name="Comma 14 31 2 2 3 4" xfId="38678" xr:uid="{00000000-0005-0000-0000-0000983A0000}"/>
    <cellStyle name="Comma 14 31 2 2 4" xfId="11464" xr:uid="{00000000-0005-0000-0000-0000993A0000}"/>
    <cellStyle name="Comma 14 31 2 2 4 2" xfId="27056" xr:uid="{00000000-0005-0000-0000-00009A3A0000}"/>
    <cellStyle name="Comma 14 31 2 2 4 3" xfId="42548" xr:uid="{00000000-0005-0000-0000-00009B3A0000}"/>
    <cellStyle name="Comma 14 31 2 2 5" xfId="19316" xr:uid="{00000000-0005-0000-0000-00009C3A0000}"/>
    <cellStyle name="Comma 14 31 2 2 6" xfId="34808" xr:uid="{00000000-0005-0000-0000-00009D3A0000}"/>
    <cellStyle name="Comma 14 31 2 3" xfId="4697" xr:uid="{00000000-0005-0000-0000-00009E3A0000}"/>
    <cellStyle name="Comma 14 31 2 3 2" xfId="8568" xr:uid="{00000000-0005-0000-0000-00009F3A0000}"/>
    <cellStyle name="Comma 14 31 2 3 2 2" xfId="16313" xr:uid="{00000000-0005-0000-0000-0000A03A0000}"/>
    <cellStyle name="Comma 14 31 2 3 2 2 2" xfId="31905" xr:uid="{00000000-0005-0000-0000-0000A13A0000}"/>
    <cellStyle name="Comma 14 31 2 3 2 2 3" xfId="47397" xr:uid="{00000000-0005-0000-0000-0000A23A0000}"/>
    <cellStyle name="Comma 14 31 2 3 2 3" xfId="24165" xr:uid="{00000000-0005-0000-0000-0000A33A0000}"/>
    <cellStyle name="Comma 14 31 2 3 2 4" xfId="39657" xr:uid="{00000000-0005-0000-0000-0000A43A0000}"/>
    <cellStyle name="Comma 14 31 2 3 3" xfId="12443" xr:uid="{00000000-0005-0000-0000-0000A53A0000}"/>
    <cellStyle name="Comma 14 31 2 3 3 2" xfId="28035" xr:uid="{00000000-0005-0000-0000-0000A63A0000}"/>
    <cellStyle name="Comma 14 31 2 3 3 3" xfId="43527" xr:uid="{00000000-0005-0000-0000-0000A73A0000}"/>
    <cellStyle name="Comma 14 31 2 3 4" xfId="20295" xr:uid="{00000000-0005-0000-0000-0000A83A0000}"/>
    <cellStyle name="Comma 14 31 2 3 5" xfId="35787" xr:uid="{00000000-0005-0000-0000-0000A93A0000}"/>
    <cellStyle name="Comma 14 31 2 4" xfId="6641" xr:uid="{00000000-0005-0000-0000-0000AA3A0000}"/>
    <cellStyle name="Comma 14 31 2 4 2" xfId="14386" xr:uid="{00000000-0005-0000-0000-0000AB3A0000}"/>
    <cellStyle name="Comma 14 31 2 4 2 2" xfId="29978" xr:uid="{00000000-0005-0000-0000-0000AC3A0000}"/>
    <cellStyle name="Comma 14 31 2 4 2 3" xfId="45470" xr:uid="{00000000-0005-0000-0000-0000AD3A0000}"/>
    <cellStyle name="Comma 14 31 2 4 3" xfId="22238" xr:uid="{00000000-0005-0000-0000-0000AE3A0000}"/>
    <cellStyle name="Comma 14 31 2 4 4" xfId="37730" xr:uid="{00000000-0005-0000-0000-0000AF3A0000}"/>
    <cellStyle name="Comma 14 31 2 5" xfId="10516" xr:uid="{00000000-0005-0000-0000-0000B03A0000}"/>
    <cellStyle name="Comma 14 31 2 5 2" xfId="26108" xr:uid="{00000000-0005-0000-0000-0000B13A0000}"/>
    <cellStyle name="Comma 14 31 2 5 3" xfId="41600" xr:uid="{00000000-0005-0000-0000-0000B23A0000}"/>
    <cellStyle name="Comma 14 31 2 6" xfId="18368" xr:uid="{00000000-0005-0000-0000-0000B33A0000}"/>
    <cellStyle name="Comma 14 31 2 7" xfId="33860" xr:uid="{00000000-0005-0000-0000-0000B43A0000}"/>
    <cellStyle name="Comma 14 31 3" xfId="3397" xr:uid="{00000000-0005-0000-0000-0000B53A0000}"/>
    <cellStyle name="Comma 14 31 3 2" xfId="5336" xr:uid="{00000000-0005-0000-0000-0000B63A0000}"/>
    <cellStyle name="Comma 14 31 3 2 2" xfId="9207" xr:uid="{00000000-0005-0000-0000-0000B73A0000}"/>
    <cellStyle name="Comma 14 31 3 2 2 2" xfId="16952" xr:uid="{00000000-0005-0000-0000-0000B83A0000}"/>
    <cellStyle name="Comma 14 31 3 2 2 2 2" xfId="32544" xr:uid="{00000000-0005-0000-0000-0000B93A0000}"/>
    <cellStyle name="Comma 14 31 3 2 2 2 3" xfId="48036" xr:uid="{00000000-0005-0000-0000-0000BA3A0000}"/>
    <cellStyle name="Comma 14 31 3 2 2 3" xfId="24804" xr:uid="{00000000-0005-0000-0000-0000BB3A0000}"/>
    <cellStyle name="Comma 14 31 3 2 2 4" xfId="40296" xr:uid="{00000000-0005-0000-0000-0000BC3A0000}"/>
    <cellStyle name="Comma 14 31 3 2 3" xfId="13082" xr:uid="{00000000-0005-0000-0000-0000BD3A0000}"/>
    <cellStyle name="Comma 14 31 3 2 3 2" xfId="28674" xr:uid="{00000000-0005-0000-0000-0000BE3A0000}"/>
    <cellStyle name="Comma 14 31 3 2 3 3" xfId="44166" xr:uid="{00000000-0005-0000-0000-0000BF3A0000}"/>
    <cellStyle name="Comma 14 31 3 2 4" xfId="20934" xr:uid="{00000000-0005-0000-0000-0000C03A0000}"/>
    <cellStyle name="Comma 14 31 3 2 5" xfId="36426" xr:uid="{00000000-0005-0000-0000-0000C13A0000}"/>
    <cellStyle name="Comma 14 31 3 3" xfId="7280" xr:uid="{00000000-0005-0000-0000-0000C23A0000}"/>
    <cellStyle name="Comma 14 31 3 3 2" xfId="15025" xr:uid="{00000000-0005-0000-0000-0000C33A0000}"/>
    <cellStyle name="Comma 14 31 3 3 2 2" xfId="30617" xr:uid="{00000000-0005-0000-0000-0000C43A0000}"/>
    <cellStyle name="Comma 14 31 3 3 2 3" xfId="46109" xr:uid="{00000000-0005-0000-0000-0000C53A0000}"/>
    <cellStyle name="Comma 14 31 3 3 3" xfId="22877" xr:uid="{00000000-0005-0000-0000-0000C63A0000}"/>
    <cellStyle name="Comma 14 31 3 3 4" xfId="38369" xr:uid="{00000000-0005-0000-0000-0000C73A0000}"/>
    <cellStyle name="Comma 14 31 3 4" xfId="11155" xr:uid="{00000000-0005-0000-0000-0000C83A0000}"/>
    <cellStyle name="Comma 14 31 3 4 2" xfId="26747" xr:uid="{00000000-0005-0000-0000-0000C93A0000}"/>
    <cellStyle name="Comma 14 31 3 4 3" xfId="42239" xr:uid="{00000000-0005-0000-0000-0000CA3A0000}"/>
    <cellStyle name="Comma 14 31 3 5" xfId="19007" xr:uid="{00000000-0005-0000-0000-0000CB3A0000}"/>
    <cellStyle name="Comma 14 31 3 6" xfId="34499" xr:uid="{00000000-0005-0000-0000-0000CC3A0000}"/>
    <cellStyle name="Comma 14 31 4" xfId="4388" xr:uid="{00000000-0005-0000-0000-0000CD3A0000}"/>
    <cellStyle name="Comma 14 31 4 2" xfId="8259" xr:uid="{00000000-0005-0000-0000-0000CE3A0000}"/>
    <cellStyle name="Comma 14 31 4 2 2" xfId="16004" xr:uid="{00000000-0005-0000-0000-0000CF3A0000}"/>
    <cellStyle name="Comma 14 31 4 2 2 2" xfId="31596" xr:uid="{00000000-0005-0000-0000-0000D03A0000}"/>
    <cellStyle name="Comma 14 31 4 2 2 3" xfId="47088" xr:uid="{00000000-0005-0000-0000-0000D13A0000}"/>
    <cellStyle name="Comma 14 31 4 2 3" xfId="23856" xr:uid="{00000000-0005-0000-0000-0000D23A0000}"/>
    <cellStyle name="Comma 14 31 4 2 4" xfId="39348" xr:uid="{00000000-0005-0000-0000-0000D33A0000}"/>
    <cellStyle name="Comma 14 31 4 3" xfId="12134" xr:uid="{00000000-0005-0000-0000-0000D43A0000}"/>
    <cellStyle name="Comma 14 31 4 3 2" xfId="27726" xr:uid="{00000000-0005-0000-0000-0000D53A0000}"/>
    <cellStyle name="Comma 14 31 4 3 3" xfId="43218" xr:uid="{00000000-0005-0000-0000-0000D63A0000}"/>
    <cellStyle name="Comma 14 31 4 4" xfId="19986" xr:uid="{00000000-0005-0000-0000-0000D73A0000}"/>
    <cellStyle name="Comma 14 31 4 5" xfId="35478" xr:uid="{00000000-0005-0000-0000-0000D83A0000}"/>
    <cellStyle name="Comma 14 31 5" xfId="6332" xr:uid="{00000000-0005-0000-0000-0000D93A0000}"/>
    <cellStyle name="Comma 14 31 5 2" xfId="14077" xr:uid="{00000000-0005-0000-0000-0000DA3A0000}"/>
    <cellStyle name="Comma 14 31 5 2 2" xfId="29669" xr:uid="{00000000-0005-0000-0000-0000DB3A0000}"/>
    <cellStyle name="Comma 14 31 5 2 3" xfId="45161" xr:uid="{00000000-0005-0000-0000-0000DC3A0000}"/>
    <cellStyle name="Comma 14 31 5 3" xfId="21929" xr:uid="{00000000-0005-0000-0000-0000DD3A0000}"/>
    <cellStyle name="Comma 14 31 5 4" xfId="37421" xr:uid="{00000000-0005-0000-0000-0000DE3A0000}"/>
    <cellStyle name="Comma 14 31 6" xfId="10207" xr:uid="{00000000-0005-0000-0000-0000DF3A0000}"/>
    <cellStyle name="Comma 14 31 6 2" xfId="25799" xr:uid="{00000000-0005-0000-0000-0000E03A0000}"/>
    <cellStyle name="Comma 14 31 6 3" xfId="41291" xr:uid="{00000000-0005-0000-0000-0000E13A0000}"/>
    <cellStyle name="Comma 14 31 7" xfId="18059" xr:uid="{00000000-0005-0000-0000-0000E23A0000}"/>
    <cellStyle name="Comma 14 31 8" xfId="33551" xr:uid="{00000000-0005-0000-0000-0000E33A0000}"/>
    <cellStyle name="Comma 14 32" xfId="2424" xr:uid="{00000000-0005-0000-0000-0000E43A0000}"/>
    <cellStyle name="Comma 14 32 2" xfId="2734" xr:uid="{00000000-0005-0000-0000-0000E53A0000}"/>
    <cellStyle name="Comma 14 32 2 2" xfId="3742" xr:uid="{00000000-0005-0000-0000-0000E63A0000}"/>
    <cellStyle name="Comma 14 32 2 2 2" xfId="5681" xr:uid="{00000000-0005-0000-0000-0000E73A0000}"/>
    <cellStyle name="Comma 14 32 2 2 2 2" xfId="9552" xr:uid="{00000000-0005-0000-0000-0000E83A0000}"/>
    <cellStyle name="Comma 14 32 2 2 2 2 2" xfId="17297" xr:uid="{00000000-0005-0000-0000-0000E93A0000}"/>
    <cellStyle name="Comma 14 32 2 2 2 2 2 2" xfId="32889" xr:uid="{00000000-0005-0000-0000-0000EA3A0000}"/>
    <cellStyle name="Comma 14 32 2 2 2 2 2 3" xfId="48381" xr:uid="{00000000-0005-0000-0000-0000EB3A0000}"/>
    <cellStyle name="Comma 14 32 2 2 2 2 3" xfId="25149" xr:uid="{00000000-0005-0000-0000-0000EC3A0000}"/>
    <cellStyle name="Comma 14 32 2 2 2 2 4" xfId="40641" xr:uid="{00000000-0005-0000-0000-0000ED3A0000}"/>
    <cellStyle name="Comma 14 32 2 2 2 3" xfId="13427" xr:uid="{00000000-0005-0000-0000-0000EE3A0000}"/>
    <cellStyle name="Comma 14 32 2 2 2 3 2" xfId="29019" xr:uid="{00000000-0005-0000-0000-0000EF3A0000}"/>
    <cellStyle name="Comma 14 32 2 2 2 3 3" xfId="44511" xr:uid="{00000000-0005-0000-0000-0000F03A0000}"/>
    <cellStyle name="Comma 14 32 2 2 2 4" xfId="21279" xr:uid="{00000000-0005-0000-0000-0000F13A0000}"/>
    <cellStyle name="Comma 14 32 2 2 2 5" xfId="36771" xr:uid="{00000000-0005-0000-0000-0000F23A0000}"/>
    <cellStyle name="Comma 14 32 2 2 3" xfId="7625" xr:uid="{00000000-0005-0000-0000-0000F33A0000}"/>
    <cellStyle name="Comma 14 32 2 2 3 2" xfId="15370" xr:uid="{00000000-0005-0000-0000-0000F43A0000}"/>
    <cellStyle name="Comma 14 32 2 2 3 2 2" xfId="30962" xr:uid="{00000000-0005-0000-0000-0000F53A0000}"/>
    <cellStyle name="Comma 14 32 2 2 3 2 3" xfId="46454" xr:uid="{00000000-0005-0000-0000-0000F63A0000}"/>
    <cellStyle name="Comma 14 32 2 2 3 3" xfId="23222" xr:uid="{00000000-0005-0000-0000-0000F73A0000}"/>
    <cellStyle name="Comma 14 32 2 2 3 4" xfId="38714" xr:uid="{00000000-0005-0000-0000-0000F83A0000}"/>
    <cellStyle name="Comma 14 32 2 2 4" xfId="11500" xr:uid="{00000000-0005-0000-0000-0000F93A0000}"/>
    <cellStyle name="Comma 14 32 2 2 4 2" xfId="27092" xr:uid="{00000000-0005-0000-0000-0000FA3A0000}"/>
    <cellStyle name="Comma 14 32 2 2 4 3" xfId="42584" xr:uid="{00000000-0005-0000-0000-0000FB3A0000}"/>
    <cellStyle name="Comma 14 32 2 2 5" xfId="19352" xr:uid="{00000000-0005-0000-0000-0000FC3A0000}"/>
    <cellStyle name="Comma 14 32 2 2 6" xfId="34844" xr:uid="{00000000-0005-0000-0000-0000FD3A0000}"/>
    <cellStyle name="Comma 14 32 2 3" xfId="4733" xr:uid="{00000000-0005-0000-0000-0000FE3A0000}"/>
    <cellStyle name="Comma 14 32 2 3 2" xfId="8604" xr:uid="{00000000-0005-0000-0000-0000FF3A0000}"/>
    <cellStyle name="Comma 14 32 2 3 2 2" xfId="16349" xr:uid="{00000000-0005-0000-0000-0000003B0000}"/>
    <cellStyle name="Comma 14 32 2 3 2 2 2" xfId="31941" xr:uid="{00000000-0005-0000-0000-0000013B0000}"/>
    <cellStyle name="Comma 14 32 2 3 2 2 3" xfId="47433" xr:uid="{00000000-0005-0000-0000-0000023B0000}"/>
    <cellStyle name="Comma 14 32 2 3 2 3" xfId="24201" xr:uid="{00000000-0005-0000-0000-0000033B0000}"/>
    <cellStyle name="Comma 14 32 2 3 2 4" xfId="39693" xr:uid="{00000000-0005-0000-0000-0000043B0000}"/>
    <cellStyle name="Comma 14 32 2 3 3" xfId="12479" xr:uid="{00000000-0005-0000-0000-0000053B0000}"/>
    <cellStyle name="Comma 14 32 2 3 3 2" xfId="28071" xr:uid="{00000000-0005-0000-0000-0000063B0000}"/>
    <cellStyle name="Comma 14 32 2 3 3 3" xfId="43563" xr:uid="{00000000-0005-0000-0000-0000073B0000}"/>
    <cellStyle name="Comma 14 32 2 3 4" xfId="20331" xr:uid="{00000000-0005-0000-0000-0000083B0000}"/>
    <cellStyle name="Comma 14 32 2 3 5" xfId="35823" xr:uid="{00000000-0005-0000-0000-0000093B0000}"/>
    <cellStyle name="Comma 14 32 2 4" xfId="6677" xr:uid="{00000000-0005-0000-0000-00000A3B0000}"/>
    <cellStyle name="Comma 14 32 2 4 2" xfId="14422" xr:uid="{00000000-0005-0000-0000-00000B3B0000}"/>
    <cellStyle name="Comma 14 32 2 4 2 2" xfId="30014" xr:uid="{00000000-0005-0000-0000-00000C3B0000}"/>
    <cellStyle name="Comma 14 32 2 4 2 3" xfId="45506" xr:uid="{00000000-0005-0000-0000-00000D3B0000}"/>
    <cellStyle name="Comma 14 32 2 4 3" xfId="22274" xr:uid="{00000000-0005-0000-0000-00000E3B0000}"/>
    <cellStyle name="Comma 14 32 2 4 4" xfId="37766" xr:uid="{00000000-0005-0000-0000-00000F3B0000}"/>
    <cellStyle name="Comma 14 32 2 5" xfId="10552" xr:uid="{00000000-0005-0000-0000-0000103B0000}"/>
    <cellStyle name="Comma 14 32 2 5 2" xfId="26144" xr:uid="{00000000-0005-0000-0000-0000113B0000}"/>
    <cellStyle name="Comma 14 32 2 5 3" xfId="41636" xr:uid="{00000000-0005-0000-0000-0000123B0000}"/>
    <cellStyle name="Comma 14 32 2 6" xfId="18404" xr:uid="{00000000-0005-0000-0000-0000133B0000}"/>
    <cellStyle name="Comma 14 32 2 7" xfId="33896" xr:uid="{00000000-0005-0000-0000-0000143B0000}"/>
    <cellStyle name="Comma 14 32 3" xfId="3433" xr:uid="{00000000-0005-0000-0000-0000153B0000}"/>
    <cellStyle name="Comma 14 32 3 2" xfId="5372" xr:uid="{00000000-0005-0000-0000-0000163B0000}"/>
    <cellStyle name="Comma 14 32 3 2 2" xfId="9243" xr:uid="{00000000-0005-0000-0000-0000173B0000}"/>
    <cellStyle name="Comma 14 32 3 2 2 2" xfId="16988" xr:uid="{00000000-0005-0000-0000-0000183B0000}"/>
    <cellStyle name="Comma 14 32 3 2 2 2 2" xfId="32580" xr:uid="{00000000-0005-0000-0000-0000193B0000}"/>
    <cellStyle name="Comma 14 32 3 2 2 2 3" xfId="48072" xr:uid="{00000000-0005-0000-0000-00001A3B0000}"/>
    <cellStyle name="Comma 14 32 3 2 2 3" xfId="24840" xr:uid="{00000000-0005-0000-0000-00001B3B0000}"/>
    <cellStyle name="Comma 14 32 3 2 2 4" xfId="40332" xr:uid="{00000000-0005-0000-0000-00001C3B0000}"/>
    <cellStyle name="Comma 14 32 3 2 3" xfId="13118" xr:uid="{00000000-0005-0000-0000-00001D3B0000}"/>
    <cellStyle name="Comma 14 32 3 2 3 2" xfId="28710" xr:uid="{00000000-0005-0000-0000-00001E3B0000}"/>
    <cellStyle name="Comma 14 32 3 2 3 3" xfId="44202" xr:uid="{00000000-0005-0000-0000-00001F3B0000}"/>
    <cellStyle name="Comma 14 32 3 2 4" xfId="20970" xr:uid="{00000000-0005-0000-0000-0000203B0000}"/>
    <cellStyle name="Comma 14 32 3 2 5" xfId="36462" xr:uid="{00000000-0005-0000-0000-0000213B0000}"/>
    <cellStyle name="Comma 14 32 3 3" xfId="7316" xr:uid="{00000000-0005-0000-0000-0000223B0000}"/>
    <cellStyle name="Comma 14 32 3 3 2" xfId="15061" xr:uid="{00000000-0005-0000-0000-0000233B0000}"/>
    <cellStyle name="Comma 14 32 3 3 2 2" xfId="30653" xr:uid="{00000000-0005-0000-0000-0000243B0000}"/>
    <cellStyle name="Comma 14 32 3 3 2 3" xfId="46145" xr:uid="{00000000-0005-0000-0000-0000253B0000}"/>
    <cellStyle name="Comma 14 32 3 3 3" xfId="22913" xr:uid="{00000000-0005-0000-0000-0000263B0000}"/>
    <cellStyle name="Comma 14 32 3 3 4" xfId="38405" xr:uid="{00000000-0005-0000-0000-0000273B0000}"/>
    <cellStyle name="Comma 14 32 3 4" xfId="11191" xr:uid="{00000000-0005-0000-0000-0000283B0000}"/>
    <cellStyle name="Comma 14 32 3 4 2" xfId="26783" xr:uid="{00000000-0005-0000-0000-0000293B0000}"/>
    <cellStyle name="Comma 14 32 3 4 3" xfId="42275" xr:uid="{00000000-0005-0000-0000-00002A3B0000}"/>
    <cellStyle name="Comma 14 32 3 5" xfId="19043" xr:uid="{00000000-0005-0000-0000-00002B3B0000}"/>
    <cellStyle name="Comma 14 32 3 6" xfId="34535" xr:uid="{00000000-0005-0000-0000-00002C3B0000}"/>
    <cellStyle name="Comma 14 32 4" xfId="4424" xr:uid="{00000000-0005-0000-0000-00002D3B0000}"/>
    <cellStyle name="Comma 14 32 4 2" xfId="8295" xr:uid="{00000000-0005-0000-0000-00002E3B0000}"/>
    <cellStyle name="Comma 14 32 4 2 2" xfId="16040" xr:uid="{00000000-0005-0000-0000-00002F3B0000}"/>
    <cellStyle name="Comma 14 32 4 2 2 2" xfId="31632" xr:uid="{00000000-0005-0000-0000-0000303B0000}"/>
    <cellStyle name="Comma 14 32 4 2 2 3" xfId="47124" xr:uid="{00000000-0005-0000-0000-0000313B0000}"/>
    <cellStyle name="Comma 14 32 4 2 3" xfId="23892" xr:uid="{00000000-0005-0000-0000-0000323B0000}"/>
    <cellStyle name="Comma 14 32 4 2 4" xfId="39384" xr:uid="{00000000-0005-0000-0000-0000333B0000}"/>
    <cellStyle name="Comma 14 32 4 3" xfId="12170" xr:uid="{00000000-0005-0000-0000-0000343B0000}"/>
    <cellStyle name="Comma 14 32 4 3 2" xfId="27762" xr:uid="{00000000-0005-0000-0000-0000353B0000}"/>
    <cellStyle name="Comma 14 32 4 3 3" xfId="43254" xr:uid="{00000000-0005-0000-0000-0000363B0000}"/>
    <cellStyle name="Comma 14 32 4 4" xfId="20022" xr:uid="{00000000-0005-0000-0000-0000373B0000}"/>
    <cellStyle name="Comma 14 32 4 5" xfId="35514" xr:uid="{00000000-0005-0000-0000-0000383B0000}"/>
    <cellStyle name="Comma 14 32 5" xfId="6368" xr:uid="{00000000-0005-0000-0000-0000393B0000}"/>
    <cellStyle name="Comma 14 32 5 2" xfId="14113" xr:uid="{00000000-0005-0000-0000-00003A3B0000}"/>
    <cellStyle name="Comma 14 32 5 2 2" xfId="29705" xr:uid="{00000000-0005-0000-0000-00003B3B0000}"/>
    <cellStyle name="Comma 14 32 5 2 3" xfId="45197" xr:uid="{00000000-0005-0000-0000-00003C3B0000}"/>
    <cellStyle name="Comma 14 32 5 3" xfId="21965" xr:uid="{00000000-0005-0000-0000-00003D3B0000}"/>
    <cellStyle name="Comma 14 32 5 4" xfId="37457" xr:uid="{00000000-0005-0000-0000-00003E3B0000}"/>
    <cellStyle name="Comma 14 32 6" xfId="10243" xr:uid="{00000000-0005-0000-0000-00003F3B0000}"/>
    <cellStyle name="Comma 14 32 6 2" xfId="25835" xr:uid="{00000000-0005-0000-0000-0000403B0000}"/>
    <cellStyle name="Comma 14 32 6 3" xfId="41327" xr:uid="{00000000-0005-0000-0000-0000413B0000}"/>
    <cellStyle name="Comma 14 32 7" xfId="18095" xr:uid="{00000000-0005-0000-0000-0000423B0000}"/>
    <cellStyle name="Comma 14 32 8" xfId="33587" xr:uid="{00000000-0005-0000-0000-0000433B0000}"/>
    <cellStyle name="Comma 14 33" xfId="2461" xr:uid="{00000000-0005-0000-0000-0000443B0000}"/>
    <cellStyle name="Comma 14 33 2" xfId="2770" xr:uid="{00000000-0005-0000-0000-0000453B0000}"/>
    <cellStyle name="Comma 14 33 2 2" xfId="3778" xr:uid="{00000000-0005-0000-0000-0000463B0000}"/>
    <cellStyle name="Comma 14 33 2 2 2" xfId="5717" xr:uid="{00000000-0005-0000-0000-0000473B0000}"/>
    <cellStyle name="Comma 14 33 2 2 2 2" xfId="9588" xr:uid="{00000000-0005-0000-0000-0000483B0000}"/>
    <cellStyle name="Comma 14 33 2 2 2 2 2" xfId="17333" xr:uid="{00000000-0005-0000-0000-0000493B0000}"/>
    <cellStyle name="Comma 14 33 2 2 2 2 2 2" xfId="32925" xr:uid="{00000000-0005-0000-0000-00004A3B0000}"/>
    <cellStyle name="Comma 14 33 2 2 2 2 2 3" xfId="48417" xr:uid="{00000000-0005-0000-0000-00004B3B0000}"/>
    <cellStyle name="Comma 14 33 2 2 2 2 3" xfId="25185" xr:uid="{00000000-0005-0000-0000-00004C3B0000}"/>
    <cellStyle name="Comma 14 33 2 2 2 2 4" xfId="40677" xr:uid="{00000000-0005-0000-0000-00004D3B0000}"/>
    <cellStyle name="Comma 14 33 2 2 2 3" xfId="13463" xr:uid="{00000000-0005-0000-0000-00004E3B0000}"/>
    <cellStyle name="Comma 14 33 2 2 2 3 2" xfId="29055" xr:uid="{00000000-0005-0000-0000-00004F3B0000}"/>
    <cellStyle name="Comma 14 33 2 2 2 3 3" xfId="44547" xr:uid="{00000000-0005-0000-0000-0000503B0000}"/>
    <cellStyle name="Comma 14 33 2 2 2 4" xfId="21315" xr:uid="{00000000-0005-0000-0000-0000513B0000}"/>
    <cellStyle name="Comma 14 33 2 2 2 5" xfId="36807" xr:uid="{00000000-0005-0000-0000-0000523B0000}"/>
    <cellStyle name="Comma 14 33 2 2 3" xfId="7661" xr:uid="{00000000-0005-0000-0000-0000533B0000}"/>
    <cellStyle name="Comma 14 33 2 2 3 2" xfId="15406" xr:uid="{00000000-0005-0000-0000-0000543B0000}"/>
    <cellStyle name="Comma 14 33 2 2 3 2 2" xfId="30998" xr:uid="{00000000-0005-0000-0000-0000553B0000}"/>
    <cellStyle name="Comma 14 33 2 2 3 2 3" xfId="46490" xr:uid="{00000000-0005-0000-0000-0000563B0000}"/>
    <cellStyle name="Comma 14 33 2 2 3 3" xfId="23258" xr:uid="{00000000-0005-0000-0000-0000573B0000}"/>
    <cellStyle name="Comma 14 33 2 2 3 4" xfId="38750" xr:uid="{00000000-0005-0000-0000-0000583B0000}"/>
    <cellStyle name="Comma 14 33 2 2 4" xfId="11536" xr:uid="{00000000-0005-0000-0000-0000593B0000}"/>
    <cellStyle name="Comma 14 33 2 2 4 2" xfId="27128" xr:uid="{00000000-0005-0000-0000-00005A3B0000}"/>
    <cellStyle name="Comma 14 33 2 2 4 3" xfId="42620" xr:uid="{00000000-0005-0000-0000-00005B3B0000}"/>
    <cellStyle name="Comma 14 33 2 2 5" xfId="19388" xr:uid="{00000000-0005-0000-0000-00005C3B0000}"/>
    <cellStyle name="Comma 14 33 2 2 6" xfId="34880" xr:uid="{00000000-0005-0000-0000-00005D3B0000}"/>
    <cellStyle name="Comma 14 33 2 3" xfId="4769" xr:uid="{00000000-0005-0000-0000-00005E3B0000}"/>
    <cellStyle name="Comma 14 33 2 3 2" xfId="8640" xr:uid="{00000000-0005-0000-0000-00005F3B0000}"/>
    <cellStyle name="Comma 14 33 2 3 2 2" xfId="16385" xr:uid="{00000000-0005-0000-0000-0000603B0000}"/>
    <cellStyle name="Comma 14 33 2 3 2 2 2" xfId="31977" xr:uid="{00000000-0005-0000-0000-0000613B0000}"/>
    <cellStyle name="Comma 14 33 2 3 2 2 3" xfId="47469" xr:uid="{00000000-0005-0000-0000-0000623B0000}"/>
    <cellStyle name="Comma 14 33 2 3 2 3" xfId="24237" xr:uid="{00000000-0005-0000-0000-0000633B0000}"/>
    <cellStyle name="Comma 14 33 2 3 2 4" xfId="39729" xr:uid="{00000000-0005-0000-0000-0000643B0000}"/>
    <cellStyle name="Comma 14 33 2 3 3" xfId="12515" xr:uid="{00000000-0005-0000-0000-0000653B0000}"/>
    <cellStyle name="Comma 14 33 2 3 3 2" xfId="28107" xr:uid="{00000000-0005-0000-0000-0000663B0000}"/>
    <cellStyle name="Comma 14 33 2 3 3 3" xfId="43599" xr:uid="{00000000-0005-0000-0000-0000673B0000}"/>
    <cellStyle name="Comma 14 33 2 3 4" xfId="20367" xr:uid="{00000000-0005-0000-0000-0000683B0000}"/>
    <cellStyle name="Comma 14 33 2 3 5" xfId="35859" xr:uid="{00000000-0005-0000-0000-0000693B0000}"/>
    <cellStyle name="Comma 14 33 2 4" xfId="6713" xr:uid="{00000000-0005-0000-0000-00006A3B0000}"/>
    <cellStyle name="Comma 14 33 2 4 2" xfId="14458" xr:uid="{00000000-0005-0000-0000-00006B3B0000}"/>
    <cellStyle name="Comma 14 33 2 4 2 2" xfId="30050" xr:uid="{00000000-0005-0000-0000-00006C3B0000}"/>
    <cellStyle name="Comma 14 33 2 4 2 3" xfId="45542" xr:uid="{00000000-0005-0000-0000-00006D3B0000}"/>
    <cellStyle name="Comma 14 33 2 4 3" xfId="22310" xr:uid="{00000000-0005-0000-0000-00006E3B0000}"/>
    <cellStyle name="Comma 14 33 2 4 4" xfId="37802" xr:uid="{00000000-0005-0000-0000-00006F3B0000}"/>
    <cellStyle name="Comma 14 33 2 5" xfId="10588" xr:uid="{00000000-0005-0000-0000-0000703B0000}"/>
    <cellStyle name="Comma 14 33 2 5 2" xfId="26180" xr:uid="{00000000-0005-0000-0000-0000713B0000}"/>
    <cellStyle name="Comma 14 33 2 5 3" xfId="41672" xr:uid="{00000000-0005-0000-0000-0000723B0000}"/>
    <cellStyle name="Comma 14 33 2 6" xfId="18440" xr:uid="{00000000-0005-0000-0000-0000733B0000}"/>
    <cellStyle name="Comma 14 33 2 7" xfId="33932" xr:uid="{00000000-0005-0000-0000-0000743B0000}"/>
    <cellStyle name="Comma 14 33 3" xfId="3469" xr:uid="{00000000-0005-0000-0000-0000753B0000}"/>
    <cellStyle name="Comma 14 33 3 2" xfId="5408" xr:uid="{00000000-0005-0000-0000-0000763B0000}"/>
    <cellStyle name="Comma 14 33 3 2 2" xfId="9279" xr:uid="{00000000-0005-0000-0000-0000773B0000}"/>
    <cellStyle name="Comma 14 33 3 2 2 2" xfId="17024" xr:uid="{00000000-0005-0000-0000-0000783B0000}"/>
    <cellStyle name="Comma 14 33 3 2 2 2 2" xfId="32616" xr:uid="{00000000-0005-0000-0000-0000793B0000}"/>
    <cellStyle name="Comma 14 33 3 2 2 2 3" xfId="48108" xr:uid="{00000000-0005-0000-0000-00007A3B0000}"/>
    <cellStyle name="Comma 14 33 3 2 2 3" xfId="24876" xr:uid="{00000000-0005-0000-0000-00007B3B0000}"/>
    <cellStyle name="Comma 14 33 3 2 2 4" xfId="40368" xr:uid="{00000000-0005-0000-0000-00007C3B0000}"/>
    <cellStyle name="Comma 14 33 3 2 3" xfId="13154" xr:uid="{00000000-0005-0000-0000-00007D3B0000}"/>
    <cellStyle name="Comma 14 33 3 2 3 2" xfId="28746" xr:uid="{00000000-0005-0000-0000-00007E3B0000}"/>
    <cellStyle name="Comma 14 33 3 2 3 3" xfId="44238" xr:uid="{00000000-0005-0000-0000-00007F3B0000}"/>
    <cellStyle name="Comma 14 33 3 2 4" xfId="21006" xr:uid="{00000000-0005-0000-0000-0000803B0000}"/>
    <cellStyle name="Comma 14 33 3 2 5" xfId="36498" xr:uid="{00000000-0005-0000-0000-0000813B0000}"/>
    <cellStyle name="Comma 14 33 3 3" xfId="7352" xr:uid="{00000000-0005-0000-0000-0000823B0000}"/>
    <cellStyle name="Comma 14 33 3 3 2" xfId="15097" xr:uid="{00000000-0005-0000-0000-0000833B0000}"/>
    <cellStyle name="Comma 14 33 3 3 2 2" xfId="30689" xr:uid="{00000000-0005-0000-0000-0000843B0000}"/>
    <cellStyle name="Comma 14 33 3 3 2 3" xfId="46181" xr:uid="{00000000-0005-0000-0000-0000853B0000}"/>
    <cellStyle name="Comma 14 33 3 3 3" xfId="22949" xr:uid="{00000000-0005-0000-0000-0000863B0000}"/>
    <cellStyle name="Comma 14 33 3 3 4" xfId="38441" xr:uid="{00000000-0005-0000-0000-0000873B0000}"/>
    <cellStyle name="Comma 14 33 3 4" xfId="11227" xr:uid="{00000000-0005-0000-0000-0000883B0000}"/>
    <cellStyle name="Comma 14 33 3 4 2" xfId="26819" xr:uid="{00000000-0005-0000-0000-0000893B0000}"/>
    <cellStyle name="Comma 14 33 3 4 3" xfId="42311" xr:uid="{00000000-0005-0000-0000-00008A3B0000}"/>
    <cellStyle name="Comma 14 33 3 5" xfId="19079" xr:uid="{00000000-0005-0000-0000-00008B3B0000}"/>
    <cellStyle name="Comma 14 33 3 6" xfId="34571" xr:uid="{00000000-0005-0000-0000-00008C3B0000}"/>
    <cellStyle name="Comma 14 33 4" xfId="4460" xr:uid="{00000000-0005-0000-0000-00008D3B0000}"/>
    <cellStyle name="Comma 14 33 4 2" xfId="8331" xr:uid="{00000000-0005-0000-0000-00008E3B0000}"/>
    <cellStyle name="Comma 14 33 4 2 2" xfId="16076" xr:uid="{00000000-0005-0000-0000-00008F3B0000}"/>
    <cellStyle name="Comma 14 33 4 2 2 2" xfId="31668" xr:uid="{00000000-0005-0000-0000-0000903B0000}"/>
    <cellStyle name="Comma 14 33 4 2 2 3" xfId="47160" xr:uid="{00000000-0005-0000-0000-0000913B0000}"/>
    <cellStyle name="Comma 14 33 4 2 3" xfId="23928" xr:uid="{00000000-0005-0000-0000-0000923B0000}"/>
    <cellStyle name="Comma 14 33 4 2 4" xfId="39420" xr:uid="{00000000-0005-0000-0000-0000933B0000}"/>
    <cellStyle name="Comma 14 33 4 3" xfId="12206" xr:uid="{00000000-0005-0000-0000-0000943B0000}"/>
    <cellStyle name="Comma 14 33 4 3 2" xfId="27798" xr:uid="{00000000-0005-0000-0000-0000953B0000}"/>
    <cellStyle name="Comma 14 33 4 3 3" xfId="43290" xr:uid="{00000000-0005-0000-0000-0000963B0000}"/>
    <cellStyle name="Comma 14 33 4 4" xfId="20058" xr:uid="{00000000-0005-0000-0000-0000973B0000}"/>
    <cellStyle name="Comma 14 33 4 5" xfId="35550" xr:uid="{00000000-0005-0000-0000-0000983B0000}"/>
    <cellStyle name="Comma 14 33 5" xfId="6404" xr:uid="{00000000-0005-0000-0000-0000993B0000}"/>
    <cellStyle name="Comma 14 33 5 2" xfId="14149" xr:uid="{00000000-0005-0000-0000-00009A3B0000}"/>
    <cellStyle name="Comma 14 33 5 2 2" xfId="29741" xr:uid="{00000000-0005-0000-0000-00009B3B0000}"/>
    <cellStyle name="Comma 14 33 5 2 3" xfId="45233" xr:uid="{00000000-0005-0000-0000-00009C3B0000}"/>
    <cellStyle name="Comma 14 33 5 3" xfId="22001" xr:uid="{00000000-0005-0000-0000-00009D3B0000}"/>
    <cellStyle name="Comma 14 33 5 4" xfId="37493" xr:uid="{00000000-0005-0000-0000-00009E3B0000}"/>
    <cellStyle name="Comma 14 33 6" xfId="10279" xr:uid="{00000000-0005-0000-0000-00009F3B0000}"/>
    <cellStyle name="Comma 14 33 6 2" xfId="25871" xr:uid="{00000000-0005-0000-0000-0000A03B0000}"/>
    <cellStyle name="Comma 14 33 6 3" xfId="41363" xr:uid="{00000000-0005-0000-0000-0000A13B0000}"/>
    <cellStyle name="Comma 14 33 7" xfId="18131" xr:uid="{00000000-0005-0000-0000-0000A23B0000}"/>
    <cellStyle name="Comma 14 33 8" xfId="33623" xr:uid="{00000000-0005-0000-0000-0000A33B0000}"/>
    <cellStyle name="Comma 14 34" xfId="2807" xr:uid="{00000000-0005-0000-0000-0000A43B0000}"/>
    <cellStyle name="Comma 14 34 2" xfId="3814" xr:uid="{00000000-0005-0000-0000-0000A53B0000}"/>
    <cellStyle name="Comma 14 34 2 2" xfId="5753" xr:uid="{00000000-0005-0000-0000-0000A63B0000}"/>
    <cellStyle name="Comma 14 34 2 2 2" xfId="9624" xr:uid="{00000000-0005-0000-0000-0000A73B0000}"/>
    <cellStyle name="Comma 14 34 2 2 2 2" xfId="17369" xr:uid="{00000000-0005-0000-0000-0000A83B0000}"/>
    <cellStyle name="Comma 14 34 2 2 2 2 2" xfId="32961" xr:uid="{00000000-0005-0000-0000-0000A93B0000}"/>
    <cellStyle name="Comma 14 34 2 2 2 2 3" xfId="48453" xr:uid="{00000000-0005-0000-0000-0000AA3B0000}"/>
    <cellStyle name="Comma 14 34 2 2 2 3" xfId="25221" xr:uid="{00000000-0005-0000-0000-0000AB3B0000}"/>
    <cellStyle name="Comma 14 34 2 2 2 4" xfId="40713" xr:uid="{00000000-0005-0000-0000-0000AC3B0000}"/>
    <cellStyle name="Comma 14 34 2 2 3" xfId="13499" xr:uid="{00000000-0005-0000-0000-0000AD3B0000}"/>
    <cellStyle name="Comma 14 34 2 2 3 2" xfId="29091" xr:uid="{00000000-0005-0000-0000-0000AE3B0000}"/>
    <cellStyle name="Comma 14 34 2 2 3 3" xfId="44583" xr:uid="{00000000-0005-0000-0000-0000AF3B0000}"/>
    <cellStyle name="Comma 14 34 2 2 4" xfId="21351" xr:uid="{00000000-0005-0000-0000-0000B03B0000}"/>
    <cellStyle name="Comma 14 34 2 2 5" xfId="36843" xr:uid="{00000000-0005-0000-0000-0000B13B0000}"/>
    <cellStyle name="Comma 14 34 2 3" xfId="7697" xr:uid="{00000000-0005-0000-0000-0000B23B0000}"/>
    <cellStyle name="Comma 14 34 2 3 2" xfId="15442" xr:uid="{00000000-0005-0000-0000-0000B33B0000}"/>
    <cellStyle name="Comma 14 34 2 3 2 2" xfId="31034" xr:uid="{00000000-0005-0000-0000-0000B43B0000}"/>
    <cellStyle name="Comma 14 34 2 3 2 3" xfId="46526" xr:uid="{00000000-0005-0000-0000-0000B53B0000}"/>
    <cellStyle name="Comma 14 34 2 3 3" xfId="23294" xr:uid="{00000000-0005-0000-0000-0000B63B0000}"/>
    <cellStyle name="Comma 14 34 2 3 4" xfId="38786" xr:uid="{00000000-0005-0000-0000-0000B73B0000}"/>
    <cellStyle name="Comma 14 34 2 4" xfId="11572" xr:uid="{00000000-0005-0000-0000-0000B83B0000}"/>
    <cellStyle name="Comma 14 34 2 4 2" xfId="27164" xr:uid="{00000000-0005-0000-0000-0000B93B0000}"/>
    <cellStyle name="Comma 14 34 2 4 3" xfId="42656" xr:uid="{00000000-0005-0000-0000-0000BA3B0000}"/>
    <cellStyle name="Comma 14 34 2 5" xfId="19424" xr:uid="{00000000-0005-0000-0000-0000BB3B0000}"/>
    <cellStyle name="Comma 14 34 2 6" xfId="34916" xr:uid="{00000000-0005-0000-0000-0000BC3B0000}"/>
    <cellStyle name="Comma 14 34 3" xfId="4805" xr:uid="{00000000-0005-0000-0000-0000BD3B0000}"/>
    <cellStyle name="Comma 14 34 3 2" xfId="8676" xr:uid="{00000000-0005-0000-0000-0000BE3B0000}"/>
    <cellStyle name="Comma 14 34 3 2 2" xfId="16421" xr:uid="{00000000-0005-0000-0000-0000BF3B0000}"/>
    <cellStyle name="Comma 14 34 3 2 2 2" xfId="32013" xr:uid="{00000000-0005-0000-0000-0000C03B0000}"/>
    <cellStyle name="Comma 14 34 3 2 2 3" xfId="47505" xr:uid="{00000000-0005-0000-0000-0000C13B0000}"/>
    <cellStyle name="Comma 14 34 3 2 3" xfId="24273" xr:uid="{00000000-0005-0000-0000-0000C23B0000}"/>
    <cellStyle name="Comma 14 34 3 2 4" xfId="39765" xr:uid="{00000000-0005-0000-0000-0000C33B0000}"/>
    <cellStyle name="Comma 14 34 3 3" xfId="12551" xr:uid="{00000000-0005-0000-0000-0000C43B0000}"/>
    <cellStyle name="Comma 14 34 3 3 2" xfId="28143" xr:uid="{00000000-0005-0000-0000-0000C53B0000}"/>
    <cellStyle name="Comma 14 34 3 3 3" xfId="43635" xr:uid="{00000000-0005-0000-0000-0000C63B0000}"/>
    <cellStyle name="Comma 14 34 3 4" xfId="20403" xr:uid="{00000000-0005-0000-0000-0000C73B0000}"/>
    <cellStyle name="Comma 14 34 3 5" xfId="35895" xr:uid="{00000000-0005-0000-0000-0000C83B0000}"/>
    <cellStyle name="Comma 14 34 4" xfId="6749" xr:uid="{00000000-0005-0000-0000-0000C93B0000}"/>
    <cellStyle name="Comma 14 34 4 2" xfId="14494" xr:uid="{00000000-0005-0000-0000-0000CA3B0000}"/>
    <cellStyle name="Comma 14 34 4 2 2" xfId="30086" xr:uid="{00000000-0005-0000-0000-0000CB3B0000}"/>
    <cellStyle name="Comma 14 34 4 2 3" xfId="45578" xr:uid="{00000000-0005-0000-0000-0000CC3B0000}"/>
    <cellStyle name="Comma 14 34 4 3" xfId="22346" xr:uid="{00000000-0005-0000-0000-0000CD3B0000}"/>
    <cellStyle name="Comma 14 34 4 4" xfId="37838" xr:uid="{00000000-0005-0000-0000-0000CE3B0000}"/>
    <cellStyle name="Comma 14 34 5" xfId="10624" xr:uid="{00000000-0005-0000-0000-0000CF3B0000}"/>
    <cellStyle name="Comma 14 34 5 2" xfId="26216" xr:uid="{00000000-0005-0000-0000-0000D03B0000}"/>
    <cellStyle name="Comma 14 34 5 3" xfId="41708" xr:uid="{00000000-0005-0000-0000-0000D13B0000}"/>
    <cellStyle name="Comma 14 34 6" xfId="18476" xr:uid="{00000000-0005-0000-0000-0000D23B0000}"/>
    <cellStyle name="Comma 14 34 7" xfId="33968" xr:uid="{00000000-0005-0000-0000-0000D33B0000}"/>
    <cellStyle name="Comma 14 35" xfId="2846" xr:uid="{00000000-0005-0000-0000-0000D43B0000}"/>
    <cellStyle name="Comma 14 35 2" xfId="3852" xr:uid="{00000000-0005-0000-0000-0000D53B0000}"/>
    <cellStyle name="Comma 14 35 2 2" xfId="5791" xr:uid="{00000000-0005-0000-0000-0000D63B0000}"/>
    <cellStyle name="Comma 14 35 2 2 2" xfId="9662" xr:uid="{00000000-0005-0000-0000-0000D73B0000}"/>
    <cellStyle name="Comma 14 35 2 2 2 2" xfId="17407" xr:uid="{00000000-0005-0000-0000-0000D83B0000}"/>
    <cellStyle name="Comma 14 35 2 2 2 2 2" xfId="32999" xr:uid="{00000000-0005-0000-0000-0000D93B0000}"/>
    <cellStyle name="Comma 14 35 2 2 2 2 3" xfId="48491" xr:uid="{00000000-0005-0000-0000-0000DA3B0000}"/>
    <cellStyle name="Comma 14 35 2 2 2 3" xfId="25259" xr:uid="{00000000-0005-0000-0000-0000DB3B0000}"/>
    <cellStyle name="Comma 14 35 2 2 2 4" xfId="40751" xr:uid="{00000000-0005-0000-0000-0000DC3B0000}"/>
    <cellStyle name="Comma 14 35 2 2 3" xfId="13537" xr:uid="{00000000-0005-0000-0000-0000DD3B0000}"/>
    <cellStyle name="Comma 14 35 2 2 3 2" xfId="29129" xr:uid="{00000000-0005-0000-0000-0000DE3B0000}"/>
    <cellStyle name="Comma 14 35 2 2 3 3" xfId="44621" xr:uid="{00000000-0005-0000-0000-0000DF3B0000}"/>
    <cellStyle name="Comma 14 35 2 2 4" xfId="21389" xr:uid="{00000000-0005-0000-0000-0000E03B0000}"/>
    <cellStyle name="Comma 14 35 2 2 5" xfId="36881" xr:uid="{00000000-0005-0000-0000-0000E13B0000}"/>
    <cellStyle name="Comma 14 35 2 3" xfId="7735" xr:uid="{00000000-0005-0000-0000-0000E23B0000}"/>
    <cellStyle name="Comma 14 35 2 3 2" xfId="15480" xr:uid="{00000000-0005-0000-0000-0000E33B0000}"/>
    <cellStyle name="Comma 14 35 2 3 2 2" xfId="31072" xr:uid="{00000000-0005-0000-0000-0000E43B0000}"/>
    <cellStyle name="Comma 14 35 2 3 2 3" xfId="46564" xr:uid="{00000000-0005-0000-0000-0000E53B0000}"/>
    <cellStyle name="Comma 14 35 2 3 3" xfId="23332" xr:uid="{00000000-0005-0000-0000-0000E63B0000}"/>
    <cellStyle name="Comma 14 35 2 3 4" xfId="38824" xr:uid="{00000000-0005-0000-0000-0000E73B0000}"/>
    <cellStyle name="Comma 14 35 2 4" xfId="11610" xr:uid="{00000000-0005-0000-0000-0000E83B0000}"/>
    <cellStyle name="Comma 14 35 2 4 2" xfId="27202" xr:uid="{00000000-0005-0000-0000-0000E93B0000}"/>
    <cellStyle name="Comma 14 35 2 4 3" xfId="42694" xr:uid="{00000000-0005-0000-0000-0000EA3B0000}"/>
    <cellStyle name="Comma 14 35 2 5" xfId="19462" xr:uid="{00000000-0005-0000-0000-0000EB3B0000}"/>
    <cellStyle name="Comma 14 35 2 6" xfId="34954" xr:uid="{00000000-0005-0000-0000-0000EC3B0000}"/>
    <cellStyle name="Comma 14 35 3" xfId="4843" xr:uid="{00000000-0005-0000-0000-0000ED3B0000}"/>
    <cellStyle name="Comma 14 35 3 2" xfId="8714" xr:uid="{00000000-0005-0000-0000-0000EE3B0000}"/>
    <cellStyle name="Comma 14 35 3 2 2" xfId="16459" xr:uid="{00000000-0005-0000-0000-0000EF3B0000}"/>
    <cellStyle name="Comma 14 35 3 2 2 2" xfId="32051" xr:uid="{00000000-0005-0000-0000-0000F03B0000}"/>
    <cellStyle name="Comma 14 35 3 2 2 3" xfId="47543" xr:uid="{00000000-0005-0000-0000-0000F13B0000}"/>
    <cellStyle name="Comma 14 35 3 2 3" xfId="24311" xr:uid="{00000000-0005-0000-0000-0000F23B0000}"/>
    <cellStyle name="Comma 14 35 3 2 4" xfId="39803" xr:uid="{00000000-0005-0000-0000-0000F33B0000}"/>
    <cellStyle name="Comma 14 35 3 3" xfId="12589" xr:uid="{00000000-0005-0000-0000-0000F43B0000}"/>
    <cellStyle name="Comma 14 35 3 3 2" xfId="28181" xr:uid="{00000000-0005-0000-0000-0000F53B0000}"/>
    <cellStyle name="Comma 14 35 3 3 3" xfId="43673" xr:uid="{00000000-0005-0000-0000-0000F63B0000}"/>
    <cellStyle name="Comma 14 35 3 4" xfId="20441" xr:uid="{00000000-0005-0000-0000-0000F73B0000}"/>
    <cellStyle name="Comma 14 35 3 5" xfId="35933" xr:uid="{00000000-0005-0000-0000-0000F83B0000}"/>
    <cellStyle name="Comma 14 35 4" xfId="6787" xr:uid="{00000000-0005-0000-0000-0000F93B0000}"/>
    <cellStyle name="Comma 14 35 4 2" xfId="14532" xr:uid="{00000000-0005-0000-0000-0000FA3B0000}"/>
    <cellStyle name="Comma 14 35 4 2 2" xfId="30124" xr:uid="{00000000-0005-0000-0000-0000FB3B0000}"/>
    <cellStyle name="Comma 14 35 4 2 3" xfId="45616" xr:uid="{00000000-0005-0000-0000-0000FC3B0000}"/>
    <cellStyle name="Comma 14 35 4 3" xfId="22384" xr:uid="{00000000-0005-0000-0000-0000FD3B0000}"/>
    <cellStyle name="Comma 14 35 4 4" xfId="37876" xr:uid="{00000000-0005-0000-0000-0000FE3B0000}"/>
    <cellStyle name="Comma 14 35 5" xfId="10662" xr:uid="{00000000-0005-0000-0000-0000FF3B0000}"/>
    <cellStyle name="Comma 14 35 5 2" xfId="26254" xr:uid="{00000000-0005-0000-0000-0000003C0000}"/>
    <cellStyle name="Comma 14 35 5 3" xfId="41746" xr:uid="{00000000-0005-0000-0000-0000013C0000}"/>
    <cellStyle name="Comma 14 35 6" xfId="18514" xr:uid="{00000000-0005-0000-0000-0000023C0000}"/>
    <cellStyle name="Comma 14 35 7" xfId="34006" xr:uid="{00000000-0005-0000-0000-0000033C0000}"/>
    <cellStyle name="Comma 14 36" xfId="2883" xr:uid="{00000000-0005-0000-0000-0000043C0000}"/>
    <cellStyle name="Comma 14 36 2" xfId="3888" xr:uid="{00000000-0005-0000-0000-0000053C0000}"/>
    <cellStyle name="Comma 14 36 2 2" xfId="5827" xr:uid="{00000000-0005-0000-0000-0000063C0000}"/>
    <cellStyle name="Comma 14 36 2 2 2" xfId="9698" xr:uid="{00000000-0005-0000-0000-0000073C0000}"/>
    <cellStyle name="Comma 14 36 2 2 2 2" xfId="17443" xr:uid="{00000000-0005-0000-0000-0000083C0000}"/>
    <cellStyle name="Comma 14 36 2 2 2 2 2" xfId="33035" xr:uid="{00000000-0005-0000-0000-0000093C0000}"/>
    <cellStyle name="Comma 14 36 2 2 2 2 3" xfId="48527" xr:uid="{00000000-0005-0000-0000-00000A3C0000}"/>
    <cellStyle name="Comma 14 36 2 2 2 3" xfId="25295" xr:uid="{00000000-0005-0000-0000-00000B3C0000}"/>
    <cellStyle name="Comma 14 36 2 2 2 4" xfId="40787" xr:uid="{00000000-0005-0000-0000-00000C3C0000}"/>
    <cellStyle name="Comma 14 36 2 2 3" xfId="13573" xr:uid="{00000000-0005-0000-0000-00000D3C0000}"/>
    <cellStyle name="Comma 14 36 2 2 3 2" xfId="29165" xr:uid="{00000000-0005-0000-0000-00000E3C0000}"/>
    <cellStyle name="Comma 14 36 2 2 3 3" xfId="44657" xr:uid="{00000000-0005-0000-0000-00000F3C0000}"/>
    <cellStyle name="Comma 14 36 2 2 4" xfId="21425" xr:uid="{00000000-0005-0000-0000-0000103C0000}"/>
    <cellStyle name="Comma 14 36 2 2 5" xfId="36917" xr:uid="{00000000-0005-0000-0000-0000113C0000}"/>
    <cellStyle name="Comma 14 36 2 3" xfId="7771" xr:uid="{00000000-0005-0000-0000-0000123C0000}"/>
    <cellStyle name="Comma 14 36 2 3 2" xfId="15516" xr:uid="{00000000-0005-0000-0000-0000133C0000}"/>
    <cellStyle name="Comma 14 36 2 3 2 2" xfId="31108" xr:uid="{00000000-0005-0000-0000-0000143C0000}"/>
    <cellStyle name="Comma 14 36 2 3 2 3" xfId="46600" xr:uid="{00000000-0005-0000-0000-0000153C0000}"/>
    <cellStyle name="Comma 14 36 2 3 3" xfId="23368" xr:uid="{00000000-0005-0000-0000-0000163C0000}"/>
    <cellStyle name="Comma 14 36 2 3 4" xfId="38860" xr:uid="{00000000-0005-0000-0000-0000173C0000}"/>
    <cellStyle name="Comma 14 36 2 4" xfId="11646" xr:uid="{00000000-0005-0000-0000-0000183C0000}"/>
    <cellStyle name="Comma 14 36 2 4 2" xfId="27238" xr:uid="{00000000-0005-0000-0000-0000193C0000}"/>
    <cellStyle name="Comma 14 36 2 4 3" xfId="42730" xr:uid="{00000000-0005-0000-0000-00001A3C0000}"/>
    <cellStyle name="Comma 14 36 2 5" xfId="19498" xr:uid="{00000000-0005-0000-0000-00001B3C0000}"/>
    <cellStyle name="Comma 14 36 2 6" xfId="34990" xr:uid="{00000000-0005-0000-0000-00001C3C0000}"/>
    <cellStyle name="Comma 14 36 3" xfId="4879" xr:uid="{00000000-0005-0000-0000-00001D3C0000}"/>
    <cellStyle name="Comma 14 36 3 2" xfId="8750" xr:uid="{00000000-0005-0000-0000-00001E3C0000}"/>
    <cellStyle name="Comma 14 36 3 2 2" xfId="16495" xr:uid="{00000000-0005-0000-0000-00001F3C0000}"/>
    <cellStyle name="Comma 14 36 3 2 2 2" xfId="32087" xr:uid="{00000000-0005-0000-0000-0000203C0000}"/>
    <cellStyle name="Comma 14 36 3 2 2 3" xfId="47579" xr:uid="{00000000-0005-0000-0000-0000213C0000}"/>
    <cellStyle name="Comma 14 36 3 2 3" xfId="24347" xr:uid="{00000000-0005-0000-0000-0000223C0000}"/>
    <cellStyle name="Comma 14 36 3 2 4" xfId="39839" xr:uid="{00000000-0005-0000-0000-0000233C0000}"/>
    <cellStyle name="Comma 14 36 3 3" xfId="12625" xr:uid="{00000000-0005-0000-0000-0000243C0000}"/>
    <cellStyle name="Comma 14 36 3 3 2" xfId="28217" xr:uid="{00000000-0005-0000-0000-0000253C0000}"/>
    <cellStyle name="Comma 14 36 3 3 3" xfId="43709" xr:uid="{00000000-0005-0000-0000-0000263C0000}"/>
    <cellStyle name="Comma 14 36 3 4" xfId="20477" xr:uid="{00000000-0005-0000-0000-0000273C0000}"/>
    <cellStyle name="Comma 14 36 3 5" xfId="35969" xr:uid="{00000000-0005-0000-0000-0000283C0000}"/>
    <cellStyle name="Comma 14 36 4" xfId="6823" xr:uid="{00000000-0005-0000-0000-0000293C0000}"/>
    <cellStyle name="Comma 14 36 4 2" xfId="14568" xr:uid="{00000000-0005-0000-0000-00002A3C0000}"/>
    <cellStyle name="Comma 14 36 4 2 2" xfId="30160" xr:uid="{00000000-0005-0000-0000-00002B3C0000}"/>
    <cellStyle name="Comma 14 36 4 2 3" xfId="45652" xr:uid="{00000000-0005-0000-0000-00002C3C0000}"/>
    <cellStyle name="Comma 14 36 4 3" xfId="22420" xr:uid="{00000000-0005-0000-0000-00002D3C0000}"/>
    <cellStyle name="Comma 14 36 4 4" xfId="37912" xr:uid="{00000000-0005-0000-0000-00002E3C0000}"/>
    <cellStyle name="Comma 14 36 5" xfId="10698" xr:uid="{00000000-0005-0000-0000-00002F3C0000}"/>
    <cellStyle name="Comma 14 36 5 2" xfId="26290" xr:uid="{00000000-0005-0000-0000-0000303C0000}"/>
    <cellStyle name="Comma 14 36 5 3" xfId="41782" xr:uid="{00000000-0005-0000-0000-0000313C0000}"/>
    <cellStyle name="Comma 14 36 6" xfId="18550" xr:uid="{00000000-0005-0000-0000-0000323C0000}"/>
    <cellStyle name="Comma 14 36 7" xfId="34042" xr:uid="{00000000-0005-0000-0000-0000333C0000}"/>
    <cellStyle name="Comma 14 37" xfId="2920" xr:uid="{00000000-0005-0000-0000-0000343C0000}"/>
    <cellStyle name="Comma 14 37 2" xfId="3924" xr:uid="{00000000-0005-0000-0000-0000353C0000}"/>
    <cellStyle name="Comma 14 37 2 2" xfId="5863" xr:uid="{00000000-0005-0000-0000-0000363C0000}"/>
    <cellStyle name="Comma 14 37 2 2 2" xfId="9734" xr:uid="{00000000-0005-0000-0000-0000373C0000}"/>
    <cellStyle name="Comma 14 37 2 2 2 2" xfId="17479" xr:uid="{00000000-0005-0000-0000-0000383C0000}"/>
    <cellStyle name="Comma 14 37 2 2 2 2 2" xfId="33071" xr:uid="{00000000-0005-0000-0000-0000393C0000}"/>
    <cellStyle name="Comma 14 37 2 2 2 2 3" xfId="48563" xr:uid="{00000000-0005-0000-0000-00003A3C0000}"/>
    <cellStyle name="Comma 14 37 2 2 2 3" xfId="25331" xr:uid="{00000000-0005-0000-0000-00003B3C0000}"/>
    <cellStyle name="Comma 14 37 2 2 2 4" xfId="40823" xr:uid="{00000000-0005-0000-0000-00003C3C0000}"/>
    <cellStyle name="Comma 14 37 2 2 3" xfId="13609" xr:uid="{00000000-0005-0000-0000-00003D3C0000}"/>
    <cellStyle name="Comma 14 37 2 2 3 2" xfId="29201" xr:uid="{00000000-0005-0000-0000-00003E3C0000}"/>
    <cellStyle name="Comma 14 37 2 2 3 3" xfId="44693" xr:uid="{00000000-0005-0000-0000-00003F3C0000}"/>
    <cellStyle name="Comma 14 37 2 2 4" xfId="21461" xr:uid="{00000000-0005-0000-0000-0000403C0000}"/>
    <cellStyle name="Comma 14 37 2 2 5" xfId="36953" xr:uid="{00000000-0005-0000-0000-0000413C0000}"/>
    <cellStyle name="Comma 14 37 2 3" xfId="7807" xr:uid="{00000000-0005-0000-0000-0000423C0000}"/>
    <cellStyle name="Comma 14 37 2 3 2" xfId="15552" xr:uid="{00000000-0005-0000-0000-0000433C0000}"/>
    <cellStyle name="Comma 14 37 2 3 2 2" xfId="31144" xr:uid="{00000000-0005-0000-0000-0000443C0000}"/>
    <cellStyle name="Comma 14 37 2 3 2 3" xfId="46636" xr:uid="{00000000-0005-0000-0000-0000453C0000}"/>
    <cellStyle name="Comma 14 37 2 3 3" xfId="23404" xr:uid="{00000000-0005-0000-0000-0000463C0000}"/>
    <cellStyle name="Comma 14 37 2 3 4" xfId="38896" xr:uid="{00000000-0005-0000-0000-0000473C0000}"/>
    <cellStyle name="Comma 14 37 2 4" xfId="11682" xr:uid="{00000000-0005-0000-0000-0000483C0000}"/>
    <cellStyle name="Comma 14 37 2 4 2" xfId="27274" xr:uid="{00000000-0005-0000-0000-0000493C0000}"/>
    <cellStyle name="Comma 14 37 2 4 3" xfId="42766" xr:uid="{00000000-0005-0000-0000-00004A3C0000}"/>
    <cellStyle name="Comma 14 37 2 5" xfId="19534" xr:uid="{00000000-0005-0000-0000-00004B3C0000}"/>
    <cellStyle name="Comma 14 37 2 6" xfId="35026" xr:uid="{00000000-0005-0000-0000-00004C3C0000}"/>
    <cellStyle name="Comma 14 37 3" xfId="4915" xr:uid="{00000000-0005-0000-0000-00004D3C0000}"/>
    <cellStyle name="Comma 14 37 3 2" xfId="8786" xr:uid="{00000000-0005-0000-0000-00004E3C0000}"/>
    <cellStyle name="Comma 14 37 3 2 2" xfId="16531" xr:uid="{00000000-0005-0000-0000-00004F3C0000}"/>
    <cellStyle name="Comma 14 37 3 2 2 2" xfId="32123" xr:uid="{00000000-0005-0000-0000-0000503C0000}"/>
    <cellStyle name="Comma 14 37 3 2 2 3" xfId="47615" xr:uid="{00000000-0005-0000-0000-0000513C0000}"/>
    <cellStyle name="Comma 14 37 3 2 3" xfId="24383" xr:uid="{00000000-0005-0000-0000-0000523C0000}"/>
    <cellStyle name="Comma 14 37 3 2 4" xfId="39875" xr:uid="{00000000-0005-0000-0000-0000533C0000}"/>
    <cellStyle name="Comma 14 37 3 3" xfId="12661" xr:uid="{00000000-0005-0000-0000-0000543C0000}"/>
    <cellStyle name="Comma 14 37 3 3 2" xfId="28253" xr:uid="{00000000-0005-0000-0000-0000553C0000}"/>
    <cellStyle name="Comma 14 37 3 3 3" xfId="43745" xr:uid="{00000000-0005-0000-0000-0000563C0000}"/>
    <cellStyle name="Comma 14 37 3 4" xfId="20513" xr:uid="{00000000-0005-0000-0000-0000573C0000}"/>
    <cellStyle name="Comma 14 37 3 5" xfId="36005" xr:uid="{00000000-0005-0000-0000-0000583C0000}"/>
    <cellStyle name="Comma 14 37 4" xfId="6859" xr:uid="{00000000-0005-0000-0000-0000593C0000}"/>
    <cellStyle name="Comma 14 37 4 2" xfId="14604" xr:uid="{00000000-0005-0000-0000-00005A3C0000}"/>
    <cellStyle name="Comma 14 37 4 2 2" xfId="30196" xr:uid="{00000000-0005-0000-0000-00005B3C0000}"/>
    <cellStyle name="Comma 14 37 4 2 3" xfId="45688" xr:uid="{00000000-0005-0000-0000-00005C3C0000}"/>
    <cellStyle name="Comma 14 37 4 3" xfId="22456" xr:uid="{00000000-0005-0000-0000-00005D3C0000}"/>
    <cellStyle name="Comma 14 37 4 4" xfId="37948" xr:uid="{00000000-0005-0000-0000-00005E3C0000}"/>
    <cellStyle name="Comma 14 37 5" xfId="10734" xr:uid="{00000000-0005-0000-0000-00005F3C0000}"/>
    <cellStyle name="Comma 14 37 5 2" xfId="26326" xr:uid="{00000000-0005-0000-0000-0000603C0000}"/>
    <cellStyle name="Comma 14 37 5 3" xfId="41818" xr:uid="{00000000-0005-0000-0000-0000613C0000}"/>
    <cellStyle name="Comma 14 37 6" xfId="18586" xr:uid="{00000000-0005-0000-0000-0000623C0000}"/>
    <cellStyle name="Comma 14 37 7" xfId="34078" xr:uid="{00000000-0005-0000-0000-0000633C0000}"/>
    <cellStyle name="Comma 14 38" xfId="2959" xr:uid="{00000000-0005-0000-0000-0000643C0000}"/>
    <cellStyle name="Comma 14 38 2" xfId="3960" xr:uid="{00000000-0005-0000-0000-0000653C0000}"/>
    <cellStyle name="Comma 14 38 2 2" xfId="5899" xr:uid="{00000000-0005-0000-0000-0000663C0000}"/>
    <cellStyle name="Comma 14 38 2 2 2" xfId="9770" xr:uid="{00000000-0005-0000-0000-0000673C0000}"/>
    <cellStyle name="Comma 14 38 2 2 2 2" xfId="17515" xr:uid="{00000000-0005-0000-0000-0000683C0000}"/>
    <cellStyle name="Comma 14 38 2 2 2 2 2" xfId="33107" xr:uid="{00000000-0005-0000-0000-0000693C0000}"/>
    <cellStyle name="Comma 14 38 2 2 2 2 3" xfId="48599" xr:uid="{00000000-0005-0000-0000-00006A3C0000}"/>
    <cellStyle name="Comma 14 38 2 2 2 3" xfId="25367" xr:uid="{00000000-0005-0000-0000-00006B3C0000}"/>
    <cellStyle name="Comma 14 38 2 2 2 4" xfId="40859" xr:uid="{00000000-0005-0000-0000-00006C3C0000}"/>
    <cellStyle name="Comma 14 38 2 2 3" xfId="13645" xr:uid="{00000000-0005-0000-0000-00006D3C0000}"/>
    <cellStyle name="Comma 14 38 2 2 3 2" xfId="29237" xr:uid="{00000000-0005-0000-0000-00006E3C0000}"/>
    <cellStyle name="Comma 14 38 2 2 3 3" xfId="44729" xr:uid="{00000000-0005-0000-0000-00006F3C0000}"/>
    <cellStyle name="Comma 14 38 2 2 4" xfId="21497" xr:uid="{00000000-0005-0000-0000-0000703C0000}"/>
    <cellStyle name="Comma 14 38 2 2 5" xfId="36989" xr:uid="{00000000-0005-0000-0000-0000713C0000}"/>
    <cellStyle name="Comma 14 38 2 3" xfId="7843" xr:uid="{00000000-0005-0000-0000-0000723C0000}"/>
    <cellStyle name="Comma 14 38 2 3 2" xfId="15588" xr:uid="{00000000-0005-0000-0000-0000733C0000}"/>
    <cellStyle name="Comma 14 38 2 3 2 2" xfId="31180" xr:uid="{00000000-0005-0000-0000-0000743C0000}"/>
    <cellStyle name="Comma 14 38 2 3 2 3" xfId="46672" xr:uid="{00000000-0005-0000-0000-0000753C0000}"/>
    <cellStyle name="Comma 14 38 2 3 3" xfId="23440" xr:uid="{00000000-0005-0000-0000-0000763C0000}"/>
    <cellStyle name="Comma 14 38 2 3 4" xfId="38932" xr:uid="{00000000-0005-0000-0000-0000773C0000}"/>
    <cellStyle name="Comma 14 38 2 4" xfId="11718" xr:uid="{00000000-0005-0000-0000-0000783C0000}"/>
    <cellStyle name="Comma 14 38 2 4 2" xfId="27310" xr:uid="{00000000-0005-0000-0000-0000793C0000}"/>
    <cellStyle name="Comma 14 38 2 4 3" xfId="42802" xr:uid="{00000000-0005-0000-0000-00007A3C0000}"/>
    <cellStyle name="Comma 14 38 2 5" xfId="19570" xr:uid="{00000000-0005-0000-0000-00007B3C0000}"/>
    <cellStyle name="Comma 14 38 2 6" xfId="35062" xr:uid="{00000000-0005-0000-0000-00007C3C0000}"/>
    <cellStyle name="Comma 14 38 3" xfId="4951" xr:uid="{00000000-0005-0000-0000-00007D3C0000}"/>
    <cellStyle name="Comma 14 38 3 2" xfId="8822" xr:uid="{00000000-0005-0000-0000-00007E3C0000}"/>
    <cellStyle name="Comma 14 38 3 2 2" xfId="16567" xr:uid="{00000000-0005-0000-0000-00007F3C0000}"/>
    <cellStyle name="Comma 14 38 3 2 2 2" xfId="32159" xr:uid="{00000000-0005-0000-0000-0000803C0000}"/>
    <cellStyle name="Comma 14 38 3 2 2 3" xfId="47651" xr:uid="{00000000-0005-0000-0000-0000813C0000}"/>
    <cellStyle name="Comma 14 38 3 2 3" xfId="24419" xr:uid="{00000000-0005-0000-0000-0000823C0000}"/>
    <cellStyle name="Comma 14 38 3 2 4" xfId="39911" xr:uid="{00000000-0005-0000-0000-0000833C0000}"/>
    <cellStyle name="Comma 14 38 3 3" xfId="12697" xr:uid="{00000000-0005-0000-0000-0000843C0000}"/>
    <cellStyle name="Comma 14 38 3 3 2" xfId="28289" xr:uid="{00000000-0005-0000-0000-0000853C0000}"/>
    <cellStyle name="Comma 14 38 3 3 3" xfId="43781" xr:uid="{00000000-0005-0000-0000-0000863C0000}"/>
    <cellStyle name="Comma 14 38 3 4" xfId="20549" xr:uid="{00000000-0005-0000-0000-0000873C0000}"/>
    <cellStyle name="Comma 14 38 3 5" xfId="36041" xr:uid="{00000000-0005-0000-0000-0000883C0000}"/>
    <cellStyle name="Comma 14 38 4" xfId="6895" xr:uid="{00000000-0005-0000-0000-0000893C0000}"/>
    <cellStyle name="Comma 14 38 4 2" xfId="14640" xr:uid="{00000000-0005-0000-0000-00008A3C0000}"/>
    <cellStyle name="Comma 14 38 4 2 2" xfId="30232" xr:uid="{00000000-0005-0000-0000-00008B3C0000}"/>
    <cellStyle name="Comma 14 38 4 2 3" xfId="45724" xr:uid="{00000000-0005-0000-0000-00008C3C0000}"/>
    <cellStyle name="Comma 14 38 4 3" xfId="22492" xr:uid="{00000000-0005-0000-0000-00008D3C0000}"/>
    <cellStyle name="Comma 14 38 4 4" xfId="37984" xr:uid="{00000000-0005-0000-0000-00008E3C0000}"/>
    <cellStyle name="Comma 14 38 5" xfId="10770" xr:uid="{00000000-0005-0000-0000-00008F3C0000}"/>
    <cellStyle name="Comma 14 38 5 2" xfId="26362" xr:uid="{00000000-0005-0000-0000-0000903C0000}"/>
    <cellStyle name="Comma 14 38 5 3" xfId="41854" xr:uid="{00000000-0005-0000-0000-0000913C0000}"/>
    <cellStyle name="Comma 14 38 6" xfId="18622" xr:uid="{00000000-0005-0000-0000-0000923C0000}"/>
    <cellStyle name="Comma 14 38 7" xfId="34114" xr:uid="{00000000-0005-0000-0000-0000933C0000}"/>
    <cellStyle name="Comma 14 39" xfId="2999" xr:uid="{00000000-0005-0000-0000-0000943C0000}"/>
    <cellStyle name="Comma 14 39 2" xfId="3996" xr:uid="{00000000-0005-0000-0000-0000953C0000}"/>
    <cellStyle name="Comma 14 39 2 2" xfId="5935" xr:uid="{00000000-0005-0000-0000-0000963C0000}"/>
    <cellStyle name="Comma 14 39 2 2 2" xfId="9806" xr:uid="{00000000-0005-0000-0000-0000973C0000}"/>
    <cellStyle name="Comma 14 39 2 2 2 2" xfId="17551" xr:uid="{00000000-0005-0000-0000-0000983C0000}"/>
    <cellStyle name="Comma 14 39 2 2 2 2 2" xfId="33143" xr:uid="{00000000-0005-0000-0000-0000993C0000}"/>
    <cellStyle name="Comma 14 39 2 2 2 2 3" xfId="48635" xr:uid="{00000000-0005-0000-0000-00009A3C0000}"/>
    <cellStyle name="Comma 14 39 2 2 2 3" xfId="25403" xr:uid="{00000000-0005-0000-0000-00009B3C0000}"/>
    <cellStyle name="Comma 14 39 2 2 2 4" xfId="40895" xr:uid="{00000000-0005-0000-0000-00009C3C0000}"/>
    <cellStyle name="Comma 14 39 2 2 3" xfId="13681" xr:uid="{00000000-0005-0000-0000-00009D3C0000}"/>
    <cellStyle name="Comma 14 39 2 2 3 2" xfId="29273" xr:uid="{00000000-0005-0000-0000-00009E3C0000}"/>
    <cellStyle name="Comma 14 39 2 2 3 3" xfId="44765" xr:uid="{00000000-0005-0000-0000-00009F3C0000}"/>
    <cellStyle name="Comma 14 39 2 2 4" xfId="21533" xr:uid="{00000000-0005-0000-0000-0000A03C0000}"/>
    <cellStyle name="Comma 14 39 2 2 5" xfId="37025" xr:uid="{00000000-0005-0000-0000-0000A13C0000}"/>
    <cellStyle name="Comma 14 39 2 3" xfId="7879" xr:uid="{00000000-0005-0000-0000-0000A23C0000}"/>
    <cellStyle name="Comma 14 39 2 3 2" xfId="15624" xr:uid="{00000000-0005-0000-0000-0000A33C0000}"/>
    <cellStyle name="Comma 14 39 2 3 2 2" xfId="31216" xr:uid="{00000000-0005-0000-0000-0000A43C0000}"/>
    <cellStyle name="Comma 14 39 2 3 2 3" xfId="46708" xr:uid="{00000000-0005-0000-0000-0000A53C0000}"/>
    <cellStyle name="Comma 14 39 2 3 3" xfId="23476" xr:uid="{00000000-0005-0000-0000-0000A63C0000}"/>
    <cellStyle name="Comma 14 39 2 3 4" xfId="38968" xr:uid="{00000000-0005-0000-0000-0000A73C0000}"/>
    <cellStyle name="Comma 14 39 2 4" xfId="11754" xr:uid="{00000000-0005-0000-0000-0000A83C0000}"/>
    <cellStyle name="Comma 14 39 2 4 2" xfId="27346" xr:uid="{00000000-0005-0000-0000-0000A93C0000}"/>
    <cellStyle name="Comma 14 39 2 4 3" xfId="42838" xr:uid="{00000000-0005-0000-0000-0000AA3C0000}"/>
    <cellStyle name="Comma 14 39 2 5" xfId="19606" xr:uid="{00000000-0005-0000-0000-0000AB3C0000}"/>
    <cellStyle name="Comma 14 39 2 6" xfId="35098" xr:uid="{00000000-0005-0000-0000-0000AC3C0000}"/>
    <cellStyle name="Comma 14 39 3" xfId="4987" xr:uid="{00000000-0005-0000-0000-0000AD3C0000}"/>
    <cellStyle name="Comma 14 39 3 2" xfId="8858" xr:uid="{00000000-0005-0000-0000-0000AE3C0000}"/>
    <cellStyle name="Comma 14 39 3 2 2" xfId="16603" xr:uid="{00000000-0005-0000-0000-0000AF3C0000}"/>
    <cellStyle name="Comma 14 39 3 2 2 2" xfId="32195" xr:uid="{00000000-0005-0000-0000-0000B03C0000}"/>
    <cellStyle name="Comma 14 39 3 2 2 3" xfId="47687" xr:uid="{00000000-0005-0000-0000-0000B13C0000}"/>
    <cellStyle name="Comma 14 39 3 2 3" xfId="24455" xr:uid="{00000000-0005-0000-0000-0000B23C0000}"/>
    <cellStyle name="Comma 14 39 3 2 4" xfId="39947" xr:uid="{00000000-0005-0000-0000-0000B33C0000}"/>
    <cellStyle name="Comma 14 39 3 3" xfId="12733" xr:uid="{00000000-0005-0000-0000-0000B43C0000}"/>
    <cellStyle name="Comma 14 39 3 3 2" xfId="28325" xr:uid="{00000000-0005-0000-0000-0000B53C0000}"/>
    <cellStyle name="Comma 14 39 3 3 3" xfId="43817" xr:uid="{00000000-0005-0000-0000-0000B63C0000}"/>
    <cellStyle name="Comma 14 39 3 4" xfId="20585" xr:uid="{00000000-0005-0000-0000-0000B73C0000}"/>
    <cellStyle name="Comma 14 39 3 5" xfId="36077" xr:uid="{00000000-0005-0000-0000-0000B83C0000}"/>
    <cellStyle name="Comma 14 39 4" xfId="6931" xr:uid="{00000000-0005-0000-0000-0000B93C0000}"/>
    <cellStyle name="Comma 14 39 4 2" xfId="14676" xr:uid="{00000000-0005-0000-0000-0000BA3C0000}"/>
    <cellStyle name="Comma 14 39 4 2 2" xfId="30268" xr:uid="{00000000-0005-0000-0000-0000BB3C0000}"/>
    <cellStyle name="Comma 14 39 4 2 3" xfId="45760" xr:uid="{00000000-0005-0000-0000-0000BC3C0000}"/>
    <cellStyle name="Comma 14 39 4 3" xfId="22528" xr:uid="{00000000-0005-0000-0000-0000BD3C0000}"/>
    <cellStyle name="Comma 14 39 4 4" xfId="38020" xr:uid="{00000000-0005-0000-0000-0000BE3C0000}"/>
    <cellStyle name="Comma 14 39 5" xfId="10806" xr:uid="{00000000-0005-0000-0000-0000BF3C0000}"/>
    <cellStyle name="Comma 14 39 5 2" xfId="26398" xr:uid="{00000000-0005-0000-0000-0000C03C0000}"/>
    <cellStyle name="Comma 14 39 5 3" xfId="41890" xr:uid="{00000000-0005-0000-0000-0000C13C0000}"/>
    <cellStyle name="Comma 14 39 6" xfId="18658" xr:uid="{00000000-0005-0000-0000-0000C23C0000}"/>
    <cellStyle name="Comma 14 39 7" xfId="34150" xr:uid="{00000000-0005-0000-0000-0000C33C0000}"/>
    <cellStyle name="Comma 14 4" xfId="885" xr:uid="{00000000-0005-0000-0000-0000C43C0000}"/>
    <cellStyle name="Comma 14 4 2" xfId="48902" xr:uid="{00000000-0005-0000-0000-0000C53C0000}"/>
    <cellStyle name="Comma 14 4 2 2" xfId="49055" xr:uid="{7751E668-4C0F-46B1-8EE0-D7B568061C32}"/>
    <cellStyle name="Comma 14 40" xfId="3037" xr:uid="{00000000-0005-0000-0000-0000C63C0000}"/>
    <cellStyle name="Comma 14 40 2" xfId="4032" xr:uid="{00000000-0005-0000-0000-0000C73C0000}"/>
    <cellStyle name="Comma 14 40 2 2" xfId="5971" xr:uid="{00000000-0005-0000-0000-0000C83C0000}"/>
    <cellStyle name="Comma 14 40 2 2 2" xfId="9842" xr:uid="{00000000-0005-0000-0000-0000C93C0000}"/>
    <cellStyle name="Comma 14 40 2 2 2 2" xfId="17587" xr:uid="{00000000-0005-0000-0000-0000CA3C0000}"/>
    <cellStyle name="Comma 14 40 2 2 2 2 2" xfId="33179" xr:uid="{00000000-0005-0000-0000-0000CB3C0000}"/>
    <cellStyle name="Comma 14 40 2 2 2 2 3" xfId="48671" xr:uid="{00000000-0005-0000-0000-0000CC3C0000}"/>
    <cellStyle name="Comma 14 40 2 2 2 3" xfId="25439" xr:uid="{00000000-0005-0000-0000-0000CD3C0000}"/>
    <cellStyle name="Comma 14 40 2 2 2 4" xfId="40931" xr:uid="{00000000-0005-0000-0000-0000CE3C0000}"/>
    <cellStyle name="Comma 14 40 2 2 3" xfId="13717" xr:uid="{00000000-0005-0000-0000-0000CF3C0000}"/>
    <cellStyle name="Comma 14 40 2 2 3 2" xfId="29309" xr:uid="{00000000-0005-0000-0000-0000D03C0000}"/>
    <cellStyle name="Comma 14 40 2 2 3 3" xfId="44801" xr:uid="{00000000-0005-0000-0000-0000D13C0000}"/>
    <cellStyle name="Comma 14 40 2 2 4" xfId="21569" xr:uid="{00000000-0005-0000-0000-0000D23C0000}"/>
    <cellStyle name="Comma 14 40 2 2 5" xfId="37061" xr:uid="{00000000-0005-0000-0000-0000D33C0000}"/>
    <cellStyle name="Comma 14 40 2 3" xfId="7915" xr:uid="{00000000-0005-0000-0000-0000D43C0000}"/>
    <cellStyle name="Comma 14 40 2 3 2" xfId="15660" xr:uid="{00000000-0005-0000-0000-0000D53C0000}"/>
    <cellStyle name="Comma 14 40 2 3 2 2" xfId="31252" xr:uid="{00000000-0005-0000-0000-0000D63C0000}"/>
    <cellStyle name="Comma 14 40 2 3 2 3" xfId="46744" xr:uid="{00000000-0005-0000-0000-0000D73C0000}"/>
    <cellStyle name="Comma 14 40 2 3 3" xfId="23512" xr:uid="{00000000-0005-0000-0000-0000D83C0000}"/>
    <cellStyle name="Comma 14 40 2 3 4" xfId="39004" xr:uid="{00000000-0005-0000-0000-0000D93C0000}"/>
    <cellStyle name="Comma 14 40 2 4" xfId="11790" xr:uid="{00000000-0005-0000-0000-0000DA3C0000}"/>
    <cellStyle name="Comma 14 40 2 4 2" xfId="27382" xr:uid="{00000000-0005-0000-0000-0000DB3C0000}"/>
    <cellStyle name="Comma 14 40 2 4 3" xfId="42874" xr:uid="{00000000-0005-0000-0000-0000DC3C0000}"/>
    <cellStyle name="Comma 14 40 2 5" xfId="19642" xr:uid="{00000000-0005-0000-0000-0000DD3C0000}"/>
    <cellStyle name="Comma 14 40 2 6" xfId="35134" xr:uid="{00000000-0005-0000-0000-0000DE3C0000}"/>
    <cellStyle name="Comma 14 40 3" xfId="5023" xr:uid="{00000000-0005-0000-0000-0000DF3C0000}"/>
    <cellStyle name="Comma 14 40 3 2" xfId="8894" xr:uid="{00000000-0005-0000-0000-0000E03C0000}"/>
    <cellStyle name="Comma 14 40 3 2 2" xfId="16639" xr:uid="{00000000-0005-0000-0000-0000E13C0000}"/>
    <cellStyle name="Comma 14 40 3 2 2 2" xfId="32231" xr:uid="{00000000-0005-0000-0000-0000E23C0000}"/>
    <cellStyle name="Comma 14 40 3 2 2 3" xfId="47723" xr:uid="{00000000-0005-0000-0000-0000E33C0000}"/>
    <cellStyle name="Comma 14 40 3 2 3" xfId="24491" xr:uid="{00000000-0005-0000-0000-0000E43C0000}"/>
    <cellStyle name="Comma 14 40 3 2 4" xfId="39983" xr:uid="{00000000-0005-0000-0000-0000E53C0000}"/>
    <cellStyle name="Comma 14 40 3 3" xfId="12769" xr:uid="{00000000-0005-0000-0000-0000E63C0000}"/>
    <cellStyle name="Comma 14 40 3 3 2" xfId="28361" xr:uid="{00000000-0005-0000-0000-0000E73C0000}"/>
    <cellStyle name="Comma 14 40 3 3 3" xfId="43853" xr:uid="{00000000-0005-0000-0000-0000E83C0000}"/>
    <cellStyle name="Comma 14 40 3 4" xfId="20621" xr:uid="{00000000-0005-0000-0000-0000E93C0000}"/>
    <cellStyle name="Comma 14 40 3 5" xfId="36113" xr:uid="{00000000-0005-0000-0000-0000EA3C0000}"/>
    <cellStyle name="Comma 14 40 4" xfId="6967" xr:uid="{00000000-0005-0000-0000-0000EB3C0000}"/>
    <cellStyle name="Comma 14 40 4 2" xfId="14712" xr:uid="{00000000-0005-0000-0000-0000EC3C0000}"/>
    <cellStyle name="Comma 14 40 4 2 2" xfId="30304" xr:uid="{00000000-0005-0000-0000-0000ED3C0000}"/>
    <cellStyle name="Comma 14 40 4 2 3" xfId="45796" xr:uid="{00000000-0005-0000-0000-0000EE3C0000}"/>
    <cellStyle name="Comma 14 40 4 3" xfId="22564" xr:uid="{00000000-0005-0000-0000-0000EF3C0000}"/>
    <cellStyle name="Comma 14 40 4 4" xfId="38056" xr:uid="{00000000-0005-0000-0000-0000F03C0000}"/>
    <cellStyle name="Comma 14 40 5" xfId="10842" xr:uid="{00000000-0005-0000-0000-0000F13C0000}"/>
    <cellStyle name="Comma 14 40 5 2" xfId="26434" xr:uid="{00000000-0005-0000-0000-0000F23C0000}"/>
    <cellStyle name="Comma 14 40 5 3" xfId="41926" xr:uid="{00000000-0005-0000-0000-0000F33C0000}"/>
    <cellStyle name="Comma 14 40 6" xfId="18694" xr:uid="{00000000-0005-0000-0000-0000F43C0000}"/>
    <cellStyle name="Comma 14 40 7" xfId="34186" xr:uid="{00000000-0005-0000-0000-0000F53C0000}"/>
    <cellStyle name="Comma 14 41" xfId="3074" xr:uid="{00000000-0005-0000-0000-0000F63C0000}"/>
    <cellStyle name="Comma 14 41 2" xfId="4068" xr:uid="{00000000-0005-0000-0000-0000F73C0000}"/>
    <cellStyle name="Comma 14 41 2 2" xfId="6007" xr:uid="{00000000-0005-0000-0000-0000F83C0000}"/>
    <cellStyle name="Comma 14 41 2 2 2" xfId="9878" xr:uid="{00000000-0005-0000-0000-0000F93C0000}"/>
    <cellStyle name="Comma 14 41 2 2 2 2" xfId="17623" xr:uid="{00000000-0005-0000-0000-0000FA3C0000}"/>
    <cellStyle name="Comma 14 41 2 2 2 2 2" xfId="33215" xr:uid="{00000000-0005-0000-0000-0000FB3C0000}"/>
    <cellStyle name="Comma 14 41 2 2 2 2 3" xfId="48707" xr:uid="{00000000-0005-0000-0000-0000FC3C0000}"/>
    <cellStyle name="Comma 14 41 2 2 2 3" xfId="25475" xr:uid="{00000000-0005-0000-0000-0000FD3C0000}"/>
    <cellStyle name="Comma 14 41 2 2 2 4" xfId="40967" xr:uid="{00000000-0005-0000-0000-0000FE3C0000}"/>
    <cellStyle name="Comma 14 41 2 2 3" xfId="13753" xr:uid="{00000000-0005-0000-0000-0000FF3C0000}"/>
    <cellStyle name="Comma 14 41 2 2 3 2" xfId="29345" xr:uid="{00000000-0005-0000-0000-0000003D0000}"/>
    <cellStyle name="Comma 14 41 2 2 3 3" xfId="44837" xr:uid="{00000000-0005-0000-0000-0000013D0000}"/>
    <cellStyle name="Comma 14 41 2 2 4" xfId="21605" xr:uid="{00000000-0005-0000-0000-0000023D0000}"/>
    <cellStyle name="Comma 14 41 2 2 5" xfId="37097" xr:uid="{00000000-0005-0000-0000-0000033D0000}"/>
    <cellStyle name="Comma 14 41 2 3" xfId="7951" xr:uid="{00000000-0005-0000-0000-0000043D0000}"/>
    <cellStyle name="Comma 14 41 2 3 2" xfId="15696" xr:uid="{00000000-0005-0000-0000-0000053D0000}"/>
    <cellStyle name="Comma 14 41 2 3 2 2" xfId="31288" xr:uid="{00000000-0005-0000-0000-0000063D0000}"/>
    <cellStyle name="Comma 14 41 2 3 2 3" xfId="46780" xr:uid="{00000000-0005-0000-0000-0000073D0000}"/>
    <cellStyle name="Comma 14 41 2 3 3" xfId="23548" xr:uid="{00000000-0005-0000-0000-0000083D0000}"/>
    <cellStyle name="Comma 14 41 2 3 4" xfId="39040" xr:uid="{00000000-0005-0000-0000-0000093D0000}"/>
    <cellStyle name="Comma 14 41 2 4" xfId="11826" xr:uid="{00000000-0005-0000-0000-00000A3D0000}"/>
    <cellStyle name="Comma 14 41 2 4 2" xfId="27418" xr:uid="{00000000-0005-0000-0000-00000B3D0000}"/>
    <cellStyle name="Comma 14 41 2 4 3" xfId="42910" xr:uid="{00000000-0005-0000-0000-00000C3D0000}"/>
    <cellStyle name="Comma 14 41 2 5" xfId="19678" xr:uid="{00000000-0005-0000-0000-00000D3D0000}"/>
    <cellStyle name="Comma 14 41 2 6" xfId="35170" xr:uid="{00000000-0005-0000-0000-00000E3D0000}"/>
    <cellStyle name="Comma 14 41 3" xfId="5059" xr:uid="{00000000-0005-0000-0000-00000F3D0000}"/>
    <cellStyle name="Comma 14 41 3 2" xfId="8930" xr:uid="{00000000-0005-0000-0000-0000103D0000}"/>
    <cellStyle name="Comma 14 41 3 2 2" xfId="16675" xr:uid="{00000000-0005-0000-0000-0000113D0000}"/>
    <cellStyle name="Comma 14 41 3 2 2 2" xfId="32267" xr:uid="{00000000-0005-0000-0000-0000123D0000}"/>
    <cellStyle name="Comma 14 41 3 2 2 3" xfId="47759" xr:uid="{00000000-0005-0000-0000-0000133D0000}"/>
    <cellStyle name="Comma 14 41 3 2 3" xfId="24527" xr:uid="{00000000-0005-0000-0000-0000143D0000}"/>
    <cellStyle name="Comma 14 41 3 2 4" xfId="40019" xr:uid="{00000000-0005-0000-0000-0000153D0000}"/>
    <cellStyle name="Comma 14 41 3 3" xfId="12805" xr:uid="{00000000-0005-0000-0000-0000163D0000}"/>
    <cellStyle name="Comma 14 41 3 3 2" xfId="28397" xr:uid="{00000000-0005-0000-0000-0000173D0000}"/>
    <cellStyle name="Comma 14 41 3 3 3" xfId="43889" xr:uid="{00000000-0005-0000-0000-0000183D0000}"/>
    <cellStyle name="Comma 14 41 3 4" xfId="20657" xr:uid="{00000000-0005-0000-0000-0000193D0000}"/>
    <cellStyle name="Comma 14 41 3 5" xfId="36149" xr:uid="{00000000-0005-0000-0000-00001A3D0000}"/>
    <cellStyle name="Comma 14 41 4" xfId="7003" xr:uid="{00000000-0005-0000-0000-00001B3D0000}"/>
    <cellStyle name="Comma 14 41 4 2" xfId="14748" xr:uid="{00000000-0005-0000-0000-00001C3D0000}"/>
    <cellStyle name="Comma 14 41 4 2 2" xfId="30340" xr:uid="{00000000-0005-0000-0000-00001D3D0000}"/>
    <cellStyle name="Comma 14 41 4 2 3" xfId="45832" xr:uid="{00000000-0005-0000-0000-00001E3D0000}"/>
    <cellStyle name="Comma 14 41 4 3" xfId="22600" xr:uid="{00000000-0005-0000-0000-00001F3D0000}"/>
    <cellStyle name="Comma 14 41 4 4" xfId="38092" xr:uid="{00000000-0005-0000-0000-0000203D0000}"/>
    <cellStyle name="Comma 14 41 5" xfId="10878" xr:uid="{00000000-0005-0000-0000-0000213D0000}"/>
    <cellStyle name="Comma 14 41 5 2" xfId="26470" xr:uid="{00000000-0005-0000-0000-0000223D0000}"/>
    <cellStyle name="Comma 14 41 5 3" xfId="41962" xr:uid="{00000000-0005-0000-0000-0000233D0000}"/>
    <cellStyle name="Comma 14 41 6" xfId="18730" xr:uid="{00000000-0005-0000-0000-0000243D0000}"/>
    <cellStyle name="Comma 14 41 7" xfId="34222" xr:uid="{00000000-0005-0000-0000-0000253D0000}"/>
    <cellStyle name="Comma 14 42" xfId="3121" xr:uid="{00000000-0005-0000-0000-0000263D0000}"/>
    <cellStyle name="Comma 14 42 2" xfId="4104" xr:uid="{00000000-0005-0000-0000-0000273D0000}"/>
    <cellStyle name="Comma 14 42 2 2" xfId="6043" xr:uid="{00000000-0005-0000-0000-0000283D0000}"/>
    <cellStyle name="Comma 14 42 2 2 2" xfId="9914" xr:uid="{00000000-0005-0000-0000-0000293D0000}"/>
    <cellStyle name="Comma 14 42 2 2 2 2" xfId="17659" xr:uid="{00000000-0005-0000-0000-00002A3D0000}"/>
    <cellStyle name="Comma 14 42 2 2 2 2 2" xfId="33251" xr:uid="{00000000-0005-0000-0000-00002B3D0000}"/>
    <cellStyle name="Comma 14 42 2 2 2 2 3" xfId="48743" xr:uid="{00000000-0005-0000-0000-00002C3D0000}"/>
    <cellStyle name="Comma 14 42 2 2 2 3" xfId="25511" xr:uid="{00000000-0005-0000-0000-00002D3D0000}"/>
    <cellStyle name="Comma 14 42 2 2 2 4" xfId="41003" xr:uid="{00000000-0005-0000-0000-00002E3D0000}"/>
    <cellStyle name="Comma 14 42 2 2 3" xfId="13789" xr:uid="{00000000-0005-0000-0000-00002F3D0000}"/>
    <cellStyle name="Comma 14 42 2 2 3 2" xfId="29381" xr:uid="{00000000-0005-0000-0000-0000303D0000}"/>
    <cellStyle name="Comma 14 42 2 2 3 3" xfId="44873" xr:uid="{00000000-0005-0000-0000-0000313D0000}"/>
    <cellStyle name="Comma 14 42 2 2 4" xfId="21641" xr:uid="{00000000-0005-0000-0000-0000323D0000}"/>
    <cellStyle name="Comma 14 42 2 2 5" xfId="37133" xr:uid="{00000000-0005-0000-0000-0000333D0000}"/>
    <cellStyle name="Comma 14 42 2 3" xfId="7987" xr:uid="{00000000-0005-0000-0000-0000343D0000}"/>
    <cellStyle name="Comma 14 42 2 3 2" xfId="15732" xr:uid="{00000000-0005-0000-0000-0000353D0000}"/>
    <cellStyle name="Comma 14 42 2 3 2 2" xfId="31324" xr:uid="{00000000-0005-0000-0000-0000363D0000}"/>
    <cellStyle name="Comma 14 42 2 3 2 3" xfId="46816" xr:uid="{00000000-0005-0000-0000-0000373D0000}"/>
    <cellStyle name="Comma 14 42 2 3 3" xfId="23584" xr:uid="{00000000-0005-0000-0000-0000383D0000}"/>
    <cellStyle name="Comma 14 42 2 3 4" xfId="39076" xr:uid="{00000000-0005-0000-0000-0000393D0000}"/>
    <cellStyle name="Comma 14 42 2 4" xfId="11862" xr:uid="{00000000-0005-0000-0000-00003A3D0000}"/>
    <cellStyle name="Comma 14 42 2 4 2" xfId="27454" xr:uid="{00000000-0005-0000-0000-00003B3D0000}"/>
    <cellStyle name="Comma 14 42 2 4 3" xfId="42946" xr:uid="{00000000-0005-0000-0000-00003C3D0000}"/>
    <cellStyle name="Comma 14 42 2 5" xfId="19714" xr:uid="{00000000-0005-0000-0000-00003D3D0000}"/>
    <cellStyle name="Comma 14 42 2 6" xfId="35206" xr:uid="{00000000-0005-0000-0000-00003E3D0000}"/>
    <cellStyle name="Comma 14 42 3" xfId="5095" xr:uid="{00000000-0005-0000-0000-00003F3D0000}"/>
    <cellStyle name="Comma 14 42 3 2" xfId="8966" xr:uid="{00000000-0005-0000-0000-0000403D0000}"/>
    <cellStyle name="Comma 14 42 3 2 2" xfId="16711" xr:uid="{00000000-0005-0000-0000-0000413D0000}"/>
    <cellStyle name="Comma 14 42 3 2 2 2" xfId="32303" xr:uid="{00000000-0005-0000-0000-0000423D0000}"/>
    <cellStyle name="Comma 14 42 3 2 2 3" xfId="47795" xr:uid="{00000000-0005-0000-0000-0000433D0000}"/>
    <cellStyle name="Comma 14 42 3 2 3" xfId="24563" xr:uid="{00000000-0005-0000-0000-0000443D0000}"/>
    <cellStyle name="Comma 14 42 3 2 4" xfId="40055" xr:uid="{00000000-0005-0000-0000-0000453D0000}"/>
    <cellStyle name="Comma 14 42 3 3" xfId="12841" xr:uid="{00000000-0005-0000-0000-0000463D0000}"/>
    <cellStyle name="Comma 14 42 3 3 2" xfId="28433" xr:uid="{00000000-0005-0000-0000-0000473D0000}"/>
    <cellStyle name="Comma 14 42 3 3 3" xfId="43925" xr:uid="{00000000-0005-0000-0000-0000483D0000}"/>
    <cellStyle name="Comma 14 42 3 4" xfId="20693" xr:uid="{00000000-0005-0000-0000-0000493D0000}"/>
    <cellStyle name="Comma 14 42 3 5" xfId="36185" xr:uid="{00000000-0005-0000-0000-00004A3D0000}"/>
    <cellStyle name="Comma 14 42 4" xfId="7039" xr:uid="{00000000-0005-0000-0000-00004B3D0000}"/>
    <cellStyle name="Comma 14 42 4 2" xfId="14784" xr:uid="{00000000-0005-0000-0000-00004C3D0000}"/>
    <cellStyle name="Comma 14 42 4 2 2" xfId="30376" xr:uid="{00000000-0005-0000-0000-00004D3D0000}"/>
    <cellStyle name="Comma 14 42 4 2 3" xfId="45868" xr:uid="{00000000-0005-0000-0000-00004E3D0000}"/>
    <cellStyle name="Comma 14 42 4 3" xfId="22636" xr:uid="{00000000-0005-0000-0000-00004F3D0000}"/>
    <cellStyle name="Comma 14 42 4 4" xfId="38128" xr:uid="{00000000-0005-0000-0000-0000503D0000}"/>
    <cellStyle name="Comma 14 42 5" xfId="10914" xr:uid="{00000000-0005-0000-0000-0000513D0000}"/>
    <cellStyle name="Comma 14 42 5 2" xfId="26506" xr:uid="{00000000-0005-0000-0000-0000523D0000}"/>
    <cellStyle name="Comma 14 42 5 3" xfId="41998" xr:uid="{00000000-0005-0000-0000-0000533D0000}"/>
    <cellStyle name="Comma 14 42 6" xfId="18766" xr:uid="{00000000-0005-0000-0000-0000543D0000}"/>
    <cellStyle name="Comma 14 42 7" xfId="34258" xr:uid="{00000000-0005-0000-0000-0000553D0000}"/>
    <cellStyle name="Comma 14 43" xfId="48849" xr:uid="{00000000-0005-0000-0000-0000563D0000}"/>
    <cellStyle name="Comma 14 5" xfId="886" xr:uid="{00000000-0005-0000-0000-0000573D0000}"/>
    <cellStyle name="Comma 14 6" xfId="887" xr:uid="{00000000-0005-0000-0000-0000583D0000}"/>
    <cellStyle name="Comma 14 7" xfId="888" xr:uid="{00000000-0005-0000-0000-0000593D0000}"/>
    <cellStyle name="Comma 14 8" xfId="889" xr:uid="{00000000-0005-0000-0000-00005A3D0000}"/>
    <cellStyle name="Comma 14 9" xfId="890" xr:uid="{00000000-0005-0000-0000-00005B3D0000}"/>
    <cellStyle name="Comma 15" xfId="891" xr:uid="{00000000-0005-0000-0000-00005C3D0000}"/>
    <cellStyle name="Comma 15 10" xfId="892" xr:uid="{00000000-0005-0000-0000-00005D3D0000}"/>
    <cellStyle name="Comma 15 10 2" xfId="49057" xr:uid="{E6489742-4A37-4D31-A223-127E642B0E7F}"/>
    <cellStyle name="Comma 15 11" xfId="893" xr:uid="{00000000-0005-0000-0000-00005E3D0000}"/>
    <cellStyle name="Comma 15 12" xfId="894" xr:uid="{00000000-0005-0000-0000-00005F3D0000}"/>
    <cellStyle name="Comma 15 13" xfId="895" xr:uid="{00000000-0005-0000-0000-0000603D0000}"/>
    <cellStyle name="Comma 15 14" xfId="896" xr:uid="{00000000-0005-0000-0000-0000613D0000}"/>
    <cellStyle name="Comma 15 15" xfId="897" xr:uid="{00000000-0005-0000-0000-0000623D0000}"/>
    <cellStyle name="Comma 15 16" xfId="898" xr:uid="{00000000-0005-0000-0000-0000633D0000}"/>
    <cellStyle name="Comma 15 17" xfId="899" xr:uid="{00000000-0005-0000-0000-0000643D0000}"/>
    <cellStyle name="Comma 15 18" xfId="900" xr:uid="{00000000-0005-0000-0000-0000653D0000}"/>
    <cellStyle name="Comma 15 19" xfId="901" xr:uid="{00000000-0005-0000-0000-0000663D0000}"/>
    <cellStyle name="Comma 15 2" xfId="902" xr:uid="{00000000-0005-0000-0000-0000673D0000}"/>
    <cellStyle name="Comma 15 2 2" xfId="17841" xr:uid="{00000000-0005-0000-0000-0000683D0000}"/>
    <cellStyle name="Comma 15 2 2 2" xfId="48966" xr:uid="{00000000-0005-0000-0000-0000693D0000}"/>
    <cellStyle name="Comma 15 2 3" xfId="48967" xr:uid="{00000000-0005-0000-0000-00006A3D0000}"/>
    <cellStyle name="Comma 15 20" xfId="903" xr:uid="{00000000-0005-0000-0000-00006B3D0000}"/>
    <cellStyle name="Comma 15 21" xfId="904" xr:uid="{00000000-0005-0000-0000-00006C3D0000}"/>
    <cellStyle name="Comma 15 22" xfId="905" xr:uid="{00000000-0005-0000-0000-00006D3D0000}"/>
    <cellStyle name="Comma 15 23" xfId="906" xr:uid="{00000000-0005-0000-0000-00006E3D0000}"/>
    <cellStyle name="Comma 15 24" xfId="907" xr:uid="{00000000-0005-0000-0000-00006F3D0000}"/>
    <cellStyle name="Comma 15 25" xfId="908" xr:uid="{00000000-0005-0000-0000-0000703D0000}"/>
    <cellStyle name="Comma 15 26" xfId="909" xr:uid="{00000000-0005-0000-0000-0000713D0000}"/>
    <cellStyle name="Comma 15 27" xfId="910" xr:uid="{00000000-0005-0000-0000-0000723D0000}"/>
    <cellStyle name="Comma 15 28" xfId="911" xr:uid="{00000000-0005-0000-0000-0000733D0000}"/>
    <cellStyle name="Comma 15 29" xfId="912" xr:uid="{00000000-0005-0000-0000-0000743D0000}"/>
    <cellStyle name="Comma 15 3" xfId="913" xr:uid="{00000000-0005-0000-0000-0000753D0000}"/>
    <cellStyle name="Comma 15 3 2" xfId="48968" xr:uid="{00000000-0005-0000-0000-0000763D0000}"/>
    <cellStyle name="Comma 15 30" xfId="49056" xr:uid="{62E5B583-AD32-4488-8086-0E6BFA0DDFD3}"/>
    <cellStyle name="Comma 15 4" xfId="914" xr:uid="{00000000-0005-0000-0000-0000773D0000}"/>
    <cellStyle name="Comma 15 5" xfId="915" xr:uid="{00000000-0005-0000-0000-0000783D0000}"/>
    <cellStyle name="Comma 15 6" xfId="916" xr:uid="{00000000-0005-0000-0000-0000793D0000}"/>
    <cellStyle name="Comma 15 7" xfId="917" xr:uid="{00000000-0005-0000-0000-00007A3D0000}"/>
    <cellStyle name="Comma 15 8" xfId="918" xr:uid="{00000000-0005-0000-0000-00007B3D0000}"/>
    <cellStyle name="Comma 15 9" xfId="919" xr:uid="{00000000-0005-0000-0000-00007C3D0000}"/>
    <cellStyle name="Comma 16" xfId="920" xr:uid="{00000000-0005-0000-0000-00007D3D0000}"/>
    <cellStyle name="Comma 16 2" xfId="48969" xr:uid="{00000000-0005-0000-0000-00007E3D0000}"/>
    <cellStyle name="Comma 16 2 2" xfId="48970" xr:uid="{00000000-0005-0000-0000-00007F3D0000}"/>
    <cellStyle name="Comma 16 2 3" xfId="48971" xr:uid="{00000000-0005-0000-0000-0000803D0000}"/>
    <cellStyle name="Comma 16 3" xfId="48972" xr:uid="{00000000-0005-0000-0000-0000813D0000}"/>
    <cellStyle name="Comma 17" xfId="921" xr:uid="{00000000-0005-0000-0000-0000823D0000}"/>
    <cellStyle name="Comma 17 2" xfId="17793" xr:uid="{00000000-0005-0000-0000-0000833D0000}"/>
    <cellStyle name="Comma 17 2 2" xfId="48973" xr:uid="{00000000-0005-0000-0000-0000843D0000}"/>
    <cellStyle name="Comma 17 2 2 2" xfId="49059" xr:uid="{24BBFF4C-3737-4FBD-A9BF-CAB23831191A}"/>
    <cellStyle name="Comma 17 2 3" xfId="49058" xr:uid="{53388222-D46F-4511-BC95-F15DBB121055}"/>
    <cellStyle name="Comma 17 3" xfId="17753" xr:uid="{00000000-0005-0000-0000-0000853D0000}"/>
    <cellStyle name="Comma 17 3 2" xfId="48974" xr:uid="{00000000-0005-0000-0000-0000863D0000}"/>
    <cellStyle name="Comma 17 4" xfId="17745" xr:uid="{00000000-0005-0000-0000-0000873D0000}"/>
    <cellStyle name="Comma 18" xfId="922" xr:uid="{00000000-0005-0000-0000-0000883D0000}"/>
    <cellStyle name="Comma 18 2" xfId="48975" xr:uid="{00000000-0005-0000-0000-0000893D0000}"/>
    <cellStyle name="Comma 19" xfId="923" xr:uid="{00000000-0005-0000-0000-00008A3D0000}"/>
    <cellStyle name="Comma 2" xfId="924" xr:uid="{00000000-0005-0000-0000-00008B3D0000}"/>
    <cellStyle name="Comma 2 10" xfId="925" xr:uid="{00000000-0005-0000-0000-00008C3D0000}"/>
    <cellStyle name="Comma 2 10 2" xfId="926" xr:uid="{00000000-0005-0000-0000-00008D3D0000}"/>
    <cellStyle name="Comma 2 10 2 2" xfId="49060" xr:uid="{E80F0809-3727-4397-BD0D-37090D6B42AB}"/>
    <cellStyle name="Comma 2 11" xfId="927" xr:uid="{00000000-0005-0000-0000-00008E3D0000}"/>
    <cellStyle name="Comma 2 12" xfId="928" xr:uid="{00000000-0005-0000-0000-00008F3D0000}"/>
    <cellStyle name="Comma 2 13" xfId="929" xr:uid="{00000000-0005-0000-0000-0000903D0000}"/>
    <cellStyle name="Comma 2 14" xfId="930" xr:uid="{00000000-0005-0000-0000-0000913D0000}"/>
    <cellStyle name="Comma 2 15" xfId="931" xr:uid="{00000000-0005-0000-0000-0000923D0000}"/>
    <cellStyle name="Comma 2 16" xfId="932" xr:uid="{00000000-0005-0000-0000-0000933D0000}"/>
    <cellStyle name="Comma 2 17" xfId="933" xr:uid="{00000000-0005-0000-0000-0000943D0000}"/>
    <cellStyle name="Comma 2 18" xfId="934" xr:uid="{00000000-0005-0000-0000-0000953D0000}"/>
    <cellStyle name="Comma 2 19" xfId="935" xr:uid="{00000000-0005-0000-0000-0000963D0000}"/>
    <cellStyle name="Comma 2 2" xfId="936" xr:uid="{00000000-0005-0000-0000-0000973D0000}"/>
    <cellStyle name="Comma 2 2 10" xfId="937" xr:uid="{00000000-0005-0000-0000-0000983D0000}"/>
    <cellStyle name="Comma 2 2 11" xfId="938" xr:uid="{00000000-0005-0000-0000-0000993D0000}"/>
    <cellStyle name="Comma 2 2 12" xfId="939" xr:uid="{00000000-0005-0000-0000-00009A3D0000}"/>
    <cellStyle name="Comma 2 2 13" xfId="940" xr:uid="{00000000-0005-0000-0000-00009B3D0000}"/>
    <cellStyle name="Comma 2 2 14" xfId="941" xr:uid="{00000000-0005-0000-0000-00009C3D0000}"/>
    <cellStyle name="Comma 2 2 15" xfId="942" xr:uid="{00000000-0005-0000-0000-00009D3D0000}"/>
    <cellStyle name="Comma 2 2 16" xfId="943" xr:uid="{00000000-0005-0000-0000-00009E3D0000}"/>
    <cellStyle name="Comma 2 2 17" xfId="944" xr:uid="{00000000-0005-0000-0000-00009F3D0000}"/>
    <cellStyle name="Comma 2 2 18" xfId="945" xr:uid="{00000000-0005-0000-0000-0000A03D0000}"/>
    <cellStyle name="Comma 2 2 19" xfId="946" xr:uid="{00000000-0005-0000-0000-0000A13D0000}"/>
    <cellStyle name="Comma 2 2 2" xfId="947" xr:uid="{00000000-0005-0000-0000-0000A23D0000}"/>
    <cellStyle name="Comma 2 2 2 2" xfId="948" xr:uid="{00000000-0005-0000-0000-0000A33D0000}"/>
    <cellStyle name="Comma 2 2 2 2 2" xfId="949" xr:uid="{00000000-0005-0000-0000-0000A43D0000}"/>
    <cellStyle name="Comma 2 2 2 2 2 2" xfId="950" xr:uid="{00000000-0005-0000-0000-0000A53D0000}"/>
    <cellStyle name="Comma 2 2 2 2 2 2 2" xfId="951" xr:uid="{00000000-0005-0000-0000-0000A63D0000}"/>
    <cellStyle name="Comma 2 2 2 2 2 3" xfId="952" xr:uid="{00000000-0005-0000-0000-0000A73D0000}"/>
    <cellStyle name="Comma 2 2 2 2 2 4" xfId="953" xr:uid="{00000000-0005-0000-0000-0000A83D0000}"/>
    <cellStyle name="Comma 2 2 2 2 3" xfId="954" xr:uid="{00000000-0005-0000-0000-0000A93D0000}"/>
    <cellStyle name="Comma 2 2 2 2 3 2" xfId="955" xr:uid="{00000000-0005-0000-0000-0000AA3D0000}"/>
    <cellStyle name="Comma 2 2 2 2 4" xfId="956" xr:uid="{00000000-0005-0000-0000-0000AB3D0000}"/>
    <cellStyle name="Comma 2 2 2 2 5" xfId="49061" xr:uid="{440771ED-E576-4D90-98B8-F01343DBD8F3}"/>
    <cellStyle name="Comma 2 2 2 3" xfId="957" xr:uid="{00000000-0005-0000-0000-0000AC3D0000}"/>
    <cellStyle name="Comma 2 2 2 4" xfId="958" xr:uid="{00000000-0005-0000-0000-0000AD3D0000}"/>
    <cellStyle name="Comma 2 2 2 4 2" xfId="959" xr:uid="{00000000-0005-0000-0000-0000AE3D0000}"/>
    <cellStyle name="Comma 2 2 2 5" xfId="960" xr:uid="{00000000-0005-0000-0000-0000AF3D0000}"/>
    <cellStyle name="Comma 2 2 20" xfId="961" xr:uid="{00000000-0005-0000-0000-0000B03D0000}"/>
    <cellStyle name="Comma 2 2 21" xfId="962" xr:uid="{00000000-0005-0000-0000-0000B13D0000}"/>
    <cellStyle name="Comma 2 2 22" xfId="963" xr:uid="{00000000-0005-0000-0000-0000B23D0000}"/>
    <cellStyle name="Comma 2 2 23" xfId="964" xr:uid="{00000000-0005-0000-0000-0000B33D0000}"/>
    <cellStyle name="Comma 2 2 23 2" xfId="3146" xr:uid="{00000000-0005-0000-0000-0000B43D0000}"/>
    <cellStyle name="Comma 2 2 24" xfId="965" xr:uid="{00000000-0005-0000-0000-0000B53D0000}"/>
    <cellStyle name="Comma 2 2 25" xfId="966" xr:uid="{00000000-0005-0000-0000-0000B63D0000}"/>
    <cellStyle name="Comma 2 2 25 10" xfId="967" xr:uid="{00000000-0005-0000-0000-0000B73D0000}"/>
    <cellStyle name="Comma 2 2 25 11" xfId="968" xr:uid="{00000000-0005-0000-0000-0000B83D0000}"/>
    <cellStyle name="Comma 2 2 25 12" xfId="969" xr:uid="{00000000-0005-0000-0000-0000B93D0000}"/>
    <cellStyle name="Comma 2 2 25 13" xfId="970" xr:uid="{00000000-0005-0000-0000-0000BA3D0000}"/>
    <cellStyle name="Comma 2 2 25 14" xfId="971" xr:uid="{00000000-0005-0000-0000-0000BB3D0000}"/>
    <cellStyle name="Comma 2 2 25 15" xfId="17784" xr:uid="{00000000-0005-0000-0000-0000BC3D0000}"/>
    <cellStyle name="Comma 2 2 25 2" xfId="972" xr:uid="{00000000-0005-0000-0000-0000BD3D0000}"/>
    <cellStyle name="Comma 2 2 25 2 2" xfId="973" xr:uid="{00000000-0005-0000-0000-0000BE3D0000}"/>
    <cellStyle name="Comma 2 2 25 3" xfId="974" xr:uid="{00000000-0005-0000-0000-0000BF3D0000}"/>
    <cellStyle name="Comma 2 2 25 4" xfId="975" xr:uid="{00000000-0005-0000-0000-0000C03D0000}"/>
    <cellStyle name="Comma 2 2 25 5" xfId="976" xr:uid="{00000000-0005-0000-0000-0000C13D0000}"/>
    <cellStyle name="Comma 2 2 25 6" xfId="977" xr:uid="{00000000-0005-0000-0000-0000C23D0000}"/>
    <cellStyle name="Comma 2 2 25 7" xfId="978" xr:uid="{00000000-0005-0000-0000-0000C33D0000}"/>
    <cellStyle name="Comma 2 2 25 8" xfId="979" xr:uid="{00000000-0005-0000-0000-0000C43D0000}"/>
    <cellStyle name="Comma 2 2 25 9" xfId="980" xr:uid="{00000000-0005-0000-0000-0000C53D0000}"/>
    <cellStyle name="Comma 2 2 26" xfId="981" xr:uid="{00000000-0005-0000-0000-0000C63D0000}"/>
    <cellStyle name="Comma 2 2 26 10" xfId="982" xr:uid="{00000000-0005-0000-0000-0000C73D0000}"/>
    <cellStyle name="Comma 2 2 26 11" xfId="983" xr:uid="{00000000-0005-0000-0000-0000C83D0000}"/>
    <cellStyle name="Comma 2 2 26 12" xfId="984" xr:uid="{00000000-0005-0000-0000-0000C93D0000}"/>
    <cellStyle name="Comma 2 2 26 13" xfId="985" xr:uid="{00000000-0005-0000-0000-0000CA3D0000}"/>
    <cellStyle name="Comma 2 2 26 2" xfId="986" xr:uid="{00000000-0005-0000-0000-0000CB3D0000}"/>
    <cellStyle name="Comma 2 2 26 2 2" xfId="987" xr:uid="{00000000-0005-0000-0000-0000CC3D0000}"/>
    <cellStyle name="Comma 2 2 26 3" xfId="988" xr:uid="{00000000-0005-0000-0000-0000CD3D0000}"/>
    <cellStyle name="Comma 2 2 26 4" xfId="989" xr:uid="{00000000-0005-0000-0000-0000CE3D0000}"/>
    <cellStyle name="Comma 2 2 26 5" xfId="990" xr:uid="{00000000-0005-0000-0000-0000CF3D0000}"/>
    <cellStyle name="Comma 2 2 26 6" xfId="991" xr:uid="{00000000-0005-0000-0000-0000D03D0000}"/>
    <cellStyle name="Comma 2 2 26 7" xfId="992" xr:uid="{00000000-0005-0000-0000-0000D13D0000}"/>
    <cellStyle name="Comma 2 2 26 8" xfId="993" xr:uid="{00000000-0005-0000-0000-0000D23D0000}"/>
    <cellStyle name="Comma 2 2 26 9" xfId="994" xr:uid="{00000000-0005-0000-0000-0000D33D0000}"/>
    <cellStyle name="Comma 2 2 27" xfId="995" xr:uid="{00000000-0005-0000-0000-0000D43D0000}"/>
    <cellStyle name="Comma 2 2 27 2" xfId="996" xr:uid="{00000000-0005-0000-0000-0000D53D0000}"/>
    <cellStyle name="Comma 2 2 28" xfId="997" xr:uid="{00000000-0005-0000-0000-0000D63D0000}"/>
    <cellStyle name="Comma 2 2 29" xfId="998" xr:uid="{00000000-0005-0000-0000-0000D73D0000}"/>
    <cellStyle name="Comma 2 2 3" xfId="999" xr:uid="{00000000-0005-0000-0000-0000D83D0000}"/>
    <cellStyle name="Comma 2 2 3 2" xfId="1000" xr:uid="{00000000-0005-0000-0000-0000D93D0000}"/>
    <cellStyle name="Comma 2 2 30" xfId="1001" xr:uid="{00000000-0005-0000-0000-0000DA3D0000}"/>
    <cellStyle name="Comma 2 2 31" xfId="1002" xr:uid="{00000000-0005-0000-0000-0000DB3D0000}"/>
    <cellStyle name="Comma 2 2 32" xfId="1003" xr:uid="{00000000-0005-0000-0000-0000DC3D0000}"/>
    <cellStyle name="Comma 2 2 33" xfId="1004" xr:uid="{00000000-0005-0000-0000-0000DD3D0000}"/>
    <cellStyle name="Comma 2 2 34" xfId="1005" xr:uid="{00000000-0005-0000-0000-0000DE3D0000}"/>
    <cellStyle name="Comma 2 2 35" xfId="1006" xr:uid="{00000000-0005-0000-0000-0000DF3D0000}"/>
    <cellStyle name="Comma 2 2 36" xfId="1007" xr:uid="{00000000-0005-0000-0000-0000E03D0000}"/>
    <cellStyle name="Comma 2 2 37" xfId="1008" xr:uid="{00000000-0005-0000-0000-0000E13D0000}"/>
    <cellStyle name="Comma 2 2 38" xfId="1009" xr:uid="{00000000-0005-0000-0000-0000E23D0000}"/>
    <cellStyle name="Comma 2 2 39" xfId="1010" xr:uid="{00000000-0005-0000-0000-0000E33D0000}"/>
    <cellStyle name="Comma 2 2 4" xfId="1011" xr:uid="{00000000-0005-0000-0000-0000E43D0000}"/>
    <cellStyle name="Comma 2 2 4 2" xfId="1012" xr:uid="{00000000-0005-0000-0000-0000E53D0000}"/>
    <cellStyle name="Comma 2 2 40" xfId="1013" xr:uid="{00000000-0005-0000-0000-0000E63D0000}"/>
    <cellStyle name="Comma 2 2 41" xfId="1014" xr:uid="{00000000-0005-0000-0000-0000E73D0000}"/>
    <cellStyle name="Comma 2 2 42" xfId="1015" xr:uid="{00000000-0005-0000-0000-0000E83D0000}"/>
    <cellStyle name="Comma 2 2 43" xfId="1016" xr:uid="{00000000-0005-0000-0000-0000E93D0000}"/>
    <cellStyle name="Comma 2 2 44" xfId="1017" xr:uid="{00000000-0005-0000-0000-0000EA3D0000}"/>
    <cellStyle name="Comma 2 2 45" xfId="1018" xr:uid="{00000000-0005-0000-0000-0000EB3D0000}"/>
    <cellStyle name="Comma 2 2 46" xfId="1019" xr:uid="{00000000-0005-0000-0000-0000EC3D0000}"/>
    <cellStyle name="Comma 2 2 47" xfId="1020" xr:uid="{00000000-0005-0000-0000-0000ED3D0000}"/>
    <cellStyle name="Comma 2 2 48" xfId="1021" xr:uid="{00000000-0005-0000-0000-0000EE3D0000}"/>
    <cellStyle name="Comma 2 2 49" xfId="1022" xr:uid="{00000000-0005-0000-0000-0000EF3D0000}"/>
    <cellStyle name="Comma 2 2 5" xfId="1023" xr:uid="{00000000-0005-0000-0000-0000F03D0000}"/>
    <cellStyle name="Comma 2 2 5 2" xfId="1024" xr:uid="{00000000-0005-0000-0000-0000F13D0000}"/>
    <cellStyle name="Comma 2 2 50" xfId="2174" xr:uid="{00000000-0005-0000-0000-0000F23D0000}"/>
    <cellStyle name="Comma 2 2 6" xfId="1025" xr:uid="{00000000-0005-0000-0000-0000F33D0000}"/>
    <cellStyle name="Comma 2 2 6 2" xfId="1026" xr:uid="{00000000-0005-0000-0000-0000F43D0000}"/>
    <cellStyle name="Comma 2 2 7" xfId="1027" xr:uid="{00000000-0005-0000-0000-0000F53D0000}"/>
    <cellStyle name="Comma 2 2 7 2" xfId="1028" xr:uid="{00000000-0005-0000-0000-0000F63D0000}"/>
    <cellStyle name="Comma 2 2 8" xfId="1029" xr:uid="{00000000-0005-0000-0000-0000F73D0000}"/>
    <cellStyle name="Comma 2 2 8 2" xfId="1030" xr:uid="{00000000-0005-0000-0000-0000F83D0000}"/>
    <cellStyle name="Comma 2 2 9" xfId="1031" xr:uid="{00000000-0005-0000-0000-0000F93D0000}"/>
    <cellStyle name="Comma 2 2 9 2" xfId="1032" xr:uid="{00000000-0005-0000-0000-0000FA3D0000}"/>
    <cellStyle name="Comma 2 20" xfId="1033" xr:uid="{00000000-0005-0000-0000-0000FB3D0000}"/>
    <cellStyle name="Comma 2 21" xfId="1034" xr:uid="{00000000-0005-0000-0000-0000FC3D0000}"/>
    <cellStyle name="Comma 2 22" xfId="1035" xr:uid="{00000000-0005-0000-0000-0000FD3D0000}"/>
    <cellStyle name="Comma 2 23" xfId="1036" xr:uid="{00000000-0005-0000-0000-0000FE3D0000}"/>
    <cellStyle name="Comma 2 24" xfId="1037" xr:uid="{00000000-0005-0000-0000-0000FF3D0000}"/>
    <cellStyle name="Comma 2 25" xfId="1038" xr:uid="{00000000-0005-0000-0000-0000003E0000}"/>
    <cellStyle name="Comma 2 26" xfId="1039" xr:uid="{00000000-0005-0000-0000-0000013E0000}"/>
    <cellStyle name="Comma 2 27" xfId="1040" xr:uid="{00000000-0005-0000-0000-0000023E0000}"/>
    <cellStyle name="Comma 2 27 2" xfId="4155" xr:uid="{00000000-0005-0000-0000-0000033E0000}"/>
    <cellStyle name="Comma 2 27 3" xfId="17761" xr:uid="{00000000-0005-0000-0000-0000043E0000}"/>
    <cellStyle name="Comma 2 27 3 2" xfId="49063" xr:uid="{33EF3959-CC5C-4C3B-8C6B-B5EE1FD9E331}"/>
    <cellStyle name="Comma 2 27 4" xfId="49062" xr:uid="{E7748555-5CE1-4EF5-A013-C2CA43FCA5B8}"/>
    <cellStyle name="Comma 2 28" xfId="1041" xr:uid="{00000000-0005-0000-0000-0000053E0000}"/>
    <cellStyle name="Comma 2 28 2" xfId="48903" xr:uid="{00000000-0005-0000-0000-0000063E0000}"/>
    <cellStyle name="Comma 2 29" xfId="1042" xr:uid="{00000000-0005-0000-0000-0000073E0000}"/>
    <cellStyle name="Comma 2 3" xfId="1043" xr:uid="{00000000-0005-0000-0000-0000083E0000}"/>
    <cellStyle name="Comma 2 3 2" xfId="1044" xr:uid="{00000000-0005-0000-0000-0000093E0000}"/>
    <cellStyle name="Comma 2 3 2 10" xfId="1045" xr:uid="{00000000-0005-0000-0000-00000A3E0000}"/>
    <cellStyle name="Comma 2 3 2 11" xfId="1046" xr:uid="{00000000-0005-0000-0000-00000B3E0000}"/>
    <cellStyle name="Comma 2 3 2 12" xfId="1047" xr:uid="{00000000-0005-0000-0000-00000C3E0000}"/>
    <cellStyle name="Comma 2 3 2 13" xfId="1048" xr:uid="{00000000-0005-0000-0000-00000D3E0000}"/>
    <cellStyle name="Comma 2 3 2 14" xfId="1049" xr:uid="{00000000-0005-0000-0000-00000E3E0000}"/>
    <cellStyle name="Comma 2 3 2 15" xfId="1050" xr:uid="{00000000-0005-0000-0000-00000F3E0000}"/>
    <cellStyle name="Comma 2 3 2 16" xfId="1051" xr:uid="{00000000-0005-0000-0000-0000103E0000}"/>
    <cellStyle name="Comma 2 3 2 17" xfId="1052" xr:uid="{00000000-0005-0000-0000-0000113E0000}"/>
    <cellStyle name="Comma 2 3 2 18" xfId="1053" xr:uid="{00000000-0005-0000-0000-0000123E0000}"/>
    <cellStyle name="Comma 2 3 2 19" xfId="1054" xr:uid="{00000000-0005-0000-0000-0000133E0000}"/>
    <cellStyle name="Comma 2 3 2 2" xfId="1055" xr:uid="{00000000-0005-0000-0000-0000143E0000}"/>
    <cellStyle name="Comma 2 3 2 20" xfId="1056" xr:uid="{00000000-0005-0000-0000-0000153E0000}"/>
    <cellStyle name="Comma 2 3 2 21" xfId="1057" xr:uid="{00000000-0005-0000-0000-0000163E0000}"/>
    <cellStyle name="Comma 2 3 2 22" xfId="1058" xr:uid="{00000000-0005-0000-0000-0000173E0000}"/>
    <cellStyle name="Comma 2 3 2 23" xfId="1059" xr:uid="{00000000-0005-0000-0000-0000183E0000}"/>
    <cellStyle name="Comma 2 3 2 24" xfId="2175" xr:uid="{00000000-0005-0000-0000-0000193E0000}"/>
    <cellStyle name="Comma 2 3 2 3" xfId="1060" xr:uid="{00000000-0005-0000-0000-00001A3E0000}"/>
    <cellStyle name="Comma 2 3 2 4" xfId="1061" xr:uid="{00000000-0005-0000-0000-00001B3E0000}"/>
    <cellStyle name="Comma 2 3 2 5" xfId="1062" xr:uid="{00000000-0005-0000-0000-00001C3E0000}"/>
    <cellStyle name="Comma 2 3 2 6" xfId="1063" xr:uid="{00000000-0005-0000-0000-00001D3E0000}"/>
    <cellStyle name="Comma 2 3 2 7" xfId="1064" xr:uid="{00000000-0005-0000-0000-00001E3E0000}"/>
    <cellStyle name="Comma 2 3 2 8" xfId="1065" xr:uid="{00000000-0005-0000-0000-00001F3E0000}"/>
    <cellStyle name="Comma 2 3 2 9" xfId="1066" xr:uid="{00000000-0005-0000-0000-0000203E0000}"/>
    <cellStyle name="Comma 2 3 3" xfId="1067" xr:uid="{00000000-0005-0000-0000-0000213E0000}"/>
    <cellStyle name="Comma 2 3 3 10" xfId="1068" xr:uid="{00000000-0005-0000-0000-0000223E0000}"/>
    <cellStyle name="Comma 2 3 3 11" xfId="1069" xr:uid="{00000000-0005-0000-0000-0000233E0000}"/>
    <cellStyle name="Comma 2 3 3 12" xfId="1070" xr:uid="{00000000-0005-0000-0000-0000243E0000}"/>
    <cellStyle name="Comma 2 3 3 13" xfId="1071" xr:uid="{00000000-0005-0000-0000-0000253E0000}"/>
    <cellStyle name="Comma 2 3 3 14" xfId="1072" xr:uid="{00000000-0005-0000-0000-0000263E0000}"/>
    <cellStyle name="Comma 2 3 3 15" xfId="1073" xr:uid="{00000000-0005-0000-0000-0000273E0000}"/>
    <cellStyle name="Comma 2 3 3 16" xfId="1074" xr:uid="{00000000-0005-0000-0000-0000283E0000}"/>
    <cellStyle name="Comma 2 3 3 17" xfId="1075" xr:uid="{00000000-0005-0000-0000-0000293E0000}"/>
    <cellStyle name="Comma 2 3 3 18" xfId="1076" xr:uid="{00000000-0005-0000-0000-00002A3E0000}"/>
    <cellStyle name="Comma 2 3 3 19" xfId="1077" xr:uid="{00000000-0005-0000-0000-00002B3E0000}"/>
    <cellStyle name="Comma 2 3 3 2" xfId="1078" xr:uid="{00000000-0005-0000-0000-00002C3E0000}"/>
    <cellStyle name="Comma 2 3 3 20" xfId="1079" xr:uid="{00000000-0005-0000-0000-00002D3E0000}"/>
    <cellStyle name="Comma 2 3 3 21" xfId="1080" xr:uid="{00000000-0005-0000-0000-00002E3E0000}"/>
    <cellStyle name="Comma 2 3 3 22" xfId="1081" xr:uid="{00000000-0005-0000-0000-00002F3E0000}"/>
    <cellStyle name="Comma 2 3 3 23" xfId="1082" xr:uid="{00000000-0005-0000-0000-0000303E0000}"/>
    <cellStyle name="Comma 2 3 3 24" xfId="2176" xr:uid="{00000000-0005-0000-0000-0000313E0000}"/>
    <cellStyle name="Comma 2 3 3 3" xfId="1083" xr:uid="{00000000-0005-0000-0000-0000323E0000}"/>
    <cellStyle name="Comma 2 3 3 4" xfId="1084" xr:uid="{00000000-0005-0000-0000-0000333E0000}"/>
    <cellStyle name="Comma 2 3 3 5" xfId="1085" xr:uid="{00000000-0005-0000-0000-0000343E0000}"/>
    <cellStyle name="Comma 2 3 3 6" xfId="1086" xr:uid="{00000000-0005-0000-0000-0000353E0000}"/>
    <cellStyle name="Comma 2 3 3 7" xfId="1087" xr:uid="{00000000-0005-0000-0000-0000363E0000}"/>
    <cellStyle name="Comma 2 3 3 8" xfId="1088" xr:uid="{00000000-0005-0000-0000-0000373E0000}"/>
    <cellStyle name="Comma 2 3 3 9" xfId="1089" xr:uid="{00000000-0005-0000-0000-0000383E0000}"/>
    <cellStyle name="Comma 2 3 4" xfId="1090" xr:uid="{00000000-0005-0000-0000-0000393E0000}"/>
    <cellStyle name="Comma 2 3 5" xfId="3158" xr:uid="{00000000-0005-0000-0000-00003A3E0000}"/>
    <cellStyle name="Comma 2 3 5 2" xfId="49064" xr:uid="{4A9B2B49-12BD-469D-B7FF-1923CEBD7E0F}"/>
    <cellStyle name="Comma 2 4" xfId="1091" xr:uid="{00000000-0005-0000-0000-00003B3E0000}"/>
    <cellStyle name="Comma 2 4 2" xfId="1092" xr:uid="{00000000-0005-0000-0000-00003C3E0000}"/>
    <cellStyle name="Comma 2 5" xfId="1093" xr:uid="{00000000-0005-0000-0000-00003D3E0000}"/>
    <cellStyle name="Comma 2 5 2" xfId="1094" xr:uid="{00000000-0005-0000-0000-00003E3E0000}"/>
    <cellStyle name="Comma 2 55" xfId="3154" xr:uid="{00000000-0005-0000-0000-00003F3E0000}"/>
    <cellStyle name="Comma 2 6" xfId="1095" xr:uid="{00000000-0005-0000-0000-0000403E0000}"/>
    <cellStyle name="Comma 2 6 2" xfId="1096" xr:uid="{00000000-0005-0000-0000-0000413E0000}"/>
    <cellStyle name="Comma 2 7" xfId="1097" xr:uid="{00000000-0005-0000-0000-0000423E0000}"/>
    <cellStyle name="Comma 2 7 2" xfId="1098" xr:uid="{00000000-0005-0000-0000-0000433E0000}"/>
    <cellStyle name="Comma 2 8" xfId="1099" xr:uid="{00000000-0005-0000-0000-0000443E0000}"/>
    <cellStyle name="Comma 2 8 2" xfId="1100" xr:uid="{00000000-0005-0000-0000-0000453E0000}"/>
    <cellStyle name="Comma 2 9" xfId="1101" xr:uid="{00000000-0005-0000-0000-0000463E0000}"/>
    <cellStyle name="Comma 2 9 2" xfId="1102" xr:uid="{00000000-0005-0000-0000-0000473E0000}"/>
    <cellStyle name="Comma 20" xfId="1103" xr:uid="{00000000-0005-0000-0000-0000483E0000}"/>
    <cellStyle name="Comma 20 2" xfId="48944" xr:uid="{00000000-0005-0000-0000-0000493E0000}"/>
    <cellStyle name="Comma 21" xfId="1104" xr:uid="{00000000-0005-0000-0000-00004A3E0000}"/>
    <cellStyle name="Comma 21 2" xfId="48976" xr:uid="{00000000-0005-0000-0000-00004B3E0000}"/>
    <cellStyle name="Comma 21 2 2" xfId="49065" xr:uid="{5B876071-F14C-4F61-A321-63FED7A62168}"/>
    <cellStyle name="Comma 22" xfId="1105" xr:uid="{00000000-0005-0000-0000-00004C3E0000}"/>
    <cellStyle name="Comma 22 2" xfId="3159" xr:uid="{00000000-0005-0000-0000-00004D3E0000}"/>
    <cellStyle name="Comma 23" xfId="1106" xr:uid="{00000000-0005-0000-0000-00004E3E0000}"/>
    <cellStyle name="Comma 24" xfId="1107" xr:uid="{00000000-0005-0000-0000-00004F3E0000}"/>
    <cellStyle name="Comma 25" xfId="1108" xr:uid="{00000000-0005-0000-0000-0000503E0000}"/>
    <cellStyle name="Comma 26" xfId="1109" xr:uid="{00000000-0005-0000-0000-0000513E0000}"/>
    <cellStyle name="Comma 27" xfId="1110" xr:uid="{00000000-0005-0000-0000-0000523E0000}"/>
    <cellStyle name="Comma 28" xfId="1111" xr:uid="{00000000-0005-0000-0000-0000533E0000}"/>
    <cellStyle name="Comma 29" xfId="1112" xr:uid="{00000000-0005-0000-0000-0000543E0000}"/>
    <cellStyle name="Comma 3" xfId="1113" xr:uid="{00000000-0005-0000-0000-0000553E0000}"/>
    <cellStyle name="Comma 3 10" xfId="1114" xr:uid="{00000000-0005-0000-0000-0000563E0000}"/>
    <cellStyle name="Comma 3 11" xfId="1115" xr:uid="{00000000-0005-0000-0000-0000573E0000}"/>
    <cellStyle name="Comma 3 12" xfId="1116" xr:uid="{00000000-0005-0000-0000-0000583E0000}"/>
    <cellStyle name="Comma 3 13" xfId="1117" xr:uid="{00000000-0005-0000-0000-0000593E0000}"/>
    <cellStyle name="Comma 3 14" xfId="1118" xr:uid="{00000000-0005-0000-0000-00005A3E0000}"/>
    <cellStyle name="Comma 3 15" xfId="1119" xr:uid="{00000000-0005-0000-0000-00005B3E0000}"/>
    <cellStyle name="Comma 3 16" xfId="1120" xr:uid="{00000000-0005-0000-0000-00005C3E0000}"/>
    <cellStyle name="Comma 3 17" xfId="1121" xr:uid="{00000000-0005-0000-0000-00005D3E0000}"/>
    <cellStyle name="Comma 3 18" xfId="1122" xr:uid="{00000000-0005-0000-0000-00005E3E0000}"/>
    <cellStyle name="Comma 3 19" xfId="1123" xr:uid="{00000000-0005-0000-0000-00005F3E0000}"/>
    <cellStyle name="Comma 3 2" xfId="1124" xr:uid="{00000000-0005-0000-0000-0000603E0000}"/>
    <cellStyle name="Comma 3 2 2" xfId="1125" xr:uid="{00000000-0005-0000-0000-0000613E0000}"/>
    <cellStyle name="Comma 3 2 2 2" xfId="49066" xr:uid="{A2857668-82E4-4DB4-B5AF-4686F2F7AE4C}"/>
    <cellStyle name="Comma 3 2 3" xfId="1126" xr:uid="{00000000-0005-0000-0000-0000623E0000}"/>
    <cellStyle name="Comma 3 2 3 2" xfId="17742" xr:uid="{00000000-0005-0000-0000-0000633E0000}"/>
    <cellStyle name="Comma 3 2 3 3" xfId="48977" xr:uid="{00000000-0005-0000-0000-0000643E0000}"/>
    <cellStyle name="Comma 3 2 4" xfId="1127" xr:uid="{00000000-0005-0000-0000-0000653E0000}"/>
    <cellStyle name="Comma 3 2 5" xfId="17776" xr:uid="{00000000-0005-0000-0000-0000663E0000}"/>
    <cellStyle name="Comma 3 20" xfId="1128" xr:uid="{00000000-0005-0000-0000-0000673E0000}"/>
    <cellStyle name="Comma 3 21" xfId="1129" xr:uid="{00000000-0005-0000-0000-0000683E0000}"/>
    <cellStyle name="Comma 3 22" xfId="1130" xr:uid="{00000000-0005-0000-0000-0000693E0000}"/>
    <cellStyle name="Comma 3 23" xfId="1131" xr:uid="{00000000-0005-0000-0000-00006A3E0000}"/>
    <cellStyle name="Comma 3 24" xfId="1132" xr:uid="{00000000-0005-0000-0000-00006B3E0000}"/>
    <cellStyle name="Comma 3 25" xfId="1133" xr:uid="{00000000-0005-0000-0000-00006C3E0000}"/>
    <cellStyle name="Comma 3 26" xfId="1134" xr:uid="{00000000-0005-0000-0000-00006D3E0000}"/>
    <cellStyle name="Comma 3 27" xfId="1135" xr:uid="{00000000-0005-0000-0000-00006E3E0000}"/>
    <cellStyle name="Comma 3 28" xfId="1136" xr:uid="{00000000-0005-0000-0000-00006F3E0000}"/>
    <cellStyle name="Comma 3 29" xfId="2177" xr:uid="{00000000-0005-0000-0000-0000703E0000}"/>
    <cellStyle name="Comma 3 29 2" xfId="2517" xr:uid="{00000000-0005-0000-0000-0000713E0000}"/>
    <cellStyle name="Comma 3 29 2 2" xfId="3525" xr:uid="{00000000-0005-0000-0000-0000723E0000}"/>
    <cellStyle name="Comma 3 29 2 2 2" xfId="5464" xr:uid="{00000000-0005-0000-0000-0000733E0000}"/>
    <cellStyle name="Comma 3 29 2 2 2 2" xfId="9335" xr:uid="{00000000-0005-0000-0000-0000743E0000}"/>
    <cellStyle name="Comma 3 29 2 2 2 2 2" xfId="17080" xr:uid="{00000000-0005-0000-0000-0000753E0000}"/>
    <cellStyle name="Comma 3 29 2 2 2 2 2 2" xfId="32672" xr:uid="{00000000-0005-0000-0000-0000763E0000}"/>
    <cellStyle name="Comma 3 29 2 2 2 2 2 3" xfId="48164" xr:uid="{00000000-0005-0000-0000-0000773E0000}"/>
    <cellStyle name="Comma 3 29 2 2 2 2 3" xfId="24932" xr:uid="{00000000-0005-0000-0000-0000783E0000}"/>
    <cellStyle name="Comma 3 29 2 2 2 2 4" xfId="40424" xr:uid="{00000000-0005-0000-0000-0000793E0000}"/>
    <cellStyle name="Comma 3 29 2 2 2 3" xfId="13210" xr:uid="{00000000-0005-0000-0000-00007A3E0000}"/>
    <cellStyle name="Comma 3 29 2 2 2 3 2" xfId="28802" xr:uid="{00000000-0005-0000-0000-00007B3E0000}"/>
    <cellStyle name="Comma 3 29 2 2 2 3 3" xfId="44294" xr:uid="{00000000-0005-0000-0000-00007C3E0000}"/>
    <cellStyle name="Comma 3 29 2 2 2 4" xfId="21062" xr:uid="{00000000-0005-0000-0000-00007D3E0000}"/>
    <cellStyle name="Comma 3 29 2 2 2 5" xfId="36554" xr:uid="{00000000-0005-0000-0000-00007E3E0000}"/>
    <cellStyle name="Comma 3 29 2 2 3" xfId="7408" xr:uid="{00000000-0005-0000-0000-00007F3E0000}"/>
    <cellStyle name="Comma 3 29 2 2 3 2" xfId="15153" xr:uid="{00000000-0005-0000-0000-0000803E0000}"/>
    <cellStyle name="Comma 3 29 2 2 3 2 2" xfId="30745" xr:uid="{00000000-0005-0000-0000-0000813E0000}"/>
    <cellStyle name="Comma 3 29 2 2 3 2 3" xfId="46237" xr:uid="{00000000-0005-0000-0000-0000823E0000}"/>
    <cellStyle name="Comma 3 29 2 2 3 3" xfId="23005" xr:uid="{00000000-0005-0000-0000-0000833E0000}"/>
    <cellStyle name="Comma 3 29 2 2 3 4" xfId="38497" xr:uid="{00000000-0005-0000-0000-0000843E0000}"/>
    <cellStyle name="Comma 3 29 2 2 4" xfId="11283" xr:uid="{00000000-0005-0000-0000-0000853E0000}"/>
    <cellStyle name="Comma 3 29 2 2 4 2" xfId="26875" xr:uid="{00000000-0005-0000-0000-0000863E0000}"/>
    <cellStyle name="Comma 3 29 2 2 4 3" xfId="42367" xr:uid="{00000000-0005-0000-0000-0000873E0000}"/>
    <cellStyle name="Comma 3 29 2 2 5" xfId="19135" xr:uid="{00000000-0005-0000-0000-0000883E0000}"/>
    <cellStyle name="Comma 3 29 2 2 6" xfId="34627" xr:uid="{00000000-0005-0000-0000-0000893E0000}"/>
    <cellStyle name="Comma 3 29 2 3" xfId="4516" xr:uid="{00000000-0005-0000-0000-00008A3E0000}"/>
    <cellStyle name="Comma 3 29 2 3 2" xfId="8387" xr:uid="{00000000-0005-0000-0000-00008B3E0000}"/>
    <cellStyle name="Comma 3 29 2 3 2 2" xfId="16132" xr:uid="{00000000-0005-0000-0000-00008C3E0000}"/>
    <cellStyle name="Comma 3 29 2 3 2 2 2" xfId="31724" xr:uid="{00000000-0005-0000-0000-00008D3E0000}"/>
    <cellStyle name="Comma 3 29 2 3 2 2 3" xfId="47216" xr:uid="{00000000-0005-0000-0000-00008E3E0000}"/>
    <cellStyle name="Comma 3 29 2 3 2 3" xfId="23984" xr:uid="{00000000-0005-0000-0000-00008F3E0000}"/>
    <cellStyle name="Comma 3 29 2 3 2 4" xfId="39476" xr:uid="{00000000-0005-0000-0000-0000903E0000}"/>
    <cellStyle name="Comma 3 29 2 3 3" xfId="12262" xr:uid="{00000000-0005-0000-0000-0000913E0000}"/>
    <cellStyle name="Comma 3 29 2 3 3 2" xfId="27854" xr:uid="{00000000-0005-0000-0000-0000923E0000}"/>
    <cellStyle name="Comma 3 29 2 3 3 3" xfId="43346" xr:uid="{00000000-0005-0000-0000-0000933E0000}"/>
    <cellStyle name="Comma 3 29 2 3 4" xfId="20114" xr:uid="{00000000-0005-0000-0000-0000943E0000}"/>
    <cellStyle name="Comma 3 29 2 3 5" xfId="35606" xr:uid="{00000000-0005-0000-0000-0000953E0000}"/>
    <cellStyle name="Comma 3 29 2 4" xfId="6460" xr:uid="{00000000-0005-0000-0000-0000963E0000}"/>
    <cellStyle name="Comma 3 29 2 4 2" xfId="14205" xr:uid="{00000000-0005-0000-0000-0000973E0000}"/>
    <cellStyle name="Comma 3 29 2 4 2 2" xfId="29797" xr:uid="{00000000-0005-0000-0000-0000983E0000}"/>
    <cellStyle name="Comma 3 29 2 4 2 3" xfId="45289" xr:uid="{00000000-0005-0000-0000-0000993E0000}"/>
    <cellStyle name="Comma 3 29 2 4 3" xfId="22057" xr:uid="{00000000-0005-0000-0000-00009A3E0000}"/>
    <cellStyle name="Comma 3 29 2 4 4" xfId="37549" xr:uid="{00000000-0005-0000-0000-00009B3E0000}"/>
    <cellStyle name="Comma 3 29 2 5" xfId="10335" xr:uid="{00000000-0005-0000-0000-00009C3E0000}"/>
    <cellStyle name="Comma 3 29 2 5 2" xfId="25927" xr:uid="{00000000-0005-0000-0000-00009D3E0000}"/>
    <cellStyle name="Comma 3 29 2 5 3" xfId="41419" xr:uid="{00000000-0005-0000-0000-00009E3E0000}"/>
    <cellStyle name="Comma 3 29 2 6" xfId="18187" xr:uid="{00000000-0005-0000-0000-00009F3E0000}"/>
    <cellStyle name="Comma 3 29 2 7" xfId="33679" xr:uid="{00000000-0005-0000-0000-0000A03E0000}"/>
    <cellStyle name="Comma 3 29 3" xfId="3216" xr:uid="{00000000-0005-0000-0000-0000A13E0000}"/>
    <cellStyle name="Comma 3 29 3 2" xfId="5155" xr:uid="{00000000-0005-0000-0000-0000A23E0000}"/>
    <cellStyle name="Comma 3 29 3 2 2" xfId="9026" xr:uid="{00000000-0005-0000-0000-0000A33E0000}"/>
    <cellStyle name="Comma 3 29 3 2 2 2" xfId="16771" xr:uid="{00000000-0005-0000-0000-0000A43E0000}"/>
    <cellStyle name="Comma 3 29 3 2 2 2 2" xfId="32363" xr:uid="{00000000-0005-0000-0000-0000A53E0000}"/>
    <cellStyle name="Comma 3 29 3 2 2 2 3" xfId="47855" xr:uid="{00000000-0005-0000-0000-0000A63E0000}"/>
    <cellStyle name="Comma 3 29 3 2 2 3" xfId="24623" xr:uid="{00000000-0005-0000-0000-0000A73E0000}"/>
    <cellStyle name="Comma 3 29 3 2 2 4" xfId="40115" xr:uid="{00000000-0005-0000-0000-0000A83E0000}"/>
    <cellStyle name="Comma 3 29 3 2 3" xfId="12901" xr:uid="{00000000-0005-0000-0000-0000A93E0000}"/>
    <cellStyle name="Comma 3 29 3 2 3 2" xfId="28493" xr:uid="{00000000-0005-0000-0000-0000AA3E0000}"/>
    <cellStyle name="Comma 3 29 3 2 3 3" xfId="43985" xr:uid="{00000000-0005-0000-0000-0000AB3E0000}"/>
    <cellStyle name="Comma 3 29 3 2 4" xfId="20753" xr:uid="{00000000-0005-0000-0000-0000AC3E0000}"/>
    <cellStyle name="Comma 3 29 3 2 5" xfId="36245" xr:uid="{00000000-0005-0000-0000-0000AD3E0000}"/>
    <cellStyle name="Comma 3 29 3 3" xfId="7099" xr:uid="{00000000-0005-0000-0000-0000AE3E0000}"/>
    <cellStyle name="Comma 3 29 3 3 2" xfId="14844" xr:uid="{00000000-0005-0000-0000-0000AF3E0000}"/>
    <cellStyle name="Comma 3 29 3 3 2 2" xfId="30436" xr:uid="{00000000-0005-0000-0000-0000B03E0000}"/>
    <cellStyle name="Comma 3 29 3 3 2 3" xfId="45928" xr:uid="{00000000-0005-0000-0000-0000B13E0000}"/>
    <cellStyle name="Comma 3 29 3 3 3" xfId="22696" xr:uid="{00000000-0005-0000-0000-0000B23E0000}"/>
    <cellStyle name="Comma 3 29 3 3 4" xfId="38188" xr:uid="{00000000-0005-0000-0000-0000B33E0000}"/>
    <cellStyle name="Comma 3 29 3 4" xfId="10974" xr:uid="{00000000-0005-0000-0000-0000B43E0000}"/>
    <cellStyle name="Comma 3 29 3 4 2" xfId="26566" xr:uid="{00000000-0005-0000-0000-0000B53E0000}"/>
    <cellStyle name="Comma 3 29 3 4 3" xfId="42058" xr:uid="{00000000-0005-0000-0000-0000B63E0000}"/>
    <cellStyle name="Comma 3 29 3 5" xfId="18826" xr:uid="{00000000-0005-0000-0000-0000B73E0000}"/>
    <cellStyle name="Comma 3 29 3 6" xfId="34318" xr:uid="{00000000-0005-0000-0000-0000B83E0000}"/>
    <cellStyle name="Comma 3 29 4" xfId="4207" xr:uid="{00000000-0005-0000-0000-0000B93E0000}"/>
    <cellStyle name="Comma 3 29 4 2" xfId="8078" xr:uid="{00000000-0005-0000-0000-0000BA3E0000}"/>
    <cellStyle name="Comma 3 29 4 2 2" xfId="15823" xr:uid="{00000000-0005-0000-0000-0000BB3E0000}"/>
    <cellStyle name="Comma 3 29 4 2 2 2" xfId="31415" xr:uid="{00000000-0005-0000-0000-0000BC3E0000}"/>
    <cellStyle name="Comma 3 29 4 2 2 3" xfId="46907" xr:uid="{00000000-0005-0000-0000-0000BD3E0000}"/>
    <cellStyle name="Comma 3 29 4 2 3" xfId="23675" xr:uid="{00000000-0005-0000-0000-0000BE3E0000}"/>
    <cellStyle name="Comma 3 29 4 2 4" xfId="39167" xr:uid="{00000000-0005-0000-0000-0000BF3E0000}"/>
    <cellStyle name="Comma 3 29 4 3" xfId="11953" xr:uid="{00000000-0005-0000-0000-0000C03E0000}"/>
    <cellStyle name="Comma 3 29 4 3 2" xfId="27545" xr:uid="{00000000-0005-0000-0000-0000C13E0000}"/>
    <cellStyle name="Comma 3 29 4 3 3" xfId="43037" xr:uid="{00000000-0005-0000-0000-0000C23E0000}"/>
    <cellStyle name="Comma 3 29 4 4" xfId="19805" xr:uid="{00000000-0005-0000-0000-0000C33E0000}"/>
    <cellStyle name="Comma 3 29 4 5" xfId="35297" xr:uid="{00000000-0005-0000-0000-0000C43E0000}"/>
    <cellStyle name="Comma 3 29 5" xfId="6151" xr:uid="{00000000-0005-0000-0000-0000C53E0000}"/>
    <cellStyle name="Comma 3 29 5 2" xfId="13896" xr:uid="{00000000-0005-0000-0000-0000C63E0000}"/>
    <cellStyle name="Comma 3 29 5 2 2" xfId="29488" xr:uid="{00000000-0005-0000-0000-0000C73E0000}"/>
    <cellStyle name="Comma 3 29 5 2 3" xfId="44980" xr:uid="{00000000-0005-0000-0000-0000C83E0000}"/>
    <cellStyle name="Comma 3 29 5 3" xfId="21748" xr:uid="{00000000-0005-0000-0000-0000C93E0000}"/>
    <cellStyle name="Comma 3 29 5 4" xfId="37240" xr:uid="{00000000-0005-0000-0000-0000CA3E0000}"/>
    <cellStyle name="Comma 3 29 6" xfId="10026" xr:uid="{00000000-0005-0000-0000-0000CB3E0000}"/>
    <cellStyle name="Comma 3 29 6 2" xfId="25618" xr:uid="{00000000-0005-0000-0000-0000CC3E0000}"/>
    <cellStyle name="Comma 3 29 6 3" xfId="41110" xr:uid="{00000000-0005-0000-0000-0000CD3E0000}"/>
    <cellStyle name="Comma 3 29 7" xfId="17878" xr:uid="{00000000-0005-0000-0000-0000CE3E0000}"/>
    <cellStyle name="Comma 3 29 8" xfId="33370" xr:uid="{00000000-0005-0000-0000-0000CF3E0000}"/>
    <cellStyle name="Comma 3 3" xfId="1137" xr:uid="{00000000-0005-0000-0000-0000D03E0000}"/>
    <cellStyle name="Comma 3 3 10" xfId="1138" xr:uid="{00000000-0005-0000-0000-0000D13E0000}"/>
    <cellStyle name="Comma 3 3 11" xfId="1139" xr:uid="{00000000-0005-0000-0000-0000D23E0000}"/>
    <cellStyle name="Comma 3 3 12" xfId="1140" xr:uid="{00000000-0005-0000-0000-0000D33E0000}"/>
    <cellStyle name="Comma 3 3 13" xfId="1141" xr:uid="{00000000-0005-0000-0000-0000D43E0000}"/>
    <cellStyle name="Comma 3 3 14" xfId="1142" xr:uid="{00000000-0005-0000-0000-0000D53E0000}"/>
    <cellStyle name="Comma 3 3 15" xfId="1143" xr:uid="{00000000-0005-0000-0000-0000D63E0000}"/>
    <cellStyle name="Comma 3 3 16" xfId="1144" xr:uid="{00000000-0005-0000-0000-0000D73E0000}"/>
    <cellStyle name="Comma 3 3 17" xfId="1145" xr:uid="{00000000-0005-0000-0000-0000D83E0000}"/>
    <cellStyle name="Comma 3 3 18" xfId="1146" xr:uid="{00000000-0005-0000-0000-0000D93E0000}"/>
    <cellStyle name="Comma 3 3 19" xfId="1147" xr:uid="{00000000-0005-0000-0000-0000DA3E0000}"/>
    <cellStyle name="Comma 3 3 2" xfId="1148" xr:uid="{00000000-0005-0000-0000-0000DB3E0000}"/>
    <cellStyle name="Comma 3 3 2 2" xfId="17756" xr:uid="{00000000-0005-0000-0000-0000DC3E0000}"/>
    <cellStyle name="Comma 3 3 20" xfId="1149" xr:uid="{00000000-0005-0000-0000-0000DD3E0000}"/>
    <cellStyle name="Comma 3 3 21" xfId="1150" xr:uid="{00000000-0005-0000-0000-0000DE3E0000}"/>
    <cellStyle name="Comma 3 3 22" xfId="1151" xr:uid="{00000000-0005-0000-0000-0000DF3E0000}"/>
    <cellStyle name="Comma 3 3 23" xfId="1152" xr:uid="{00000000-0005-0000-0000-0000E03E0000}"/>
    <cellStyle name="Comma 3 3 24" xfId="1153" xr:uid="{00000000-0005-0000-0000-0000E13E0000}"/>
    <cellStyle name="Comma 3 3 25" xfId="2178" xr:uid="{00000000-0005-0000-0000-0000E23E0000}"/>
    <cellStyle name="Comma 3 3 3" xfId="1154" xr:uid="{00000000-0005-0000-0000-0000E33E0000}"/>
    <cellStyle name="Comma 3 3 3 10" xfId="1155" xr:uid="{00000000-0005-0000-0000-0000E43E0000}"/>
    <cellStyle name="Comma 3 3 3 11" xfId="1156" xr:uid="{00000000-0005-0000-0000-0000E53E0000}"/>
    <cellStyle name="Comma 3 3 3 12" xfId="1157" xr:uid="{00000000-0005-0000-0000-0000E63E0000}"/>
    <cellStyle name="Comma 3 3 3 13" xfId="1158" xr:uid="{00000000-0005-0000-0000-0000E73E0000}"/>
    <cellStyle name="Comma 3 3 3 2" xfId="1159" xr:uid="{00000000-0005-0000-0000-0000E83E0000}"/>
    <cellStyle name="Comma 3 3 3 2 2" xfId="1160" xr:uid="{00000000-0005-0000-0000-0000E93E0000}"/>
    <cellStyle name="Comma 3 3 3 3" xfId="1161" xr:uid="{00000000-0005-0000-0000-0000EA3E0000}"/>
    <cellStyle name="Comma 3 3 3 4" xfId="1162" xr:uid="{00000000-0005-0000-0000-0000EB3E0000}"/>
    <cellStyle name="Comma 3 3 3 5" xfId="1163" xr:uid="{00000000-0005-0000-0000-0000EC3E0000}"/>
    <cellStyle name="Comma 3 3 3 6" xfId="1164" xr:uid="{00000000-0005-0000-0000-0000ED3E0000}"/>
    <cellStyle name="Comma 3 3 3 7" xfId="1165" xr:uid="{00000000-0005-0000-0000-0000EE3E0000}"/>
    <cellStyle name="Comma 3 3 3 8" xfId="1166" xr:uid="{00000000-0005-0000-0000-0000EF3E0000}"/>
    <cellStyle name="Comma 3 3 3 9" xfId="1167" xr:uid="{00000000-0005-0000-0000-0000F03E0000}"/>
    <cellStyle name="Comma 3 3 4" xfId="1168" xr:uid="{00000000-0005-0000-0000-0000F13E0000}"/>
    <cellStyle name="Comma 3 3 5" xfId="1169" xr:uid="{00000000-0005-0000-0000-0000F23E0000}"/>
    <cellStyle name="Comma 3 3 6" xfId="1170" xr:uid="{00000000-0005-0000-0000-0000F33E0000}"/>
    <cellStyle name="Comma 3 3 7" xfId="1171" xr:uid="{00000000-0005-0000-0000-0000F43E0000}"/>
    <cellStyle name="Comma 3 3 8" xfId="1172" xr:uid="{00000000-0005-0000-0000-0000F53E0000}"/>
    <cellStyle name="Comma 3 3 9" xfId="1173" xr:uid="{00000000-0005-0000-0000-0000F63E0000}"/>
    <cellStyle name="Comma 3 30" xfId="2238" xr:uid="{00000000-0005-0000-0000-0000F73E0000}"/>
    <cellStyle name="Comma 3 30 2" xfId="2555" xr:uid="{00000000-0005-0000-0000-0000F83E0000}"/>
    <cellStyle name="Comma 3 30 2 2" xfId="3563" xr:uid="{00000000-0005-0000-0000-0000F93E0000}"/>
    <cellStyle name="Comma 3 30 2 2 2" xfId="5502" xr:uid="{00000000-0005-0000-0000-0000FA3E0000}"/>
    <cellStyle name="Comma 3 30 2 2 2 2" xfId="9373" xr:uid="{00000000-0005-0000-0000-0000FB3E0000}"/>
    <cellStyle name="Comma 3 30 2 2 2 2 2" xfId="17118" xr:uid="{00000000-0005-0000-0000-0000FC3E0000}"/>
    <cellStyle name="Comma 3 30 2 2 2 2 2 2" xfId="32710" xr:uid="{00000000-0005-0000-0000-0000FD3E0000}"/>
    <cellStyle name="Comma 3 30 2 2 2 2 2 3" xfId="48202" xr:uid="{00000000-0005-0000-0000-0000FE3E0000}"/>
    <cellStyle name="Comma 3 30 2 2 2 2 3" xfId="24970" xr:uid="{00000000-0005-0000-0000-0000FF3E0000}"/>
    <cellStyle name="Comma 3 30 2 2 2 2 4" xfId="40462" xr:uid="{00000000-0005-0000-0000-0000003F0000}"/>
    <cellStyle name="Comma 3 30 2 2 2 3" xfId="13248" xr:uid="{00000000-0005-0000-0000-0000013F0000}"/>
    <cellStyle name="Comma 3 30 2 2 2 3 2" xfId="28840" xr:uid="{00000000-0005-0000-0000-0000023F0000}"/>
    <cellStyle name="Comma 3 30 2 2 2 3 3" xfId="44332" xr:uid="{00000000-0005-0000-0000-0000033F0000}"/>
    <cellStyle name="Comma 3 30 2 2 2 4" xfId="21100" xr:uid="{00000000-0005-0000-0000-0000043F0000}"/>
    <cellStyle name="Comma 3 30 2 2 2 5" xfId="36592" xr:uid="{00000000-0005-0000-0000-0000053F0000}"/>
    <cellStyle name="Comma 3 30 2 2 3" xfId="7446" xr:uid="{00000000-0005-0000-0000-0000063F0000}"/>
    <cellStyle name="Comma 3 30 2 2 3 2" xfId="15191" xr:uid="{00000000-0005-0000-0000-0000073F0000}"/>
    <cellStyle name="Comma 3 30 2 2 3 2 2" xfId="30783" xr:uid="{00000000-0005-0000-0000-0000083F0000}"/>
    <cellStyle name="Comma 3 30 2 2 3 2 3" xfId="46275" xr:uid="{00000000-0005-0000-0000-0000093F0000}"/>
    <cellStyle name="Comma 3 30 2 2 3 3" xfId="23043" xr:uid="{00000000-0005-0000-0000-00000A3F0000}"/>
    <cellStyle name="Comma 3 30 2 2 3 4" xfId="38535" xr:uid="{00000000-0005-0000-0000-00000B3F0000}"/>
    <cellStyle name="Comma 3 30 2 2 4" xfId="11321" xr:uid="{00000000-0005-0000-0000-00000C3F0000}"/>
    <cellStyle name="Comma 3 30 2 2 4 2" xfId="26913" xr:uid="{00000000-0005-0000-0000-00000D3F0000}"/>
    <cellStyle name="Comma 3 30 2 2 4 3" xfId="42405" xr:uid="{00000000-0005-0000-0000-00000E3F0000}"/>
    <cellStyle name="Comma 3 30 2 2 5" xfId="19173" xr:uid="{00000000-0005-0000-0000-00000F3F0000}"/>
    <cellStyle name="Comma 3 30 2 2 6" xfId="34665" xr:uid="{00000000-0005-0000-0000-0000103F0000}"/>
    <cellStyle name="Comma 3 30 2 3" xfId="4554" xr:uid="{00000000-0005-0000-0000-0000113F0000}"/>
    <cellStyle name="Comma 3 30 2 3 2" xfId="8425" xr:uid="{00000000-0005-0000-0000-0000123F0000}"/>
    <cellStyle name="Comma 3 30 2 3 2 2" xfId="16170" xr:uid="{00000000-0005-0000-0000-0000133F0000}"/>
    <cellStyle name="Comma 3 30 2 3 2 2 2" xfId="31762" xr:uid="{00000000-0005-0000-0000-0000143F0000}"/>
    <cellStyle name="Comma 3 30 2 3 2 2 3" xfId="47254" xr:uid="{00000000-0005-0000-0000-0000153F0000}"/>
    <cellStyle name="Comma 3 30 2 3 2 3" xfId="24022" xr:uid="{00000000-0005-0000-0000-0000163F0000}"/>
    <cellStyle name="Comma 3 30 2 3 2 4" xfId="39514" xr:uid="{00000000-0005-0000-0000-0000173F0000}"/>
    <cellStyle name="Comma 3 30 2 3 3" xfId="12300" xr:uid="{00000000-0005-0000-0000-0000183F0000}"/>
    <cellStyle name="Comma 3 30 2 3 3 2" xfId="27892" xr:uid="{00000000-0005-0000-0000-0000193F0000}"/>
    <cellStyle name="Comma 3 30 2 3 3 3" xfId="43384" xr:uid="{00000000-0005-0000-0000-00001A3F0000}"/>
    <cellStyle name="Comma 3 30 2 3 4" xfId="20152" xr:uid="{00000000-0005-0000-0000-00001B3F0000}"/>
    <cellStyle name="Comma 3 30 2 3 5" xfId="35644" xr:uid="{00000000-0005-0000-0000-00001C3F0000}"/>
    <cellStyle name="Comma 3 30 2 4" xfId="6498" xr:uid="{00000000-0005-0000-0000-00001D3F0000}"/>
    <cellStyle name="Comma 3 30 2 4 2" xfId="14243" xr:uid="{00000000-0005-0000-0000-00001E3F0000}"/>
    <cellStyle name="Comma 3 30 2 4 2 2" xfId="29835" xr:uid="{00000000-0005-0000-0000-00001F3F0000}"/>
    <cellStyle name="Comma 3 30 2 4 2 3" xfId="45327" xr:uid="{00000000-0005-0000-0000-0000203F0000}"/>
    <cellStyle name="Comma 3 30 2 4 3" xfId="22095" xr:uid="{00000000-0005-0000-0000-0000213F0000}"/>
    <cellStyle name="Comma 3 30 2 4 4" xfId="37587" xr:uid="{00000000-0005-0000-0000-0000223F0000}"/>
    <cellStyle name="Comma 3 30 2 5" xfId="10373" xr:uid="{00000000-0005-0000-0000-0000233F0000}"/>
    <cellStyle name="Comma 3 30 2 5 2" xfId="25965" xr:uid="{00000000-0005-0000-0000-0000243F0000}"/>
    <cellStyle name="Comma 3 30 2 5 3" xfId="41457" xr:uid="{00000000-0005-0000-0000-0000253F0000}"/>
    <cellStyle name="Comma 3 30 2 6" xfId="18225" xr:uid="{00000000-0005-0000-0000-0000263F0000}"/>
    <cellStyle name="Comma 3 30 2 7" xfId="33717" xr:uid="{00000000-0005-0000-0000-0000273F0000}"/>
    <cellStyle name="Comma 3 30 3" xfId="3254" xr:uid="{00000000-0005-0000-0000-0000283F0000}"/>
    <cellStyle name="Comma 3 30 3 2" xfId="5193" xr:uid="{00000000-0005-0000-0000-0000293F0000}"/>
    <cellStyle name="Comma 3 30 3 2 2" xfId="9064" xr:uid="{00000000-0005-0000-0000-00002A3F0000}"/>
    <cellStyle name="Comma 3 30 3 2 2 2" xfId="16809" xr:uid="{00000000-0005-0000-0000-00002B3F0000}"/>
    <cellStyle name="Comma 3 30 3 2 2 2 2" xfId="32401" xr:uid="{00000000-0005-0000-0000-00002C3F0000}"/>
    <cellStyle name="Comma 3 30 3 2 2 2 3" xfId="47893" xr:uid="{00000000-0005-0000-0000-00002D3F0000}"/>
    <cellStyle name="Comma 3 30 3 2 2 3" xfId="24661" xr:uid="{00000000-0005-0000-0000-00002E3F0000}"/>
    <cellStyle name="Comma 3 30 3 2 2 4" xfId="40153" xr:uid="{00000000-0005-0000-0000-00002F3F0000}"/>
    <cellStyle name="Comma 3 30 3 2 3" xfId="12939" xr:uid="{00000000-0005-0000-0000-0000303F0000}"/>
    <cellStyle name="Comma 3 30 3 2 3 2" xfId="28531" xr:uid="{00000000-0005-0000-0000-0000313F0000}"/>
    <cellStyle name="Comma 3 30 3 2 3 3" xfId="44023" xr:uid="{00000000-0005-0000-0000-0000323F0000}"/>
    <cellStyle name="Comma 3 30 3 2 4" xfId="20791" xr:uid="{00000000-0005-0000-0000-0000333F0000}"/>
    <cellStyle name="Comma 3 30 3 2 5" xfId="36283" xr:uid="{00000000-0005-0000-0000-0000343F0000}"/>
    <cellStyle name="Comma 3 30 3 3" xfId="7137" xr:uid="{00000000-0005-0000-0000-0000353F0000}"/>
    <cellStyle name="Comma 3 30 3 3 2" xfId="14882" xr:uid="{00000000-0005-0000-0000-0000363F0000}"/>
    <cellStyle name="Comma 3 30 3 3 2 2" xfId="30474" xr:uid="{00000000-0005-0000-0000-0000373F0000}"/>
    <cellStyle name="Comma 3 30 3 3 2 3" xfId="45966" xr:uid="{00000000-0005-0000-0000-0000383F0000}"/>
    <cellStyle name="Comma 3 30 3 3 3" xfId="22734" xr:uid="{00000000-0005-0000-0000-0000393F0000}"/>
    <cellStyle name="Comma 3 30 3 3 4" xfId="38226" xr:uid="{00000000-0005-0000-0000-00003A3F0000}"/>
    <cellStyle name="Comma 3 30 3 4" xfId="11012" xr:uid="{00000000-0005-0000-0000-00003B3F0000}"/>
    <cellStyle name="Comma 3 30 3 4 2" xfId="26604" xr:uid="{00000000-0005-0000-0000-00003C3F0000}"/>
    <cellStyle name="Comma 3 30 3 4 3" xfId="42096" xr:uid="{00000000-0005-0000-0000-00003D3F0000}"/>
    <cellStyle name="Comma 3 30 3 5" xfId="18864" xr:uid="{00000000-0005-0000-0000-00003E3F0000}"/>
    <cellStyle name="Comma 3 30 3 6" xfId="34356" xr:uid="{00000000-0005-0000-0000-00003F3F0000}"/>
    <cellStyle name="Comma 3 30 4" xfId="4245" xr:uid="{00000000-0005-0000-0000-0000403F0000}"/>
    <cellStyle name="Comma 3 30 4 2" xfId="8116" xr:uid="{00000000-0005-0000-0000-0000413F0000}"/>
    <cellStyle name="Comma 3 30 4 2 2" xfId="15861" xr:uid="{00000000-0005-0000-0000-0000423F0000}"/>
    <cellStyle name="Comma 3 30 4 2 2 2" xfId="31453" xr:uid="{00000000-0005-0000-0000-0000433F0000}"/>
    <cellStyle name="Comma 3 30 4 2 2 3" xfId="46945" xr:uid="{00000000-0005-0000-0000-0000443F0000}"/>
    <cellStyle name="Comma 3 30 4 2 3" xfId="23713" xr:uid="{00000000-0005-0000-0000-0000453F0000}"/>
    <cellStyle name="Comma 3 30 4 2 4" xfId="39205" xr:uid="{00000000-0005-0000-0000-0000463F0000}"/>
    <cellStyle name="Comma 3 30 4 3" xfId="11991" xr:uid="{00000000-0005-0000-0000-0000473F0000}"/>
    <cellStyle name="Comma 3 30 4 3 2" xfId="27583" xr:uid="{00000000-0005-0000-0000-0000483F0000}"/>
    <cellStyle name="Comma 3 30 4 3 3" xfId="43075" xr:uid="{00000000-0005-0000-0000-0000493F0000}"/>
    <cellStyle name="Comma 3 30 4 4" xfId="19843" xr:uid="{00000000-0005-0000-0000-00004A3F0000}"/>
    <cellStyle name="Comma 3 30 4 5" xfId="35335" xr:uid="{00000000-0005-0000-0000-00004B3F0000}"/>
    <cellStyle name="Comma 3 30 5" xfId="6189" xr:uid="{00000000-0005-0000-0000-00004C3F0000}"/>
    <cellStyle name="Comma 3 30 5 2" xfId="13934" xr:uid="{00000000-0005-0000-0000-00004D3F0000}"/>
    <cellStyle name="Comma 3 30 5 2 2" xfId="29526" xr:uid="{00000000-0005-0000-0000-00004E3F0000}"/>
    <cellStyle name="Comma 3 30 5 2 3" xfId="45018" xr:uid="{00000000-0005-0000-0000-00004F3F0000}"/>
    <cellStyle name="Comma 3 30 5 3" xfId="21786" xr:uid="{00000000-0005-0000-0000-0000503F0000}"/>
    <cellStyle name="Comma 3 30 5 4" xfId="37278" xr:uid="{00000000-0005-0000-0000-0000513F0000}"/>
    <cellStyle name="Comma 3 30 6" xfId="10064" xr:uid="{00000000-0005-0000-0000-0000523F0000}"/>
    <cellStyle name="Comma 3 30 6 2" xfId="25656" xr:uid="{00000000-0005-0000-0000-0000533F0000}"/>
    <cellStyle name="Comma 3 30 6 3" xfId="41148" xr:uid="{00000000-0005-0000-0000-0000543F0000}"/>
    <cellStyle name="Comma 3 30 7" xfId="17916" xr:uid="{00000000-0005-0000-0000-0000553F0000}"/>
    <cellStyle name="Comma 3 30 8" xfId="33408" xr:uid="{00000000-0005-0000-0000-0000563F0000}"/>
    <cellStyle name="Comma 3 31" xfId="2275" xr:uid="{00000000-0005-0000-0000-0000573F0000}"/>
    <cellStyle name="Comma 3 31 2" xfId="2591" xr:uid="{00000000-0005-0000-0000-0000583F0000}"/>
    <cellStyle name="Comma 3 31 2 2" xfId="3599" xr:uid="{00000000-0005-0000-0000-0000593F0000}"/>
    <cellStyle name="Comma 3 31 2 2 2" xfId="5538" xr:uid="{00000000-0005-0000-0000-00005A3F0000}"/>
    <cellStyle name="Comma 3 31 2 2 2 2" xfId="9409" xr:uid="{00000000-0005-0000-0000-00005B3F0000}"/>
    <cellStyle name="Comma 3 31 2 2 2 2 2" xfId="17154" xr:uid="{00000000-0005-0000-0000-00005C3F0000}"/>
    <cellStyle name="Comma 3 31 2 2 2 2 2 2" xfId="32746" xr:uid="{00000000-0005-0000-0000-00005D3F0000}"/>
    <cellStyle name="Comma 3 31 2 2 2 2 2 3" xfId="48238" xr:uid="{00000000-0005-0000-0000-00005E3F0000}"/>
    <cellStyle name="Comma 3 31 2 2 2 2 3" xfId="25006" xr:uid="{00000000-0005-0000-0000-00005F3F0000}"/>
    <cellStyle name="Comma 3 31 2 2 2 2 4" xfId="40498" xr:uid="{00000000-0005-0000-0000-0000603F0000}"/>
    <cellStyle name="Comma 3 31 2 2 2 3" xfId="13284" xr:uid="{00000000-0005-0000-0000-0000613F0000}"/>
    <cellStyle name="Comma 3 31 2 2 2 3 2" xfId="28876" xr:uid="{00000000-0005-0000-0000-0000623F0000}"/>
    <cellStyle name="Comma 3 31 2 2 2 3 3" xfId="44368" xr:uid="{00000000-0005-0000-0000-0000633F0000}"/>
    <cellStyle name="Comma 3 31 2 2 2 4" xfId="21136" xr:uid="{00000000-0005-0000-0000-0000643F0000}"/>
    <cellStyle name="Comma 3 31 2 2 2 5" xfId="36628" xr:uid="{00000000-0005-0000-0000-0000653F0000}"/>
    <cellStyle name="Comma 3 31 2 2 3" xfId="7482" xr:uid="{00000000-0005-0000-0000-0000663F0000}"/>
    <cellStyle name="Comma 3 31 2 2 3 2" xfId="15227" xr:uid="{00000000-0005-0000-0000-0000673F0000}"/>
    <cellStyle name="Comma 3 31 2 2 3 2 2" xfId="30819" xr:uid="{00000000-0005-0000-0000-0000683F0000}"/>
    <cellStyle name="Comma 3 31 2 2 3 2 3" xfId="46311" xr:uid="{00000000-0005-0000-0000-0000693F0000}"/>
    <cellStyle name="Comma 3 31 2 2 3 3" xfId="23079" xr:uid="{00000000-0005-0000-0000-00006A3F0000}"/>
    <cellStyle name="Comma 3 31 2 2 3 4" xfId="38571" xr:uid="{00000000-0005-0000-0000-00006B3F0000}"/>
    <cellStyle name="Comma 3 31 2 2 4" xfId="11357" xr:uid="{00000000-0005-0000-0000-00006C3F0000}"/>
    <cellStyle name="Comma 3 31 2 2 4 2" xfId="26949" xr:uid="{00000000-0005-0000-0000-00006D3F0000}"/>
    <cellStyle name="Comma 3 31 2 2 4 3" xfId="42441" xr:uid="{00000000-0005-0000-0000-00006E3F0000}"/>
    <cellStyle name="Comma 3 31 2 2 5" xfId="19209" xr:uid="{00000000-0005-0000-0000-00006F3F0000}"/>
    <cellStyle name="Comma 3 31 2 2 6" xfId="34701" xr:uid="{00000000-0005-0000-0000-0000703F0000}"/>
    <cellStyle name="Comma 3 31 2 3" xfId="4590" xr:uid="{00000000-0005-0000-0000-0000713F0000}"/>
    <cellStyle name="Comma 3 31 2 3 2" xfId="8461" xr:uid="{00000000-0005-0000-0000-0000723F0000}"/>
    <cellStyle name="Comma 3 31 2 3 2 2" xfId="16206" xr:uid="{00000000-0005-0000-0000-0000733F0000}"/>
    <cellStyle name="Comma 3 31 2 3 2 2 2" xfId="31798" xr:uid="{00000000-0005-0000-0000-0000743F0000}"/>
    <cellStyle name="Comma 3 31 2 3 2 2 3" xfId="47290" xr:uid="{00000000-0005-0000-0000-0000753F0000}"/>
    <cellStyle name="Comma 3 31 2 3 2 3" xfId="24058" xr:uid="{00000000-0005-0000-0000-0000763F0000}"/>
    <cellStyle name="Comma 3 31 2 3 2 4" xfId="39550" xr:uid="{00000000-0005-0000-0000-0000773F0000}"/>
    <cellStyle name="Comma 3 31 2 3 3" xfId="12336" xr:uid="{00000000-0005-0000-0000-0000783F0000}"/>
    <cellStyle name="Comma 3 31 2 3 3 2" xfId="27928" xr:uid="{00000000-0005-0000-0000-0000793F0000}"/>
    <cellStyle name="Comma 3 31 2 3 3 3" xfId="43420" xr:uid="{00000000-0005-0000-0000-00007A3F0000}"/>
    <cellStyle name="Comma 3 31 2 3 4" xfId="20188" xr:uid="{00000000-0005-0000-0000-00007B3F0000}"/>
    <cellStyle name="Comma 3 31 2 3 5" xfId="35680" xr:uid="{00000000-0005-0000-0000-00007C3F0000}"/>
    <cellStyle name="Comma 3 31 2 4" xfId="6534" xr:uid="{00000000-0005-0000-0000-00007D3F0000}"/>
    <cellStyle name="Comma 3 31 2 4 2" xfId="14279" xr:uid="{00000000-0005-0000-0000-00007E3F0000}"/>
    <cellStyle name="Comma 3 31 2 4 2 2" xfId="29871" xr:uid="{00000000-0005-0000-0000-00007F3F0000}"/>
    <cellStyle name="Comma 3 31 2 4 2 3" xfId="45363" xr:uid="{00000000-0005-0000-0000-0000803F0000}"/>
    <cellStyle name="Comma 3 31 2 4 3" xfId="22131" xr:uid="{00000000-0005-0000-0000-0000813F0000}"/>
    <cellStyle name="Comma 3 31 2 4 4" xfId="37623" xr:uid="{00000000-0005-0000-0000-0000823F0000}"/>
    <cellStyle name="Comma 3 31 2 5" xfId="10409" xr:uid="{00000000-0005-0000-0000-0000833F0000}"/>
    <cellStyle name="Comma 3 31 2 5 2" xfId="26001" xr:uid="{00000000-0005-0000-0000-0000843F0000}"/>
    <cellStyle name="Comma 3 31 2 5 3" xfId="41493" xr:uid="{00000000-0005-0000-0000-0000853F0000}"/>
    <cellStyle name="Comma 3 31 2 6" xfId="18261" xr:uid="{00000000-0005-0000-0000-0000863F0000}"/>
    <cellStyle name="Comma 3 31 2 7" xfId="33753" xr:uid="{00000000-0005-0000-0000-0000873F0000}"/>
    <cellStyle name="Comma 3 31 3" xfId="3290" xr:uid="{00000000-0005-0000-0000-0000883F0000}"/>
    <cellStyle name="Comma 3 31 3 2" xfId="5229" xr:uid="{00000000-0005-0000-0000-0000893F0000}"/>
    <cellStyle name="Comma 3 31 3 2 2" xfId="9100" xr:uid="{00000000-0005-0000-0000-00008A3F0000}"/>
    <cellStyle name="Comma 3 31 3 2 2 2" xfId="16845" xr:uid="{00000000-0005-0000-0000-00008B3F0000}"/>
    <cellStyle name="Comma 3 31 3 2 2 2 2" xfId="32437" xr:uid="{00000000-0005-0000-0000-00008C3F0000}"/>
    <cellStyle name="Comma 3 31 3 2 2 2 3" xfId="47929" xr:uid="{00000000-0005-0000-0000-00008D3F0000}"/>
    <cellStyle name="Comma 3 31 3 2 2 3" xfId="24697" xr:uid="{00000000-0005-0000-0000-00008E3F0000}"/>
    <cellStyle name="Comma 3 31 3 2 2 4" xfId="40189" xr:uid="{00000000-0005-0000-0000-00008F3F0000}"/>
    <cellStyle name="Comma 3 31 3 2 3" xfId="12975" xr:uid="{00000000-0005-0000-0000-0000903F0000}"/>
    <cellStyle name="Comma 3 31 3 2 3 2" xfId="28567" xr:uid="{00000000-0005-0000-0000-0000913F0000}"/>
    <cellStyle name="Comma 3 31 3 2 3 3" xfId="44059" xr:uid="{00000000-0005-0000-0000-0000923F0000}"/>
    <cellStyle name="Comma 3 31 3 2 4" xfId="20827" xr:uid="{00000000-0005-0000-0000-0000933F0000}"/>
    <cellStyle name="Comma 3 31 3 2 5" xfId="36319" xr:uid="{00000000-0005-0000-0000-0000943F0000}"/>
    <cellStyle name="Comma 3 31 3 3" xfId="7173" xr:uid="{00000000-0005-0000-0000-0000953F0000}"/>
    <cellStyle name="Comma 3 31 3 3 2" xfId="14918" xr:uid="{00000000-0005-0000-0000-0000963F0000}"/>
    <cellStyle name="Comma 3 31 3 3 2 2" xfId="30510" xr:uid="{00000000-0005-0000-0000-0000973F0000}"/>
    <cellStyle name="Comma 3 31 3 3 2 3" xfId="46002" xr:uid="{00000000-0005-0000-0000-0000983F0000}"/>
    <cellStyle name="Comma 3 31 3 3 3" xfId="22770" xr:uid="{00000000-0005-0000-0000-0000993F0000}"/>
    <cellStyle name="Comma 3 31 3 3 4" xfId="38262" xr:uid="{00000000-0005-0000-0000-00009A3F0000}"/>
    <cellStyle name="Comma 3 31 3 4" xfId="11048" xr:uid="{00000000-0005-0000-0000-00009B3F0000}"/>
    <cellStyle name="Comma 3 31 3 4 2" xfId="26640" xr:uid="{00000000-0005-0000-0000-00009C3F0000}"/>
    <cellStyle name="Comma 3 31 3 4 3" xfId="42132" xr:uid="{00000000-0005-0000-0000-00009D3F0000}"/>
    <cellStyle name="Comma 3 31 3 5" xfId="18900" xr:uid="{00000000-0005-0000-0000-00009E3F0000}"/>
    <cellStyle name="Comma 3 31 3 6" xfId="34392" xr:uid="{00000000-0005-0000-0000-00009F3F0000}"/>
    <cellStyle name="Comma 3 31 4" xfId="4281" xr:uid="{00000000-0005-0000-0000-0000A03F0000}"/>
    <cellStyle name="Comma 3 31 4 2" xfId="8152" xr:uid="{00000000-0005-0000-0000-0000A13F0000}"/>
    <cellStyle name="Comma 3 31 4 2 2" xfId="15897" xr:uid="{00000000-0005-0000-0000-0000A23F0000}"/>
    <cellStyle name="Comma 3 31 4 2 2 2" xfId="31489" xr:uid="{00000000-0005-0000-0000-0000A33F0000}"/>
    <cellStyle name="Comma 3 31 4 2 2 3" xfId="46981" xr:uid="{00000000-0005-0000-0000-0000A43F0000}"/>
    <cellStyle name="Comma 3 31 4 2 3" xfId="23749" xr:uid="{00000000-0005-0000-0000-0000A53F0000}"/>
    <cellStyle name="Comma 3 31 4 2 4" xfId="39241" xr:uid="{00000000-0005-0000-0000-0000A63F0000}"/>
    <cellStyle name="Comma 3 31 4 3" xfId="12027" xr:uid="{00000000-0005-0000-0000-0000A73F0000}"/>
    <cellStyle name="Comma 3 31 4 3 2" xfId="27619" xr:uid="{00000000-0005-0000-0000-0000A83F0000}"/>
    <cellStyle name="Comma 3 31 4 3 3" xfId="43111" xr:uid="{00000000-0005-0000-0000-0000A93F0000}"/>
    <cellStyle name="Comma 3 31 4 4" xfId="19879" xr:uid="{00000000-0005-0000-0000-0000AA3F0000}"/>
    <cellStyle name="Comma 3 31 4 5" xfId="35371" xr:uid="{00000000-0005-0000-0000-0000AB3F0000}"/>
    <cellStyle name="Comma 3 31 5" xfId="6225" xr:uid="{00000000-0005-0000-0000-0000AC3F0000}"/>
    <cellStyle name="Comma 3 31 5 2" xfId="13970" xr:uid="{00000000-0005-0000-0000-0000AD3F0000}"/>
    <cellStyle name="Comma 3 31 5 2 2" xfId="29562" xr:uid="{00000000-0005-0000-0000-0000AE3F0000}"/>
    <cellStyle name="Comma 3 31 5 2 3" xfId="45054" xr:uid="{00000000-0005-0000-0000-0000AF3F0000}"/>
    <cellStyle name="Comma 3 31 5 3" xfId="21822" xr:uid="{00000000-0005-0000-0000-0000B03F0000}"/>
    <cellStyle name="Comma 3 31 5 4" xfId="37314" xr:uid="{00000000-0005-0000-0000-0000B13F0000}"/>
    <cellStyle name="Comma 3 31 6" xfId="10100" xr:uid="{00000000-0005-0000-0000-0000B23F0000}"/>
    <cellStyle name="Comma 3 31 6 2" xfId="25692" xr:uid="{00000000-0005-0000-0000-0000B33F0000}"/>
    <cellStyle name="Comma 3 31 6 3" xfId="41184" xr:uid="{00000000-0005-0000-0000-0000B43F0000}"/>
    <cellStyle name="Comma 3 31 7" xfId="17952" xr:uid="{00000000-0005-0000-0000-0000B53F0000}"/>
    <cellStyle name="Comma 3 31 8" xfId="33444" xr:uid="{00000000-0005-0000-0000-0000B63F0000}"/>
    <cellStyle name="Comma 3 32" xfId="2312" xr:uid="{00000000-0005-0000-0000-0000B73F0000}"/>
    <cellStyle name="Comma 3 32 2" xfId="2627" xr:uid="{00000000-0005-0000-0000-0000B83F0000}"/>
    <cellStyle name="Comma 3 32 2 2" xfId="3635" xr:uid="{00000000-0005-0000-0000-0000B93F0000}"/>
    <cellStyle name="Comma 3 32 2 2 2" xfId="5574" xr:uid="{00000000-0005-0000-0000-0000BA3F0000}"/>
    <cellStyle name="Comma 3 32 2 2 2 2" xfId="9445" xr:uid="{00000000-0005-0000-0000-0000BB3F0000}"/>
    <cellStyle name="Comma 3 32 2 2 2 2 2" xfId="17190" xr:uid="{00000000-0005-0000-0000-0000BC3F0000}"/>
    <cellStyle name="Comma 3 32 2 2 2 2 2 2" xfId="32782" xr:uid="{00000000-0005-0000-0000-0000BD3F0000}"/>
    <cellStyle name="Comma 3 32 2 2 2 2 2 3" xfId="48274" xr:uid="{00000000-0005-0000-0000-0000BE3F0000}"/>
    <cellStyle name="Comma 3 32 2 2 2 2 3" xfId="25042" xr:uid="{00000000-0005-0000-0000-0000BF3F0000}"/>
    <cellStyle name="Comma 3 32 2 2 2 2 4" xfId="40534" xr:uid="{00000000-0005-0000-0000-0000C03F0000}"/>
    <cellStyle name="Comma 3 32 2 2 2 3" xfId="13320" xr:uid="{00000000-0005-0000-0000-0000C13F0000}"/>
    <cellStyle name="Comma 3 32 2 2 2 3 2" xfId="28912" xr:uid="{00000000-0005-0000-0000-0000C23F0000}"/>
    <cellStyle name="Comma 3 32 2 2 2 3 3" xfId="44404" xr:uid="{00000000-0005-0000-0000-0000C33F0000}"/>
    <cellStyle name="Comma 3 32 2 2 2 4" xfId="21172" xr:uid="{00000000-0005-0000-0000-0000C43F0000}"/>
    <cellStyle name="Comma 3 32 2 2 2 5" xfId="36664" xr:uid="{00000000-0005-0000-0000-0000C53F0000}"/>
    <cellStyle name="Comma 3 32 2 2 3" xfId="7518" xr:uid="{00000000-0005-0000-0000-0000C63F0000}"/>
    <cellStyle name="Comma 3 32 2 2 3 2" xfId="15263" xr:uid="{00000000-0005-0000-0000-0000C73F0000}"/>
    <cellStyle name="Comma 3 32 2 2 3 2 2" xfId="30855" xr:uid="{00000000-0005-0000-0000-0000C83F0000}"/>
    <cellStyle name="Comma 3 32 2 2 3 2 3" xfId="46347" xr:uid="{00000000-0005-0000-0000-0000C93F0000}"/>
    <cellStyle name="Comma 3 32 2 2 3 3" xfId="23115" xr:uid="{00000000-0005-0000-0000-0000CA3F0000}"/>
    <cellStyle name="Comma 3 32 2 2 3 4" xfId="38607" xr:uid="{00000000-0005-0000-0000-0000CB3F0000}"/>
    <cellStyle name="Comma 3 32 2 2 4" xfId="11393" xr:uid="{00000000-0005-0000-0000-0000CC3F0000}"/>
    <cellStyle name="Comma 3 32 2 2 4 2" xfId="26985" xr:uid="{00000000-0005-0000-0000-0000CD3F0000}"/>
    <cellStyle name="Comma 3 32 2 2 4 3" xfId="42477" xr:uid="{00000000-0005-0000-0000-0000CE3F0000}"/>
    <cellStyle name="Comma 3 32 2 2 5" xfId="19245" xr:uid="{00000000-0005-0000-0000-0000CF3F0000}"/>
    <cellStyle name="Comma 3 32 2 2 6" xfId="34737" xr:uid="{00000000-0005-0000-0000-0000D03F0000}"/>
    <cellStyle name="Comma 3 32 2 3" xfId="4626" xr:uid="{00000000-0005-0000-0000-0000D13F0000}"/>
    <cellStyle name="Comma 3 32 2 3 2" xfId="8497" xr:uid="{00000000-0005-0000-0000-0000D23F0000}"/>
    <cellStyle name="Comma 3 32 2 3 2 2" xfId="16242" xr:uid="{00000000-0005-0000-0000-0000D33F0000}"/>
    <cellStyle name="Comma 3 32 2 3 2 2 2" xfId="31834" xr:uid="{00000000-0005-0000-0000-0000D43F0000}"/>
    <cellStyle name="Comma 3 32 2 3 2 2 3" xfId="47326" xr:uid="{00000000-0005-0000-0000-0000D53F0000}"/>
    <cellStyle name="Comma 3 32 2 3 2 3" xfId="24094" xr:uid="{00000000-0005-0000-0000-0000D63F0000}"/>
    <cellStyle name="Comma 3 32 2 3 2 4" xfId="39586" xr:uid="{00000000-0005-0000-0000-0000D73F0000}"/>
    <cellStyle name="Comma 3 32 2 3 3" xfId="12372" xr:uid="{00000000-0005-0000-0000-0000D83F0000}"/>
    <cellStyle name="Comma 3 32 2 3 3 2" xfId="27964" xr:uid="{00000000-0005-0000-0000-0000D93F0000}"/>
    <cellStyle name="Comma 3 32 2 3 3 3" xfId="43456" xr:uid="{00000000-0005-0000-0000-0000DA3F0000}"/>
    <cellStyle name="Comma 3 32 2 3 4" xfId="20224" xr:uid="{00000000-0005-0000-0000-0000DB3F0000}"/>
    <cellStyle name="Comma 3 32 2 3 5" xfId="35716" xr:uid="{00000000-0005-0000-0000-0000DC3F0000}"/>
    <cellStyle name="Comma 3 32 2 4" xfId="6570" xr:uid="{00000000-0005-0000-0000-0000DD3F0000}"/>
    <cellStyle name="Comma 3 32 2 4 2" xfId="14315" xr:uid="{00000000-0005-0000-0000-0000DE3F0000}"/>
    <cellStyle name="Comma 3 32 2 4 2 2" xfId="29907" xr:uid="{00000000-0005-0000-0000-0000DF3F0000}"/>
    <cellStyle name="Comma 3 32 2 4 2 3" xfId="45399" xr:uid="{00000000-0005-0000-0000-0000E03F0000}"/>
    <cellStyle name="Comma 3 32 2 4 3" xfId="22167" xr:uid="{00000000-0005-0000-0000-0000E13F0000}"/>
    <cellStyle name="Comma 3 32 2 4 4" xfId="37659" xr:uid="{00000000-0005-0000-0000-0000E23F0000}"/>
    <cellStyle name="Comma 3 32 2 5" xfId="10445" xr:uid="{00000000-0005-0000-0000-0000E33F0000}"/>
    <cellStyle name="Comma 3 32 2 5 2" xfId="26037" xr:uid="{00000000-0005-0000-0000-0000E43F0000}"/>
    <cellStyle name="Comma 3 32 2 5 3" xfId="41529" xr:uid="{00000000-0005-0000-0000-0000E53F0000}"/>
    <cellStyle name="Comma 3 32 2 6" xfId="18297" xr:uid="{00000000-0005-0000-0000-0000E63F0000}"/>
    <cellStyle name="Comma 3 32 2 7" xfId="33789" xr:uid="{00000000-0005-0000-0000-0000E73F0000}"/>
    <cellStyle name="Comma 3 32 3" xfId="3326" xr:uid="{00000000-0005-0000-0000-0000E83F0000}"/>
    <cellStyle name="Comma 3 32 3 2" xfId="5265" xr:uid="{00000000-0005-0000-0000-0000E93F0000}"/>
    <cellStyle name="Comma 3 32 3 2 2" xfId="9136" xr:uid="{00000000-0005-0000-0000-0000EA3F0000}"/>
    <cellStyle name="Comma 3 32 3 2 2 2" xfId="16881" xr:uid="{00000000-0005-0000-0000-0000EB3F0000}"/>
    <cellStyle name="Comma 3 32 3 2 2 2 2" xfId="32473" xr:uid="{00000000-0005-0000-0000-0000EC3F0000}"/>
    <cellStyle name="Comma 3 32 3 2 2 2 3" xfId="47965" xr:uid="{00000000-0005-0000-0000-0000ED3F0000}"/>
    <cellStyle name="Comma 3 32 3 2 2 3" xfId="24733" xr:uid="{00000000-0005-0000-0000-0000EE3F0000}"/>
    <cellStyle name="Comma 3 32 3 2 2 4" xfId="40225" xr:uid="{00000000-0005-0000-0000-0000EF3F0000}"/>
    <cellStyle name="Comma 3 32 3 2 3" xfId="13011" xr:uid="{00000000-0005-0000-0000-0000F03F0000}"/>
    <cellStyle name="Comma 3 32 3 2 3 2" xfId="28603" xr:uid="{00000000-0005-0000-0000-0000F13F0000}"/>
    <cellStyle name="Comma 3 32 3 2 3 3" xfId="44095" xr:uid="{00000000-0005-0000-0000-0000F23F0000}"/>
    <cellStyle name="Comma 3 32 3 2 4" xfId="20863" xr:uid="{00000000-0005-0000-0000-0000F33F0000}"/>
    <cellStyle name="Comma 3 32 3 2 5" xfId="36355" xr:uid="{00000000-0005-0000-0000-0000F43F0000}"/>
    <cellStyle name="Comma 3 32 3 3" xfId="7209" xr:uid="{00000000-0005-0000-0000-0000F53F0000}"/>
    <cellStyle name="Comma 3 32 3 3 2" xfId="14954" xr:uid="{00000000-0005-0000-0000-0000F63F0000}"/>
    <cellStyle name="Comma 3 32 3 3 2 2" xfId="30546" xr:uid="{00000000-0005-0000-0000-0000F73F0000}"/>
    <cellStyle name="Comma 3 32 3 3 2 3" xfId="46038" xr:uid="{00000000-0005-0000-0000-0000F83F0000}"/>
    <cellStyle name="Comma 3 32 3 3 3" xfId="22806" xr:uid="{00000000-0005-0000-0000-0000F93F0000}"/>
    <cellStyle name="Comma 3 32 3 3 4" xfId="38298" xr:uid="{00000000-0005-0000-0000-0000FA3F0000}"/>
    <cellStyle name="Comma 3 32 3 4" xfId="11084" xr:uid="{00000000-0005-0000-0000-0000FB3F0000}"/>
    <cellStyle name="Comma 3 32 3 4 2" xfId="26676" xr:uid="{00000000-0005-0000-0000-0000FC3F0000}"/>
    <cellStyle name="Comma 3 32 3 4 3" xfId="42168" xr:uid="{00000000-0005-0000-0000-0000FD3F0000}"/>
    <cellStyle name="Comma 3 32 3 5" xfId="18936" xr:uid="{00000000-0005-0000-0000-0000FE3F0000}"/>
    <cellStyle name="Comma 3 32 3 6" xfId="34428" xr:uid="{00000000-0005-0000-0000-0000FF3F0000}"/>
    <cellStyle name="Comma 3 32 4" xfId="4317" xr:uid="{00000000-0005-0000-0000-000000400000}"/>
    <cellStyle name="Comma 3 32 4 2" xfId="8188" xr:uid="{00000000-0005-0000-0000-000001400000}"/>
    <cellStyle name="Comma 3 32 4 2 2" xfId="15933" xr:uid="{00000000-0005-0000-0000-000002400000}"/>
    <cellStyle name="Comma 3 32 4 2 2 2" xfId="31525" xr:uid="{00000000-0005-0000-0000-000003400000}"/>
    <cellStyle name="Comma 3 32 4 2 2 3" xfId="47017" xr:uid="{00000000-0005-0000-0000-000004400000}"/>
    <cellStyle name="Comma 3 32 4 2 3" xfId="23785" xr:uid="{00000000-0005-0000-0000-000005400000}"/>
    <cellStyle name="Comma 3 32 4 2 4" xfId="39277" xr:uid="{00000000-0005-0000-0000-000006400000}"/>
    <cellStyle name="Comma 3 32 4 3" xfId="12063" xr:uid="{00000000-0005-0000-0000-000007400000}"/>
    <cellStyle name="Comma 3 32 4 3 2" xfId="27655" xr:uid="{00000000-0005-0000-0000-000008400000}"/>
    <cellStyle name="Comma 3 32 4 3 3" xfId="43147" xr:uid="{00000000-0005-0000-0000-000009400000}"/>
    <cellStyle name="Comma 3 32 4 4" xfId="19915" xr:uid="{00000000-0005-0000-0000-00000A400000}"/>
    <cellStyle name="Comma 3 32 4 5" xfId="35407" xr:uid="{00000000-0005-0000-0000-00000B400000}"/>
    <cellStyle name="Comma 3 32 5" xfId="6261" xr:uid="{00000000-0005-0000-0000-00000C400000}"/>
    <cellStyle name="Comma 3 32 5 2" xfId="14006" xr:uid="{00000000-0005-0000-0000-00000D400000}"/>
    <cellStyle name="Comma 3 32 5 2 2" xfId="29598" xr:uid="{00000000-0005-0000-0000-00000E400000}"/>
    <cellStyle name="Comma 3 32 5 2 3" xfId="45090" xr:uid="{00000000-0005-0000-0000-00000F400000}"/>
    <cellStyle name="Comma 3 32 5 3" xfId="21858" xr:uid="{00000000-0005-0000-0000-000010400000}"/>
    <cellStyle name="Comma 3 32 5 4" xfId="37350" xr:uid="{00000000-0005-0000-0000-000011400000}"/>
    <cellStyle name="Comma 3 32 6" xfId="10136" xr:uid="{00000000-0005-0000-0000-000012400000}"/>
    <cellStyle name="Comma 3 32 6 2" xfId="25728" xr:uid="{00000000-0005-0000-0000-000013400000}"/>
    <cellStyle name="Comma 3 32 6 3" xfId="41220" xr:uid="{00000000-0005-0000-0000-000014400000}"/>
    <cellStyle name="Comma 3 32 7" xfId="17988" xr:uid="{00000000-0005-0000-0000-000015400000}"/>
    <cellStyle name="Comma 3 32 8" xfId="33480" xr:uid="{00000000-0005-0000-0000-000016400000}"/>
    <cellStyle name="Comma 3 33" xfId="2350" xr:uid="{00000000-0005-0000-0000-000017400000}"/>
    <cellStyle name="Comma 3 33 2" xfId="2663" xr:uid="{00000000-0005-0000-0000-000018400000}"/>
    <cellStyle name="Comma 3 33 2 2" xfId="3671" xr:uid="{00000000-0005-0000-0000-000019400000}"/>
    <cellStyle name="Comma 3 33 2 2 2" xfId="5610" xr:uid="{00000000-0005-0000-0000-00001A400000}"/>
    <cellStyle name="Comma 3 33 2 2 2 2" xfId="9481" xr:uid="{00000000-0005-0000-0000-00001B400000}"/>
    <cellStyle name="Comma 3 33 2 2 2 2 2" xfId="17226" xr:uid="{00000000-0005-0000-0000-00001C400000}"/>
    <cellStyle name="Comma 3 33 2 2 2 2 2 2" xfId="32818" xr:uid="{00000000-0005-0000-0000-00001D400000}"/>
    <cellStyle name="Comma 3 33 2 2 2 2 2 3" xfId="48310" xr:uid="{00000000-0005-0000-0000-00001E400000}"/>
    <cellStyle name="Comma 3 33 2 2 2 2 3" xfId="25078" xr:uid="{00000000-0005-0000-0000-00001F400000}"/>
    <cellStyle name="Comma 3 33 2 2 2 2 4" xfId="40570" xr:uid="{00000000-0005-0000-0000-000020400000}"/>
    <cellStyle name="Comma 3 33 2 2 2 3" xfId="13356" xr:uid="{00000000-0005-0000-0000-000021400000}"/>
    <cellStyle name="Comma 3 33 2 2 2 3 2" xfId="28948" xr:uid="{00000000-0005-0000-0000-000022400000}"/>
    <cellStyle name="Comma 3 33 2 2 2 3 3" xfId="44440" xr:uid="{00000000-0005-0000-0000-000023400000}"/>
    <cellStyle name="Comma 3 33 2 2 2 4" xfId="21208" xr:uid="{00000000-0005-0000-0000-000024400000}"/>
    <cellStyle name="Comma 3 33 2 2 2 5" xfId="36700" xr:uid="{00000000-0005-0000-0000-000025400000}"/>
    <cellStyle name="Comma 3 33 2 2 3" xfId="7554" xr:uid="{00000000-0005-0000-0000-000026400000}"/>
    <cellStyle name="Comma 3 33 2 2 3 2" xfId="15299" xr:uid="{00000000-0005-0000-0000-000027400000}"/>
    <cellStyle name="Comma 3 33 2 2 3 2 2" xfId="30891" xr:uid="{00000000-0005-0000-0000-000028400000}"/>
    <cellStyle name="Comma 3 33 2 2 3 2 3" xfId="46383" xr:uid="{00000000-0005-0000-0000-000029400000}"/>
    <cellStyle name="Comma 3 33 2 2 3 3" xfId="23151" xr:uid="{00000000-0005-0000-0000-00002A400000}"/>
    <cellStyle name="Comma 3 33 2 2 3 4" xfId="38643" xr:uid="{00000000-0005-0000-0000-00002B400000}"/>
    <cellStyle name="Comma 3 33 2 2 4" xfId="11429" xr:uid="{00000000-0005-0000-0000-00002C400000}"/>
    <cellStyle name="Comma 3 33 2 2 4 2" xfId="27021" xr:uid="{00000000-0005-0000-0000-00002D400000}"/>
    <cellStyle name="Comma 3 33 2 2 4 3" xfId="42513" xr:uid="{00000000-0005-0000-0000-00002E400000}"/>
    <cellStyle name="Comma 3 33 2 2 5" xfId="19281" xr:uid="{00000000-0005-0000-0000-00002F400000}"/>
    <cellStyle name="Comma 3 33 2 2 6" xfId="34773" xr:uid="{00000000-0005-0000-0000-000030400000}"/>
    <cellStyle name="Comma 3 33 2 3" xfId="4662" xr:uid="{00000000-0005-0000-0000-000031400000}"/>
    <cellStyle name="Comma 3 33 2 3 2" xfId="8533" xr:uid="{00000000-0005-0000-0000-000032400000}"/>
    <cellStyle name="Comma 3 33 2 3 2 2" xfId="16278" xr:uid="{00000000-0005-0000-0000-000033400000}"/>
    <cellStyle name="Comma 3 33 2 3 2 2 2" xfId="31870" xr:uid="{00000000-0005-0000-0000-000034400000}"/>
    <cellStyle name="Comma 3 33 2 3 2 2 3" xfId="47362" xr:uid="{00000000-0005-0000-0000-000035400000}"/>
    <cellStyle name="Comma 3 33 2 3 2 3" xfId="24130" xr:uid="{00000000-0005-0000-0000-000036400000}"/>
    <cellStyle name="Comma 3 33 2 3 2 4" xfId="39622" xr:uid="{00000000-0005-0000-0000-000037400000}"/>
    <cellStyle name="Comma 3 33 2 3 3" xfId="12408" xr:uid="{00000000-0005-0000-0000-000038400000}"/>
    <cellStyle name="Comma 3 33 2 3 3 2" xfId="28000" xr:uid="{00000000-0005-0000-0000-000039400000}"/>
    <cellStyle name="Comma 3 33 2 3 3 3" xfId="43492" xr:uid="{00000000-0005-0000-0000-00003A400000}"/>
    <cellStyle name="Comma 3 33 2 3 4" xfId="20260" xr:uid="{00000000-0005-0000-0000-00003B400000}"/>
    <cellStyle name="Comma 3 33 2 3 5" xfId="35752" xr:uid="{00000000-0005-0000-0000-00003C400000}"/>
    <cellStyle name="Comma 3 33 2 4" xfId="6606" xr:uid="{00000000-0005-0000-0000-00003D400000}"/>
    <cellStyle name="Comma 3 33 2 4 2" xfId="14351" xr:uid="{00000000-0005-0000-0000-00003E400000}"/>
    <cellStyle name="Comma 3 33 2 4 2 2" xfId="29943" xr:uid="{00000000-0005-0000-0000-00003F400000}"/>
    <cellStyle name="Comma 3 33 2 4 2 3" xfId="45435" xr:uid="{00000000-0005-0000-0000-000040400000}"/>
    <cellStyle name="Comma 3 33 2 4 3" xfId="22203" xr:uid="{00000000-0005-0000-0000-000041400000}"/>
    <cellStyle name="Comma 3 33 2 4 4" xfId="37695" xr:uid="{00000000-0005-0000-0000-000042400000}"/>
    <cellStyle name="Comma 3 33 2 5" xfId="10481" xr:uid="{00000000-0005-0000-0000-000043400000}"/>
    <cellStyle name="Comma 3 33 2 5 2" xfId="26073" xr:uid="{00000000-0005-0000-0000-000044400000}"/>
    <cellStyle name="Comma 3 33 2 5 3" xfId="41565" xr:uid="{00000000-0005-0000-0000-000045400000}"/>
    <cellStyle name="Comma 3 33 2 6" xfId="18333" xr:uid="{00000000-0005-0000-0000-000046400000}"/>
    <cellStyle name="Comma 3 33 2 7" xfId="33825" xr:uid="{00000000-0005-0000-0000-000047400000}"/>
    <cellStyle name="Comma 3 33 3" xfId="3362" xr:uid="{00000000-0005-0000-0000-000048400000}"/>
    <cellStyle name="Comma 3 33 3 2" xfId="5301" xr:uid="{00000000-0005-0000-0000-000049400000}"/>
    <cellStyle name="Comma 3 33 3 2 2" xfId="9172" xr:uid="{00000000-0005-0000-0000-00004A400000}"/>
    <cellStyle name="Comma 3 33 3 2 2 2" xfId="16917" xr:uid="{00000000-0005-0000-0000-00004B400000}"/>
    <cellStyle name="Comma 3 33 3 2 2 2 2" xfId="32509" xr:uid="{00000000-0005-0000-0000-00004C400000}"/>
    <cellStyle name="Comma 3 33 3 2 2 2 3" xfId="48001" xr:uid="{00000000-0005-0000-0000-00004D400000}"/>
    <cellStyle name="Comma 3 33 3 2 2 3" xfId="24769" xr:uid="{00000000-0005-0000-0000-00004E400000}"/>
    <cellStyle name="Comma 3 33 3 2 2 4" xfId="40261" xr:uid="{00000000-0005-0000-0000-00004F400000}"/>
    <cellStyle name="Comma 3 33 3 2 3" xfId="13047" xr:uid="{00000000-0005-0000-0000-000050400000}"/>
    <cellStyle name="Comma 3 33 3 2 3 2" xfId="28639" xr:uid="{00000000-0005-0000-0000-000051400000}"/>
    <cellStyle name="Comma 3 33 3 2 3 3" xfId="44131" xr:uid="{00000000-0005-0000-0000-000052400000}"/>
    <cellStyle name="Comma 3 33 3 2 4" xfId="20899" xr:uid="{00000000-0005-0000-0000-000053400000}"/>
    <cellStyle name="Comma 3 33 3 2 5" xfId="36391" xr:uid="{00000000-0005-0000-0000-000054400000}"/>
    <cellStyle name="Comma 3 33 3 3" xfId="7245" xr:uid="{00000000-0005-0000-0000-000055400000}"/>
    <cellStyle name="Comma 3 33 3 3 2" xfId="14990" xr:uid="{00000000-0005-0000-0000-000056400000}"/>
    <cellStyle name="Comma 3 33 3 3 2 2" xfId="30582" xr:uid="{00000000-0005-0000-0000-000057400000}"/>
    <cellStyle name="Comma 3 33 3 3 2 3" xfId="46074" xr:uid="{00000000-0005-0000-0000-000058400000}"/>
    <cellStyle name="Comma 3 33 3 3 3" xfId="22842" xr:uid="{00000000-0005-0000-0000-000059400000}"/>
    <cellStyle name="Comma 3 33 3 3 4" xfId="38334" xr:uid="{00000000-0005-0000-0000-00005A400000}"/>
    <cellStyle name="Comma 3 33 3 4" xfId="11120" xr:uid="{00000000-0005-0000-0000-00005B400000}"/>
    <cellStyle name="Comma 3 33 3 4 2" xfId="26712" xr:uid="{00000000-0005-0000-0000-00005C400000}"/>
    <cellStyle name="Comma 3 33 3 4 3" xfId="42204" xr:uid="{00000000-0005-0000-0000-00005D400000}"/>
    <cellStyle name="Comma 3 33 3 5" xfId="18972" xr:uid="{00000000-0005-0000-0000-00005E400000}"/>
    <cellStyle name="Comma 3 33 3 6" xfId="34464" xr:uid="{00000000-0005-0000-0000-00005F400000}"/>
    <cellStyle name="Comma 3 33 4" xfId="4353" xr:uid="{00000000-0005-0000-0000-000060400000}"/>
    <cellStyle name="Comma 3 33 4 2" xfId="8224" xr:uid="{00000000-0005-0000-0000-000061400000}"/>
    <cellStyle name="Comma 3 33 4 2 2" xfId="15969" xr:uid="{00000000-0005-0000-0000-000062400000}"/>
    <cellStyle name="Comma 3 33 4 2 2 2" xfId="31561" xr:uid="{00000000-0005-0000-0000-000063400000}"/>
    <cellStyle name="Comma 3 33 4 2 2 3" xfId="47053" xr:uid="{00000000-0005-0000-0000-000064400000}"/>
    <cellStyle name="Comma 3 33 4 2 3" xfId="23821" xr:uid="{00000000-0005-0000-0000-000065400000}"/>
    <cellStyle name="Comma 3 33 4 2 4" xfId="39313" xr:uid="{00000000-0005-0000-0000-000066400000}"/>
    <cellStyle name="Comma 3 33 4 3" xfId="12099" xr:uid="{00000000-0005-0000-0000-000067400000}"/>
    <cellStyle name="Comma 3 33 4 3 2" xfId="27691" xr:uid="{00000000-0005-0000-0000-000068400000}"/>
    <cellStyle name="Comma 3 33 4 3 3" xfId="43183" xr:uid="{00000000-0005-0000-0000-000069400000}"/>
    <cellStyle name="Comma 3 33 4 4" xfId="19951" xr:uid="{00000000-0005-0000-0000-00006A400000}"/>
    <cellStyle name="Comma 3 33 4 5" xfId="35443" xr:uid="{00000000-0005-0000-0000-00006B400000}"/>
    <cellStyle name="Comma 3 33 5" xfId="6297" xr:uid="{00000000-0005-0000-0000-00006C400000}"/>
    <cellStyle name="Comma 3 33 5 2" xfId="14042" xr:uid="{00000000-0005-0000-0000-00006D400000}"/>
    <cellStyle name="Comma 3 33 5 2 2" xfId="29634" xr:uid="{00000000-0005-0000-0000-00006E400000}"/>
    <cellStyle name="Comma 3 33 5 2 3" xfId="45126" xr:uid="{00000000-0005-0000-0000-00006F400000}"/>
    <cellStyle name="Comma 3 33 5 3" xfId="21894" xr:uid="{00000000-0005-0000-0000-000070400000}"/>
    <cellStyle name="Comma 3 33 5 4" xfId="37386" xr:uid="{00000000-0005-0000-0000-000071400000}"/>
    <cellStyle name="Comma 3 33 6" xfId="10172" xr:uid="{00000000-0005-0000-0000-000072400000}"/>
    <cellStyle name="Comma 3 33 6 2" xfId="25764" xr:uid="{00000000-0005-0000-0000-000073400000}"/>
    <cellStyle name="Comma 3 33 6 3" xfId="41256" xr:uid="{00000000-0005-0000-0000-000074400000}"/>
    <cellStyle name="Comma 3 33 7" xfId="18024" xr:uid="{00000000-0005-0000-0000-000075400000}"/>
    <cellStyle name="Comma 3 33 8" xfId="33516" xr:uid="{00000000-0005-0000-0000-000076400000}"/>
    <cellStyle name="Comma 3 34" xfId="2387" xr:uid="{00000000-0005-0000-0000-000077400000}"/>
    <cellStyle name="Comma 3 34 2" xfId="2699" xr:uid="{00000000-0005-0000-0000-000078400000}"/>
    <cellStyle name="Comma 3 34 2 2" xfId="3707" xr:uid="{00000000-0005-0000-0000-000079400000}"/>
    <cellStyle name="Comma 3 34 2 2 2" xfId="5646" xr:uid="{00000000-0005-0000-0000-00007A400000}"/>
    <cellStyle name="Comma 3 34 2 2 2 2" xfId="9517" xr:uid="{00000000-0005-0000-0000-00007B400000}"/>
    <cellStyle name="Comma 3 34 2 2 2 2 2" xfId="17262" xr:uid="{00000000-0005-0000-0000-00007C400000}"/>
    <cellStyle name="Comma 3 34 2 2 2 2 2 2" xfId="32854" xr:uid="{00000000-0005-0000-0000-00007D400000}"/>
    <cellStyle name="Comma 3 34 2 2 2 2 2 3" xfId="48346" xr:uid="{00000000-0005-0000-0000-00007E400000}"/>
    <cellStyle name="Comma 3 34 2 2 2 2 3" xfId="25114" xr:uid="{00000000-0005-0000-0000-00007F400000}"/>
    <cellStyle name="Comma 3 34 2 2 2 2 4" xfId="40606" xr:uid="{00000000-0005-0000-0000-000080400000}"/>
    <cellStyle name="Comma 3 34 2 2 2 3" xfId="13392" xr:uid="{00000000-0005-0000-0000-000081400000}"/>
    <cellStyle name="Comma 3 34 2 2 2 3 2" xfId="28984" xr:uid="{00000000-0005-0000-0000-000082400000}"/>
    <cellStyle name="Comma 3 34 2 2 2 3 3" xfId="44476" xr:uid="{00000000-0005-0000-0000-000083400000}"/>
    <cellStyle name="Comma 3 34 2 2 2 4" xfId="21244" xr:uid="{00000000-0005-0000-0000-000084400000}"/>
    <cellStyle name="Comma 3 34 2 2 2 5" xfId="36736" xr:uid="{00000000-0005-0000-0000-000085400000}"/>
    <cellStyle name="Comma 3 34 2 2 3" xfId="7590" xr:uid="{00000000-0005-0000-0000-000086400000}"/>
    <cellStyle name="Comma 3 34 2 2 3 2" xfId="15335" xr:uid="{00000000-0005-0000-0000-000087400000}"/>
    <cellStyle name="Comma 3 34 2 2 3 2 2" xfId="30927" xr:uid="{00000000-0005-0000-0000-000088400000}"/>
    <cellStyle name="Comma 3 34 2 2 3 2 3" xfId="46419" xr:uid="{00000000-0005-0000-0000-000089400000}"/>
    <cellStyle name="Comma 3 34 2 2 3 3" xfId="23187" xr:uid="{00000000-0005-0000-0000-00008A400000}"/>
    <cellStyle name="Comma 3 34 2 2 3 4" xfId="38679" xr:uid="{00000000-0005-0000-0000-00008B400000}"/>
    <cellStyle name="Comma 3 34 2 2 4" xfId="11465" xr:uid="{00000000-0005-0000-0000-00008C400000}"/>
    <cellStyle name="Comma 3 34 2 2 4 2" xfId="27057" xr:uid="{00000000-0005-0000-0000-00008D400000}"/>
    <cellStyle name="Comma 3 34 2 2 4 3" xfId="42549" xr:uid="{00000000-0005-0000-0000-00008E400000}"/>
    <cellStyle name="Comma 3 34 2 2 5" xfId="19317" xr:uid="{00000000-0005-0000-0000-00008F400000}"/>
    <cellStyle name="Comma 3 34 2 2 6" xfId="34809" xr:uid="{00000000-0005-0000-0000-000090400000}"/>
    <cellStyle name="Comma 3 34 2 3" xfId="4698" xr:uid="{00000000-0005-0000-0000-000091400000}"/>
    <cellStyle name="Comma 3 34 2 3 2" xfId="8569" xr:uid="{00000000-0005-0000-0000-000092400000}"/>
    <cellStyle name="Comma 3 34 2 3 2 2" xfId="16314" xr:uid="{00000000-0005-0000-0000-000093400000}"/>
    <cellStyle name="Comma 3 34 2 3 2 2 2" xfId="31906" xr:uid="{00000000-0005-0000-0000-000094400000}"/>
    <cellStyle name="Comma 3 34 2 3 2 2 3" xfId="47398" xr:uid="{00000000-0005-0000-0000-000095400000}"/>
    <cellStyle name="Comma 3 34 2 3 2 3" xfId="24166" xr:uid="{00000000-0005-0000-0000-000096400000}"/>
    <cellStyle name="Comma 3 34 2 3 2 4" xfId="39658" xr:uid="{00000000-0005-0000-0000-000097400000}"/>
    <cellStyle name="Comma 3 34 2 3 3" xfId="12444" xr:uid="{00000000-0005-0000-0000-000098400000}"/>
    <cellStyle name="Comma 3 34 2 3 3 2" xfId="28036" xr:uid="{00000000-0005-0000-0000-000099400000}"/>
    <cellStyle name="Comma 3 34 2 3 3 3" xfId="43528" xr:uid="{00000000-0005-0000-0000-00009A400000}"/>
    <cellStyle name="Comma 3 34 2 3 4" xfId="20296" xr:uid="{00000000-0005-0000-0000-00009B400000}"/>
    <cellStyle name="Comma 3 34 2 3 5" xfId="35788" xr:uid="{00000000-0005-0000-0000-00009C400000}"/>
    <cellStyle name="Comma 3 34 2 4" xfId="6642" xr:uid="{00000000-0005-0000-0000-00009D400000}"/>
    <cellStyle name="Comma 3 34 2 4 2" xfId="14387" xr:uid="{00000000-0005-0000-0000-00009E400000}"/>
    <cellStyle name="Comma 3 34 2 4 2 2" xfId="29979" xr:uid="{00000000-0005-0000-0000-00009F400000}"/>
    <cellStyle name="Comma 3 34 2 4 2 3" xfId="45471" xr:uid="{00000000-0005-0000-0000-0000A0400000}"/>
    <cellStyle name="Comma 3 34 2 4 3" xfId="22239" xr:uid="{00000000-0005-0000-0000-0000A1400000}"/>
    <cellStyle name="Comma 3 34 2 4 4" xfId="37731" xr:uid="{00000000-0005-0000-0000-0000A2400000}"/>
    <cellStyle name="Comma 3 34 2 5" xfId="10517" xr:uid="{00000000-0005-0000-0000-0000A3400000}"/>
    <cellStyle name="Comma 3 34 2 5 2" xfId="26109" xr:uid="{00000000-0005-0000-0000-0000A4400000}"/>
    <cellStyle name="Comma 3 34 2 5 3" xfId="41601" xr:uid="{00000000-0005-0000-0000-0000A5400000}"/>
    <cellStyle name="Comma 3 34 2 6" xfId="18369" xr:uid="{00000000-0005-0000-0000-0000A6400000}"/>
    <cellStyle name="Comma 3 34 2 7" xfId="33861" xr:uid="{00000000-0005-0000-0000-0000A7400000}"/>
    <cellStyle name="Comma 3 34 3" xfId="3398" xr:uid="{00000000-0005-0000-0000-0000A8400000}"/>
    <cellStyle name="Comma 3 34 3 2" xfId="5337" xr:uid="{00000000-0005-0000-0000-0000A9400000}"/>
    <cellStyle name="Comma 3 34 3 2 2" xfId="9208" xr:uid="{00000000-0005-0000-0000-0000AA400000}"/>
    <cellStyle name="Comma 3 34 3 2 2 2" xfId="16953" xr:uid="{00000000-0005-0000-0000-0000AB400000}"/>
    <cellStyle name="Comma 3 34 3 2 2 2 2" xfId="32545" xr:uid="{00000000-0005-0000-0000-0000AC400000}"/>
    <cellStyle name="Comma 3 34 3 2 2 2 3" xfId="48037" xr:uid="{00000000-0005-0000-0000-0000AD400000}"/>
    <cellStyle name="Comma 3 34 3 2 2 3" xfId="24805" xr:uid="{00000000-0005-0000-0000-0000AE400000}"/>
    <cellStyle name="Comma 3 34 3 2 2 4" xfId="40297" xr:uid="{00000000-0005-0000-0000-0000AF400000}"/>
    <cellStyle name="Comma 3 34 3 2 3" xfId="13083" xr:uid="{00000000-0005-0000-0000-0000B0400000}"/>
    <cellStyle name="Comma 3 34 3 2 3 2" xfId="28675" xr:uid="{00000000-0005-0000-0000-0000B1400000}"/>
    <cellStyle name="Comma 3 34 3 2 3 3" xfId="44167" xr:uid="{00000000-0005-0000-0000-0000B2400000}"/>
    <cellStyle name="Comma 3 34 3 2 4" xfId="20935" xr:uid="{00000000-0005-0000-0000-0000B3400000}"/>
    <cellStyle name="Comma 3 34 3 2 5" xfId="36427" xr:uid="{00000000-0005-0000-0000-0000B4400000}"/>
    <cellStyle name="Comma 3 34 3 3" xfId="7281" xr:uid="{00000000-0005-0000-0000-0000B5400000}"/>
    <cellStyle name="Comma 3 34 3 3 2" xfId="15026" xr:uid="{00000000-0005-0000-0000-0000B6400000}"/>
    <cellStyle name="Comma 3 34 3 3 2 2" xfId="30618" xr:uid="{00000000-0005-0000-0000-0000B7400000}"/>
    <cellStyle name="Comma 3 34 3 3 2 3" xfId="46110" xr:uid="{00000000-0005-0000-0000-0000B8400000}"/>
    <cellStyle name="Comma 3 34 3 3 3" xfId="22878" xr:uid="{00000000-0005-0000-0000-0000B9400000}"/>
    <cellStyle name="Comma 3 34 3 3 4" xfId="38370" xr:uid="{00000000-0005-0000-0000-0000BA400000}"/>
    <cellStyle name="Comma 3 34 3 4" xfId="11156" xr:uid="{00000000-0005-0000-0000-0000BB400000}"/>
    <cellStyle name="Comma 3 34 3 4 2" xfId="26748" xr:uid="{00000000-0005-0000-0000-0000BC400000}"/>
    <cellStyle name="Comma 3 34 3 4 3" xfId="42240" xr:uid="{00000000-0005-0000-0000-0000BD400000}"/>
    <cellStyle name="Comma 3 34 3 5" xfId="19008" xr:uid="{00000000-0005-0000-0000-0000BE400000}"/>
    <cellStyle name="Comma 3 34 3 6" xfId="34500" xr:uid="{00000000-0005-0000-0000-0000BF400000}"/>
    <cellStyle name="Comma 3 34 4" xfId="4389" xr:uid="{00000000-0005-0000-0000-0000C0400000}"/>
    <cellStyle name="Comma 3 34 4 2" xfId="8260" xr:uid="{00000000-0005-0000-0000-0000C1400000}"/>
    <cellStyle name="Comma 3 34 4 2 2" xfId="16005" xr:uid="{00000000-0005-0000-0000-0000C2400000}"/>
    <cellStyle name="Comma 3 34 4 2 2 2" xfId="31597" xr:uid="{00000000-0005-0000-0000-0000C3400000}"/>
    <cellStyle name="Comma 3 34 4 2 2 3" xfId="47089" xr:uid="{00000000-0005-0000-0000-0000C4400000}"/>
    <cellStyle name="Comma 3 34 4 2 3" xfId="23857" xr:uid="{00000000-0005-0000-0000-0000C5400000}"/>
    <cellStyle name="Comma 3 34 4 2 4" xfId="39349" xr:uid="{00000000-0005-0000-0000-0000C6400000}"/>
    <cellStyle name="Comma 3 34 4 3" xfId="12135" xr:uid="{00000000-0005-0000-0000-0000C7400000}"/>
    <cellStyle name="Comma 3 34 4 3 2" xfId="27727" xr:uid="{00000000-0005-0000-0000-0000C8400000}"/>
    <cellStyle name="Comma 3 34 4 3 3" xfId="43219" xr:uid="{00000000-0005-0000-0000-0000C9400000}"/>
    <cellStyle name="Comma 3 34 4 4" xfId="19987" xr:uid="{00000000-0005-0000-0000-0000CA400000}"/>
    <cellStyle name="Comma 3 34 4 5" xfId="35479" xr:uid="{00000000-0005-0000-0000-0000CB400000}"/>
    <cellStyle name="Comma 3 34 5" xfId="6333" xr:uid="{00000000-0005-0000-0000-0000CC400000}"/>
    <cellStyle name="Comma 3 34 5 2" xfId="14078" xr:uid="{00000000-0005-0000-0000-0000CD400000}"/>
    <cellStyle name="Comma 3 34 5 2 2" xfId="29670" xr:uid="{00000000-0005-0000-0000-0000CE400000}"/>
    <cellStyle name="Comma 3 34 5 2 3" xfId="45162" xr:uid="{00000000-0005-0000-0000-0000CF400000}"/>
    <cellStyle name="Comma 3 34 5 3" xfId="21930" xr:uid="{00000000-0005-0000-0000-0000D0400000}"/>
    <cellStyle name="Comma 3 34 5 4" xfId="37422" xr:uid="{00000000-0005-0000-0000-0000D1400000}"/>
    <cellStyle name="Comma 3 34 6" xfId="10208" xr:uid="{00000000-0005-0000-0000-0000D2400000}"/>
    <cellStyle name="Comma 3 34 6 2" xfId="25800" xr:uid="{00000000-0005-0000-0000-0000D3400000}"/>
    <cellStyle name="Comma 3 34 6 3" xfId="41292" xr:uid="{00000000-0005-0000-0000-0000D4400000}"/>
    <cellStyle name="Comma 3 34 7" xfId="18060" xr:uid="{00000000-0005-0000-0000-0000D5400000}"/>
    <cellStyle name="Comma 3 34 8" xfId="33552" xr:uid="{00000000-0005-0000-0000-0000D6400000}"/>
    <cellStyle name="Comma 3 35" xfId="2425" xr:uid="{00000000-0005-0000-0000-0000D7400000}"/>
    <cellStyle name="Comma 3 35 2" xfId="2735" xr:uid="{00000000-0005-0000-0000-0000D8400000}"/>
    <cellStyle name="Comma 3 35 2 2" xfId="3743" xr:uid="{00000000-0005-0000-0000-0000D9400000}"/>
    <cellStyle name="Comma 3 35 2 2 2" xfId="5682" xr:uid="{00000000-0005-0000-0000-0000DA400000}"/>
    <cellStyle name="Comma 3 35 2 2 2 2" xfId="9553" xr:uid="{00000000-0005-0000-0000-0000DB400000}"/>
    <cellStyle name="Comma 3 35 2 2 2 2 2" xfId="17298" xr:uid="{00000000-0005-0000-0000-0000DC400000}"/>
    <cellStyle name="Comma 3 35 2 2 2 2 2 2" xfId="32890" xr:uid="{00000000-0005-0000-0000-0000DD400000}"/>
    <cellStyle name="Comma 3 35 2 2 2 2 2 3" xfId="48382" xr:uid="{00000000-0005-0000-0000-0000DE400000}"/>
    <cellStyle name="Comma 3 35 2 2 2 2 3" xfId="25150" xr:uid="{00000000-0005-0000-0000-0000DF400000}"/>
    <cellStyle name="Comma 3 35 2 2 2 2 4" xfId="40642" xr:uid="{00000000-0005-0000-0000-0000E0400000}"/>
    <cellStyle name="Comma 3 35 2 2 2 3" xfId="13428" xr:uid="{00000000-0005-0000-0000-0000E1400000}"/>
    <cellStyle name="Comma 3 35 2 2 2 3 2" xfId="29020" xr:uid="{00000000-0005-0000-0000-0000E2400000}"/>
    <cellStyle name="Comma 3 35 2 2 2 3 3" xfId="44512" xr:uid="{00000000-0005-0000-0000-0000E3400000}"/>
    <cellStyle name="Comma 3 35 2 2 2 4" xfId="21280" xr:uid="{00000000-0005-0000-0000-0000E4400000}"/>
    <cellStyle name="Comma 3 35 2 2 2 5" xfId="36772" xr:uid="{00000000-0005-0000-0000-0000E5400000}"/>
    <cellStyle name="Comma 3 35 2 2 3" xfId="7626" xr:uid="{00000000-0005-0000-0000-0000E6400000}"/>
    <cellStyle name="Comma 3 35 2 2 3 2" xfId="15371" xr:uid="{00000000-0005-0000-0000-0000E7400000}"/>
    <cellStyle name="Comma 3 35 2 2 3 2 2" xfId="30963" xr:uid="{00000000-0005-0000-0000-0000E8400000}"/>
    <cellStyle name="Comma 3 35 2 2 3 2 3" xfId="46455" xr:uid="{00000000-0005-0000-0000-0000E9400000}"/>
    <cellStyle name="Comma 3 35 2 2 3 3" xfId="23223" xr:uid="{00000000-0005-0000-0000-0000EA400000}"/>
    <cellStyle name="Comma 3 35 2 2 3 4" xfId="38715" xr:uid="{00000000-0005-0000-0000-0000EB400000}"/>
    <cellStyle name="Comma 3 35 2 2 4" xfId="11501" xr:uid="{00000000-0005-0000-0000-0000EC400000}"/>
    <cellStyle name="Comma 3 35 2 2 4 2" xfId="27093" xr:uid="{00000000-0005-0000-0000-0000ED400000}"/>
    <cellStyle name="Comma 3 35 2 2 4 3" xfId="42585" xr:uid="{00000000-0005-0000-0000-0000EE400000}"/>
    <cellStyle name="Comma 3 35 2 2 5" xfId="19353" xr:uid="{00000000-0005-0000-0000-0000EF400000}"/>
    <cellStyle name="Comma 3 35 2 2 6" xfId="34845" xr:uid="{00000000-0005-0000-0000-0000F0400000}"/>
    <cellStyle name="Comma 3 35 2 3" xfId="4734" xr:uid="{00000000-0005-0000-0000-0000F1400000}"/>
    <cellStyle name="Comma 3 35 2 3 2" xfId="8605" xr:uid="{00000000-0005-0000-0000-0000F2400000}"/>
    <cellStyle name="Comma 3 35 2 3 2 2" xfId="16350" xr:uid="{00000000-0005-0000-0000-0000F3400000}"/>
    <cellStyle name="Comma 3 35 2 3 2 2 2" xfId="31942" xr:uid="{00000000-0005-0000-0000-0000F4400000}"/>
    <cellStyle name="Comma 3 35 2 3 2 2 3" xfId="47434" xr:uid="{00000000-0005-0000-0000-0000F5400000}"/>
    <cellStyle name="Comma 3 35 2 3 2 3" xfId="24202" xr:uid="{00000000-0005-0000-0000-0000F6400000}"/>
    <cellStyle name="Comma 3 35 2 3 2 4" xfId="39694" xr:uid="{00000000-0005-0000-0000-0000F7400000}"/>
    <cellStyle name="Comma 3 35 2 3 3" xfId="12480" xr:uid="{00000000-0005-0000-0000-0000F8400000}"/>
    <cellStyle name="Comma 3 35 2 3 3 2" xfId="28072" xr:uid="{00000000-0005-0000-0000-0000F9400000}"/>
    <cellStyle name="Comma 3 35 2 3 3 3" xfId="43564" xr:uid="{00000000-0005-0000-0000-0000FA400000}"/>
    <cellStyle name="Comma 3 35 2 3 4" xfId="20332" xr:uid="{00000000-0005-0000-0000-0000FB400000}"/>
    <cellStyle name="Comma 3 35 2 3 5" xfId="35824" xr:uid="{00000000-0005-0000-0000-0000FC400000}"/>
    <cellStyle name="Comma 3 35 2 4" xfId="6678" xr:uid="{00000000-0005-0000-0000-0000FD400000}"/>
    <cellStyle name="Comma 3 35 2 4 2" xfId="14423" xr:uid="{00000000-0005-0000-0000-0000FE400000}"/>
    <cellStyle name="Comma 3 35 2 4 2 2" xfId="30015" xr:uid="{00000000-0005-0000-0000-0000FF400000}"/>
    <cellStyle name="Comma 3 35 2 4 2 3" xfId="45507" xr:uid="{00000000-0005-0000-0000-000000410000}"/>
    <cellStyle name="Comma 3 35 2 4 3" xfId="22275" xr:uid="{00000000-0005-0000-0000-000001410000}"/>
    <cellStyle name="Comma 3 35 2 4 4" xfId="37767" xr:uid="{00000000-0005-0000-0000-000002410000}"/>
    <cellStyle name="Comma 3 35 2 5" xfId="10553" xr:uid="{00000000-0005-0000-0000-000003410000}"/>
    <cellStyle name="Comma 3 35 2 5 2" xfId="26145" xr:uid="{00000000-0005-0000-0000-000004410000}"/>
    <cellStyle name="Comma 3 35 2 5 3" xfId="41637" xr:uid="{00000000-0005-0000-0000-000005410000}"/>
    <cellStyle name="Comma 3 35 2 6" xfId="18405" xr:uid="{00000000-0005-0000-0000-000006410000}"/>
    <cellStyle name="Comma 3 35 2 7" xfId="33897" xr:uid="{00000000-0005-0000-0000-000007410000}"/>
    <cellStyle name="Comma 3 35 3" xfId="3434" xr:uid="{00000000-0005-0000-0000-000008410000}"/>
    <cellStyle name="Comma 3 35 3 2" xfId="5373" xr:uid="{00000000-0005-0000-0000-000009410000}"/>
    <cellStyle name="Comma 3 35 3 2 2" xfId="9244" xr:uid="{00000000-0005-0000-0000-00000A410000}"/>
    <cellStyle name="Comma 3 35 3 2 2 2" xfId="16989" xr:uid="{00000000-0005-0000-0000-00000B410000}"/>
    <cellStyle name="Comma 3 35 3 2 2 2 2" xfId="32581" xr:uid="{00000000-0005-0000-0000-00000C410000}"/>
    <cellStyle name="Comma 3 35 3 2 2 2 3" xfId="48073" xr:uid="{00000000-0005-0000-0000-00000D410000}"/>
    <cellStyle name="Comma 3 35 3 2 2 3" xfId="24841" xr:uid="{00000000-0005-0000-0000-00000E410000}"/>
    <cellStyle name="Comma 3 35 3 2 2 4" xfId="40333" xr:uid="{00000000-0005-0000-0000-00000F410000}"/>
    <cellStyle name="Comma 3 35 3 2 3" xfId="13119" xr:uid="{00000000-0005-0000-0000-000010410000}"/>
    <cellStyle name="Comma 3 35 3 2 3 2" xfId="28711" xr:uid="{00000000-0005-0000-0000-000011410000}"/>
    <cellStyle name="Comma 3 35 3 2 3 3" xfId="44203" xr:uid="{00000000-0005-0000-0000-000012410000}"/>
    <cellStyle name="Comma 3 35 3 2 4" xfId="20971" xr:uid="{00000000-0005-0000-0000-000013410000}"/>
    <cellStyle name="Comma 3 35 3 2 5" xfId="36463" xr:uid="{00000000-0005-0000-0000-000014410000}"/>
    <cellStyle name="Comma 3 35 3 3" xfId="7317" xr:uid="{00000000-0005-0000-0000-000015410000}"/>
    <cellStyle name="Comma 3 35 3 3 2" xfId="15062" xr:uid="{00000000-0005-0000-0000-000016410000}"/>
    <cellStyle name="Comma 3 35 3 3 2 2" xfId="30654" xr:uid="{00000000-0005-0000-0000-000017410000}"/>
    <cellStyle name="Comma 3 35 3 3 2 3" xfId="46146" xr:uid="{00000000-0005-0000-0000-000018410000}"/>
    <cellStyle name="Comma 3 35 3 3 3" xfId="22914" xr:uid="{00000000-0005-0000-0000-000019410000}"/>
    <cellStyle name="Comma 3 35 3 3 4" xfId="38406" xr:uid="{00000000-0005-0000-0000-00001A410000}"/>
    <cellStyle name="Comma 3 35 3 4" xfId="11192" xr:uid="{00000000-0005-0000-0000-00001B410000}"/>
    <cellStyle name="Comma 3 35 3 4 2" xfId="26784" xr:uid="{00000000-0005-0000-0000-00001C410000}"/>
    <cellStyle name="Comma 3 35 3 4 3" xfId="42276" xr:uid="{00000000-0005-0000-0000-00001D410000}"/>
    <cellStyle name="Comma 3 35 3 5" xfId="19044" xr:uid="{00000000-0005-0000-0000-00001E410000}"/>
    <cellStyle name="Comma 3 35 3 6" xfId="34536" xr:uid="{00000000-0005-0000-0000-00001F410000}"/>
    <cellStyle name="Comma 3 35 4" xfId="4425" xr:uid="{00000000-0005-0000-0000-000020410000}"/>
    <cellStyle name="Comma 3 35 4 2" xfId="8296" xr:uid="{00000000-0005-0000-0000-000021410000}"/>
    <cellStyle name="Comma 3 35 4 2 2" xfId="16041" xr:uid="{00000000-0005-0000-0000-000022410000}"/>
    <cellStyle name="Comma 3 35 4 2 2 2" xfId="31633" xr:uid="{00000000-0005-0000-0000-000023410000}"/>
    <cellStyle name="Comma 3 35 4 2 2 3" xfId="47125" xr:uid="{00000000-0005-0000-0000-000024410000}"/>
    <cellStyle name="Comma 3 35 4 2 3" xfId="23893" xr:uid="{00000000-0005-0000-0000-000025410000}"/>
    <cellStyle name="Comma 3 35 4 2 4" xfId="39385" xr:uid="{00000000-0005-0000-0000-000026410000}"/>
    <cellStyle name="Comma 3 35 4 3" xfId="12171" xr:uid="{00000000-0005-0000-0000-000027410000}"/>
    <cellStyle name="Comma 3 35 4 3 2" xfId="27763" xr:uid="{00000000-0005-0000-0000-000028410000}"/>
    <cellStyle name="Comma 3 35 4 3 3" xfId="43255" xr:uid="{00000000-0005-0000-0000-000029410000}"/>
    <cellStyle name="Comma 3 35 4 4" xfId="20023" xr:uid="{00000000-0005-0000-0000-00002A410000}"/>
    <cellStyle name="Comma 3 35 4 5" xfId="35515" xr:uid="{00000000-0005-0000-0000-00002B410000}"/>
    <cellStyle name="Comma 3 35 5" xfId="6369" xr:uid="{00000000-0005-0000-0000-00002C410000}"/>
    <cellStyle name="Comma 3 35 5 2" xfId="14114" xr:uid="{00000000-0005-0000-0000-00002D410000}"/>
    <cellStyle name="Comma 3 35 5 2 2" xfId="29706" xr:uid="{00000000-0005-0000-0000-00002E410000}"/>
    <cellStyle name="Comma 3 35 5 2 3" xfId="45198" xr:uid="{00000000-0005-0000-0000-00002F410000}"/>
    <cellStyle name="Comma 3 35 5 3" xfId="21966" xr:uid="{00000000-0005-0000-0000-000030410000}"/>
    <cellStyle name="Comma 3 35 5 4" xfId="37458" xr:uid="{00000000-0005-0000-0000-000031410000}"/>
    <cellStyle name="Comma 3 35 6" xfId="10244" xr:uid="{00000000-0005-0000-0000-000032410000}"/>
    <cellStyle name="Comma 3 35 6 2" xfId="25836" xr:uid="{00000000-0005-0000-0000-000033410000}"/>
    <cellStyle name="Comma 3 35 6 3" xfId="41328" xr:uid="{00000000-0005-0000-0000-000034410000}"/>
    <cellStyle name="Comma 3 35 7" xfId="18096" xr:uid="{00000000-0005-0000-0000-000035410000}"/>
    <cellStyle name="Comma 3 35 8" xfId="33588" xr:uid="{00000000-0005-0000-0000-000036410000}"/>
    <cellStyle name="Comma 3 36" xfId="2462" xr:uid="{00000000-0005-0000-0000-000037410000}"/>
    <cellStyle name="Comma 3 36 2" xfId="2771" xr:uid="{00000000-0005-0000-0000-000038410000}"/>
    <cellStyle name="Comma 3 36 2 2" xfId="3779" xr:uid="{00000000-0005-0000-0000-000039410000}"/>
    <cellStyle name="Comma 3 36 2 2 2" xfId="5718" xr:uid="{00000000-0005-0000-0000-00003A410000}"/>
    <cellStyle name="Comma 3 36 2 2 2 2" xfId="9589" xr:uid="{00000000-0005-0000-0000-00003B410000}"/>
    <cellStyle name="Comma 3 36 2 2 2 2 2" xfId="17334" xr:uid="{00000000-0005-0000-0000-00003C410000}"/>
    <cellStyle name="Comma 3 36 2 2 2 2 2 2" xfId="32926" xr:uid="{00000000-0005-0000-0000-00003D410000}"/>
    <cellStyle name="Comma 3 36 2 2 2 2 2 3" xfId="48418" xr:uid="{00000000-0005-0000-0000-00003E410000}"/>
    <cellStyle name="Comma 3 36 2 2 2 2 3" xfId="25186" xr:uid="{00000000-0005-0000-0000-00003F410000}"/>
    <cellStyle name="Comma 3 36 2 2 2 2 4" xfId="40678" xr:uid="{00000000-0005-0000-0000-000040410000}"/>
    <cellStyle name="Comma 3 36 2 2 2 3" xfId="13464" xr:uid="{00000000-0005-0000-0000-000041410000}"/>
    <cellStyle name="Comma 3 36 2 2 2 3 2" xfId="29056" xr:uid="{00000000-0005-0000-0000-000042410000}"/>
    <cellStyle name="Comma 3 36 2 2 2 3 3" xfId="44548" xr:uid="{00000000-0005-0000-0000-000043410000}"/>
    <cellStyle name="Comma 3 36 2 2 2 4" xfId="21316" xr:uid="{00000000-0005-0000-0000-000044410000}"/>
    <cellStyle name="Comma 3 36 2 2 2 5" xfId="36808" xr:uid="{00000000-0005-0000-0000-000045410000}"/>
    <cellStyle name="Comma 3 36 2 2 3" xfId="7662" xr:uid="{00000000-0005-0000-0000-000046410000}"/>
    <cellStyle name="Comma 3 36 2 2 3 2" xfId="15407" xr:uid="{00000000-0005-0000-0000-000047410000}"/>
    <cellStyle name="Comma 3 36 2 2 3 2 2" xfId="30999" xr:uid="{00000000-0005-0000-0000-000048410000}"/>
    <cellStyle name="Comma 3 36 2 2 3 2 3" xfId="46491" xr:uid="{00000000-0005-0000-0000-000049410000}"/>
    <cellStyle name="Comma 3 36 2 2 3 3" xfId="23259" xr:uid="{00000000-0005-0000-0000-00004A410000}"/>
    <cellStyle name="Comma 3 36 2 2 3 4" xfId="38751" xr:uid="{00000000-0005-0000-0000-00004B410000}"/>
    <cellStyle name="Comma 3 36 2 2 4" xfId="11537" xr:uid="{00000000-0005-0000-0000-00004C410000}"/>
    <cellStyle name="Comma 3 36 2 2 4 2" xfId="27129" xr:uid="{00000000-0005-0000-0000-00004D410000}"/>
    <cellStyle name="Comma 3 36 2 2 4 3" xfId="42621" xr:uid="{00000000-0005-0000-0000-00004E410000}"/>
    <cellStyle name="Comma 3 36 2 2 5" xfId="19389" xr:uid="{00000000-0005-0000-0000-00004F410000}"/>
    <cellStyle name="Comma 3 36 2 2 6" xfId="34881" xr:uid="{00000000-0005-0000-0000-000050410000}"/>
    <cellStyle name="Comma 3 36 2 3" xfId="4770" xr:uid="{00000000-0005-0000-0000-000051410000}"/>
    <cellStyle name="Comma 3 36 2 3 2" xfId="8641" xr:uid="{00000000-0005-0000-0000-000052410000}"/>
    <cellStyle name="Comma 3 36 2 3 2 2" xfId="16386" xr:uid="{00000000-0005-0000-0000-000053410000}"/>
    <cellStyle name="Comma 3 36 2 3 2 2 2" xfId="31978" xr:uid="{00000000-0005-0000-0000-000054410000}"/>
    <cellStyle name="Comma 3 36 2 3 2 2 3" xfId="47470" xr:uid="{00000000-0005-0000-0000-000055410000}"/>
    <cellStyle name="Comma 3 36 2 3 2 3" xfId="24238" xr:uid="{00000000-0005-0000-0000-000056410000}"/>
    <cellStyle name="Comma 3 36 2 3 2 4" xfId="39730" xr:uid="{00000000-0005-0000-0000-000057410000}"/>
    <cellStyle name="Comma 3 36 2 3 3" xfId="12516" xr:uid="{00000000-0005-0000-0000-000058410000}"/>
    <cellStyle name="Comma 3 36 2 3 3 2" xfId="28108" xr:uid="{00000000-0005-0000-0000-000059410000}"/>
    <cellStyle name="Comma 3 36 2 3 3 3" xfId="43600" xr:uid="{00000000-0005-0000-0000-00005A410000}"/>
    <cellStyle name="Comma 3 36 2 3 4" xfId="20368" xr:uid="{00000000-0005-0000-0000-00005B410000}"/>
    <cellStyle name="Comma 3 36 2 3 5" xfId="35860" xr:uid="{00000000-0005-0000-0000-00005C410000}"/>
    <cellStyle name="Comma 3 36 2 4" xfId="6714" xr:uid="{00000000-0005-0000-0000-00005D410000}"/>
    <cellStyle name="Comma 3 36 2 4 2" xfId="14459" xr:uid="{00000000-0005-0000-0000-00005E410000}"/>
    <cellStyle name="Comma 3 36 2 4 2 2" xfId="30051" xr:uid="{00000000-0005-0000-0000-00005F410000}"/>
    <cellStyle name="Comma 3 36 2 4 2 3" xfId="45543" xr:uid="{00000000-0005-0000-0000-000060410000}"/>
    <cellStyle name="Comma 3 36 2 4 3" xfId="22311" xr:uid="{00000000-0005-0000-0000-000061410000}"/>
    <cellStyle name="Comma 3 36 2 4 4" xfId="37803" xr:uid="{00000000-0005-0000-0000-000062410000}"/>
    <cellStyle name="Comma 3 36 2 5" xfId="10589" xr:uid="{00000000-0005-0000-0000-000063410000}"/>
    <cellStyle name="Comma 3 36 2 5 2" xfId="26181" xr:uid="{00000000-0005-0000-0000-000064410000}"/>
    <cellStyle name="Comma 3 36 2 5 3" xfId="41673" xr:uid="{00000000-0005-0000-0000-000065410000}"/>
    <cellStyle name="Comma 3 36 2 6" xfId="18441" xr:uid="{00000000-0005-0000-0000-000066410000}"/>
    <cellStyle name="Comma 3 36 2 7" xfId="33933" xr:uid="{00000000-0005-0000-0000-000067410000}"/>
    <cellStyle name="Comma 3 36 3" xfId="3470" xr:uid="{00000000-0005-0000-0000-000068410000}"/>
    <cellStyle name="Comma 3 36 3 2" xfId="5409" xr:uid="{00000000-0005-0000-0000-000069410000}"/>
    <cellStyle name="Comma 3 36 3 2 2" xfId="9280" xr:uid="{00000000-0005-0000-0000-00006A410000}"/>
    <cellStyle name="Comma 3 36 3 2 2 2" xfId="17025" xr:uid="{00000000-0005-0000-0000-00006B410000}"/>
    <cellStyle name="Comma 3 36 3 2 2 2 2" xfId="32617" xr:uid="{00000000-0005-0000-0000-00006C410000}"/>
    <cellStyle name="Comma 3 36 3 2 2 2 3" xfId="48109" xr:uid="{00000000-0005-0000-0000-00006D410000}"/>
    <cellStyle name="Comma 3 36 3 2 2 3" xfId="24877" xr:uid="{00000000-0005-0000-0000-00006E410000}"/>
    <cellStyle name="Comma 3 36 3 2 2 4" xfId="40369" xr:uid="{00000000-0005-0000-0000-00006F410000}"/>
    <cellStyle name="Comma 3 36 3 2 3" xfId="13155" xr:uid="{00000000-0005-0000-0000-000070410000}"/>
    <cellStyle name="Comma 3 36 3 2 3 2" xfId="28747" xr:uid="{00000000-0005-0000-0000-000071410000}"/>
    <cellStyle name="Comma 3 36 3 2 3 3" xfId="44239" xr:uid="{00000000-0005-0000-0000-000072410000}"/>
    <cellStyle name="Comma 3 36 3 2 4" xfId="21007" xr:uid="{00000000-0005-0000-0000-000073410000}"/>
    <cellStyle name="Comma 3 36 3 2 5" xfId="36499" xr:uid="{00000000-0005-0000-0000-000074410000}"/>
    <cellStyle name="Comma 3 36 3 3" xfId="7353" xr:uid="{00000000-0005-0000-0000-000075410000}"/>
    <cellStyle name="Comma 3 36 3 3 2" xfId="15098" xr:uid="{00000000-0005-0000-0000-000076410000}"/>
    <cellStyle name="Comma 3 36 3 3 2 2" xfId="30690" xr:uid="{00000000-0005-0000-0000-000077410000}"/>
    <cellStyle name="Comma 3 36 3 3 2 3" xfId="46182" xr:uid="{00000000-0005-0000-0000-000078410000}"/>
    <cellStyle name="Comma 3 36 3 3 3" xfId="22950" xr:uid="{00000000-0005-0000-0000-000079410000}"/>
    <cellStyle name="Comma 3 36 3 3 4" xfId="38442" xr:uid="{00000000-0005-0000-0000-00007A410000}"/>
    <cellStyle name="Comma 3 36 3 4" xfId="11228" xr:uid="{00000000-0005-0000-0000-00007B410000}"/>
    <cellStyle name="Comma 3 36 3 4 2" xfId="26820" xr:uid="{00000000-0005-0000-0000-00007C410000}"/>
    <cellStyle name="Comma 3 36 3 4 3" xfId="42312" xr:uid="{00000000-0005-0000-0000-00007D410000}"/>
    <cellStyle name="Comma 3 36 3 5" xfId="19080" xr:uid="{00000000-0005-0000-0000-00007E410000}"/>
    <cellStyle name="Comma 3 36 3 6" xfId="34572" xr:uid="{00000000-0005-0000-0000-00007F410000}"/>
    <cellStyle name="Comma 3 36 4" xfId="4461" xr:uid="{00000000-0005-0000-0000-000080410000}"/>
    <cellStyle name="Comma 3 36 4 2" xfId="8332" xr:uid="{00000000-0005-0000-0000-000081410000}"/>
    <cellStyle name="Comma 3 36 4 2 2" xfId="16077" xr:uid="{00000000-0005-0000-0000-000082410000}"/>
    <cellStyle name="Comma 3 36 4 2 2 2" xfId="31669" xr:uid="{00000000-0005-0000-0000-000083410000}"/>
    <cellStyle name="Comma 3 36 4 2 2 3" xfId="47161" xr:uid="{00000000-0005-0000-0000-000084410000}"/>
    <cellStyle name="Comma 3 36 4 2 3" xfId="23929" xr:uid="{00000000-0005-0000-0000-000085410000}"/>
    <cellStyle name="Comma 3 36 4 2 4" xfId="39421" xr:uid="{00000000-0005-0000-0000-000086410000}"/>
    <cellStyle name="Comma 3 36 4 3" xfId="12207" xr:uid="{00000000-0005-0000-0000-000087410000}"/>
    <cellStyle name="Comma 3 36 4 3 2" xfId="27799" xr:uid="{00000000-0005-0000-0000-000088410000}"/>
    <cellStyle name="Comma 3 36 4 3 3" xfId="43291" xr:uid="{00000000-0005-0000-0000-000089410000}"/>
    <cellStyle name="Comma 3 36 4 4" xfId="20059" xr:uid="{00000000-0005-0000-0000-00008A410000}"/>
    <cellStyle name="Comma 3 36 4 5" xfId="35551" xr:uid="{00000000-0005-0000-0000-00008B410000}"/>
    <cellStyle name="Comma 3 36 5" xfId="6405" xr:uid="{00000000-0005-0000-0000-00008C410000}"/>
    <cellStyle name="Comma 3 36 5 2" xfId="14150" xr:uid="{00000000-0005-0000-0000-00008D410000}"/>
    <cellStyle name="Comma 3 36 5 2 2" xfId="29742" xr:uid="{00000000-0005-0000-0000-00008E410000}"/>
    <cellStyle name="Comma 3 36 5 2 3" xfId="45234" xr:uid="{00000000-0005-0000-0000-00008F410000}"/>
    <cellStyle name="Comma 3 36 5 3" xfId="22002" xr:uid="{00000000-0005-0000-0000-000090410000}"/>
    <cellStyle name="Comma 3 36 5 4" xfId="37494" xr:uid="{00000000-0005-0000-0000-000091410000}"/>
    <cellStyle name="Comma 3 36 6" xfId="10280" xr:uid="{00000000-0005-0000-0000-000092410000}"/>
    <cellStyle name="Comma 3 36 6 2" xfId="25872" xr:uid="{00000000-0005-0000-0000-000093410000}"/>
    <cellStyle name="Comma 3 36 6 3" xfId="41364" xr:uid="{00000000-0005-0000-0000-000094410000}"/>
    <cellStyle name="Comma 3 36 7" xfId="18132" xr:uid="{00000000-0005-0000-0000-000095410000}"/>
    <cellStyle name="Comma 3 36 8" xfId="33624" xr:uid="{00000000-0005-0000-0000-000096410000}"/>
    <cellStyle name="Comma 3 37" xfId="2808" xr:uid="{00000000-0005-0000-0000-000097410000}"/>
    <cellStyle name="Comma 3 37 2" xfId="3815" xr:uid="{00000000-0005-0000-0000-000098410000}"/>
    <cellStyle name="Comma 3 37 2 2" xfId="5754" xr:uid="{00000000-0005-0000-0000-000099410000}"/>
    <cellStyle name="Comma 3 37 2 2 2" xfId="9625" xr:uid="{00000000-0005-0000-0000-00009A410000}"/>
    <cellStyle name="Comma 3 37 2 2 2 2" xfId="17370" xr:uid="{00000000-0005-0000-0000-00009B410000}"/>
    <cellStyle name="Comma 3 37 2 2 2 2 2" xfId="32962" xr:uid="{00000000-0005-0000-0000-00009C410000}"/>
    <cellStyle name="Comma 3 37 2 2 2 2 3" xfId="48454" xr:uid="{00000000-0005-0000-0000-00009D410000}"/>
    <cellStyle name="Comma 3 37 2 2 2 3" xfId="25222" xr:uid="{00000000-0005-0000-0000-00009E410000}"/>
    <cellStyle name="Comma 3 37 2 2 2 4" xfId="40714" xr:uid="{00000000-0005-0000-0000-00009F410000}"/>
    <cellStyle name="Comma 3 37 2 2 3" xfId="13500" xr:uid="{00000000-0005-0000-0000-0000A0410000}"/>
    <cellStyle name="Comma 3 37 2 2 3 2" xfId="29092" xr:uid="{00000000-0005-0000-0000-0000A1410000}"/>
    <cellStyle name="Comma 3 37 2 2 3 3" xfId="44584" xr:uid="{00000000-0005-0000-0000-0000A2410000}"/>
    <cellStyle name="Comma 3 37 2 2 4" xfId="21352" xr:uid="{00000000-0005-0000-0000-0000A3410000}"/>
    <cellStyle name="Comma 3 37 2 2 5" xfId="36844" xr:uid="{00000000-0005-0000-0000-0000A4410000}"/>
    <cellStyle name="Comma 3 37 2 3" xfId="7698" xr:uid="{00000000-0005-0000-0000-0000A5410000}"/>
    <cellStyle name="Comma 3 37 2 3 2" xfId="15443" xr:uid="{00000000-0005-0000-0000-0000A6410000}"/>
    <cellStyle name="Comma 3 37 2 3 2 2" xfId="31035" xr:uid="{00000000-0005-0000-0000-0000A7410000}"/>
    <cellStyle name="Comma 3 37 2 3 2 3" xfId="46527" xr:uid="{00000000-0005-0000-0000-0000A8410000}"/>
    <cellStyle name="Comma 3 37 2 3 3" xfId="23295" xr:uid="{00000000-0005-0000-0000-0000A9410000}"/>
    <cellStyle name="Comma 3 37 2 3 4" xfId="38787" xr:uid="{00000000-0005-0000-0000-0000AA410000}"/>
    <cellStyle name="Comma 3 37 2 4" xfId="11573" xr:uid="{00000000-0005-0000-0000-0000AB410000}"/>
    <cellStyle name="Comma 3 37 2 4 2" xfId="27165" xr:uid="{00000000-0005-0000-0000-0000AC410000}"/>
    <cellStyle name="Comma 3 37 2 4 3" xfId="42657" xr:uid="{00000000-0005-0000-0000-0000AD410000}"/>
    <cellStyle name="Comma 3 37 2 5" xfId="19425" xr:uid="{00000000-0005-0000-0000-0000AE410000}"/>
    <cellStyle name="Comma 3 37 2 6" xfId="34917" xr:uid="{00000000-0005-0000-0000-0000AF410000}"/>
    <cellStyle name="Comma 3 37 3" xfId="4806" xr:uid="{00000000-0005-0000-0000-0000B0410000}"/>
    <cellStyle name="Comma 3 37 3 2" xfId="8677" xr:uid="{00000000-0005-0000-0000-0000B1410000}"/>
    <cellStyle name="Comma 3 37 3 2 2" xfId="16422" xr:uid="{00000000-0005-0000-0000-0000B2410000}"/>
    <cellStyle name="Comma 3 37 3 2 2 2" xfId="32014" xr:uid="{00000000-0005-0000-0000-0000B3410000}"/>
    <cellStyle name="Comma 3 37 3 2 2 3" xfId="47506" xr:uid="{00000000-0005-0000-0000-0000B4410000}"/>
    <cellStyle name="Comma 3 37 3 2 3" xfId="24274" xr:uid="{00000000-0005-0000-0000-0000B5410000}"/>
    <cellStyle name="Comma 3 37 3 2 4" xfId="39766" xr:uid="{00000000-0005-0000-0000-0000B6410000}"/>
    <cellStyle name="Comma 3 37 3 3" xfId="12552" xr:uid="{00000000-0005-0000-0000-0000B7410000}"/>
    <cellStyle name="Comma 3 37 3 3 2" xfId="28144" xr:uid="{00000000-0005-0000-0000-0000B8410000}"/>
    <cellStyle name="Comma 3 37 3 3 3" xfId="43636" xr:uid="{00000000-0005-0000-0000-0000B9410000}"/>
    <cellStyle name="Comma 3 37 3 4" xfId="20404" xr:uid="{00000000-0005-0000-0000-0000BA410000}"/>
    <cellStyle name="Comma 3 37 3 5" xfId="35896" xr:uid="{00000000-0005-0000-0000-0000BB410000}"/>
    <cellStyle name="Comma 3 37 4" xfId="6750" xr:uid="{00000000-0005-0000-0000-0000BC410000}"/>
    <cellStyle name="Comma 3 37 4 2" xfId="14495" xr:uid="{00000000-0005-0000-0000-0000BD410000}"/>
    <cellStyle name="Comma 3 37 4 2 2" xfId="30087" xr:uid="{00000000-0005-0000-0000-0000BE410000}"/>
    <cellStyle name="Comma 3 37 4 2 3" xfId="45579" xr:uid="{00000000-0005-0000-0000-0000BF410000}"/>
    <cellStyle name="Comma 3 37 4 3" xfId="22347" xr:uid="{00000000-0005-0000-0000-0000C0410000}"/>
    <cellStyle name="Comma 3 37 4 4" xfId="37839" xr:uid="{00000000-0005-0000-0000-0000C1410000}"/>
    <cellStyle name="Comma 3 37 5" xfId="10625" xr:uid="{00000000-0005-0000-0000-0000C2410000}"/>
    <cellStyle name="Comma 3 37 5 2" xfId="26217" xr:uid="{00000000-0005-0000-0000-0000C3410000}"/>
    <cellStyle name="Comma 3 37 5 3" xfId="41709" xr:uid="{00000000-0005-0000-0000-0000C4410000}"/>
    <cellStyle name="Comma 3 37 6" xfId="18477" xr:uid="{00000000-0005-0000-0000-0000C5410000}"/>
    <cellStyle name="Comma 3 37 7" xfId="33969" xr:uid="{00000000-0005-0000-0000-0000C6410000}"/>
    <cellStyle name="Comma 3 38" xfId="2847" xr:uid="{00000000-0005-0000-0000-0000C7410000}"/>
    <cellStyle name="Comma 3 38 2" xfId="3853" xr:uid="{00000000-0005-0000-0000-0000C8410000}"/>
    <cellStyle name="Comma 3 38 2 2" xfId="5792" xr:uid="{00000000-0005-0000-0000-0000C9410000}"/>
    <cellStyle name="Comma 3 38 2 2 2" xfId="9663" xr:uid="{00000000-0005-0000-0000-0000CA410000}"/>
    <cellStyle name="Comma 3 38 2 2 2 2" xfId="17408" xr:uid="{00000000-0005-0000-0000-0000CB410000}"/>
    <cellStyle name="Comma 3 38 2 2 2 2 2" xfId="33000" xr:uid="{00000000-0005-0000-0000-0000CC410000}"/>
    <cellStyle name="Comma 3 38 2 2 2 2 3" xfId="48492" xr:uid="{00000000-0005-0000-0000-0000CD410000}"/>
    <cellStyle name="Comma 3 38 2 2 2 3" xfId="25260" xr:uid="{00000000-0005-0000-0000-0000CE410000}"/>
    <cellStyle name="Comma 3 38 2 2 2 4" xfId="40752" xr:uid="{00000000-0005-0000-0000-0000CF410000}"/>
    <cellStyle name="Comma 3 38 2 2 3" xfId="13538" xr:uid="{00000000-0005-0000-0000-0000D0410000}"/>
    <cellStyle name="Comma 3 38 2 2 3 2" xfId="29130" xr:uid="{00000000-0005-0000-0000-0000D1410000}"/>
    <cellStyle name="Comma 3 38 2 2 3 3" xfId="44622" xr:uid="{00000000-0005-0000-0000-0000D2410000}"/>
    <cellStyle name="Comma 3 38 2 2 4" xfId="21390" xr:uid="{00000000-0005-0000-0000-0000D3410000}"/>
    <cellStyle name="Comma 3 38 2 2 5" xfId="36882" xr:uid="{00000000-0005-0000-0000-0000D4410000}"/>
    <cellStyle name="Comma 3 38 2 3" xfId="7736" xr:uid="{00000000-0005-0000-0000-0000D5410000}"/>
    <cellStyle name="Comma 3 38 2 3 2" xfId="15481" xr:uid="{00000000-0005-0000-0000-0000D6410000}"/>
    <cellStyle name="Comma 3 38 2 3 2 2" xfId="31073" xr:uid="{00000000-0005-0000-0000-0000D7410000}"/>
    <cellStyle name="Comma 3 38 2 3 2 3" xfId="46565" xr:uid="{00000000-0005-0000-0000-0000D8410000}"/>
    <cellStyle name="Comma 3 38 2 3 3" xfId="23333" xr:uid="{00000000-0005-0000-0000-0000D9410000}"/>
    <cellStyle name="Comma 3 38 2 3 4" xfId="38825" xr:uid="{00000000-0005-0000-0000-0000DA410000}"/>
    <cellStyle name="Comma 3 38 2 4" xfId="11611" xr:uid="{00000000-0005-0000-0000-0000DB410000}"/>
    <cellStyle name="Comma 3 38 2 4 2" xfId="27203" xr:uid="{00000000-0005-0000-0000-0000DC410000}"/>
    <cellStyle name="Comma 3 38 2 4 3" xfId="42695" xr:uid="{00000000-0005-0000-0000-0000DD410000}"/>
    <cellStyle name="Comma 3 38 2 5" xfId="19463" xr:uid="{00000000-0005-0000-0000-0000DE410000}"/>
    <cellStyle name="Comma 3 38 2 6" xfId="34955" xr:uid="{00000000-0005-0000-0000-0000DF410000}"/>
    <cellStyle name="Comma 3 38 3" xfId="4844" xr:uid="{00000000-0005-0000-0000-0000E0410000}"/>
    <cellStyle name="Comma 3 38 3 2" xfId="8715" xr:uid="{00000000-0005-0000-0000-0000E1410000}"/>
    <cellStyle name="Comma 3 38 3 2 2" xfId="16460" xr:uid="{00000000-0005-0000-0000-0000E2410000}"/>
    <cellStyle name="Comma 3 38 3 2 2 2" xfId="32052" xr:uid="{00000000-0005-0000-0000-0000E3410000}"/>
    <cellStyle name="Comma 3 38 3 2 2 3" xfId="47544" xr:uid="{00000000-0005-0000-0000-0000E4410000}"/>
    <cellStyle name="Comma 3 38 3 2 3" xfId="24312" xr:uid="{00000000-0005-0000-0000-0000E5410000}"/>
    <cellStyle name="Comma 3 38 3 2 4" xfId="39804" xr:uid="{00000000-0005-0000-0000-0000E6410000}"/>
    <cellStyle name="Comma 3 38 3 3" xfId="12590" xr:uid="{00000000-0005-0000-0000-0000E7410000}"/>
    <cellStyle name="Comma 3 38 3 3 2" xfId="28182" xr:uid="{00000000-0005-0000-0000-0000E8410000}"/>
    <cellStyle name="Comma 3 38 3 3 3" xfId="43674" xr:uid="{00000000-0005-0000-0000-0000E9410000}"/>
    <cellStyle name="Comma 3 38 3 4" xfId="20442" xr:uid="{00000000-0005-0000-0000-0000EA410000}"/>
    <cellStyle name="Comma 3 38 3 5" xfId="35934" xr:uid="{00000000-0005-0000-0000-0000EB410000}"/>
    <cellStyle name="Comma 3 38 4" xfId="6788" xr:uid="{00000000-0005-0000-0000-0000EC410000}"/>
    <cellStyle name="Comma 3 38 4 2" xfId="14533" xr:uid="{00000000-0005-0000-0000-0000ED410000}"/>
    <cellStyle name="Comma 3 38 4 2 2" xfId="30125" xr:uid="{00000000-0005-0000-0000-0000EE410000}"/>
    <cellStyle name="Comma 3 38 4 2 3" xfId="45617" xr:uid="{00000000-0005-0000-0000-0000EF410000}"/>
    <cellStyle name="Comma 3 38 4 3" xfId="22385" xr:uid="{00000000-0005-0000-0000-0000F0410000}"/>
    <cellStyle name="Comma 3 38 4 4" xfId="37877" xr:uid="{00000000-0005-0000-0000-0000F1410000}"/>
    <cellStyle name="Comma 3 38 5" xfId="10663" xr:uid="{00000000-0005-0000-0000-0000F2410000}"/>
    <cellStyle name="Comma 3 38 5 2" xfId="26255" xr:uid="{00000000-0005-0000-0000-0000F3410000}"/>
    <cellStyle name="Comma 3 38 5 3" xfId="41747" xr:uid="{00000000-0005-0000-0000-0000F4410000}"/>
    <cellStyle name="Comma 3 38 6" xfId="18515" xr:uid="{00000000-0005-0000-0000-0000F5410000}"/>
    <cellStyle name="Comma 3 38 7" xfId="34007" xr:uid="{00000000-0005-0000-0000-0000F6410000}"/>
    <cellStyle name="Comma 3 39" xfId="2884" xr:uid="{00000000-0005-0000-0000-0000F7410000}"/>
    <cellStyle name="Comma 3 39 2" xfId="3889" xr:uid="{00000000-0005-0000-0000-0000F8410000}"/>
    <cellStyle name="Comma 3 39 2 2" xfId="5828" xr:uid="{00000000-0005-0000-0000-0000F9410000}"/>
    <cellStyle name="Comma 3 39 2 2 2" xfId="9699" xr:uid="{00000000-0005-0000-0000-0000FA410000}"/>
    <cellStyle name="Comma 3 39 2 2 2 2" xfId="17444" xr:uid="{00000000-0005-0000-0000-0000FB410000}"/>
    <cellStyle name="Comma 3 39 2 2 2 2 2" xfId="33036" xr:uid="{00000000-0005-0000-0000-0000FC410000}"/>
    <cellStyle name="Comma 3 39 2 2 2 2 3" xfId="48528" xr:uid="{00000000-0005-0000-0000-0000FD410000}"/>
    <cellStyle name="Comma 3 39 2 2 2 3" xfId="25296" xr:uid="{00000000-0005-0000-0000-0000FE410000}"/>
    <cellStyle name="Comma 3 39 2 2 2 4" xfId="40788" xr:uid="{00000000-0005-0000-0000-0000FF410000}"/>
    <cellStyle name="Comma 3 39 2 2 3" xfId="13574" xr:uid="{00000000-0005-0000-0000-000000420000}"/>
    <cellStyle name="Comma 3 39 2 2 3 2" xfId="29166" xr:uid="{00000000-0005-0000-0000-000001420000}"/>
    <cellStyle name="Comma 3 39 2 2 3 3" xfId="44658" xr:uid="{00000000-0005-0000-0000-000002420000}"/>
    <cellStyle name="Comma 3 39 2 2 4" xfId="21426" xr:uid="{00000000-0005-0000-0000-000003420000}"/>
    <cellStyle name="Comma 3 39 2 2 5" xfId="36918" xr:uid="{00000000-0005-0000-0000-000004420000}"/>
    <cellStyle name="Comma 3 39 2 3" xfId="7772" xr:uid="{00000000-0005-0000-0000-000005420000}"/>
    <cellStyle name="Comma 3 39 2 3 2" xfId="15517" xr:uid="{00000000-0005-0000-0000-000006420000}"/>
    <cellStyle name="Comma 3 39 2 3 2 2" xfId="31109" xr:uid="{00000000-0005-0000-0000-000007420000}"/>
    <cellStyle name="Comma 3 39 2 3 2 3" xfId="46601" xr:uid="{00000000-0005-0000-0000-000008420000}"/>
    <cellStyle name="Comma 3 39 2 3 3" xfId="23369" xr:uid="{00000000-0005-0000-0000-000009420000}"/>
    <cellStyle name="Comma 3 39 2 3 4" xfId="38861" xr:uid="{00000000-0005-0000-0000-00000A420000}"/>
    <cellStyle name="Comma 3 39 2 4" xfId="11647" xr:uid="{00000000-0005-0000-0000-00000B420000}"/>
    <cellStyle name="Comma 3 39 2 4 2" xfId="27239" xr:uid="{00000000-0005-0000-0000-00000C420000}"/>
    <cellStyle name="Comma 3 39 2 4 3" xfId="42731" xr:uid="{00000000-0005-0000-0000-00000D420000}"/>
    <cellStyle name="Comma 3 39 2 5" xfId="19499" xr:uid="{00000000-0005-0000-0000-00000E420000}"/>
    <cellStyle name="Comma 3 39 2 6" xfId="34991" xr:uid="{00000000-0005-0000-0000-00000F420000}"/>
    <cellStyle name="Comma 3 39 3" xfId="4880" xr:uid="{00000000-0005-0000-0000-000010420000}"/>
    <cellStyle name="Comma 3 39 3 2" xfId="8751" xr:uid="{00000000-0005-0000-0000-000011420000}"/>
    <cellStyle name="Comma 3 39 3 2 2" xfId="16496" xr:uid="{00000000-0005-0000-0000-000012420000}"/>
    <cellStyle name="Comma 3 39 3 2 2 2" xfId="32088" xr:uid="{00000000-0005-0000-0000-000013420000}"/>
    <cellStyle name="Comma 3 39 3 2 2 3" xfId="47580" xr:uid="{00000000-0005-0000-0000-000014420000}"/>
    <cellStyle name="Comma 3 39 3 2 3" xfId="24348" xr:uid="{00000000-0005-0000-0000-000015420000}"/>
    <cellStyle name="Comma 3 39 3 2 4" xfId="39840" xr:uid="{00000000-0005-0000-0000-000016420000}"/>
    <cellStyle name="Comma 3 39 3 3" xfId="12626" xr:uid="{00000000-0005-0000-0000-000017420000}"/>
    <cellStyle name="Comma 3 39 3 3 2" xfId="28218" xr:uid="{00000000-0005-0000-0000-000018420000}"/>
    <cellStyle name="Comma 3 39 3 3 3" xfId="43710" xr:uid="{00000000-0005-0000-0000-000019420000}"/>
    <cellStyle name="Comma 3 39 3 4" xfId="20478" xr:uid="{00000000-0005-0000-0000-00001A420000}"/>
    <cellStyle name="Comma 3 39 3 5" xfId="35970" xr:uid="{00000000-0005-0000-0000-00001B420000}"/>
    <cellStyle name="Comma 3 39 4" xfId="6824" xr:uid="{00000000-0005-0000-0000-00001C420000}"/>
    <cellStyle name="Comma 3 39 4 2" xfId="14569" xr:uid="{00000000-0005-0000-0000-00001D420000}"/>
    <cellStyle name="Comma 3 39 4 2 2" xfId="30161" xr:uid="{00000000-0005-0000-0000-00001E420000}"/>
    <cellStyle name="Comma 3 39 4 2 3" xfId="45653" xr:uid="{00000000-0005-0000-0000-00001F420000}"/>
    <cellStyle name="Comma 3 39 4 3" xfId="22421" xr:uid="{00000000-0005-0000-0000-000020420000}"/>
    <cellStyle name="Comma 3 39 4 4" xfId="37913" xr:uid="{00000000-0005-0000-0000-000021420000}"/>
    <cellStyle name="Comma 3 39 5" xfId="10699" xr:uid="{00000000-0005-0000-0000-000022420000}"/>
    <cellStyle name="Comma 3 39 5 2" xfId="26291" xr:uid="{00000000-0005-0000-0000-000023420000}"/>
    <cellStyle name="Comma 3 39 5 3" xfId="41783" xr:uid="{00000000-0005-0000-0000-000024420000}"/>
    <cellStyle name="Comma 3 39 6" xfId="18551" xr:uid="{00000000-0005-0000-0000-000025420000}"/>
    <cellStyle name="Comma 3 39 7" xfId="34043" xr:uid="{00000000-0005-0000-0000-000026420000}"/>
    <cellStyle name="Comma 3 4" xfId="1174" xr:uid="{00000000-0005-0000-0000-000027420000}"/>
    <cellStyle name="Comma 3 4 10" xfId="1175" xr:uid="{00000000-0005-0000-0000-000028420000}"/>
    <cellStyle name="Comma 3 4 11" xfId="1176" xr:uid="{00000000-0005-0000-0000-000029420000}"/>
    <cellStyle name="Comma 3 4 12" xfId="1177" xr:uid="{00000000-0005-0000-0000-00002A420000}"/>
    <cellStyle name="Comma 3 4 13" xfId="1178" xr:uid="{00000000-0005-0000-0000-00002B420000}"/>
    <cellStyle name="Comma 3 4 14" xfId="1179" xr:uid="{00000000-0005-0000-0000-00002C420000}"/>
    <cellStyle name="Comma 3 4 15" xfId="1180" xr:uid="{00000000-0005-0000-0000-00002D420000}"/>
    <cellStyle name="Comma 3 4 16" xfId="1181" xr:uid="{00000000-0005-0000-0000-00002E420000}"/>
    <cellStyle name="Comma 3 4 17" xfId="1182" xr:uid="{00000000-0005-0000-0000-00002F420000}"/>
    <cellStyle name="Comma 3 4 18" xfId="1183" xr:uid="{00000000-0005-0000-0000-000030420000}"/>
    <cellStyle name="Comma 3 4 19" xfId="1184" xr:uid="{00000000-0005-0000-0000-000031420000}"/>
    <cellStyle name="Comma 3 4 2" xfId="1185" xr:uid="{00000000-0005-0000-0000-000032420000}"/>
    <cellStyle name="Comma 3 4 2 2" xfId="48904" xr:uid="{00000000-0005-0000-0000-000033420000}"/>
    <cellStyle name="Comma 3 4 20" xfId="1186" xr:uid="{00000000-0005-0000-0000-000034420000}"/>
    <cellStyle name="Comma 3 4 21" xfId="1187" xr:uid="{00000000-0005-0000-0000-000035420000}"/>
    <cellStyle name="Comma 3 4 22" xfId="1188" xr:uid="{00000000-0005-0000-0000-000036420000}"/>
    <cellStyle name="Comma 3 4 23" xfId="1189" xr:uid="{00000000-0005-0000-0000-000037420000}"/>
    <cellStyle name="Comma 3 4 24" xfId="2179" xr:uid="{00000000-0005-0000-0000-000038420000}"/>
    <cellStyle name="Comma 3 4 3" xfId="1190" xr:uid="{00000000-0005-0000-0000-000039420000}"/>
    <cellStyle name="Comma 3 4 4" xfId="1191" xr:uid="{00000000-0005-0000-0000-00003A420000}"/>
    <cellStyle name="Comma 3 4 5" xfId="1192" xr:uid="{00000000-0005-0000-0000-00003B420000}"/>
    <cellStyle name="Comma 3 4 6" xfId="1193" xr:uid="{00000000-0005-0000-0000-00003C420000}"/>
    <cellStyle name="Comma 3 4 7" xfId="1194" xr:uid="{00000000-0005-0000-0000-00003D420000}"/>
    <cellStyle name="Comma 3 4 8" xfId="1195" xr:uid="{00000000-0005-0000-0000-00003E420000}"/>
    <cellStyle name="Comma 3 4 9" xfId="1196" xr:uid="{00000000-0005-0000-0000-00003F420000}"/>
    <cellStyle name="Comma 3 40" xfId="2921" xr:uid="{00000000-0005-0000-0000-000040420000}"/>
    <cellStyle name="Comma 3 40 2" xfId="3925" xr:uid="{00000000-0005-0000-0000-000041420000}"/>
    <cellStyle name="Comma 3 40 2 2" xfId="5864" xr:uid="{00000000-0005-0000-0000-000042420000}"/>
    <cellStyle name="Comma 3 40 2 2 2" xfId="9735" xr:uid="{00000000-0005-0000-0000-000043420000}"/>
    <cellStyle name="Comma 3 40 2 2 2 2" xfId="17480" xr:uid="{00000000-0005-0000-0000-000044420000}"/>
    <cellStyle name="Comma 3 40 2 2 2 2 2" xfId="33072" xr:uid="{00000000-0005-0000-0000-000045420000}"/>
    <cellStyle name="Comma 3 40 2 2 2 2 3" xfId="48564" xr:uid="{00000000-0005-0000-0000-000046420000}"/>
    <cellStyle name="Comma 3 40 2 2 2 3" xfId="25332" xr:uid="{00000000-0005-0000-0000-000047420000}"/>
    <cellStyle name="Comma 3 40 2 2 2 4" xfId="40824" xr:uid="{00000000-0005-0000-0000-000048420000}"/>
    <cellStyle name="Comma 3 40 2 2 3" xfId="13610" xr:uid="{00000000-0005-0000-0000-000049420000}"/>
    <cellStyle name="Comma 3 40 2 2 3 2" xfId="29202" xr:uid="{00000000-0005-0000-0000-00004A420000}"/>
    <cellStyle name="Comma 3 40 2 2 3 3" xfId="44694" xr:uid="{00000000-0005-0000-0000-00004B420000}"/>
    <cellStyle name="Comma 3 40 2 2 4" xfId="21462" xr:uid="{00000000-0005-0000-0000-00004C420000}"/>
    <cellStyle name="Comma 3 40 2 2 5" xfId="36954" xr:uid="{00000000-0005-0000-0000-00004D420000}"/>
    <cellStyle name="Comma 3 40 2 3" xfId="7808" xr:uid="{00000000-0005-0000-0000-00004E420000}"/>
    <cellStyle name="Comma 3 40 2 3 2" xfId="15553" xr:uid="{00000000-0005-0000-0000-00004F420000}"/>
    <cellStyle name="Comma 3 40 2 3 2 2" xfId="31145" xr:uid="{00000000-0005-0000-0000-000050420000}"/>
    <cellStyle name="Comma 3 40 2 3 2 3" xfId="46637" xr:uid="{00000000-0005-0000-0000-000051420000}"/>
    <cellStyle name="Comma 3 40 2 3 3" xfId="23405" xr:uid="{00000000-0005-0000-0000-000052420000}"/>
    <cellStyle name="Comma 3 40 2 3 4" xfId="38897" xr:uid="{00000000-0005-0000-0000-000053420000}"/>
    <cellStyle name="Comma 3 40 2 4" xfId="11683" xr:uid="{00000000-0005-0000-0000-000054420000}"/>
    <cellStyle name="Comma 3 40 2 4 2" xfId="27275" xr:uid="{00000000-0005-0000-0000-000055420000}"/>
    <cellStyle name="Comma 3 40 2 4 3" xfId="42767" xr:uid="{00000000-0005-0000-0000-000056420000}"/>
    <cellStyle name="Comma 3 40 2 5" xfId="19535" xr:uid="{00000000-0005-0000-0000-000057420000}"/>
    <cellStyle name="Comma 3 40 2 6" xfId="35027" xr:uid="{00000000-0005-0000-0000-000058420000}"/>
    <cellStyle name="Comma 3 40 3" xfId="4916" xr:uid="{00000000-0005-0000-0000-000059420000}"/>
    <cellStyle name="Comma 3 40 3 2" xfId="8787" xr:uid="{00000000-0005-0000-0000-00005A420000}"/>
    <cellStyle name="Comma 3 40 3 2 2" xfId="16532" xr:uid="{00000000-0005-0000-0000-00005B420000}"/>
    <cellStyle name="Comma 3 40 3 2 2 2" xfId="32124" xr:uid="{00000000-0005-0000-0000-00005C420000}"/>
    <cellStyle name="Comma 3 40 3 2 2 3" xfId="47616" xr:uid="{00000000-0005-0000-0000-00005D420000}"/>
    <cellStyle name="Comma 3 40 3 2 3" xfId="24384" xr:uid="{00000000-0005-0000-0000-00005E420000}"/>
    <cellStyle name="Comma 3 40 3 2 4" xfId="39876" xr:uid="{00000000-0005-0000-0000-00005F420000}"/>
    <cellStyle name="Comma 3 40 3 3" xfId="12662" xr:uid="{00000000-0005-0000-0000-000060420000}"/>
    <cellStyle name="Comma 3 40 3 3 2" xfId="28254" xr:uid="{00000000-0005-0000-0000-000061420000}"/>
    <cellStyle name="Comma 3 40 3 3 3" xfId="43746" xr:uid="{00000000-0005-0000-0000-000062420000}"/>
    <cellStyle name="Comma 3 40 3 4" xfId="20514" xr:uid="{00000000-0005-0000-0000-000063420000}"/>
    <cellStyle name="Comma 3 40 3 5" xfId="36006" xr:uid="{00000000-0005-0000-0000-000064420000}"/>
    <cellStyle name="Comma 3 40 4" xfId="6860" xr:uid="{00000000-0005-0000-0000-000065420000}"/>
    <cellStyle name="Comma 3 40 4 2" xfId="14605" xr:uid="{00000000-0005-0000-0000-000066420000}"/>
    <cellStyle name="Comma 3 40 4 2 2" xfId="30197" xr:uid="{00000000-0005-0000-0000-000067420000}"/>
    <cellStyle name="Comma 3 40 4 2 3" xfId="45689" xr:uid="{00000000-0005-0000-0000-000068420000}"/>
    <cellStyle name="Comma 3 40 4 3" xfId="22457" xr:uid="{00000000-0005-0000-0000-000069420000}"/>
    <cellStyle name="Comma 3 40 4 4" xfId="37949" xr:uid="{00000000-0005-0000-0000-00006A420000}"/>
    <cellStyle name="Comma 3 40 5" xfId="10735" xr:uid="{00000000-0005-0000-0000-00006B420000}"/>
    <cellStyle name="Comma 3 40 5 2" xfId="26327" xr:uid="{00000000-0005-0000-0000-00006C420000}"/>
    <cellStyle name="Comma 3 40 5 3" xfId="41819" xr:uid="{00000000-0005-0000-0000-00006D420000}"/>
    <cellStyle name="Comma 3 40 6" xfId="18587" xr:uid="{00000000-0005-0000-0000-00006E420000}"/>
    <cellStyle name="Comma 3 40 7" xfId="34079" xr:uid="{00000000-0005-0000-0000-00006F420000}"/>
    <cellStyle name="Comma 3 41" xfId="2960" xr:uid="{00000000-0005-0000-0000-000070420000}"/>
    <cellStyle name="Comma 3 41 2" xfId="3961" xr:uid="{00000000-0005-0000-0000-000071420000}"/>
    <cellStyle name="Comma 3 41 2 2" xfId="5900" xr:uid="{00000000-0005-0000-0000-000072420000}"/>
    <cellStyle name="Comma 3 41 2 2 2" xfId="9771" xr:uid="{00000000-0005-0000-0000-000073420000}"/>
    <cellStyle name="Comma 3 41 2 2 2 2" xfId="17516" xr:uid="{00000000-0005-0000-0000-000074420000}"/>
    <cellStyle name="Comma 3 41 2 2 2 2 2" xfId="33108" xr:uid="{00000000-0005-0000-0000-000075420000}"/>
    <cellStyle name="Comma 3 41 2 2 2 2 3" xfId="48600" xr:uid="{00000000-0005-0000-0000-000076420000}"/>
    <cellStyle name="Comma 3 41 2 2 2 3" xfId="25368" xr:uid="{00000000-0005-0000-0000-000077420000}"/>
    <cellStyle name="Comma 3 41 2 2 2 4" xfId="40860" xr:uid="{00000000-0005-0000-0000-000078420000}"/>
    <cellStyle name="Comma 3 41 2 2 3" xfId="13646" xr:uid="{00000000-0005-0000-0000-000079420000}"/>
    <cellStyle name="Comma 3 41 2 2 3 2" xfId="29238" xr:uid="{00000000-0005-0000-0000-00007A420000}"/>
    <cellStyle name="Comma 3 41 2 2 3 3" xfId="44730" xr:uid="{00000000-0005-0000-0000-00007B420000}"/>
    <cellStyle name="Comma 3 41 2 2 4" xfId="21498" xr:uid="{00000000-0005-0000-0000-00007C420000}"/>
    <cellStyle name="Comma 3 41 2 2 5" xfId="36990" xr:uid="{00000000-0005-0000-0000-00007D420000}"/>
    <cellStyle name="Comma 3 41 2 3" xfId="7844" xr:uid="{00000000-0005-0000-0000-00007E420000}"/>
    <cellStyle name="Comma 3 41 2 3 2" xfId="15589" xr:uid="{00000000-0005-0000-0000-00007F420000}"/>
    <cellStyle name="Comma 3 41 2 3 2 2" xfId="31181" xr:uid="{00000000-0005-0000-0000-000080420000}"/>
    <cellStyle name="Comma 3 41 2 3 2 3" xfId="46673" xr:uid="{00000000-0005-0000-0000-000081420000}"/>
    <cellStyle name="Comma 3 41 2 3 3" xfId="23441" xr:uid="{00000000-0005-0000-0000-000082420000}"/>
    <cellStyle name="Comma 3 41 2 3 4" xfId="38933" xr:uid="{00000000-0005-0000-0000-000083420000}"/>
    <cellStyle name="Comma 3 41 2 4" xfId="11719" xr:uid="{00000000-0005-0000-0000-000084420000}"/>
    <cellStyle name="Comma 3 41 2 4 2" xfId="27311" xr:uid="{00000000-0005-0000-0000-000085420000}"/>
    <cellStyle name="Comma 3 41 2 4 3" xfId="42803" xr:uid="{00000000-0005-0000-0000-000086420000}"/>
    <cellStyle name="Comma 3 41 2 5" xfId="19571" xr:uid="{00000000-0005-0000-0000-000087420000}"/>
    <cellStyle name="Comma 3 41 2 6" xfId="35063" xr:uid="{00000000-0005-0000-0000-000088420000}"/>
    <cellStyle name="Comma 3 41 3" xfId="4952" xr:uid="{00000000-0005-0000-0000-000089420000}"/>
    <cellStyle name="Comma 3 41 3 2" xfId="8823" xr:uid="{00000000-0005-0000-0000-00008A420000}"/>
    <cellStyle name="Comma 3 41 3 2 2" xfId="16568" xr:uid="{00000000-0005-0000-0000-00008B420000}"/>
    <cellStyle name="Comma 3 41 3 2 2 2" xfId="32160" xr:uid="{00000000-0005-0000-0000-00008C420000}"/>
    <cellStyle name="Comma 3 41 3 2 2 3" xfId="47652" xr:uid="{00000000-0005-0000-0000-00008D420000}"/>
    <cellStyle name="Comma 3 41 3 2 3" xfId="24420" xr:uid="{00000000-0005-0000-0000-00008E420000}"/>
    <cellStyle name="Comma 3 41 3 2 4" xfId="39912" xr:uid="{00000000-0005-0000-0000-00008F420000}"/>
    <cellStyle name="Comma 3 41 3 3" xfId="12698" xr:uid="{00000000-0005-0000-0000-000090420000}"/>
    <cellStyle name="Comma 3 41 3 3 2" xfId="28290" xr:uid="{00000000-0005-0000-0000-000091420000}"/>
    <cellStyle name="Comma 3 41 3 3 3" xfId="43782" xr:uid="{00000000-0005-0000-0000-000092420000}"/>
    <cellStyle name="Comma 3 41 3 4" xfId="20550" xr:uid="{00000000-0005-0000-0000-000093420000}"/>
    <cellStyle name="Comma 3 41 3 5" xfId="36042" xr:uid="{00000000-0005-0000-0000-000094420000}"/>
    <cellStyle name="Comma 3 41 4" xfId="6896" xr:uid="{00000000-0005-0000-0000-000095420000}"/>
    <cellStyle name="Comma 3 41 4 2" xfId="14641" xr:uid="{00000000-0005-0000-0000-000096420000}"/>
    <cellStyle name="Comma 3 41 4 2 2" xfId="30233" xr:uid="{00000000-0005-0000-0000-000097420000}"/>
    <cellStyle name="Comma 3 41 4 2 3" xfId="45725" xr:uid="{00000000-0005-0000-0000-000098420000}"/>
    <cellStyle name="Comma 3 41 4 3" xfId="22493" xr:uid="{00000000-0005-0000-0000-000099420000}"/>
    <cellStyle name="Comma 3 41 4 4" xfId="37985" xr:uid="{00000000-0005-0000-0000-00009A420000}"/>
    <cellStyle name="Comma 3 41 5" xfId="10771" xr:uid="{00000000-0005-0000-0000-00009B420000}"/>
    <cellStyle name="Comma 3 41 5 2" xfId="26363" xr:uid="{00000000-0005-0000-0000-00009C420000}"/>
    <cellStyle name="Comma 3 41 5 3" xfId="41855" xr:uid="{00000000-0005-0000-0000-00009D420000}"/>
    <cellStyle name="Comma 3 41 6" xfId="18623" xr:uid="{00000000-0005-0000-0000-00009E420000}"/>
    <cellStyle name="Comma 3 41 7" xfId="34115" xr:uid="{00000000-0005-0000-0000-00009F420000}"/>
    <cellStyle name="Comma 3 42" xfId="3000" xr:uid="{00000000-0005-0000-0000-0000A0420000}"/>
    <cellStyle name="Comma 3 42 2" xfId="3997" xr:uid="{00000000-0005-0000-0000-0000A1420000}"/>
    <cellStyle name="Comma 3 42 2 2" xfId="5936" xr:uid="{00000000-0005-0000-0000-0000A2420000}"/>
    <cellStyle name="Comma 3 42 2 2 2" xfId="9807" xr:uid="{00000000-0005-0000-0000-0000A3420000}"/>
    <cellStyle name="Comma 3 42 2 2 2 2" xfId="17552" xr:uid="{00000000-0005-0000-0000-0000A4420000}"/>
    <cellStyle name="Comma 3 42 2 2 2 2 2" xfId="33144" xr:uid="{00000000-0005-0000-0000-0000A5420000}"/>
    <cellStyle name="Comma 3 42 2 2 2 2 3" xfId="48636" xr:uid="{00000000-0005-0000-0000-0000A6420000}"/>
    <cellStyle name="Comma 3 42 2 2 2 3" xfId="25404" xr:uid="{00000000-0005-0000-0000-0000A7420000}"/>
    <cellStyle name="Comma 3 42 2 2 2 4" xfId="40896" xr:uid="{00000000-0005-0000-0000-0000A8420000}"/>
    <cellStyle name="Comma 3 42 2 2 3" xfId="13682" xr:uid="{00000000-0005-0000-0000-0000A9420000}"/>
    <cellStyle name="Comma 3 42 2 2 3 2" xfId="29274" xr:uid="{00000000-0005-0000-0000-0000AA420000}"/>
    <cellStyle name="Comma 3 42 2 2 3 3" xfId="44766" xr:uid="{00000000-0005-0000-0000-0000AB420000}"/>
    <cellStyle name="Comma 3 42 2 2 4" xfId="21534" xr:uid="{00000000-0005-0000-0000-0000AC420000}"/>
    <cellStyle name="Comma 3 42 2 2 5" xfId="37026" xr:uid="{00000000-0005-0000-0000-0000AD420000}"/>
    <cellStyle name="Comma 3 42 2 3" xfId="7880" xr:uid="{00000000-0005-0000-0000-0000AE420000}"/>
    <cellStyle name="Comma 3 42 2 3 2" xfId="15625" xr:uid="{00000000-0005-0000-0000-0000AF420000}"/>
    <cellStyle name="Comma 3 42 2 3 2 2" xfId="31217" xr:uid="{00000000-0005-0000-0000-0000B0420000}"/>
    <cellStyle name="Comma 3 42 2 3 2 3" xfId="46709" xr:uid="{00000000-0005-0000-0000-0000B1420000}"/>
    <cellStyle name="Comma 3 42 2 3 3" xfId="23477" xr:uid="{00000000-0005-0000-0000-0000B2420000}"/>
    <cellStyle name="Comma 3 42 2 3 4" xfId="38969" xr:uid="{00000000-0005-0000-0000-0000B3420000}"/>
    <cellStyle name="Comma 3 42 2 4" xfId="11755" xr:uid="{00000000-0005-0000-0000-0000B4420000}"/>
    <cellStyle name="Comma 3 42 2 4 2" xfId="27347" xr:uid="{00000000-0005-0000-0000-0000B5420000}"/>
    <cellStyle name="Comma 3 42 2 4 3" xfId="42839" xr:uid="{00000000-0005-0000-0000-0000B6420000}"/>
    <cellStyle name="Comma 3 42 2 5" xfId="19607" xr:uid="{00000000-0005-0000-0000-0000B7420000}"/>
    <cellStyle name="Comma 3 42 2 6" xfId="35099" xr:uid="{00000000-0005-0000-0000-0000B8420000}"/>
    <cellStyle name="Comma 3 42 3" xfId="4988" xr:uid="{00000000-0005-0000-0000-0000B9420000}"/>
    <cellStyle name="Comma 3 42 3 2" xfId="8859" xr:uid="{00000000-0005-0000-0000-0000BA420000}"/>
    <cellStyle name="Comma 3 42 3 2 2" xfId="16604" xr:uid="{00000000-0005-0000-0000-0000BB420000}"/>
    <cellStyle name="Comma 3 42 3 2 2 2" xfId="32196" xr:uid="{00000000-0005-0000-0000-0000BC420000}"/>
    <cellStyle name="Comma 3 42 3 2 2 3" xfId="47688" xr:uid="{00000000-0005-0000-0000-0000BD420000}"/>
    <cellStyle name="Comma 3 42 3 2 3" xfId="24456" xr:uid="{00000000-0005-0000-0000-0000BE420000}"/>
    <cellStyle name="Comma 3 42 3 2 4" xfId="39948" xr:uid="{00000000-0005-0000-0000-0000BF420000}"/>
    <cellStyle name="Comma 3 42 3 3" xfId="12734" xr:uid="{00000000-0005-0000-0000-0000C0420000}"/>
    <cellStyle name="Comma 3 42 3 3 2" xfId="28326" xr:uid="{00000000-0005-0000-0000-0000C1420000}"/>
    <cellStyle name="Comma 3 42 3 3 3" xfId="43818" xr:uid="{00000000-0005-0000-0000-0000C2420000}"/>
    <cellStyle name="Comma 3 42 3 4" xfId="20586" xr:uid="{00000000-0005-0000-0000-0000C3420000}"/>
    <cellStyle name="Comma 3 42 3 5" xfId="36078" xr:uid="{00000000-0005-0000-0000-0000C4420000}"/>
    <cellStyle name="Comma 3 42 4" xfId="6932" xr:uid="{00000000-0005-0000-0000-0000C5420000}"/>
    <cellStyle name="Comma 3 42 4 2" xfId="14677" xr:uid="{00000000-0005-0000-0000-0000C6420000}"/>
    <cellStyle name="Comma 3 42 4 2 2" xfId="30269" xr:uid="{00000000-0005-0000-0000-0000C7420000}"/>
    <cellStyle name="Comma 3 42 4 2 3" xfId="45761" xr:uid="{00000000-0005-0000-0000-0000C8420000}"/>
    <cellStyle name="Comma 3 42 4 3" xfId="22529" xr:uid="{00000000-0005-0000-0000-0000C9420000}"/>
    <cellStyle name="Comma 3 42 4 4" xfId="38021" xr:uid="{00000000-0005-0000-0000-0000CA420000}"/>
    <cellStyle name="Comma 3 42 5" xfId="10807" xr:uid="{00000000-0005-0000-0000-0000CB420000}"/>
    <cellStyle name="Comma 3 42 5 2" xfId="26399" xr:uid="{00000000-0005-0000-0000-0000CC420000}"/>
    <cellStyle name="Comma 3 42 5 3" xfId="41891" xr:uid="{00000000-0005-0000-0000-0000CD420000}"/>
    <cellStyle name="Comma 3 42 6" xfId="18659" xr:uid="{00000000-0005-0000-0000-0000CE420000}"/>
    <cellStyle name="Comma 3 42 7" xfId="34151" xr:uid="{00000000-0005-0000-0000-0000CF420000}"/>
    <cellStyle name="Comma 3 43" xfId="3038" xr:uid="{00000000-0005-0000-0000-0000D0420000}"/>
    <cellStyle name="Comma 3 43 2" xfId="4033" xr:uid="{00000000-0005-0000-0000-0000D1420000}"/>
    <cellStyle name="Comma 3 43 2 2" xfId="5972" xr:uid="{00000000-0005-0000-0000-0000D2420000}"/>
    <cellStyle name="Comma 3 43 2 2 2" xfId="9843" xr:uid="{00000000-0005-0000-0000-0000D3420000}"/>
    <cellStyle name="Comma 3 43 2 2 2 2" xfId="17588" xr:uid="{00000000-0005-0000-0000-0000D4420000}"/>
    <cellStyle name="Comma 3 43 2 2 2 2 2" xfId="33180" xr:uid="{00000000-0005-0000-0000-0000D5420000}"/>
    <cellStyle name="Comma 3 43 2 2 2 2 3" xfId="48672" xr:uid="{00000000-0005-0000-0000-0000D6420000}"/>
    <cellStyle name="Comma 3 43 2 2 2 3" xfId="25440" xr:uid="{00000000-0005-0000-0000-0000D7420000}"/>
    <cellStyle name="Comma 3 43 2 2 2 4" xfId="40932" xr:uid="{00000000-0005-0000-0000-0000D8420000}"/>
    <cellStyle name="Comma 3 43 2 2 3" xfId="13718" xr:uid="{00000000-0005-0000-0000-0000D9420000}"/>
    <cellStyle name="Comma 3 43 2 2 3 2" xfId="29310" xr:uid="{00000000-0005-0000-0000-0000DA420000}"/>
    <cellStyle name="Comma 3 43 2 2 3 3" xfId="44802" xr:uid="{00000000-0005-0000-0000-0000DB420000}"/>
    <cellStyle name="Comma 3 43 2 2 4" xfId="21570" xr:uid="{00000000-0005-0000-0000-0000DC420000}"/>
    <cellStyle name="Comma 3 43 2 2 5" xfId="37062" xr:uid="{00000000-0005-0000-0000-0000DD420000}"/>
    <cellStyle name="Comma 3 43 2 3" xfId="7916" xr:uid="{00000000-0005-0000-0000-0000DE420000}"/>
    <cellStyle name="Comma 3 43 2 3 2" xfId="15661" xr:uid="{00000000-0005-0000-0000-0000DF420000}"/>
    <cellStyle name="Comma 3 43 2 3 2 2" xfId="31253" xr:uid="{00000000-0005-0000-0000-0000E0420000}"/>
    <cellStyle name="Comma 3 43 2 3 2 3" xfId="46745" xr:uid="{00000000-0005-0000-0000-0000E1420000}"/>
    <cellStyle name="Comma 3 43 2 3 3" xfId="23513" xr:uid="{00000000-0005-0000-0000-0000E2420000}"/>
    <cellStyle name="Comma 3 43 2 3 4" xfId="39005" xr:uid="{00000000-0005-0000-0000-0000E3420000}"/>
    <cellStyle name="Comma 3 43 2 4" xfId="11791" xr:uid="{00000000-0005-0000-0000-0000E4420000}"/>
    <cellStyle name="Comma 3 43 2 4 2" xfId="27383" xr:uid="{00000000-0005-0000-0000-0000E5420000}"/>
    <cellStyle name="Comma 3 43 2 4 3" xfId="42875" xr:uid="{00000000-0005-0000-0000-0000E6420000}"/>
    <cellStyle name="Comma 3 43 2 5" xfId="19643" xr:uid="{00000000-0005-0000-0000-0000E7420000}"/>
    <cellStyle name="Comma 3 43 2 6" xfId="35135" xr:uid="{00000000-0005-0000-0000-0000E8420000}"/>
    <cellStyle name="Comma 3 43 3" xfId="5024" xr:uid="{00000000-0005-0000-0000-0000E9420000}"/>
    <cellStyle name="Comma 3 43 3 2" xfId="8895" xr:uid="{00000000-0005-0000-0000-0000EA420000}"/>
    <cellStyle name="Comma 3 43 3 2 2" xfId="16640" xr:uid="{00000000-0005-0000-0000-0000EB420000}"/>
    <cellStyle name="Comma 3 43 3 2 2 2" xfId="32232" xr:uid="{00000000-0005-0000-0000-0000EC420000}"/>
    <cellStyle name="Comma 3 43 3 2 2 3" xfId="47724" xr:uid="{00000000-0005-0000-0000-0000ED420000}"/>
    <cellStyle name="Comma 3 43 3 2 3" xfId="24492" xr:uid="{00000000-0005-0000-0000-0000EE420000}"/>
    <cellStyle name="Comma 3 43 3 2 4" xfId="39984" xr:uid="{00000000-0005-0000-0000-0000EF420000}"/>
    <cellStyle name="Comma 3 43 3 3" xfId="12770" xr:uid="{00000000-0005-0000-0000-0000F0420000}"/>
    <cellStyle name="Comma 3 43 3 3 2" xfId="28362" xr:uid="{00000000-0005-0000-0000-0000F1420000}"/>
    <cellStyle name="Comma 3 43 3 3 3" xfId="43854" xr:uid="{00000000-0005-0000-0000-0000F2420000}"/>
    <cellStyle name="Comma 3 43 3 4" xfId="20622" xr:uid="{00000000-0005-0000-0000-0000F3420000}"/>
    <cellStyle name="Comma 3 43 3 5" xfId="36114" xr:uid="{00000000-0005-0000-0000-0000F4420000}"/>
    <cellStyle name="Comma 3 43 4" xfId="6968" xr:uid="{00000000-0005-0000-0000-0000F5420000}"/>
    <cellStyle name="Comma 3 43 4 2" xfId="14713" xr:uid="{00000000-0005-0000-0000-0000F6420000}"/>
    <cellStyle name="Comma 3 43 4 2 2" xfId="30305" xr:uid="{00000000-0005-0000-0000-0000F7420000}"/>
    <cellStyle name="Comma 3 43 4 2 3" xfId="45797" xr:uid="{00000000-0005-0000-0000-0000F8420000}"/>
    <cellStyle name="Comma 3 43 4 3" xfId="22565" xr:uid="{00000000-0005-0000-0000-0000F9420000}"/>
    <cellStyle name="Comma 3 43 4 4" xfId="38057" xr:uid="{00000000-0005-0000-0000-0000FA420000}"/>
    <cellStyle name="Comma 3 43 5" xfId="10843" xr:uid="{00000000-0005-0000-0000-0000FB420000}"/>
    <cellStyle name="Comma 3 43 5 2" xfId="26435" xr:uid="{00000000-0005-0000-0000-0000FC420000}"/>
    <cellStyle name="Comma 3 43 5 3" xfId="41927" xr:uid="{00000000-0005-0000-0000-0000FD420000}"/>
    <cellStyle name="Comma 3 43 6" xfId="18695" xr:uid="{00000000-0005-0000-0000-0000FE420000}"/>
    <cellStyle name="Comma 3 43 7" xfId="34187" xr:uid="{00000000-0005-0000-0000-0000FF420000}"/>
    <cellStyle name="Comma 3 44" xfId="3075" xr:uid="{00000000-0005-0000-0000-000000430000}"/>
    <cellStyle name="Comma 3 44 2" xfId="4069" xr:uid="{00000000-0005-0000-0000-000001430000}"/>
    <cellStyle name="Comma 3 44 2 2" xfId="6008" xr:uid="{00000000-0005-0000-0000-000002430000}"/>
    <cellStyle name="Comma 3 44 2 2 2" xfId="9879" xr:uid="{00000000-0005-0000-0000-000003430000}"/>
    <cellStyle name="Comma 3 44 2 2 2 2" xfId="17624" xr:uid="{00000000-0005-0000-0000-000004430000}"/>
    <cellStyle name="Comma 3 44 2 2 2 2 2" xfId="33216" xr:uid="{00000000-0005-0000-0000-000005430000}"/>
    <cellStyle name="Comma 3 44 2 2 2 2 3" xfId="48708" xr:uid="{00000000-0005-0000-0000-000006430000}"/>
    <cellStyle name="Comma 3 44 2 2 2 3" xfId="25476" xr:uid="{00000000-0005-0000-0000-000007430000}"/>
    <cellStyle name="Comma 3 44 2 2 2 4" xfId="40968" xr:uid="{00000000-0005-0000-0000-000008430000}"/>
    <cellStyle name="Comma 3 44 2 2 3" xfId="13754" xr:uid="{00000000-0005-0000-0000-000009430000}"/>
    <cellStyle name="Comma 3 44 2 2 3 2" xfId="29346" xr:uid="{00000000-0005-0000-0000-00000A430000}"/>
    <cellStyle name="Comma 3 44 2 2 3 3" xfId="44838" xr:uid="{00000000-0005-0000-0000-00000B430000}"/>
    <cellStyle name="Comma 3 44 2 2 4" xfId="21606" xr:uid="{00000000-0005-0000-0000-00000C430000}"/>
    <cellStyle name="Comma 3 44 2 2 5" xfId="37098" xr:uid="{00000000-0005-0000-0000-00000D430000}"/>
    <cellStyle name="Comma 3 44 2 3" xfId="7952" xr:uid="{00000000-0005-0000-0000-00000E430000}"/>
    <cellStyle name="Comma 3 44 2 3 2" xfId="15697" xr:uid="{00000000-0005-0000-0000-00000F430000}"/>
    <cellStyle name="Comma 3 44 2 3 2 2" xfId="31289" xr:uid="{00000000-0005-0000-0000-000010430000}"/>
    <cellStyle name="Comma 3 44 2 3 2 3" xfId="46781" xr:uid="{00000000-0005-0000-0000-000011430000}"/>
    <cellStyle name="Comma 3 44 2 3 3" xfId="23549" xr:uid="{00000000-0005-0000-0000-000012430000}"/>
    <cellStyle name="Comma 3 44 2 3 4" xfId="39041" xr:uid="{00000000-0005-0000-0000-000013430000}"/>
    <cellStyle name="Comma 3 44 2 4" xfId="11827" xr:uid="{00000000-0005-0000-0000-000014430000}"/>
    <cellStyle name="Comma 3 44 2 4 2" xfId="27419" xr:uid="{00000000-0005-0000-0000-000015430000}"/>
    <cellStyle name="Comma 3 44 2 4 3" xfId="42911" xr:uid="{00000000-0005-0000-0000-000016430000}"/>
    <cellStyle name="Comma 3 44 2 5" xfId="19679" xr:uid="{00000000-0005-0000-0000-000017430000}"/>
    <cellStyle name="Comma 3 44 2 6" xfId="35171" xr:uid="{00000000-0005-0000-0000-000018430000}"/>
    <cellStyle name="Comma 3 44 3" xfId="5060" xr:uid="{00000000-0005-0000-0000-000019430000}"/>
    <cellStyle name="Comma 3 44 3 2" xfId="8931" xr:uid="{00000000-0005-0000-0000-00001A430000}"/>
    <cellStyle name="Comma 3 44 3 2 2" xfId="16676" xr:uid="{00000000-0005-0000-0000-00001B430000}"/>
    <cellStyle name="Comma 3 44 3 2 2 2" xfId="32268" xr:uid="{00000000-0005-0000-0000-00001C430000}"/>
    <cellStyle name="Comma 3 44 3 2 2 3" xfId="47760" xr:uid="{00000000-0005-0000-0000-00001D430000}"/>
    <cellStyle name="Comma 3 44 3 2 3" xfId="24528" xr:uid="{00000000-0005-0000-0000-00001E430000}"/>
    <cellStyle name="Comma 3 44 3 2 4" xfId="40020" xr:uid="{00000000-0005-0000-0000-00001F430000}"/>
    <cellStyle name="Comma 3 44 3 3" xfId="12806" xr:uid="{00000000-0005-0000-0000-000020430000}"/>
    <cellStyle name="Comma 3 44 3 3 2" xfId="28398" xr:uid="{00000000-0005-0000-0000-000021430000}"/>
    <cellStyle name="Comma 3 44 3 3 3" xfId="43890" xr:uid="{00000000-0005-0000-0000-000022430000}"/>
    <cellStyle name="Comma 3 44 3 4" xfId="20658" xr:uid="{00000000-0005-0000-0000-000023430000}"/>
    <cellStyle name="Comma 3 44 3 5" xfId="36150" xr:uid="{00000000-0005-0000-0000-000024430000}"/>
    <cellStyle name="Comma 3 44 4" xfId="7004" xr:uid="{00000000-0005-0000-0000-000025430000}"/>
    <cellStyle name="Comma 3 44 4 2" xfId="14749" xr:uid="{00000000-0005-0000-0000-000026430000}"/>
    <cellStyle name="Comma 3 44 4 2 2" xfId="30341" xr:uid="{00000000-0005-0000-0000-000027430000}"/>
    <cellStyle name="Comma 3 44 4 2 3" xfId="45833" xr:uid="{00000000-0005-0000-0000-000028430000}"/>
    <cellStyle name="Comma 3 44 4 3" xfId="22601" xr:uid="{00000000-0005-0000-0000-000029430000}"/>
    <cellStyle name="Comma 3 44 4 4" xfId="38093" xr:uid="{00000000-0005-0000-0000-00002A430000}"/>
    <cellStyle name="Comma 3 44 5" xfId="10879" xr:uid="{00000000-0005-0000-0000-00002B430000}"/>
    <cellStyle name="Comma 3 44 5 2" xfId="26471" xr:uid="{00000000-0005-0000-0000-00002C430000}"/>
    <cellStyle name="Comma 3 44 5 3" xfId="41963" xr:uid="{00000000-0005-0000-0000-00002D430000}"/>
    <cellStyle name="Comma 3 44 6" xfId="18731" xr:uid="{00000000-0005-0000-0000-00002E430000}"/>
    <cellStyle name="Comma 3 44 7" xfId="34223" xr:uid="{00000000-0005-0000-0000-00002F430000}"/>
    <cellStyle name="Comma 3 45" xfId="3122" xr:uid="{00000000-0005-0000-0000-000030430000}"/>
    <cellStyle name="Comma 3 45 2" xfId="4105" xr:uid="{00000000-0005-0000-0000-000031430000}"/>
    <cellStyle name="Comma 3 45 2 2" xfId="6044" xr:uid="{00000000-0005-0000-0000-000032430000}"/>
    <cellStyle name="Comma 3 45 2 2 2" xfId="9915" xr:uid="{00000000-0005-0000-0000-000033430000}"/>
    <cellStyle name="Comma 3 45 2 2 2 2" xfId="17660" xr:uid="{00000000-0005-0000-0000-000034430000}"/>
    <cellStyle name="Comma 3 45 2 2 2 2 2" xfId="33252" xr:uid="{00000000-0005-0000-0000-000035430000}"/>
    <cellStyle name="Comma 3 45 2 2 2 2 3" xfId="48744" xr:uid="{00000000-0005-0000-0000-000036430000}"/>
    <cellStyle name="Comma 3 45 2 2 2 3" xfId="25512" xr:uid="{00000000-0005-0000-0000-000037430000}"/>
    <cellStyle name="Comma 3 45 2 2 2 4" xfId="41004" xr:uid="{00000000-0005-0000-0000-000038430000}"/>
    <cellStyle name="Comma 3 45 2 2 3" xfId="13790" xr:uid="{00000000-0005-0000-0000-000039430000}"/>
    <cellStyle name="Comma 3 45 2 2 3 2" xfId="29382" xr:uid="{00000000-0005-0000-0000-00003A430000}"/>
    <cellStyle name="Comma 3 45 2 2 3 3" xfId="44874" xr:uid="{00000000-0005-0000-0000-00003B430000}"/>
    <cellStyle name="Comma 3 45 2 2 4" xfId="21642" xr:uid="{00000000-0005-0000-0000-00003C430000}"/>
    <cellStyle name="Comma 3 45 2 2 5" xfId="37134" xr:uid="{00000000-0005-0000-0000-00003D430000}"/>
    <cellStyle name="Comma 3 45 2 3" xfId="7988" xr:uid="{00000000-0005-0000-0000-00003E430000}"/>
    <cellStyle name="Comma 3 45 2 3 2" xfId="15733" xr:uid="{00000000-0005-0000-0000-00003F430000}"/>
    <cellStyle name="Comma 3 45 2 3 2 2" xfId="31325" xr:uid="{00000000-0005-0000-0000-000040430000}"/>
    <cellStyle name="Comma 3 45 2 3 2 3" xfId="46817" xr:uid="{00000000-0005-0000-0000-000041430000}"/>
    <cellStyle name="Comma 3 45 2 3 3" xfId="23585" xr:uid="{00000000-0005-0000-0000-000042430000}"/>
    <cellStyle name="Comma 3 45 2 3 4" xfId="39077" xr:uid="{00000000-0005-0000-0000-000043430000}"/>
    <cellStyle name="Comma 3 45 2 4" xfId="11863" xr:uid="{00000000-0005-0000-0000-000044430000}"/>
    <cellStyle name="Comma 3 45 2 4 2" xfId="27455" xr:uid="{00000000-0005-0000-0000-000045430000}"/>
    <cellStyle name="Comma 3 45 2 4 3" xfId="42947" xr:uid="{00000000-0005-0000-0000-000046430000}"/>
    <cellStyle name="Comma 3 45 2 5" xfId="19715" xr:uid="{00000000-0005-0000-0000-000047430000}"/>
    <cellStyle name="Comma 3 45 2 6" xfId="35207" xr:uid="{00000000-0005-0000-0000-000048430000}"/>
    <cellStyle name="Comma 3 45 3" xfId="5096" xr:uid="{00000000-0005-0000-0000-000049430000}"/>
    <cellStyle name="Comma 3 45 3 2" xfId="8967" xr:uid="{00000000-0005-0000-0000-00004A430000}"/>
    <cellStyle name="Comma 3 45 3 2 2" xfId="16712" xr:uid="{00000000-0005-0000-0000-00004B430000}"/>
    <cellStyle name="Comma 3 45 3 2 2 2" xfId="32304" xr:uid="{00000000-0005-0000-0000-00004C430000}"/>
    <cellStyle name="Comma 3 45 3 2 2 3" xfId="47796" xr:uid="{00000000-0005-0000-0000-00004D430000}"/>
    <cellStyle name="Comma 3 45 3 2 3" xfId="24564" xr:uid="{00000000-0005-0000-0000-00004E430000}"/>
    <cellStyle name="Comma 3 45 3 2 4" xfId="40056" xr:uid="{00000000-0005-0000-0000-00004F430000}"/>
    <cellStyle name="Comma 3 45 3 3" xfId="12842" xr:uid="{00000000-0005-0000-0000-000050430000}"/>
    <cellStyle name="Comma 3 45 3 3 2" xfId="28434" xr:uid="{00000000-0005-0000-0000-000051430000}"/>
    <cellStyle name="Comma 3 45 3 3 3" xfId="43926" xr:uid="{00000000-0005-0000-0000-000052430000}"/>
    <cellStyle name="Comma 3 45 3 4" xfId="20694" xr:uid="{00000000-0005-0000-0000-000053430000}"/>
    <cellStyle name="Comma 3 45 3 5" xfId="36186" xr:uid="{00000000-0005-0000-0000-000054430000}"/>
    <cellStyle name="Comma 3 45 4" xfId="7040" xr:uid="{00000000-0005-0000-0000-000055430000}"/>
    <cellStyle name="Comma 3 45 4 2" xfId="14785" xr:uid="{00000000-0005-0000-0000-000056430000}"/>
    <cellStyle name="Comma 3 45 4 2 2" xfId="30377" xr:uid="{00000000-0005-0000-0000-000057430000}"/>
    <cellStyle name="Comma 3 45 4 2 3" xfId="45869" xr:uid="{00000000-0005-0000-0000-000058430000}"/>
    <cellStyle name="Comma 3 45 4 3" xfId="22637" xr:uid="{00000000-0005-0000-0000-000059430000}"/>
    <cellStyle name="Comma 3 45 4 4" xfId="38129" xr:uid="{00000000-0005-0000-0000-00005A430000}"/>
    <cellStyle name="Comma 3 45 5" xfId="10915" xr:uid="{00000000-0005-0000-0000-00005B430000}"/>
    <cellStyle name="Comma 3 45 5 2" xfId="26507" xr:uid="{00000000-0005-0000-0000-00005C430000}"/>
    <cellStyle name="Comma 3 45 5 3" xfId="41999" xr:uid="{00000000-0005-0000-0000-00005D430000}"/>
    <cellStyle name="Comma 3 45 6" xfId="18767" xr:uid="{00000000-0005-0000-0000-00005E430000}"/>
    <cellStyle name="Comma 3 45 7" xfId="34259" xr:uid="{00000000-0005-0000-0000-00005F430000}"/>
    <cellStyle name="Comma 3 5" xfId="1197" xr:uid="{00000000-0005-0000-0000-000060430000}"/>
    <cellStyle name="Comma 3 6" xfId="1198" xr:uid="{00000000-0005-0000-0000-000061430000}"/>
    <cellStyle name="Comma 3 6 2" xfId="4156" xr:uid="{00000000-0005-0000-0000-000062430000}"/>
    <cellStyle name="Comma 3 6 2 2" xfId="49068" xr:uid="{7BD04C9B-63C9-4534-8775-DC00CBAD1F20}"/>
    <cellStyle name="Comma 3 6 3" xfId="17765" xr:uid="{00000000-0005-0000-0000-000063430000}"/>
    <cellStyle name="Comma 3 6 4" xfId="49067" xr:uid="{7A60C71E-250C-4ED4-9F8A-99BCA1BAB61F}"/>
    <cellStyle name="Comma 3 7" xfId="1199" xr:uid="{00000000-0005-0000-0000-000064430000}"/>
    <cellStyle name="Comma 3 7 10" xfId="1200" xr:uid="{00000000-0005-0000-0000-000065430000}"/>
    <cellStyle name="Comma 3 7 11" xfId="1201" xr:uid="{00000000-0005-0000-0000-000066430000}"/>
    <cellStyle name="Comma 3 7 12" xfId="1202" xr:uid="{00000000-0005-0000-0000-000067430000}"/>
    <cellStyle name="Comma 3 7 13" xfId="1203" xr:uid="{00000000-0005-0000-0000-000068430000}"/>
    <cellStyle name="Comma 3 7 2" xfId="1204" xr:uid="{00000000-0005-0000-0000-000069430000}"/>
    <cellStyle name="Comma 3 7 2 2" xfId="1205" xr:uid="{00000000-0005-0000-0000-00006A430000}"/>
    <cellStyle name="Comma 3 7 3" xfId="1206" xr:uid="{00000000-0005-0000-0000-00006B430000}"/>
    <cellStyle name="Comma 3 7 4" xfId="1207" xr:uid="{00000000-0005-0000-0000-00006C430000}"/>
    <cellStyle name="Comma 3 7 5" xfId="1208" xr:uid="{00000000-0005-0000-0000-00006D430000}"/>
    <cellStyle name="Comma 3 7 6" xfId="1209" xr:uid="{00000000-0005-0000-0000-00006E430000}"/>
    <cellStyle name="Comma 3 7 7" xfId="1210" xr:uid="{00000000-0005-0000-0000-00006F430000}"/>
    <cellStyle name="Comma 3 7 8" xfId="1211" xr:uid="{00000000-0005-0000-0000-000070430000}"/>
    <cellStyle name="Comma 3 7 9" xfId="1212" xr:uid="{00000000-0005-0000-0000-000071430000}"/>
    <cellStyle name="Comma 3 8" xfId="1213" xr:uid="{00000000-0005-0000-0000-000072430000}"/>
    <cellStyle name="Comma 3 9" xfId="1214" xr:uid="{00000000-0005-0000-0000-000073430000}"/>
    <cellStyle name="Comma 30" xfId="1215" xr:uid="{00000000-0005-0000-0000-000074430000}"/>
    <cellStyle name="Comma 31" xfId="1216" xr:uid="{00000000-0005-0000-0000-000075430000}"/>
    <cellStyle name="Comma 32" xfId="1217" xr:uid="{00000000-0005-0000-0000-000076430000}"/>
    <cellStyle name="Comma 33" xfId="1218" xr:uid="{00000000-0005-0000-0000-000077430000}"/>
    <cellStyle name="Comma 34" xfId="1219" xr:uid="{00000000-0005-0000-0000-000078430000}"/>
    <cellStyle name="Comma 35" xfId="1220" xr:uid="{00000000-0005-0000-0000-000079430000}"/>
    <cellStyle name="Comma 36" xfId="1221" xr:uid="{00000000-0005-0000-0000-00007A430000}"/>
    <cellStyle name="Comma 37" xfId="1222" xr:uid="{00000000-0005-0000-0000-00007B430000}"/>
    <cellStyle name="Comma 38" xfId="1223" xr:uid="{00000000-0005-0000-0000-00007C430000}"/>
    <cellStyle name="Comma 39" xfId="1224" xr:uid="{00000000-0005-0000-0000-00007D430000}"/>
    <cellStyle name="Comma 4" xfId="1225" xr:uid="{00000000-0005-0000-0000-00007E430000}"/>
    <cellStyle name="Comma 4 10" xfId="1226" xr:uid="{00000000-0005-0000-0000-00007F430000}"/>
    <cellStyle name="Comma 4 11" xfId="1227" xr:uid="{00000000-0005-0000-0000-000080430000}"/>
    <cellStyle name="Comma 4 12" xfId="1228" xr:uid="{00000000-0005-0000-0000-000081430000}"/>
    <cellStyle name="Comma 4 13" xfId="1229" xr:uid="{00000000-0005-0000-0000-000082430000}"/>
    <cellStyle name="Comma 4 14" xfId="1230" xr:uid="{00000000-0005-0000-0000-000083430000}"/>
    <cellStyle name="Comma 4 15" xfId="1231" xr:uid="{00000000-0005-0000-0000-000084430000}"/>
    <cellStyle name="Comma 4 16" xfId="1232" xr:uid="{00000000-0005-0000-0000-000085430000}"/>
    <cellStyle name="Comma 4 17" xfId="1233" xr:uid="{00000000-0005-0000-0000-000086430000}"/>
    <cellStyle name="Comma 4 18" xfId="1234" xr:uid="{00000000-0005-0000-0000-000087430000}"/>
    <cellStyle name="Comma 4 19" xfId="1235" xr:uid="{00000000-0005-0000-0000-000088430000}"/>
    <cellStyle name="Comma 4 2" xfId="1236" xr:uid="{00000000-0005-0000-0000-000089430000}"/>
    <cellStyle name="Comma 4 2 2" xfId="1237" xr:uid="{00000000-0005-0000-0000-00008A430000}"/>
    <cellStyle name="Comma 4 2 3" xfId="17792" xr:uid="{00000000-0005-0000-0000-00008B430000}"/>
    <cellStyle name="Comma 4 2 3 2" xfId="48978" xr:uid="{00000000-0005-0000-0000-00008C430000}"/>
    <cellStyle name="Comma 4 2 4" xfId="17744" xr:uid="{00000000-0005-0000-0000-00008D430000}"/>
    <cellStyle name="Comma 4 2 5" xfId="49069" xr:uid="{756FE766-902B-487F-AF40-D327121CA3DC}"/>
    <cellStyle name="Comma 4 20" xfId="1238" xr:uid="{00000000-0005-0000-0000-00008E430000}"/>
    <cellStyle name="Comma 4 21" xfId="1239" xr:uid="{00000000-0005-0000-0000-00008F430000}"/>
    <cellStyle name="Comma 4 22" xfId="1240" xr:uid="{00000000-0005-0000-0000-000090430000}"/>
    <cellStyle name="Comma 4 23" xfId="1241" xr:uid="{00000000-0005-0000-0000-000091430000}"/>
    <cellStyle name="Comma 4 23 2" xfId="49070" xr:uid="{928B049B-F8D7-4B41-AB7D-1F8EC73E532F}"/>
    <cellStyle name="Comma 4 24" xfId="1242" xr:uid="{00000000-0005-0000-0000-000092430000}"/>
    <cellStyle name="Comma 4 25" xfId="1243" xr:uid="{00000000-0005-0000-0000-000093430000}"/>
    <cellStyle name="Comma 4 26" xfId="1244" xr:uid="{00000000-0005-0000-0000-000094430000}"/>
    <cellStyle name="Comma 4 26 2" xfId="4157" xr:uid="{00000000-0005-0000-0000-000095430000}"/>
    <cellStyle name="Comma 4 26 3" xfId="17739" xr:uid="{00000000-0005-0000-0000-000096430000}"/>
    <cellStyle name="Comma 4 26 3 2" xfId="49071" xr:uid="{571B0757-2D9C-43F6-B366-8415185A217C}"/>
    <cellStyle name="Comma 4 27" xfId="1245" xr:uid="{00000000-0005-0000-0000-000097430000}"/>
    <cellStyle name="Comma 4 27 10" xfId="1246" xr:uid="{00000000-0005-0000-0000-000098430000}"/>
    <cellStyle name="Comma 4 27 11" xfId="1247" xr:uid="{00000000-0005-0000-0000-000099430000}"/>
    <cellStyle name="Comma 4 27 12" xfId="1248" xr:uid="{00000000-0005-0000-0000-00009A430000}"/>
    <cellStyle name="Comma 4 27 13" xfId="1249" xr:uid="{00000000-0005-0000-0000-00009B430000}"/>
    <cellStyle name="Comma 4 27 14" xfId="17758" xr:uid="{00000000-0005-0000-0000-00009C430000}"/>
    <cellStyle name="Comma 4 27 14 2" xfId="33329" xr:uid="{00000000-0005-0000-0000-00009D430000}"/>
    <cellStyle name="Comma 4 27 14 3" xfId="48821" xr:uid="{00000000-0005-0000-0000-00009E430000}"/>
    <cellStyle name="Comma 4 27 2" xfId="1250" xr:uid="{00000000-0005-0000-0000-00009F430000}"/>
    <cellStyle name="Comma 4 27 2 2" xfId="1251" xr:uid="{00000000-0005-0000-0000-0000A0430000}"/>
    <cellStyle name="Comma 4 27 3" xfId="1252" xr:uid="{00000000-0005-0000-0000-0000A1430000}"/>
    <cellStyle name="Comma 4 27 4" xfId="1253" xr:uid="{00000000-0005-0000-0000-0000A2430000}"/>
    <cellStyle name="Comma 4 27 5" xfId="1254" xr:uid="{00000000-0005-0000-0000-0000A3430000}"/>
    <cellStyle name="Comma 4 27 6" xfId="1255" xr:uid="{00000000-0005-0000-0000-0000A4430000}"/>
    <cellStyle name="Comma 4 27 7" xfId="1256" xr:uid="{00000000-0005-0000-0000-0000A5430000}"/>
    <cellStyle name="Comma 4 27 8" xfId="1257" xr:uid="{00000000-0005-0000-0000-0000A6430000}"/>
    <cellStyle name="Comma 4 27 9" xfId="1258" xr:uid="{00000000-0005-0000-0000-0000A7430000}"/>
    <cellStyle name="Comma 4 28" xfId="1259" xr:uid="{00000000-0005-0000-0000-0000A8430000}"/>
    <cellStyle name="Comma 4 29" xfId="1260" xr:uid="{00000000-0005-0000-0000-0000A9430000}"/>
    <cellStyle name="Comma 4 3" xfId="1261" xr:uid="{00000000-0005-0000-0000-0000AA430000}"/>
    <cellStyle name="Comma 4 30" xfId="1262" xr:uid="{00000000-0005-0000-0000-0000AB430000}"/>
    <cellStyle name="Comma 4 31" xfId="1263" xr:uid="{00000000-0005-0000-0000-0000AC430000}"/>
    <cellStyle name="Comma 4 32" xfId="1264" xr:uid="{00000000-0005-0000-0000-0000AD430000}"/>
    <cellStyle name="Comma 4 33" xfId="1265" xr:uid="{00000000-0005-0000-0000-0000AE430000}"/>
    <cellStyle name="Comma 4 34" xfId="1266" xr:uid="{00000000-0005-0000-0000-0000AF430000}"/>
    <cellStyle name="Comma 4 35" xfId="1267" xr:uid="{00000000-0005-0000-0000-0000B0430000}"/>
    <cellStyle name="Comma 4 36" xfId="1268" xr:uid="{00000000-0005-0000-0000-0000B1430000}"/>
    <cellStyle name="Comma 4 37" xfId="1269" xr:uid="{00000000-0005-0000-0000-0000B2430000}"/>
    <cellStyle name="Comma 4 38" xfId="1270" xr:uid="{00000000-0005-0000-0000-0000B3430000}"/>
    <cellStyle name="Comma 4 39" xfId="1271" xr:uid="{00000000-0005-0000-0000-0000B4430000}"/>
    <cellStyle name="Comma 4 4" xfId="1272" xr:uid="{00000000-0005-0000-0000-0000B5430000}"/>
    <cellStyle name="Comma 4 40" xfId="1273" xr:uid="{00000000-0005-0000-0000-0000B6430000}"/>
    <cellStyle name="Comma 4 41" xfId="1274" xr:uid="{00000000-0005-0000-0000-0000B7430000}"/>
    <cellStyle name="Comma 4 42" xfId="1275" xr:uid="{00000000-0005-0000-0000-0000B8430000}"/>
    <cellStyle name="Comma 4 43" xfId="1276" xr:uid="{00000000-0005-0000-0000-0000B9430000}"/>
    <cellStyle name="Comma 4 44" xfId="1277" xr:uid="{00000000-0005-0000-0000-0000BA430000}"/>
    <cellStyle name="Comma 4 45" xfId="1278" xr:uid="{00000000-0005-0000-0000-0000BB430000}"/>
    <cellStyle name="Comma 4 46" xfId="1279" xr:uid="{00000000-0005-0000-0000-0000BC430000}"/>
    <cellStyle name="Comma 4 47" xfId="1280" xr:uid="{00000000-0005-0000-0000-0000BD430000}"/>
    <cellStyle name="Comma 4 48" xfId="1281" xr:uid="{00000000-0005-0000-0000-0000BE430000}"/>
    <cellStyle name="Comma 4 49" xfId="2180" xr:uid="{00000000-0005-0000-0000-0000BF430000}"/>
    <cellStyle name="Comma 4 49 2" xfId="2518" xr:uid="{00000000-0005-0000-0000-0000C0430000}"/>
    <cellStyle name="Comma 4 49 2 2" xfId="3526" xr:uid="{00000000-0005-0000-0000-0000C1430000}"/>
    <cellStyle name="Comma 4 49 2 2 2" xfId="5465" xr:uid="{00000000-0005-0000-0000-0000C2430000}"/>
    <cellStyle name="Comma 4 49 2 2 2 2" xfId="9336" xr:uid="{00000000-0005-0000-0000-0000C3430000}"/>
    <cellStyle name="Comma 4 49 2 2 2 2 2" xfId="17081" xr:uid="{00000000-0005-0000-0000-0000C4430000}"/>
    <cellStyle name="Comma 4 49 2 2 2 2 2 2" xfId="32673" xr:uid="{00000000-0005-0000-0000-0000C5430000}"/>
    <cellStyle name="Comma 4 49 2 2 2 2 2 3" xfId="48165" xr:uid="{00000000-0005-0000-0000-0000C6430000}"/>
    <cellStyle name="Comma 4 49 2 2 2 2 3" xfId="24933" xr:uid="{00000000-0005-0000-0000-0000C7430000}"/>
    <cellStyle name="Comma 4 49 2 2 2 2 4" xfId="40425" xr:uid="{00000000-0005-0000-0000-0000C8430000}"/>
    <cellStyle name="Comma 4 49 2 2 2 3" xfId="13211" xr:uid="{00000000-0005-0000-0000-0000C9430000}"/>
    <cellStyle name="Comma 4 49 2 2 2 3 2" xfId="28803" xr:uid="{00000000-0005-0000-0000-0000CA430000}"/>
    <cellStyle name="Comma 4 49 2 2 2 3 3" xfId="44295" xr:uid="{00000000-0005-0000-0000-0000CB430000}"/>
    <cellStyle name="Comma 4 49 2 2 2 4" xfId="21063" xr:uid="{00000000-0005-0000-0000-0000CC430000}"/>
    <cellStyle name="Comma 4 49 2 2 2 5" xfId="36555" xr:uid="{00000000-0005-0000-0000-0000CD430000}"/>
    <cellStyle name="Comma 4 49 2 2 3" xfId="7409" xr:uid="{00000000-0005-0000-0000-0000CE430000}"/>
    <cellStyle name="Comma 4 49 2 2 3 2" xfId="15154" xr:uid="{00000000-0005-0000-0000-0000CF430000}"/>
    <cellStyle name="Comma 4 49 2 2 3 2 2" xfId="30746" xr:uid="{00000000-0005-0000-0000-0000D0430000}"/>
    <cellStyle name="Comma 4 49 2 2 3 2 3" xfId="46238" xr:uid="{00000000-0005-0000-0000-0000D1430000}"/>
    <cellStyle name="Comma 4 49 2 2 3 3" xfId="23006" xr:uid="{00000000-0005-0000-0000-0000D2430000}"/>
    <cellStyle name="Comma 4 49 2 2 3 4" xfId="38498" xr:uid="{00000000-0005-0000-0000-0000D3430000}"/>
    <cellStyle name="Comma 4 49 2 2 4" xfId="11284" xr:uid="{00000000-0005-0000-0000-0000D4430000}"/>
    <cellStyle name="Comma 4 49 2 2 4 2" xfId="26876" xr:uid="{00000000-0005-0000-0000-0000D5430000}"/>
    <cellStyle name="Comma 4 49 2 2 4 3" xfId="42368" xr:uid="{00000000-0005-0000-0000-0000D6430000}"/>
    <cellStyle name="Comma 4 49 2 2 5" xfId="19136" xr:uid="{00000000-0005-0000-0000-0000D7430000}"/>
    <cellStyle name="Comma 4 49 2 2 6" xfId="34628" xr:uid="{00000000-0005-0000-0000-0000D8430000}"/>
    <cellStyle name="Comma 4 49 2 3" xfId="4517" xr:uid="{00000000-0005-0000-0000-0000D9430000}"/>
    <cellStyle name="Comma 4 49 2 3 2" xfId="8388" xr:uid="{00000000-0005-0000-0000-0000DA430000}"/>
    <cellStyle name="Comma 4 49 2 3 2 2" xfId="16133" xr:uid="{00000000-0005-0000-0000-0000DB430000}"/>
    <cellStyle name="Comma 4 49 2 3 2 2 2" xfId="31725" xr:uid="{00000000-0005-0000-0000-0000DC430000}"/>
    <cellStyle name="Comma 4 49 2 3 2 2 3" xfId="47217" xr:uid="{00000000-0005-0000-0000-0000DD430000}"/>
    <cellStyle name="Comma 4 49 2 3 2 3" xfId="23985" xr:uid="{00000000-0005-0000-0000-0000DE430000}"/>
    <cellStyle name="Comma 4 49 2 3 2 4" xfId="39477" xr:uid="{00000000-0005-0000-0000-0000DF430000}"/>
    <cellStyle name="Comma 4 49 2 3 3" xfId="12263" xr:uid="{00000000-0005-0000-0000-0000E0430000}"/>
    <cellStyle name="Comma 4 49 2 3 3 2" xfId="27855" xr:uid="{00000000-0005-0000-0000-0000E1430000}"/>
    <cellStyle name="Comma 4 49 2 3 3 3" xfId="43347" xr:uid="{00000000-0005-0000-0000-0000E2430000}"/>
    <cellStyle name="Comma 4 49 2 3 4" xfId="20115" xr:uid="{00000000-0005-0000-0000-0000E3430000}"/>
    <cellStyle name="Comma 4 49 2 3 5" xfId="35607" xr:uid="{00000000-0005-0000-0000-0000E4430000}"/>
    <cellStyle name="Comma 4 49 2 4" xfId="6461" xr:uid="{00000000-0005-0000-0000-0000E5430000}"/>
    <cellStyle name="Comma 4 49 2 4 2" xfId="14206" xr:uid="{00000000-0005-0000-0000-0000E6430000}"/>
    <cellStyle name="Comma 4 49 2 4 2 2" xfId="29798" xr:uid="{00000000-0005-0000-0000-0000E7430000}"/>
    <cellStyle name="Comma 4 49 2 4 2 3" xfId="45290" xr:uid="{00000000-0005-0000-0000-0000E8430000}"/>
    <cellStyle name="Comma 4 49 2 4 3" xfId="22058" xr:uid="{00000000-0005-0000-0000-0000E9430000}"/>
    <cellStyle name="Comma 4 49 2 4 4" xfId="37550" xr:uid="{00000000-0005-0000-0000-0000EA430000}"/>
    <cellStyle name="Comma 4 49 2 5" xfId="10336" xr:uid="{00000000-0005-0000-0000-0000EB430000}"/>
    <cellStyle name="Comma 4 49 2 5 2" xfId="25928" xr:uid="{00000000-0005-0000-0000-0000EC430000}"/>
    <cellStyle name="Comma 4 49 2 5 3" xfId="41420" xr:uid="{00000000-0005-0000-0000-0000ED430000}"/>
    <cellStyle name="Comma 4 49 2 6" xfId="18188" xr:uid="{00000000-0005-0000-0000-0000EE430000}"/>
    <cellStyle name="Comma 4 49 2 7" xfId="33680" xr:uid="{00000000-0005-0000-0000-0000EF430000}"/>
    <cellStyle name="Comma 4 49 3" xfId="3217" xr:uid="{00000000-0005-0000-0000-0000F0430000}"/>
    <cellStyle name="Comma 4 49 3 2" xfId="5156" xr:uid="{00000000-0005-0000-0000-0000F1430000}"/>
    <cellStyle name="Comma 4 49 3 2 2" xfId="9027" xr:uid="{00000000-0005-0000-0000-0000F2430000}"/>
    <cellStyle name="Comma 4 49 3 2 2 2" xfId="16772" xr:uid="{00000000-0005-0000-0000-0000F3430000}"/>
    <cellStyle name="Comma 4 49 3 2 2 2 2" xfId="32364" xr:uid="{00000000-0005-0000-0000-0000F4430000}"/>
    <cellStyle name="Comma 4 49 3 2 2 2 3" xfId="47856" xr:uid="{00000000-0005-0000-0000-0000F5430000}"/>
    <cellStyle name="Comma 4 49 3 2 2 3" xfId="24624" xr:uid="{00000000-0005-0000-0000-0000F6430000}"/>
    <cellStyle name="Comma 4 49 3 2 2 4" xfId="40116" xr:uid="{00000000-0005-0000-0000-0000F7430000}"/>
    <cellStyle name="Comma 4 49 3 2 3" xfId="12902" xr:uid="{00000000-0005-0000-0000-0000F8430000}"/>
    <cellStyle name="Comma 4 49 3 2 3 2" xfId="28494" xr:uid="{00000000-0005-0000-0000-0000F9430000}"/>
    <cellStyle name="Comma 4 49 3 2 3 3" xfId="43986" xr:uid="{00000000-0005-0000-0000-0000FA430000}"/>
    <cellStyle name="Comma 4 49 3 2 4" xfId="20754" xr:uid="{00000000-0005-0000-0000-0000FB430000}"/>
    <cellStyle name="Comma 4 49 3 2 5" xfId="36246" xr:uid="{00000000-0005-0000-0000-0000FC430000}"/>
    <cellStyle name="Comma 4 49 3 3" xfId="7100" xr:uid="{00000000-0005-0000-0000-0000FD430000}"/>
    <cellStyle name="Comma 4 49 3 3 2" xfId="14845" xr:uid="{00000000-0005-0000-0000-0000FE430000}"/>
    <cellStyle name="Comma 4 49 3 3 2 2" xfId="30437" xr:uid="{00000000-0005-0000-0000-0000FF430000}"/>
    <cellStyle name="Comma 4 49 3 3 2 3" xfId="45929" xr:uid="{00000000-0005-0000-0000-000000440000}"/>
    <cellStyle name="Comma 4 49 3 3 3" xfId="22697" xr:uid="{00000000-0005-0000-0000-000001440000}"/>
    <cellStyle name="Comma 4 49 3 3 4" xfId="38189" xr:uid="{00000000-0005-0000-0000-000002440000}"/>
    <cellStyle name="Comma 4 49 3 4" xfId="10975" xr:uid="{00000000-0005-0000-0000-000003440000}"/>
    <cellStyle name="Comma 4 49 3 4 2" xfId="26567" xr:uid="{00000000-0005-0000-0000-000004440000}"/>
    <cellStyle name="Comma 4 49 3 4 3" xfId="42059" xr:uid="{00000000-0005-0000-0000-000005440000}"/>
    <cellStyle name="Comma 4 49 3 5" xfId="18827" xr:uid="{00000000-0005-0000-0000-000006440000}"/>
    <cellStyle name="Comma 4 49 3 6" xfId="34319" xr:uid="{00000000-0005-0000-0000-000007440000}"/>
    <cellStyle name="Comma 4 49 4" xfId="4208" xr:uid="{00000000-0005-0000-0000-000008440000}"/>
    <cellStyle name="Comma 4 49 4 2" xfId="8079" xr:uid="{00000000-0005-0000-0000-000009440000}"/>
    <cellStyle name="Comma 4 49 4 2 2" xfId="15824" xr:uid="{00000000-0005-0000-0000-00000A440000}"/>
    <cellStyle name="Comma 4 49 4 2 2 2" xfId="31416" xr:uid="{00000000-0005-0000-0000-00000B440000}"/>
    <cellStyle name="Comma 4 49 4 2 2 3" xfId="46908" xr:uid="{00000000-0005-0000-0000-00000C440000}"/>
    <cellStyle name="Comma 4 49 4 2 3" xfId="23676" xr:uid="{00000000-0005-0000-0000-00000D440000}"/>
    <cellStyle name="Comma 4 49 4 2 4" xfId="39168" xr:uid="{00000000-0005-0000-0000-00000E440000}"/>
    <cellStyle name="Comma 4 49 4 3" xfId="11954" xr:uid="{00000000-0005-0000-0000-00000F440000}"/>
    <cellStyle name="Comma 4 49 4 3 2" xfId="27546" xr:uid="{00000000-0005-0000-0000-000010440000}"/>
    <cellStyle name="Comma 4 49 4 3 3" xfId="43038" xr:uid="{00000000-0005-0000-0000-000011440000}"/>
    <cellStyle name="Comma 4 49 4 4" xfId="19806" xr:uid="{00000000-0005-0000-0000-000012440000}"/>
    <cellStyle name="Comma 4 49 4 5" xfId="35298" xr:uid="{00000000-0005-0000-0000-000013440000}"/>
    <cellStyle name="Comma 4 49 5" xfId="6152" xr:uid="{00000000-0005-0000-0000-000014440000}"/>
    <cellStyle name="Comma 4 49 5 2" xfId="13897" xr:uid="{00000000-0005-0000-0000-000015440000}"/>
    <cellStyle name="Comma 4 49 5 2 2" xfId="29489" xr:uid="{00000000-0005-0000-0000-000016440000}"/>
    <cellStyle name="Comma 4 49 5 2 3" xfId="44981" xr:uid="{00000000-0005-0000-0000-000017440000}"/>
    <cellStyle name="Comma 4 49 5 3" xfId="21749" xr:uid="{00000000-0005-0000-0000-000018440000}"/>
    <cellStyle name="Comma 4 49 5 4" xfId="37241" xr:uid="{00000000-0005-0000-0000-000019440000}"/>
    <cellStyle name="Comma 4 49 6" xfId="10027" xr:uid="{00000000-0005-0000-0000-00001A440000}"/>
    <cellStyle name="Comma 4 49 6 2" xfId="25619" xr:uid="{00000000-0005-0000-0000-00001B440000}"/>
    <cellStyle name="Comma 4 49 6 3" xfId="41111" xr:uid="{00000000-0005-0000-0000-00001C440000}"/>
    <cellStyle name="Comma 4 49 7" xfId="17879" xr:uid="{00000000-0005-0000-0000-00001D440000}"/>
    <cellStyle name="Comma 4 49 8" xfId="33371" xr:uid="{00000000-0005-0000-0000-00001E440000}"/>
    <cellStyle name="Comma 4 5" xfId="1282" xr:uid="{00000000-0005-0000-0000-00001F440000}"/>
    <cellStyle name="Comma 4 50" xfId="2239" xr:uid="{00000000-0005-0000-0000-000020440000}"/>
    <cellStyle name="Comma 4 50 2" xfId="2556" xr:uid="{00000000-0005-0000-0000-000021440000}"/>
    <cellStyle name="Comma 4 50 2 2" xfId="3564" xr:uid="{00000000-0005-0000-0000-000022440000}"/>
    <cellStyle name="Comma 4 50 2 2 2" xfId="5503" xr:uid="{00000000-0005-0000-0000-000023440000}"/>
    <cellStyle name="Comma 4 50 2 2 2 2" xfId="9374" xr:uid="{00000000-0005-0000-0000-000024440000}"/>
    <cellStyle name="Comma 4 50 2 2 2 2 2" xfId="17119" xr:uid="{00000000-0005-0000-0000-000025440000}"/>
    <cellStyle name="Comma 4 50 2 2 2 2 2 2" xfId="32711" xr:uid="{00000000-0005-0000-0000-000026440000}"/>
    <cellStyle name="Comma 4 50 2 2 2 2 2 3" xfId="48203" xr:uid="{00000000-0005-0000-0000-000027440000}"/>
    <cellStyle name="Comma 4 50 2 2 2 2 3" xfId="24971" xr:uid="{00000000-0005-0000-0000-000028440000}"/>
    <cellStyle name="Comma 4 50 2 2 2 2 4" xfId="40463" xr:uid="{00000000-0005-0000-0000-000029440000}"/>
    <cellStyle name="Comma 4 50 2 2 2 3" xfId="13249" xr:uid="{00000000-0005-0000-0000-00002A440000}"/>
    <cellStyle name="Comma 4 50 2 2 2 3 2" xfId="28841" xr:uid="{00000000-0005-0000-0000-00002B440000}"/>
    <cellStyle name="Comma 4 50 2 2 2 3 3" xfId="44333" xr:uid="{00000000-0005-0000-0000-00002C440000}"/>
    <cellStyle name="Comma 4 50 2 2 2 4" xfId="21101" xr:uid="{00000000-0005-0000-0000-00002D440000}"/>
    <cellStyle name="Comma 4 50 2 2 2 5" xfId="36593" xr:uid="{00000000-0005-0000-0000-00002E440000}"/>
    <cellStyle name="Comma 4 50 2 2 3" xfId="7447" xr:uid="{00000000-0005-0000-0000-00002F440000}"/>
    <cellStyle name="Comma 4 50 2 2 3 2" xfId="15192" xr:uid="{00000000-0005-0000-0000-000030440000}"/>
    <cellStyle name="Comma 4 50 2 2 3 2 2" xfId="30784" xr:uid="{00000000-0005-0000-0000-000031440000}"/>
    <cellStyle name="Comma 4 50 2 2 3 2 3" xfId="46276" xr:uid="{00000000-0005-0000-0000-000032440000}"/>
    <cellStyle name="Comma 4 50 2 2 3 3" xfId="23044" xr:uid="{00000000-0005-0000-0000-000033440000}"/>
    <cellStyle name="Comma 4 50 2 2 3 4" xfId="38536" xr:uid="{00000000-0005-0000-0000-000034440000}"/>
    <cellStyle name="Comma 4 50 2 2 4" xfId="11322" xr:uid="{00000000-0005-0000-0000-000035440000}"/>
    <cellStyle name="Comma 4 50 2 2 4 2" xfId="26914" xr:uid="{00000000-0005-0000-0000-000036440000}"/>
    <cellStyle name="Comma 4 50 2 2 4 3" xfId="42406" xr:uid="{00000000-0005-0000-0000-000037440000}"/>
    <cellStyle name="Comma 4 50 2 2 5" xfId="19174" xr:uid="{00000000-0005-0000-0000-000038440000}"/>
    <cellStyle name="Comma 4 50 2 2 6" xfId="34666" xr:uid="{00000000-0005-0000-0000-000039440000}"/>
    <cellStyle name="Comma 4 50 2 3" xfId="4555" xr:uid="{00000000-0005-0000-0000-00003A440000}"/>
    <cellStyle name="Comma 4 50 2 3 2" xfId="8426" xr:uid="{00000000-0005-0000-0000-00003B440000}"/>
    <cellStyle name="Comma 4 50 2 3 2 2" xfId="16171" xr:uid="{00000000-0005-0000-0000-00003C440000}"/>
    <cellStyle name="Comma 4 50 2 3 2 2 2" xfId="31763" xr:uid="{00000000-0005-0000-0000-00003D440000}"/>
    <cellStyle name="Comma 4 50 2 3 2 2 3" xfId="47255" xr:uid="{00000000-0005-0000-0000-00003E440000}"/>
    <cellStyle name="Comma 4 50 2 3 2 3" xfId="24023" xr:uid="{00000000-0005-0000-0000-00003F440000}"/>
    <cellStyle name="Comma 4 50 2 3 2 4" xfId="39515" xr:uid="{00000000-0005-0000-0000-000040440000}"/>
    <cellStyle name="Comma 4 50 2 3 3" xfId="12301" xr:uid="{00000000-0005-0000-0000-000041440000}"/>
    <cellStyle name="Comma 4 50 2 3 3 2" xfId="27893" xr:uid="{00000000-0005-0000-0000-000042440000}"/>
    <cellStyle name="Comma 4 50 2 3 3 3" xfId="43385" xr:uid="{00000000-0005-0000-0000-000043440000}"/>
    <cellStyle name="Comma 4 50 2 3 4" xfId="20153" xr:uid="{00000000-0005-0000-0000-000044440000}"/>
    <cellStyle name="Comma 4 50 2 3 5" xfId="35645" xr:uid="{00000000-0005-0000-0000-000045440000}"/>
    <cellStyle name="Comma 4 50 2 4" xfId="6499" xr:uid="{00000000-0005-0000-0000-000046440000}"/>
    <cellStyle name="Comma 4 50 2 4 2" xfId="14244" xr:uid="{00000000-0005-0000-0000-000047440000}"/>
    <cellStyle name="Comma 4 50 2 4 2 2" xfId="29836" xr:uid="{00000000-0005-0000-0000-000048440000}"/>
    <cellStyle name="Comma 4 50 2 4 2 3" xfId="45328" xr:uid="{00000000-0005-0000-0000-000049440000}"/>
    <cellStyle name="Comma 4 50 2 4 3" xfId="22096" xr:uid="{00000000-0005-0000-0000-00004A440000}"/>
    <cellStyle name="Comma 4 50 2 4 4" xfId="37588" xr:uid="{00000000-0005-0000-0000-00004B440000}"/>
    <cellStyle name="Comma 4 50 2 5" xfId="10374" xr:uid="{00000000-0005-0000-0000-00004C440000}"/>
    <cellStyle name="Comma 4 50 2 5 2" xfId="25966" xr:uid="{00000000-0005-0000-0000-00004D440000}"/>
    <cellStyle name="Comma 4 50 2 5 3" xfId="41458" xr:uid="{00000000-0005-0000-0000-00004E440000}"/>
    <cellStyle name="Comma 4 50 2 6" xfId="18226" xr:uid="{00000000-0005-0000-0000-00004F440000}"/>
    <cellStyle name="Comma 4 50 2 7" xfId="33718" xr:uid="{00000000-0005-0000-0000-000050440000}"/>
    <cellStyle name="Comma 4 50 3" xfId="3255" xr:uid="{00000000-0005-0000-0000-000051440000}"/>
    <cellStyle name="Comma 4 50 3 2" xfId="5194" xr:uid="{00000000-0005-0000-0000-000052440000}"/>
    <cellStyle name="Comma 4 50 3 2 2" xfId="9065" xr:uid="{00000000-0005-0000-0000-000053440000}"/>
    <cellStyle name="Comma 4 50 3 2 2 2" xfId="16810" xr:uid="{00000000-0005-0000-0000-000054440000}"/>
    <cellStyle name="Comma 4 50 3 2 2 2 2" xfId="32402" xr:uid="{00000000-0005-0000-0000-000055440000}"/>
    <cellStyle name="Comma 4 50 3 2 2 2 3" xfId="47894" xr:uid="{00000000-0005-0000-0000-000056440000}"/>
    <cellStyle name="Comma 4 50 3 2 2 3" xfId="24662" xr:uid="{00000000-0005-0000-0000-000057440000}"/>
    <cellStyle name="Comma 4 50 3 2 2 4" xfId="40154" xr:uid="{00000000-0005-0000-0000-000058440000}"/>
    <cellStyle name="Comma 4 50 3 2 3" xfId="12940" xr:uid="{00000000-0005-0000-0000-000059440000}"/>
    <cellStyle name="Comma 4 50 3 2 3 2" xfId="28532" xr:uid="{00000000-0005-0000-0000-00005A440000}"/>
    <cellStyle name="Comma 4 50 3 2 3 3" xfId="44024" xr:uid="{00000000-0005-0000-0000-00005B440000}"/>
    <cellStyle name="Comma 4 50 3 2 4" xfId="20792" xr:uid="{00000000-0005-0000-0000-00005C440000}"/>
    <cellStyle name="Comma 4 50 3 2 5" xfId="36284" xr:uid="{00000000-0005-0000-0000-00005D440000}"/>
    <cellStyle name="Comma 4 50 3 3" xfId="7138" xr:uid="{00000000-0005-0000-0000-00005E440000}"/>
    <cellStyle name="Comma 4 50 3 3 2" xfId="14883" xr:uid="{00000000-0005-0000-0000-00005F440000}"/>
    <cellStyle name="Comma 4 50 3 3 2 2" xfId="30475" xr:uid="{00000000-0005-0000-0000-000060440000}"/>
    <cellStyle name="Comma 4 50 3 3 2 3" xfId="45967" xr:uid="{00000000-0005-0000-0000-000061440000}"/>
    <cellStyle name="Comma 4 50 3 3 3" xfId="22735" xr:uid="{00000000-0005-0000-0000-000062440000}"/>
    <cellStyle name="Comma 4 50 3 3 4" xfId="38227" xr:uid="{00000000-0005-0000-0000-000063440000}"/>
    <cellStyle name="Comma 4 50 3 4" xfId="11013" xr:uid="{00000000-0005-0000-0000-000064440000}"/>
    <cellStyle name="Comma 4 50 3 4 2" xfId="26605" xr:uid="{00000000-0005-0000-0000-000065440000}"/>
    <cellStyle name="Comma 4 50 3 4 3" xfId="42097" xr:uid="{00000000-0005-0000-0000-000066440000}"/>
    <cellStyle name="Comma 4 50 3 5" xfId="18865" xr:uid="{00000000-0005-0000-0000-000067440000}"/>
    <cellStyle name="Comma 4 50 3 6" xfId="34357" xr:uid="{00000000-0005-0000-0000-000068440000}"/>
    <cellStyle name="Comma 4 50 4" xfId="4246" xr:uid="{00000000-0005-0000-0000-000069440000}"/>
    <cellStyle name="Comma 4 50 4 2" xfId="8117" xr:uid="{00000000-0005-0000-0000-00006A440000}"/>
    <cellStyle name="Comma 4 50 4 2 2" xfId="15862" xr:uid="{00000000-0005-0000-0000-00006B440000}"/>
    <cellStyle name="Comma 4 50 4 2 2 2" xfId="31454" xr:uid="{00000000-0005-0000-0000-00006C440000}"/>
    <cellStyle name="Comma 4 50 4 2 2 3" xfId="46946" xr:uid="{00000000-0005-0000-0000-00006D440000}"/>
    <cellStyle name="Comma 4 50 4 2 3" xfId="23714" xr:uid="{00000000-0005-0000-0000-00006E440000}"/>
    <cellStyle name="Comma 4 50 4 2 4" xfId="39206" xr:uid="{00000000-0005-0000-0000-00006F440000}"/>
    <cellStyle name="Comma 4 50 4 3" xfId="11992" xr:uid="{00000000-0005-0000-0000-000070440000}"/>
    <cellStyle name="Comma 4 50 4 3 2" xfId="27584" xr:uid="{00000000-0005-0000-0000-000071440000}"/>
    <cellStyle name="Comma 4 50 4 3 3" xfId="43076" xr:uid="{00000000-0005-0000-0000-000072440000}"/>
    <cellStyle name="Comma 4 50 4 4" xfId="19844" xr:uid="{00000000-0005-0000-0000-000073440000}"/>
    <cellStyle name="Comma 4 50 4 5" xfId="35336" xr:uid="{00000000-0005-0000-0000-000074440000}"/>
    <cellStyle name="Comma 4 50 5" xfId="6190" xr:uid="{00000000-0005-0000-0000-000075440000}"/>
    <cellStyle name="Comma 4 50 5 2" xfId="13935" xr:uid="{00000000-0005-0000-0000-000076440000}"/>
    <cellStyle name="Comma 4 50 5 2 2" xfId="29527" xr:uid="{00000000-0005-0000-0000-000077440000}"/>
    <cellStyle name="Comma 4 50 5 2 3" xfId="45019" xr:uid="{00000000-0005-0000-0000-000078440000}"/>
    <cellStyle name="Comma 4 50 5 3" xfId="21787" xr:uid="{00000000-0005-0000-0000-000079440000}"/>
    <cellStyle name="Comma 4 50 5 4" xfId="37279" xr:uid="{00000000-0005-0000-0000-00007A440000}"/>
    <cellStyle name="Comma 4 50 6" xfId="10065" xr:uid="{00000000-0005-0000-0000-00007B440000}"/>
    <cellStyle name="Comma 4 50 6 2" xfId="25657" xr:uid="{00000000-0005-0000-0000-00007C440000}"/>
    <cellStyle name="Comma 4 50 6 3" xfId="41149" xr:uid="{00000000-0005-0000-0000-00007D440000}"/>
    <cellStyle name="Comma 4 50 7" xfId="17917" xr:uid="{00000000-0005-0000-0000-00007E440000}"/>
    <cellStyle name="Comma 4 50 8" xfId="33409" xr:uid="{00000000-0005-0000-0000-00007F440000}"/>
    <cellStyle name="Comma 4 51" xfId="2276" xr:uid="{00000000-0005-0000-0000-000080440000}"/>
    <cellStyle name="Comma 4 51 2" xfId="2592" xr:uid="{00000000-0005-0000-0000-000081440000}"/>
    <cellStyle name="Comma 4 51 2 2" xfId="3600" xr:uid="{00000000-0005-0000-0000-000082440000}"/>
    <cellStyle name="Comma 4 51 2 2 2" xfId="5539" xr:uid="{00000000-0005-0000-0000-000083440000}"/>
    <cellStyle name="Comma 4 51 2 2 2 2" xfId="9410" xr:uid="{00000000-0005-0000-0000-000084440000}"/>
    <cellStyle name="Comma 4 51 2 2 2 2 2" xfId="17155" xr:uid="{00000000-0005-0000-0000-000085440000}"/>
    <cellStyle name="Comma 4 51 2 2 2 2 2 2" xfId="32747" xr:uid="{00000000-0005-0000-0000-000086440000}"/>
    <cellStyle name="Comma 4 51 2 2 2 2 2 3" xfId="48239" xr:uid="{00000000-0005-0000-0000-000087440000}"/>
    <cellStyle name="Comma 4 51 2 2 2 2 3" xfId="25007" xr:uid="{00000000-0005-0000-0000-000088440000}"/>
    <cellStyle name="Comma 4 51 2 2 2 2 4" xfId="40499" xr:uid="{00000000-0005-0000-0000-000089440000}"/>
    <cellStyle name="Comma 4 51 2 2 2 3" xfId="13285" xr:uid="{00000000-0005-0000-0000-00008A440000}"/>
    <cellStyle name="Comma 4 51 2 2 2 3 2" xfId="28877" xr:uid="{00000000-0005-0000-0000-00008B440000}"/>
    <cellStyle name="Comma 4 51 2 2 2 3 3" xfId="44369" xr:uid="{00000000-0005-0000-0000-00008C440000}"/>
    <cellStyle name="Comma 4 51 2 2 2 4" xfId="21137" xr:uid="{00000000-0005-0000-0000-00008D440000}"/>
    <cellStyle name="Comma 4 51 2 2 2 5" xfId="36629" xr:uid="{00000000-0005-0000-0000-00008E440000}"/>
    <cellStyle name="Comma 4 51 2 2 3" xfId="7483" xr:uid="{00000000-0005-0000-0000-00008F440000}"/>
    <cellStyle name="Comma 4 51 2 2 3 2" xfId="15228" xr:uid="{00000000-0005-0000-0000-000090440000}"/>
    <cellStyle name="Comma 4 51 2 2 3 2 2" xfId="30820" xr:uid="{00000000-0005-0000-0000-000091440000}"/>
    <cellStyle name="Comma 4 51 2 2 3 2 3" xfId="46312" xr:uid="{00000000-0005-0000-0000-000092440000}"/>
    <cellStyle name="Comma 4 51 2 2 3 3" xfId="23080" xr:uid="{00000000-0005-0000-0000-000093440000}"/>
    <cellStyle name="Comma 4 51 2 2 3 4" xfId="38572" xr:uid="{00000000-0005-0000-0000-000094440000}"/>
    <cellStyle name="Comma 4 51 2 2 4" xfId="11358" xr:uid="{00000000-0005-0000-0000-000095440000}"/>
    <cellStyle name="Comma 4 51 2 2 4 2" xfId="26950" xr:uid="{00000000-0005-0000-0000-000096440000}"/>
    <cellStyle name="Comma 4 51 2 2 4 3" xfId="42442" xr:uid="{00000000-0005-0000-0000-000097440000}"/>
    <cellStyle name="Comma 4 51 2 2 5" xfId="19210" xr:uid="{00000000-0005-0000-0000-000098440000}"/>
    <cellStyle name="Comma 4 51 2 2 6" xfId="34702" xr:uid="{00000000-0005-0000-0000-000099440000}"/>
    <cellStyle name="Comma 4 51 2 3" xfId="4591" xr:uid="{00000000-0005-0000-0000-00009A440000}"/>
    <cellStyle name="Comma 4 51 2 3 2" xfId="8462" xr:uid="{00000000-0005-0000-0000-00009B440000}"/>
    <cellStyle name="Comma 4 51 2 3 2 2" xfId="16207" xr:uid="{00000000-0005-0000-0000-00009C440000}"/>
    <cellStyle name="Comma 4 51 2 3 2 2 2" xfId="31799" xr:uid="{00000000-0005-0000-0000-00009D440000}"/>
    <cellStyle name="Comma 4 51 2 3 2 2 3" xfId="47291" xr:uid="{00000000-0005-0000-0000-00009E440000}"/>
    <cellStyle name="Comma 4 51 2 3 2 3" xfId="24059" xr:uid="{00000000-0005-0000-0000-00009F440000}"/>
    <cellStyle name="Comma 4 51 2 3 2 4" xfId="39551" xr:uid="{00000000-0005-0000-0000-0000A0440000}"/>
    <cellStyle name="Comma 4 51 2 3 3" xfId="12337" xr:uid="{00000000-0005-0000-0000-0000A1440000}"/>
    <cellStyle name="Comma 4 51 2 3 3 2" xfId="27929" xr:uid="{00000000-0005-0000-0000-0000A2440000}"/>
    <cellStyle name="Comma 4 51 2 3 3 3" xfId="43421" xr:uid="{00000000-0005-0000-0000-0000A3440000}"/>
    <cellStyle name="Comma 4 51 2 3 4" xfId="20189" xr:uid="{00000000-0005-0000-0000-0000A4440000}"/>
    <cellStyle name="Comma 4 51 2 3 5" xfId="35681" xr:uid="{00000000-0005-0000-0000-0000A5440000}"/>
    <cellStyle name="Comma 4 51 2 4" xfId="6535" xr:uid="{00000000-0005-0000-0000-0000A6440000}"/>
    <cellStyle name="Comma 4 51 2 4 2" xfId="14280" xr:uid="{00000000-0005-0000-0000-0000A7440000}"/>
    <cellStyle name="Comma 4 51 2 4 2 2" xfId="29872" xr:uid="{00000000-0005-0000-0000-0000A8440000}"/>
    <cellStyle name="Comma 4 51 2 4 2 3" xfId="45364" xr:uid="{00000000-0005-0000-0000-0000A9440000}"/>
    <cellStyle name="Comma 4 51 2 4 3" xfId="22132" xr:uid="{00000000-0005-0000-0000-0000AA440000}"/>
    <cellStyle name="Comma 4 51 2 4 4" xfId="37624" xr:uid="{00000000-0005-0000-0000-0000AB440000}"/>
    <cellStyle name="Comma 4 51 2 5" xfId="10410" xr:uid="{00000000-0005-0000-0000-0000AC440000}"/>
    <cellStyle name="Comma 4 51 2 5 2" xfId="26002" xr:uid="{00000000-0005-0000-0000-0000AD440000}"/>
    <cellStyle name="Comma 4 51 2 5 3" xfId="41494" xr:uid="{00000000-0005-0000-0000-0000AE440000}"/>
    <cellStyle name="Comma 4 51 2 6" xfId="18262" xr:uid="{00000000-0005-0000-0000-0000AF440000}"/>
    <cellStyle name="Comma 4 51 2 7" xfId="33754" xr:uid="{00000000-0005-0000-0000-0000B0440000}"/>
    <cellStyle name="Comma 4 51 3" xfId="3291" xr:uid="{00000000-0005-0000-0000-0000B1440000}"/>
    <cellStyle name="Comma 4 51 3 2" xfId="5230" xr:uid="{00000000-0005-0000-0000-0000B2440000}"/>
    <cellStyle name="Comma 4 51 3 2 2" xfId="9101" xr:uid="{00000000-0005-0000-0000-0000B3440000}"/>
    <cellStyle name="Comma 4 51 3 2 2 2" xfId="16846" xr:uid="{00000000-0005-0000-0000-0000B4440000}"/>
    <cellStyle name="Comma 4 51 3 2 2 2 2" xfId="32438" xr:uid="{00000000-0005-0000-0000-0000B5440000}"/>
    <cellStyle name="Comma 4 51 3 2 2 2 3" xfId="47930" xr:uid="{00000000-0005-0000-0000-0000B6440000}"/>
    <cellStyle name="Comma 4 51 3 2 2 3" xfId="24698" xr:uid="{00000000-0005-0000-0000-0000B7440000}"/>
    <cellStyle name="Comma 4 51 3 2 2 4" xfId="40190" xr:uid="{00000000-0005-0000-0000-0000B8440000}"/>
    <cellStyle name="Comma 4 51 3 2 3" xfId="12976" xr:uid="{00000000-0005-0000-0000-0000B9440000}"/>
    <cellStyle name="Comma 4 51 3 2 3 2" xfId="28568" xr:uid="{00000000-0005-0000-0000-0000BA440000}"/>
    <cellStyle name="Comma 4 51 3 2 3 3" xfId="44060" xr:uid="{00000000-0005-0000-0000-0000BB440000}"/>
    <cellStyle name="Comma 4 51 3 2 4" xfId="20828" xr:uid="{00000000-0005-0000-0000-0000BC440000}"/>
    <cellStyle name="Comma 4 51 3 2 5" xfId="36320" xr:uid="{00000000-0005-0000-0000-0000BD440000}"/>
    <cellStyle name="Comma 4 51 3 3" xfId="7174" xr:uid="{00000000-0005-0000-0000-0000BE440000}"/>
    <cellStyle name="Comma 4 51 3 3 2" xfId="14919" xr:uid="{00000000-0005-0000-0000-0000BF440000}"/>
    <cellStyle name="Comma 4 51 3 3 2 2" xfId="30511" xr:uid="{00000000-0005-0000-0000-0000C0440000}"/>
    <cellStyle name="Comma 4 51 3 3 2 3" xfId="46003" xr:uid="{00000000-0005-0000-0000-0000C1440000}"/>
    <cellStyle name="Comma 4 51 3 3 3" xfId="22771" xr:uid="{00000000-0005-0000-0000-0000C2440000}"/>
    <cellStyle name="Comma 4 51 3 3 4" xfId="38263" xr:uid="{00000000-0005-0000-0000-0000C3440000}"/>
    <cellStyle name="Comma 4 51 3 4" xfId="11049" xr:uid="{00000000-0005-0000-0000-0000C4440000}"/>
    <cellStyle name="Comma 4 51 3 4 2" xfId="26641" xr:uid="{00000000-0005-0000-0000-0000C5440000}"/>
    <cellStyle name="Comma 4 51 3 4 3" xfId="42133" xr:uid="{00000000-0005-0000-0000-0000C6440000}"/>
    <cellStyle name="Comma 4 51 3 5" xfId="18901" xr:uid="{00000000-0005-0000-0000-0000C7440000}"/>
    <cellStyle name="Comma 4 51 3 6" xfId="34393" xr:uid="{00000000-0005-0000-0000-0000C8440000}"/>
    <cellStyle name="Comma 4 51 4" xfId="4282" xr:uid="{00000000-0005-0000-0000-0000C9440000}"/>
    <cellStyle name="Comma 4 51 4 2" xfId="8153" xr:uid="{00000000-0005-0000-0000-0000CA440000}"/>
    <cellStyle name="Comma 4 51 4 2 2" xfId="15898" xr:uid="{00000000-0005-0000-0000-0000CB440000}"/>
    <cellStyle name="Comma 4 51 4 2 2 2" xfId="31490" xr:uid="{00000000-0005-0000-0000-0000CC440000}"/>
    <cellStyle name="Comma 4 51 4 2 2 3" xfId="46982" xr:uid="{00000000-0005-0000-0000-0000CD440000}"/>
    <cellStyle name="Comma 4 51 4 2 3" xfId="23750" xr:uid="{00000000-0005-0000-0000-0000CE440000}"/>
    <cellStyle name="Comma 4 51 4 2 4" xfId="39242" xr:uid="{00000000-0005-0000-0000-0000CF440000}"/>
    <cellStyle name="Comma 4 51 4 3" xfId="12028" xr:uid="{00000000-0005-0000-0000-0000D0440000}"/>
    <cellStyle name="Comma 4 51 4 3 2" xfId="27620" xr:uid="{00000000-0005-0000-0000-0000D1440000}"/>
    <cellStyle name="Comma 4 51 4 3 3" xfId="43112" xr:uid="{00000000-0005-0000-0000-0000D2440000}"/>
    <cellStyle name="Comma 4 51 4 4" xfId="19880" xr:uid="{00000000-0005-0000-0000-0000D3440000}"/>
    <cellStyle name="Comma 4 51 4 5" xfId="35372" xr:uid="{00000000-0005-0000-0000-0000D4440000}"/>
    <cellStyle name="Comma 4 51 5" xfId="6226" xr:uid="{00000000-0005-0000-0000-0000D5440000}"/>
    <cellStyle name="Comma 4 51 5 2" xfId="13971" xr:uid="{00000000-0005-0000-0000-0000D6440000}"/>
    <cellStyle name="Comma 4 51 5 2 2" xfId="29563" xr:uid="{00000000-0005-0000-0000-0000D7440000}"/>
    <cellStyle name="Comma 4 51 5 2 3" xfId="45055" xr:uid="{00000000-0005-0000-0000-0000D8440000}"/>
    <cellStyle name="Comma 4 51 5 3" xfId="21823" xr:uid="{00000000-0005-0000-0000-0000D9440000}"/>
    <cellStyle name="Comma 4 51 5 4" xfId="37315" xr:uid="{00000000-0005-0000-0000-0000DA440000}"/>
    <cellStyle name="Comma 4 51 6" xfId="10101" xr:uid="{00000000-0005-0000-0000-0000DB440000}"/>
    <cellStyle name="Comma 4 51 6 2" xfId="25693" xr:uid="{00000000-0005-0000-0000-0000DC440000}"/>
    <cellStyle name="Comma 4 51 6 3" xfId="41185" xr:uid="{00000000-0005-0000-0000-0000DD440000}"/>
    <cellStyle name="Comma 4 51 7" xfId="17953" xr:uid="{00000000-0005-0000-0000-0000DE440000}"/>
    <cellStyle name="Comma 4 51 8" xfId="33445" xr:uid="{00000000-0005-0000-0000-0000DF440000}"/>
    <cellStyle name="Comma 4 52" xfId="2313" xr:uid="{00000000-0005-0000-0000-0000E0440000}"/>
    <cellStyle name="Comma 4 52 2" xfId="2628" xr:uid="{00000000-0005-0000-0000-0000E1440000}"/>
    <cellStyle name="Comma 4 52 2 2" xfId="3636" xr:uid="{00000000-0005-0000-0000-0000E2440000}"/>
    <cellStyle name="Comma 4 52 2 2 2" xfId="5575" xr:uid="{00000000-0005-0000-0000-0000E3440000}"/>
    <cellStyle name="Comma 4 52 2 2 2 2" xfId="9446" xr:uid="{00000000-0005-0000-0000-0000E4440000}"/>
    <cellStyle name="Comma 4 52 2 2 2 2 2" xfId="17191" xr:uid="{00000000-0005-0000-0000-0000E5440000}"/>
    <cellStyle name="Comma 4 52 2 2 2 2 2 2" xfId="32783" xr:uid="{00000000-0005-0000-0000-0000E6440000}"/>
    <cellStyle name="Comma 4 52 2 2 2 2 2 3" xfId="48275" xr:uid="{00000000-0005-0000-0000-0000E7440000}"/>
    <cellStyle name="Comma 4 52 2 2 2 2 3" xfId="25043" xr:uid="{00000000-0005-0000-0000-0000E8440000}"/>
    <cellStyle name="Comma 4 52 2 2 2 2 4" xfId="40535" xr:uid="{00000000-0005-0000-0000-0000E9440000}"/>
    <cellStyle name="Comma 4 52 2 2 2 3" xfId="13321" xr:uid="{00000000-0005-0000-0000-0000EA440000}"/>
    <cellStyle name="Comma 4 52 2 2 2 3 2" xfId="28913" xr:uid="{00000000-0005-0000-0000-0000EB440000}"/>
    <cellStyle name="Comma 4 52 2 2 2 3 3" xfId="44405" xr:uid="{00000000-0005-0000-0000-0000EC440000}"/>
    <cellStyle name="Comma 4 52 2 2 2 4" xfId="21173" xr:uid="{00000000-0005-0000-0000-0000ED440000}"/>
    <cellStyle name="Comma 4 52 2 2 2 5" xfId="36665" xr:uid="{00000000-0005-0000-0000-0000EE440000}"/>
    <cellStyle name="Comma 4 52 2 2 3" xfId="7519" xr:uid="{00000000-0005-0000-0000-0000EF440000}"/>
    <cellStyle name="Comma 4 52 2 2 3 2" xfId="15264" xr:uid="{00000000-0005-0000-0000-0000F0440000}"/>
    <cellStyle name="Comma 4 52 2 2 3 2 2" xfId="30856" xr:uid="{00000000-0005-0000-0000-0000F1440000}"/>
    <cellStyle name="Comma 4 52 2 2 3 2 3" xfId="46348" xr:uid="{00000000-0005-0000-0000-0000F2440000}"/>
    <cellStyle name="Comma 4 52 2 2 3 3" xfId="23116" xr:uid="{00000000-0005-0000-0000-0000F3440000}"/>
    <cellStyle name="Comma 4 52 2 2 3 4" xfId="38608" xr:uid="{00000000-0005-0000-0000-0000F4440000}"/>
    <cellStyle name="Comma 4 52 2 2 4" xfId="11394" xr:uid="{00000000-0005-0000-0000-0000F5440000}"/>
    <cellStyle name="Comma 4 52 2 2 4 2" xfId="26986" xr:uid="{00000000-0005-0000-0000-0000F6440000}"/>
    <cellStyle name="Comma 4 52 2 2 4 3" xfId="42478" xr:uid="{00000000-0005-0000-0000-0000F7440000}"/>
    <cellStyle name="Comma 4 52 2 2 5" xfId="19246" xr:uid="{00000000-0005-0000-0000-0000F8440000}"/>
    <cellStyle name="Comma 4 52 2 2 6" xfId="34738" xr:uid="{00000000-0005-0000-0000-0000F9440000}"/>
    <cellStyle name="Comma 4 52 2 3" xfId="4627" xr:uid="{00000000-0005-0000-0000-0000FA440000}"/>
    <cellStyle name="Comma 4 52 2 3 2" xfId="8498" xr:uid="{00000000-0005-0000-0000-0000FB440000}"/>
    <cellStyle name="Comma 4 52 2 3 2 2" xfId="16243" xr:uid="{00000000-0005-0000-0000-0000FC440000}"/>
    <cellStyle name="Comma 4 52 2 3 2 2 2" xfId="31835" xr:uid="{00000000-0005-0000-0000-0000FD440000}"/>
    <cellStyle name="Comma 4 52 2 3 2 2 3" xfId="47327" xr:uid="{00000000-0005-0000-0000-0000FE440000}"/>
    <cellStyle name="Comma 4 52 2 3 2 3" xfId="24095" xr:uid="{00000000-0005-0000-0000-0000FF440000}"/>
    <cellStyle name="Comma 4 52 2 3 2 4" xfId="39587" xr:uid="{00000000-0005-0000-0000-000000450000}"/>
    <cellStyle name="Comma 4 52 2 3 3" xfId="12373" xr:uid="{00000000-0005-0000-0000-000001450000}"/>
    <cellStyle name="Comma 4 52 2 3 3 2" xfId="27965" xr:uid="{00000000-0005-0000-0000-000002450000}"/>
    <cellStyle name="Comma 4 52 2 3 3 3" xfId="43457" xr:uid="{00000000-0005-0000-0000-000003450000}"/>
    <cellStyle name="Comma 4 52 2 3 4" xfId="20225" xr:uid="{00000000-0005-0000-0000-000004450000}"/>
    <cellStyle name="Comma 4 52 2 3 5" xfId="35717" xr:uid="{00000000-0005-0000-0000-000005450000}"/>
    <cellStyle name="Comma 4 52 2 4" xfId="6571" xr:uid="{00000000-0005-0000-0000-000006450000}"/>
    <cellStyle name="Comma 4 52 2 4 2" xfId="14316" xr:uid="{00000000-0005-0000-0000-000007450000}"/>
    <cellStyle name="Comma 4 52 2 4 2 2" xfId="29908" xr:uid="{00000000-0005-0000-0000-000008450000}"/>
    <cellStyle name="Comma 4 52 2 4 2 3" xfId="45400" xr:uid="{00000000-0005-0000-0000-000009450000}"/>
    <cellStyle name="Comma 4 52 2 4 3" xfId="22168" xr:uid="{00000000-0005-0000-0000-00000A450000}"/>
    <cellStyle name="Comma 4 52 2 4 4" xfId="37660" xr:uid="{00000000-0005-0000-0000-00000B450000}"/>
    <cellStyle name="Comma 4 52 2 5" xfId="10446" xr:uid="{00000000-0005-0000-0000-00000C450000}"/>
    <cellStyle name="Comma 4 52 2 5 2" xfId="26038" xr:uid="{00000000-0005-0000-0000-00000D450000}"/>
    <cellStyle name="Comma 4 52 2 5 3" xfId="41530" xr:uid="{00000000-0005-0000-0000-00000E450000}"/>
    <cellStyle name="Comma 4 52 2 6" xfId="18298" xr:uid="{00000000-0005-0000-0000-00000F450000}"/>
    <cellStyle name="Comma 4 52 2 7" xfId="33790" xr:uid="{00000000-0005-0000-0000-000010450000}"/>
    <cellStyle name="Comma 4 52 3" xfId="3327" xr:uid="{00000000-0005-0000-0000-000011450000}"/>
    <cellStyle name="Comma 4 52 3 2" xfId="5266" xr:uid="{00000000-0005-0000-0000-000012450000}"/>
    <cellStyle name="Comma 4 52 3 2 2" xfId="9137" xr:uid="{00000000-0005-0000-0000-000013450000}"/>
    <cellStyle name="Comma 4 52 3 2 2 2" xfId="16882" xr:uid="{00000000-0005-0000-0000-000014450000}"/>
    <cellStyle name="Comma 4 52 3 2 2 2 2" xfId="32474" xr:uid="{00000000-0005-0000-0000-000015450000}"/>
    <cellStyle name="Comma 4 52 3 2 2 2 3" xfId="47966" xr:uid="{00000000-0005-0000-0000-000016450000}"/>
    <cellStyle name="Comma 4 52 3 2 2 3" xfId="24734" xr:uid="{00000000-0005-0000-0000-000017450000}"/>
    <cellStyle name="Comma 4 52 3 2 2 4" xfId="40226" xr:uid="{00000000-0005-0000-0000-000018450000}"/>
    <cellStyle name="Comma 4 52 3 2 3" xfId="13012" xr:uid="{00000000-0005-0000-0000-000019450000}"/>
    <cellStyle name="Comma 4 52 3 2 3 2" xfId="28604" xr:uid="{00000000-0005-0000-0000-00001A450000}"/>
    <cellStyle name="Comma 4 52 3 2 3 3" xfId="44096" xr:uid="{00000000-0005-0000-0000-00001B450000}"/>
    <cellStyle name="Comma 4 52 3 2 4" xfId="20864" xr:uid="{00000000-0005-0000-0000-00001C450000}"/>
    <cellStyle name="Comma 4 52 3 2 5" xfId="36356" xr:uid="{00000000-0005-0000-0000-00001D450000}"/>
    <cellStyle name="Comma 4 52 3 3" xfId="7210" xr:uid="{00000000-0005-0000-0000-00001E450000}"/>
    <cellStyle name="Comma 4 52 3 3 2" xfId="14955" xr:uid="{00000000-0005-0000-0000-00001F450000}"/>
    <cellStyle name="Comma 4 52 3 3 2 2" xfId="30547" xr:uid="{00000000-0005-0000-0000-000020450000}"/>
    <cellStyle name="Comma 4 52 3 3 2 3" xfId="46039" xr:uid="{00000000-0005-0000-0000-000021450000}"/>
    <cellStyle name="Comma 4 52 3 3 3" xfId="22807" xr:uid="{00000000-0005-0000-0000-000022450000}"/>
    <cellStyle name="Comma 4 52 3 3 4" xfId="38299" xr:uid="{00000000-0005-0000-0000-000023450000}"/>
    <cellStyle name="Comma 4 52 3 4" xfId="11085" xr:uid="{00000000-0005-0000-0000-000024450000}"/>
    <cellStyle name="Comma 4 52 3 4 2" xfId="26677" xr:uid="{00000000-0005-0000-0000-000025450000}"/>
    <cellStyle name="Comma 4 52 3 4 3" xfId="42169" xr:uid="{00000000-0005-0000-0000-000026450000}"/>
    <cellStyle name="Comma 4 52 3 5" xfId="18937" xr:uid="{00000000-0005-0000-0000-000027450000}"/>
    <cellStyle name="Comma 4 52 3 6" xfId="34429" xr:uid="{00000000-0005-0000-0000-000028450000}"/>
    <cellStyle name="Comma 4 52 4" xfId="4318" xr:uid="{00000000-0005-0000-0000-000029450000}"/>
    <cellStyle name="Comma 4 52 4 2" xfId="8189" xr:uid="{00000000-0005-0000-0000-00002A450000}"/>
    <cellStyle name="Comma 4 52 4 2 2" xfId="15934" xr:uid="{00000000-0005-0000-0000-00002B450000}"/>
    <cellStyle name="Comma 4 52 4 2 2 2" xfId="31526" xr:uid="{00000000-0005-0000-0000-00002C450000}"/>
    <cellStyle name="Comma 4 52 4 2 2 3" xfId="47018" xr:uid="{00000000-0005-0000-0000-00002D450000}"/>
    <cellStyle name="Comma 4 52 4 2 3" xfId="23786" xr:uid="{00000000-0005-0000-0000-00002E450000}"/>
    <cellStyle name="Comma 4 52 4 2 4" xfId="39278" xr:uid="{00000000-0005-0000-0000-00002F450000}"/>
    <cellStyle name="Comma 4 52 4 3" xfId="12064" xr:uid="{00000000-0005-0000-0000-000030450000}"/>
    <cellStyle name="Comma 4 52 4 3 2" xfId="27656" xr:uid="{00000000-0005-0000-0000-000031450000}"/>
    <cellStyle name="Comma 4 52 4 3 3" xfId="43148" xr:uid="{00000000-0005-0000-0000-000032450000}"/>
    <cellStyle name="Comma 4 52 4 4" xfId="19916" xr:uid="{00000000-0005-0000-0000-000033450000}"/>
    <cellStyle name="Comma 4 52 4 5" xfId="35408" xr:uid="{00000000-0005-0000-0000-000034450000}"/>
    <cellStyle name="Comma 4 52 5" xfId="6262" xr:uid="{00000000-0005-0000-0000-000035450000}"/>
    <cellStyle name="Comma 4 52 5 2" xfId="14007" xr:uid="{00000000-0005-0000-0000-000036450000}"/>
    <cellStyle name="Comma 4 52 5 2 2" xfId="29599" xr:uid="{00000000-0005-0000-0000-000037450000}"/>
    <cellStyle name="Comma 4 52 5 2 3" xfId="45091" xr:uid="{00000000-0005-0000-0000-000038450000}"/>
    <cellStyle name="Comma 4 52 5 3" xfId="21859" xr:uid="{00000000-0005-0000-0000-000039450000}"/>
    <cellStyle name="Comma 4 52 5 4" xfId="37351" xr:uid="{00000000-0005-0000-0000-00003A450000}"/>
    <cellStyle name="Comma 4 52 6" xfId="10137" xr:uid="{00000000-0005-0000-0000-00003B450000}"/>
    <cellStyle name="Comma 4 52 6 2" xfId="25729" xr:uid="{00000000-0005-0000-0000-00003C450000}"/>
    <cellStyle name="Comma 4 52 6 3" xfId="41221" xr:uid="{00000000-0005-0000-0000-00003D450000}"/>
    <cellStyle name="Comma 4 52 7" xfId="17989" xr:uid="{00000000-0005-0000-0000-00003E450000}"/>
    <cellStyle name="Comma 4 52 8" xfId="33481" xr:uid="{00000000-0005-0000-0000-00003F450000}"/>
    <cellStyle name="Comma 4 53" xfId="2351" xr:uid="{00000000-0005-0000-0000-000040450000}"/>
    <cellStyle name="Comma 4 53 2" xfId="2664" xr:uid="{00000000-0005-0000-0000-000041450000}"/>
    <cellStyle name="Comma 4 53 2 2" xfId="3672" xr:uid="{00000000-0005-0000-0000-000042450000}"/>
    <cellStyle name="Comma 4 53 2 2 2" xfId="5611" xr:uid="{00000000-0005-0000-0000-000043450000}"/>
    <cellStyle name="Comma 4 53 2 2 2 2" xfId="9482" xr:uid="{00000000-0005-0000-0000-000044450000}"/>
    <cellStyle name="Comma 4 53 2 2 2 2 2" xfId="17227" xr:uid="{00000000-0005-0000-0000-000045450000}"/>
    <cellStyle name="Comma 4 53 2 2 2 2 2 2" xfId="32819" xr:uid="{00000000-0005-0000-0000-000046450000}"/>
    <cellStyle name="Comma 4 53 2 2 2 2 2 3" xfId="48311" xr:uid="{00000000-0005-0000-0000-000047450000}"/>
    <cellStyle name="Comma 4 53 2 2 2 2 3" xfId="25079" xr:uid="{00000000-0005-0000-0000-000048450000}"/>
    <cellStyle name="Comma 4 53 2 2 2 2 4" xfId="40571" xr:uid="{00000000-0005-0000-0000-000049450000}"/>
    <cellStyle name="Comma 4 53 2 2 2 3" xfId="13357" xr:uid="{00000000-0005-0000-0000-00004A450000}"/>
    <cellStyle name="Comma 4 53 2 2 2 3 2" xfId="28949" xr:uid="{00000000-0005-0000-0000-00004B450000}"/>
    <cellStyle name="Comma 4 53 2 2 2 3 3" xfId="44441" xr:uid="{00000000-0005-0000-0000-00004C450000}"/>
    <cellStyle name="Comma 4 53 2 2 2 4" xfId="21209" xr:uid="{00000000-0005-0000-0000-00004D450000}"/>
    <cellStyle name="Comma 4 53 2 2 2 5" xfId="36701" xr:uid="{00000000-0005-0000-0000-00004E450000}"/>
    <cellStyle name="Comma 4 53 2 2 3" xfId="7555" xr:uid="{00000000-0005-0000-0000-00004F450000}"/>
    <cellStyle name="Comma 4 53 2 2 3 2" xfId="15300" xr:uid="{00000000-0005-0000-0000-000050450000}"/>
    <cellStyle name="Comma 4 53 2 2 3 2 2" xfId="30892" xr:uid="{00000000-0005-0000-0000-000051450000}"/>
    <cellStyle name="Comma 4 53 2 2 3 2 3" xfId="46384" xr:uid="{00000000-0005-0000-0000-000052450000}"/>
    <cellStyle name="Comma 4 53 2 2 3 3" xfId="23152" xr:uid="{00000000-0005-0000-0000-000053450000}"/>
    <cellStyle name="Comma 4 53 2 2 3 4" xfId="38644" xr:uid="{00000000-0005-0000-0000-000054450000}"/>
    <cellStyle name="Comma 4 53 2 2 4" xfId="11430" xr:uid="{00000000-0005-0000-0000-000055450000}"/>
    <cellStyle name="Comma 4 53 2 2 4 2" xfId="27022" xr:uid="{00000000-0005-0000-0000-000056450000}"/>
    <cellStyle name="Comma 4 53 2 2 4 3" xfId="42514" xr:uid="{00000000-0005-0000-0000-000057450000}"/>
    <cellStyle name="Comma 4 53 2 2 5" xfId="19282" xr:uid="{00000000-0005-0000-0000-000058450000}"/>
    <cellStyle name="Comma 4 53 2 2 6" xfId="34774" xr:uid="{00000000-0005-0000-0000-000059450000}"/>
    <cellStyle name="Comma 4 53 2 3" xfId="4663" xr:uid="{00000000-0005-0000-0000-00005A450000}"/>
    <cellStyle name="Comma 4 53 2 3 2" xfId="8534" xr:uid="{00000000-0005-0000-0000-00005B450000}"/>
    <cellStyle name="Comma 4 53 2 3 2 2" xfId="16279" xr:uid="{00000000-0005-0000-0000-00005C450000}"/>
    <cellStyle name="Comma 4 53 2 3 2 2 2" xfId="31871" xr:uid="{00000000-0005-0000-0000-00005D450000}"/>
    <cellStyle name="Comma 4 53 2 3 2 2 3" xfId="47363" xr:uid="{00000000-0005-0000-0000-00005E450000}"/>
    <cellStyle name="Comma 4 53 2 3 2 3" xfId="24131" xr:uid="{00000000-0005-0000-0000-00005F450000}"/>
    <cellStyle name="Comma 4 53 2 3 2 4" xfId="39623" xr:uid="{00000000-0005-0000-0000-000060450000}"/>
    <cellStyle name="Comma 4 53 2 3 3" xfId="12409" xr:uid="{00000000-0005-0000-0000-000061450000}"/>
    <cellStyle name="Comma 4 53 2 3 3 2" xfId="28001" xr:uid="{00000000-0005-0000-0000-000062450000}"/>
    <cellStyle name="Comma 4 53 2 3 3 3" xfId="43493" xr:uid="{00000000-0005-0000-0000-000063450000}"/>
    <cellStyle name="Comma 4 53 2 3 4" xfId="20261" xr:uid="{00000000-0005-0000-0000-000064450000}"/>
    <cellStyle name="Comma 4 53 2 3 5" xfId="35753" xr:uid="{00000000-0005-0000-0000-000065450000}"/>
    <cellStyle name="Comma 4 53 2 4" xfId="6607" xr:uid="{00000000-0005-0000-0000-000066450000}"/>
    <cellStyle name="Comma 4 53 2 4 2" xfId="14352" xr:uid="{00000000-0005-0000-0000-000067450000}"/>
    <cellStyle name="Comma 4 53 2 4 2 2" xfId="29944" xr:uid="{00000000-0005-0000-0000-000068450000}"/>
    <cellStyle name="Comma 4 53 2 4 2 3" xfId="45436" xr:uid="{00000000-0005-0000-0000-000069450000}"/>
    <cellStyle name="Comma 4 53 2 4 3" xfId="22204" xr:uid="{00000000-0005-0000-0000-00006A450000}"/>
    <cellStyle name="Comma 4 53 2 4 4" xfId="37696" xr:uid="{00000000-0005-0000-0000-00006B450000}"/>
    <cellStyle name="Comma 4 53 2 5" xfId="10482" xr:uid="{00000000-0005-0000-0000-00006C450000}"/>
    <cellStyle name="Comma 4 53 2 5 2" xfId="26074" xr:uid="{00000000-0005-0000-0000-00006D450000}"/>
    <cellStyle name="Comma 4 53 2 5 3" xfId="41566" xr:uid="{00000000-0005-0000-0000-00006E450000}"/>
    <cellStyle name="Comma 4 53 2 6" xfId="18334" xr:uid="{00000000-0005-0000-0000-00006F450000}"/>
    <cellStyle name="Comma 4 53 2 7" xfId="33826" xr:uid="{00000000-0005-0000-0000-000070450000}"/>
    <cellStyle name="Comma 4 53 3" xfId="3363" xr:uid="{00000000-0005-0000-0000-000071450000}"/>
    <cellStyle name="Comma 4 53 3 2" xfId="5302" xr:uid="{00000000-0005-0000-0000-000072450000}"/>
    <cellStyle name="Comma 4 53 3 2 2" xfId="9173" xr:uid="{00000000-0005-0000-0000-000073450000}"/>
    <cellStyle name="Comma 4 53 3 2 2 2" xfId="16918" xr:uid="{00000000-0005-0000-0000-000074450000}"/>
    <cellStyle name="Comma 4 53 3 2 2 2 2" xfId="32510" xr:uid="{00000000-0005-0000-0000-000075450000}"/>
    <cellStyle name="Comma 4 53 3 2 2 2 3" xfId="48002" xr:uid="{00000000-0005-0000-0000-000076450000}"/>
    <cellStyle name="Comma 4 53 3 2 2 3" xfId="24770" xr:uid="{00000000-0005-0000-0000-000077450000}"/>
    <cellStyle name="Comma 4 53 3 2 2 4" xfId="40262" xr:uid="{00000000-0005-0000-0000-000078450000}"/>
    <cellStyle name="Comma 4 53 3 2 3" xfId="13048" xr:uid="{00000000-0005-0000-0000-000079450000}"/>
    <cellStyle name="Comma 4 53 3 2 3 2" xfId="28640" xr:uid="{00000000-0005-0000-0000-00007A450000}"/>
    <cellStyle name="Comma 4 53 3 2 3 3" xfId="44132" xr:uid="{00000000-0005-0000-0000-00007B450000}"/>
    <cellStyle name="Comma 4 53 3 2 4" xfId="20900" xr:uid="{00000000-0005-0000-0000-00007C450000}"/>
    <cellStyle name="Comma 4 53 3 2 5" xfId="36392" xr:uid="{00000000-0005-0000-0000-00007D450000}"/>
    <cellStyle name="Comma 4 53 3 3" xfId="7246" xr:uid="{00000000-0005-0000-0000-00007E450000}"/>
    <cellStyle name="Comma 4 53 3 3 2" xfId="14991" xr:uid="{00000000-0005-0000-0000-00007F450000}"/>
    <cellStyle name="Comma 4 53 3 3 2 2" xfId="30583" xr:uid="{00000000-0005-0000-0000-000080450000}"/>
    <cellStyle name="Comma 4 53 3 3 2 3" xfId="46075" xr:uid="{00000000-0005-0000-0000-000081450000}"/>
    <cellStyle name="Comma 4 53 3 3 3" xfId="22843" xr:uid="{00000000-0005-0000-0000-000082450000}"/>
    <cellStyle name="Comma 4 53 3 3 4" xfId="38335" xr:uid="{00000000-0005-0000-0000-000083450000}"/>
    <cellStyle name="Comma 4 53 3 4" xfId="11121" xr:uid="{00000000-0005-0000-0000-000084450000}"/>
    <cellStyle name="Comma 4 53 3 4 2" xfId="26713" xr:uid="{00000000-0005-0000-0000-000085450000}"/>
    <cellStyle name="Comma 4 53 3 4 3" xfId="42205" xr:uid="{00000000-0005-0000-0000-000086450000}"/>
    <cellStyle name="Comma 4 53 3 5" xfId="18973" xr:uid="{00000000-0005-0000-0000-000087450000}"/>
    <cellStyle name="Comma 4 53 3 6" xfId="34465" xr:uid="{00000000-0005-0000-0000-000088450000}"/>
    <cellStyle name="Comma 4 53 4" xfId="4354" xr:uid="{00000000-0005-0000-0000-000089450000}"/>
    <cellStyle name="Comma 4 53 4 2" xfId="8225" xr:uid="{00000000-0005-0000-0000-00008A450000}"/>
    <cellStyle name="Comma 4 53 4 2 2" xfId="15970" xr:uid="{00000000-0005-0000-0000-00008B450000}"/>
    <cellStyle name="Comma 4 53 4 2 2 2" xfId="31562" xr:uid="{00000000-0005-0000-0000-00008C450000}"/>
    <cellStyle name="Comma 4 53 4 2 2 3" xfId="47054" xr:uid="{00000000-0005-0000-0000-00008D450000}"/>
    <cellStyle name="Comma 4 53 4 2 3" xfId="23822" xr:uid="{00000000-0005-0000-0000-00008E450000}"/>
    <cellStyle name="Comma 4 53 4 2 4" xfId="39314" xr:uid="{00000000-0005-0000-0000-00008F450000}"/>
    <cellStyle name="Comma 4 53 4 3" xfId="12100" xr:uid="{00000000-0005-0000-0000-000090450000}"/>
    <cellStyle name="Comma 4 53 4 3 2" xfId="27692" xr:uid="{00000000-0005-0000-0000-000091450000}"/>
    <cellStyle name="Comma 4 53 4 3 3" xfId="43184" xr:uid="{00000000-0005-0000-0000-000092450000}"/>
    <cellStyle name="Comma 4 53 4 4" xfId="19952" xr:uid="{00000000-0005-0000-0000-000093450000}"/>
    <cellStyle name="Comma 4 53 4 5" xfId="35444" xr:uid="{00000000-0005-0000-0000-000094450000}"/>
    <cellStyle name="Comma 4 53 5" xfId="6298" xr:uid="{00000000-0005-0000-0000-000095450000}"/>
    <cellStyle name="Comma 4 53 5 2" xfId="14043" xr:uid="{00000000-0005-0000-0000-000096450000}"/>
    <cellStyle name="Comma 4 53 5 2 2" xfId="29635" xr:uid="{00000000-0005-0000-0000-000097450000}"/>
    <cellStyle name="Comma 4 53 5 2 3" xfId="45127" xr:uid="{00000000-0005-0000-0000-000098450000}"/>
    <cellStyle name="Comma 4 53 5 3" xfId="21895" xr:uid="{00000000-0005-0000-0000-000099450000}"/>
    <cellStyle name="Comma 4 53 5 4" xfId="37387" xr:uid="{00000000-0005-0000-0000-00009A450000}"/>
    <cellStyle name="Comma 4 53 6" xfId="10173" xr:uid="{00000000-0005-0000-0000-00009B450000}"/>
    <cellStyle name="Comma 4 53 6 2" xfId="25765" xr:uid="{00000000-0005-0000-0000-00009C450000}"/>
    <cellStyle name="Comma 4 53 6 3" xfId="41257" xr:uid="{00000000-0005-0000-0000-00009D450000}"/>
    <cellStyle name="Comma 4 53 7" xfId="18025" xr:uid="{00000000-0005-0000-0000-00009E450000}"/>
    <cellStyle name="Comma 4 53 8" xfId="33517" xr:uid="{00000000-0005-0000-0000-00009F450000}"/>
    <cellStyle name="Comma 4 54" xfId="2388" xr:uid="{00000000-0005-0000-0000-0000A0450000}"/>
    <cellStyle name="Comma 4 54 2" xfId="2700" xr:uid="{00000000-0005-0000-0000-0000A1450000}"/>
    <cellStyle name="Comma 4 54 2 2" xfId="3708" xr:uid="{00000000-0005-0000-0000-0000A2450000}"/>
    <cellStyle name="Comma 4 54 2 2 2" xfId="5647" xr:uid="{00000000-0005-0000-0000-0000A3450000}"/>
    <cellStyle name="Comma 4 54 2 2 2 2" xfId="9518" xr:uid="{00000000-0005-0000-0000-0000A4450000}"/>
    <cellStyle name="Comma 4 54 2 2 2 2 2" xfId="17263" xr:uid="{00000000-0005-0000-0000-0000A5450000}"/>
    <cellStyle name="Comma 4 54 2 2 2 2 2 2" xfId="32855" xr:uid="{00000000-0005-0000-0000-0000A6450000}"/>
    <cellStyle name="Comma 4 54 2 2 2 2 2 3" xfId="48347" xr:uid="{00000000-0005-0000-0000-0000A7450000}"/>
    <cellStyle name="Comma 4 54 2 2 2 2 3" xfId="25115" xr:uid="{00000000-0005-0000-0000-0000A8450000}"/>
    <cellStyle name="Comma 4 54 2 2 2 2 4" xfId="40607" xr:uid="{00000000-0005-0000-0000-0000A9450000}"/>
    <cellStyle name="Comma 4 54 2 2 2 3" xfId="13393" xr:uid="{00000000-0005-0000-0000-0000AA450000}"/>
    <cellStyle name="Comma 4 54 2 2 2 3 2" xfId="28985" xr:uid="{00000000-0005-0000-0000-0000AB450000}"/>
    <cellStyle name="Comma 4 54 2 2 2 3 3" xfId="44477" xr:uid="{00000000-0005-0000-0000-0000AC450000}"/>
    <cellStyle name="Comma 4 54 2 2 2 4" xfId="21245" xr:uid="{00000000-0005-0000-0000-0000AD450000}"/>
    <cellStyle name="Comma 4 54 2 2 2 5" xfId="36737" xr:uid="{00000000-0005-0000-0000-0000AE450000}"/>
    <cellStyle name="Comma 4 54 2 2 3" xfId="7591" xr:uid="{00000000-0005-0000-0000-0000AF450000}"/>
    <cellStyle name="Comma 4 54 2 2 3 2" xfId="15336" xr:uid="{00000000-0005-0000-0000-0000B0450000}"/>
    <cellStyle name="Comma 4 54 2 2 3 2 2" xfId="30928" xr:uid="{00000000-0005-0000-0000-0000B1450000}"/>
    <cellStyle name="Comma 4 54 2 2 3 2 3" xfId="46420" xr:uid="{00000000-0005-0000-0000-0000B2450000}"/>
    <cellStyle name="Comma 4 54 2 2 3 3" xfId="23188" xr:uid="{00000000-0005-0000-0000-0000B3450000}"/>
    <cellStyle name="Comma 4 54 2 2 3 4" xfId="38680" xr:uid="{00000000-0005-0000-0000-0000B4450000}"/>
    <cellStyle name="Comma 4 54 2 2 4" xfId="11466" xr:uid="{00000000-0005-0000-0000-0000B5450000}"/>
    <cellStyle name="Comma 4 54 2 2 4 2" xfId="27058" xr:uid="{00000000-0005-0000-0000-0000B6450000}"/>
    <cellStyle name="Comma 4 54 2 2 4 3" xfId="42550" xr:uid="{00000000-0005-0000-0000-0000B7450000}"/>
    <cellStyle name="Comma 4 54 2 2 5" xfId="19318" xr:uid="{00000000-0005-0000-0000-0000B8450000}"/>
    <cellStyle name="Comma 4 54 2 2 6" xfId="34810" xr:uid="{00000000-0005-0000-0000-0000B9450000}"/>
    <cellStyle name="Comma 4 54 2 3" xfId="4699" xr:uid="{00000000-0005-0000-0000-0000BA450000}"/>
    <cellStyle name="Comma 4 54 2 3 2" xfId="8570" xr:uid="{00000000-0005-0000-0000-0000BB450000}"/>
    <cellStyle name="Comma 4 54 2 3 2 2" xfId="16315" xr:uid="{00000000-0005-0000-0000-0000BC450000}"/>
    <cellStyle name="Comma 4 54 2 3 2 2 2" xfId="31907" xr:uid="{00000000-0005-0000-0000-0000BD450000}"/>
    <cellStyle name="Comma 4 54 2 3 2 2 3" xfId="47399" xr:uid="{00000000-0005-0000-0000-0000BE450000}"/>
    <cellStyle name="Comma 4 54 2 3 2 3" xfId="24167" xr:uid="{00000000-0005-0000-0000-0000BF450000}"/>
    <cellStyle name="Comma 4 54 2 3 2 4" xfId="39659" xr:uid="{00000000-0005-0000-0000-0000C0450000}"/>
    <cellStyle name="Comma 4 54 2 3 3" xfId="12445" xr:uid="{00000000-0005-0000-0000-0000C1450000}"/>
    <cellStyle name="Comma 4 54 2 3 3 2" xfId="28037" xr:uid="{00000000-0005-0000-0000-0000C2450000}"/>
    <cellStyle name="Comma 4 54 2 3 3 3" xfId="43529" xr:uid="{00000000-0005-0000-0000-0000C3450000}"/>
    <cellStyle name="Comma 4 54 2 3 4" xfId="20297" xr:uid="{00000000-0005-0000-0000-0000C4450000}"/>
    <cellStyle name="Comma 4 54 2 3 5" xfId="35789" xr:uid="{00000000-0005-0000-0000-0000C5450000}"/>
    <cellStyle name="Comma 4 54 2 4" xfId="6643" xr:uid="{00000000-0005-0000-0000-0000C6450000}"/>
    <cellStyle name="Comma 4 54 2 4 2" xfId="14388" xr:uid="{00000000-0005-0000-0000-0000C7450000}"/>
    <cellStyle name="Comma 4 54 2 4 2 2" xfId="29980" xr:uid="{00000000-0005-0000-0000-0000C8450000}"/>
    <cellStyle name="Comma 4 54 2 4 2 3" xfId="45472" xr:uid="{00000000-0005-0000-0000-0000C9450000}"/>
    <cellStyle name="Comma 4 54 2 4 3" xfId="22240" xr:uid="{00000000-0005-0000-0000-0000CA450000}"/>
    <cellStyle name="Comma 4 54 2 4 4" xfId="37732" xr:uid="{00000000-0005-0000-0000-0000CB450000}"/>
    <cellStyle name="Comma 4 54 2 5" xfId="10518" xr:uid="{00000000-0005-0000-0000-0000CC450000}"/>
    <cellStyle name="Comma 4 54 2 5 2" xfId="26110" xr:uid="{00000000-0005-0000-0000-0000CD450000}"/>
    <cellStyle name="Comma 4 54 2 5 3" xfId="41602" xr:uid="{00000000-0005-0000-0000-0000CE450000}"/>
    <cellStyle name="Comma 4 54 2 6" xfId="18370" xr:uid="{00000000-0005-0000-0000-0000CF450000}"/>
    <cellStyle name="Comma 4 54 2 7" xfId="33862" xr:uid="{00000000-0005-0000-0000-0000D0450000}"/>
    <cellStyle name="Comma 4 54 3" xfId="3399" xr:uid="{00000000-0005-0000-0000-0000D1450000}"/>
    <cellStyle name="Comma 4 54 3 2" xfId="5338" xr:uid="{00000000-0005-0000-0000-0000D2450000}"/>
    <cellStyle name="Comma 4 54 3 2 2" xfId="9209" xr:uid="{00000000-0005-0000-0000-0000D3450000}"/>
    <cellStyle name="Comma 4 54 3 2 2 2" xfId="16954" xr:uid="{00000000-0005-0000-0000-0000D4450000}"/>
    <cellStyle name="Comma 4 54 3 2 2 2 2" xfId="32546" xr:uid="{00000000-0005-0000-0000-0000D5450000}"/>
    <cellStyle name="Comma 4 54 3 2 2 2 3" xfId="48038" xr:uid="{00000000-0005-0000-0000-0000D6450000}"/>
    <cellStyle name="Comma 4 54 3 2 2 3" xfId="24806" xr:uid="{00000000-0005-0000-0000-0000D7450000}"/>
    <cellStyle name="Comma 4 54 3 2 2 4" xfId="40298" xr:uid="{00000000-0005-0000-0000-0000D8450000}"/>
    <cellStyle name="Comma 4 54 3 2 3" xfId="13084" xr:uid="{00000000-0005-0000-0000-0000D9450000}"/>
    <cellStyle name="Comma 4 54 3 2 3 2" xfId="28676" xr:uid="{00000000-0005-0000-0000-0000DA450000}"/>
    <cellStyle name="Comma 4 54 3 2 3 3" xfId="44168" xr:uid="{00000000-0005-0000-0000-0000DB450000}"/>
    <cellStyle name="Comma 4 54 3 2 4" xfId="20936" xr:uid="{00000000-0005-0000-0000-0000DC450000}"/>
    <cellStyle name="Comma 4 54 3 2 5" xfId="36428" xr:uid="{00000000-0005-0000-0000-0000DD450000}"/>
    <cellStyle name="Comma 4 54 3 3" xfId="7282" xr:uid="{00000000-0005-0000-0000-0000DE450000}"/>
    <cellStyle name="Comma 4 54 3 3 2" xfId="15027" xr:uid="{00000000-0005-0000-0000-0000DF450000}"/>
    <cellStyle name="Comma 4 54 3 3 2 2" xfId="30619" xr:uid="{00000000-0005-0000-0000-0000E0450000}"/>
    <cellStyle name="Comma 4 54 3 3 2 3" xfId="46111" xr:uid="{00000000-0005-0000-0000-0000E1450000}"/>
    <cellStyle name="Comma 4 54 3 3 3" xfId="22879" xr:uid="{00000000-0005-0000-0000-0000E2450000}"/>
    <cellStyle name="Comma 4 54 3 3 4" xfId="38371" xr:uid="{00000000-0005-0000-0000-0000E3450000}"/>
    <cellStyle name="Comma 4 54 3 4" xfId="11157" xr:uid="{00000000-0005-0000-0000-0000E4450000}"/>
    <cellStyle name="Comma 4 54 3 4 2" xfId="26749" xr:uid="{00000000-0005-0000-0000-0000E5450000}"/>
    <cellStyle name="Comma 4 54 3 4 3" xfId="42241" xr:uid="{00000000-0005-0000-0000-0000E6450000}"/>
    <cellStyle name="Comma 4 54 3 5" xfId="19009" xr:uid="{00000000-0005-0000-0000-0000E7450000}"/>
    <cellStyle name="Comma 4 54 3 6" xfId="34501" xr:uid="{00000000-0005-0000-0000-0000E8450000}"/>
    <cellStyle name="Comma 4 54 4" xfId="4390" xr:uid="{00000000-0005-0000-0000-0000E9450000}"/>
    <cellStyle name="Comma 4 54 4 2" xfId="8261" xr:uid="{00000000-0005-0000-0000-0000EA450000}"/>
    <cellStyle name="Comma 4 54 4 2 2" xfId="16006" xr:uid="{00000000-0005-0000-0000-0000EB450000}"/>
    <cellStyle name="Comma 4 54 4 2 2 2" xfId="31598" xr:uid="{00000000-0005-0000-0000-0000EC450000}"/>
    <cellStyle name="Comma 4 54 4 2 2 3" xfId="47090" xr:uid="{00000000-0005-0000-0000-0000ED450000}"/>
    <cellStyle name="Comma 4 54 4 2 3" xfId="23858" xr:uid="{00000000-0005-0000-0000-0000EE450000}"/>
    <cellStyle name="Comma 4 54 4 2 4" xfId="39350" xr:uid="{00000000-0005-0000-0000-0000EF450000}"/>
    <cellStyle name="Comma 4 54 4 3" xfId="12136" xr:uid="{00000000-0005-0000-0000-0000F0450000}"/>
    <cellStyle name="Comma 4 54 4 3 2" xfId="27728" xr:uid="{00000000-0005-0000-0000-0000F1450000}"/>
    <cellStyle name="Comma 4 54 4 3 3" xfId="43220" xr:uid="{00000000-0005-0000-0000-0000F2450000}"/>
    <cellStyle name="Comma 4 54 4 4" xfId="19988" xr:uid="{00000000-0005-0000-0000-0000F3450000}"/>
    <cellStyle name="Comma 4 54 4 5" xfId="35480" xr:uid="{00000000-0005-0000-0000-0000F4450000}"/>
    <cellStyle name="Comma 4 54 5" xfId="6334" xr:uid="{00000000-0005-0000-0000-0000F5450000}"/>
    <cellStyle name="Comma 4 54 5 2" xfId="14079" xr:uid="{00000000-0005-0000-0000-0000F6450000}"/>
    <cellStyle name="Comma 4 54 5 2 2" xfId="29671" xr:uid="{00000000-0005-0000-0000-0000F7450000}"/>
    <cellStyle name="Comma 4 54 5 2 3" xfId="45163" xr:uid="{00000000-0005-0000-0000-0000F8450000}"/>
    <cellStyle name="Comma 4 54 5 3" xfId="21931" xr:uid="{00000000-0005-0000-0000-0000F9450000}"/>
    <cellStyle name="Comma 4 54 5 4" xfId="37423" xr:uid="{00000000-0005-0000-0000-0000FA450000}"/>
    <cellStyle name="Comma 4 54 6" xfId="10209" xr:uid="{00000000-0005-0000-0000-0000FB450000}"/>
    <cellStyle name="Comma 4 54 6 2" xfId="25801" xr:uid="{00000000-0005-0000-0000-0000FC450000}"/>
    <cellStyle name="Comma 4 54 6 3" xfId="41293" xr:uid="{00000000-0005-0000-0000-0000FD450000}"/>
    <cellStyle name="Comma 4 54 7" xfId="18061" xr:uid="{00000000-0005-0000-0000-0000FE450000}"/>
    <cellStyle name="Comma 4 54 8" xfId="33553" xr:uid="{00000000-0005-0000-0000-0000FF450000}"/>
    <cellStyle name="Comma 4 55" xfId="2426" xr:uid="{00000000-0005-0000-0000-000000460000}"/>
    <cellStyle name="Comma 4 55 2" xfId="2736" xr:uid="{00000000-0005-0000-0000-000001460000}"/>
    <cellStyle name="Comma 4 55 2 2" xfId="3744" xr:uid="{00000000-0005-0000-0000-000002460000}"/>
    <cellStyle name="Comma 4 55 2 2 2" xfId="5683" xr:uid="{00000000-0005-0000-0000-000003460000}"/>
    <cellStyle name="Comma 4 55 2 2 2 2" xfId="9554" xr:uid="{00000000-0005-0000-0000-000004460000}"/>
    <cellStyle name="Comma 4 55 2 2 2 2 2" xfId="17299" xr:uid="{00000000-0005-0000-0000-000005460000}"/>
    <cellStyle name="Comma 4 55 2 2 2 2 2 2" xfId="32891" xr:uid="{00000000-0005-0000-0000-000006460000}"/>
    <cellStyle name="Comma 4 55 2 2 2 2 2 3" xfId="48383" xr:uid="{00000000-0005-0000-0000-000007460000}"/>
    <cellStyle name="Comma 4 55 2 2 2 2 3" xfId="25151" xr:uid="{00000000-0005-0000-0000-000008460000}"/>
    <cellStyle name="Comma 4 55 2 2 2 2 4" xfId="40643" xr:uid="{00000000-0005-0000-0000-000009460000}"/>
    <cellStyle name="Comma 4 55 2 2 2 3" xfId="13429" xr:uid="{00000000-0005-0000-0000-00000A460000}"/>
    <cellStyle name="Comma 4 55 2 2 2 3 2" xfId="29021" xr:uid="{00000000-0005-0000-0000-00000B460000}"/>
    <cellStyle name="Comma 4 55 2 2 2 3 3" xfId="44513" xr:uid="{00000000-0005-0000-0000-00000C460000}"/>
    <cellStyle name="Comma 4 55 2 2 2 4" xfId="21281" xr:uid="{00000000-0005-0000-0000-00000D460000}"/>
    <cellStyle name="Comma 4 55 2 2 2 5" xfId="36773" xr:uid="{00000000-0005-0000-0000-00000E460000}"/>
    <cellStyle name="Comma 4 55 2 2 3" xfId="7627" xr:uid="{00000000-0005-0000-0000-00000F460000}"/>
    <cellStyle name="Comma 4 55 2 2 3 2" xfId="15372" xr:uid="{00000000-0005-0000-0000-000010460000}"/>
    <cellStyle name="Comma 4 55 2 2 3 2 2" xfId="30964" xr:uid="{00000000-0005-0000-0000-000011460000}"/>
    <cellStyle name="Comma 4 55 2 2 3 2 3" xfId="46456" xr:uid="{00000000-0005-0000-0000-000012460000}"/>
    <cellStyle name="Comma 4 55 2 2 3 3" xfId="23224" xr:uid="{00000000-0005-0000-0000-000013460000}"/>
    <cellStyle name="Comma 4 55 2 2 3 4" xfId="38716" xr:uid="{00000000-0005-0000-0000-000014460000}"/>
    <cellStyle name="Comma 4 55 2 2 4" xfId="11502" xr:uid="{00000000-0005-0000-0000-000015460000}"/>
    <cellStyle name="Comma 4 55 2 2 4 2" xfId="27094" xr:uid="{00000000-0005-0000-0000-000016460000}"/>
    <cellStyle name="Comma 4 55 2 2 4 3" xfId="42586" xr:uid="{00000000-0005-0000-0000-000017460000}"/>
    <cellStyle name="Comma 4 55 2 2 5" xfId="19354" xr:uid="{00000000-0005-0000-0000-000018460000}"/>
    <cellStyle name="Comma 4 55 2 2 6" xfId="34846" xr:uid="{00000000-0005-0000-0000-000019460000}"/>
    <cellStyle name="Comma 4 55 2 3" xfId="4735" xr:uid="{00000000-0005-0000-0000-00001A460000}"/>
    <cellStyle name="Comma 4 55 2 3 2" xfId="8606" xr:uid="{00000000-0005-0000-0000-00001B460000}"/>
    <cellStyle name="Comma 4 55 2 3 2 2" xfId="16351" xr:uid="{00000000-0005-0000-0000-00001C460000}"/>
    <cellStyle name="Comma 4 55 2 3 2 2 2" xfId="31943" xr:uid="{00000000-0005-0000-0000-00001D460000}"/>
    <cellStyle name="Comma 4 55 2 3 2 2 3" xfId="47435" xr:uid="{00000000-0005-0000-0000-00001E460000}"/>
    <cellStyle name="Comma 4 55 2 3 2 3" xfId="24203" xr:uid="{00000000-0005-0000-0000-00001F460000}"/>
    <cellStyle name="Comma 4 55 2 3 2 4" xfId="39695" xr:uid="{00000000-0005-0000-0000-000020460000}"/>
    <cellStyle name="Comma 4 55 2 3 3" xfId="12481" xr:uid="{00000000-0005-0000-0000-000021460000}"/>
    <cellStyle name="Comma 4 55 2 3 3 2" xfId="28073" xr:uid="{00000000-0005-0000-0000-000022460000}"/>
    <cellStyle name="Comma 4 55 2 3 3 3" xfId="43565" xr:uid="{00000000-0005-0000-0000-000023460000}"/>
    <cellStyle name="Comma 4 55 2 3 4" xfId="20333" xr:uid="{00000000-0005-0000-0000-000024460000}"/>
    <cellStyle name="Comma 4 55 2 3 5" xfId="35825" xr:uid="{00000000-0005-0000-0000-000025460000}"/>
    <cellStyle name="Comma 4 55 2 4" xfId="6679" xr:uid="{00000000-0005-0000-0000-000026460000}"/>
    <cellStyle name="Comma 4 55 2 4 2" xfId="14424" xr:uid="{00000000-0005-0000-0000-000027460000}"/>
    <cellStyle name="Comma 4 55 2 4 2 2" xfId="30016" xr:uid="{00000000-0005-0000-0000-000028460000}"/>
    <cellStyle name="Comma 4 55 2 4 2 3" xfId="45508" xr:uid="{00000000-0005-0000-0000-000029460000}"/>
    <cellStyle name="Comma 4 55 2 4 3" xfId="22276" xr:uid="{00000000-0005-0000-0000-00002A460000}"/>
    <cellStyle name="Comma 4 55 2 4 4" xfId="37768" xr:uid="{00000000-0005-0000-0000-00002B460000}"/>
    <cellStyle name="Comma 4 55 2 5" xfId="10554" xr:uid="{00000000-0005-0000-0000-00002C460000}"/>
    <cellStyle name="Comma 4 55 2 5 2" xfId="26146" xr:uid="{00000000-0005-0000-0000-00002D460000}"/>
    <cellStyle name="Comma 4 55 2 5 3" xfId="41638" xr:uid="{00000000-0005-0000-0000-00002E460000}"/>
    <cellStyle name="Comma 4 55 2 6" xfId="18406" xr:uid="{00000000-0005-0000-0000-00002F460000}"/>
    <cellStyle name="Comma 4 55 2 7" xfId="33898" xr:uid="{00000000-0005-0000-0000-000030460000}"/>
    <cellStyle name="Comma 4 55 3" xfId="3435" xr:uid="{00000000-0005-0000-0000-000031460000}"/>
    <cellStyle name="Comma 4 55 3 2" xfId="5374" xr:uid="{00000000-0005-0000-0000-000032460000}"/>
    <cellStyle name="Comma 4 55 3 2 2" xfId="9245" xr:uid="{00000000-0005-0000-0000-000033460000}"/>
    <cellStyle name="Comma 4 55 3 2 2 2" xfId="16990" xr:uid="{00000000-0005-0000-0000-000034460000}"/>
    <cellStyle name="Comma 4 55 3 2 2 2 2" xfId="32582" xr:uid="{00000000-0005-0000-0000-000035460000}"/>
    <cellStyle name="Comma 4 55 3 2 2 2 3" xfId="48074" xr:uid="{00000000-0005-0000-0000-000036460000}"/>
    <cellStyle name="Comma 4 55 3 2 2 3" xfId="24842" xr:uid="{00000000-0005-0000-0000-000037460000}"/>
    <cellStyle name="Comma 4 55 3 2 2 4" xfId="40334" xr:uid="{00000000-0005-0000-0000-000038460000}"/>
    <cellStyle name="Comma 4 55 3 2 3" xfId="13120" xr:uid="{00000000-0005-0000-0000-000039460000}"/>
    <cellStyle name="Comma 4 55 3 2 3 2" xfId="28712" xr:uid="{00000000-0005-0000-0000-00003A460000}"/>
    <cellStyle name="Comma 4 55 3 2 3 3" xfId="44204" xr:uid="{00000000-0005-0000-0000-00003B460000}"/>
    <cellStyle name="Comma 4 55 3 2 4" xfId="20972" xr:uid="{00000000-0005-0000-0000-00003C460000}"/>
    <cellStyle name="Comma 4 55 3 2 5" xfId="36464" xr:uid="{00000000-0005-0000-0000-00003D460000}"/>
    <cellStyle name="Comma 4 55 3 3" xfId="7318" xr:uid="{00000000-0005-0000-0000-00003E460000}"/>
    <cellStyle name="Comma 4 55 3 3 2" xfId="15063" xr:uid="{00000000-0005-0000-0000-00003F460000}"/>
    <cellStyle name="Comma 4 55 3 3 2 2" xfId="30655" xr:uid="{00000000-0005-0000-0000-000040460000}"/>
    <cellStyle name="Comma 4 55 3 3 2 3" xfId="46147" xr:uid="{00000000-0005-0000-0000-000041460000}"/>
    <cellStyle name="Comma 4 55 3 3 3" xfId="22915" xr:uid="{00000000-0005-0000-0000-000042460000}"/>
    <cellStyle name="Comma 4 55 3 3 4" xfId="38407" xr:uid="{00000000-0005-0000-0000-000043460000}"/>
    <cellStyle name="Comma 4 55 3 4" xfId="11193" xr:uid="{00000000-0005-0000-0000-000044460000}"/>
    <cellStyle name="Comma 4 55 3 4 2" xfId="26785" xr:uid="{00000000-0005-0000-0000-000045460000}"/>
    <cellStyle name="Comma 4 55 3 4 3" xfId="42277" xr:uid="{00000000-0005-0000-0000-000046460000}"/>
    <cellStyle name="Comma 4 55 3 5" xfId="19045" xr:uid="{00000000-0005-0000-0000-000047460000}"/>
    <cellStyle name="Comma 4 55 3 6" xfId="34537" xr:uid="{00000000-0005-0000-0000-000048460000}"/>
    <cellStyle name="Comma 4 55 4" xfId="4426" xr:uid="{00000000-0005-0000-0000-000049460000}"/>
    <cellStyle name="Comma 4 55 4 2" xfId="8297" xr:uid="{00000000-0005-0000-0000-00004A460000}"/>
    <cellStyle name="Comma 4 55 4 2 2" xfId="16042" xr:uid="{00000000-0005-0000-0000-00004B460000}"/>
    <cellStyle name="Comma 4 55 4 2 2 2" xfId="31634" xr:uid="{00000000-0005-0000-0000-00004C460000}"/>
    <cellStyle name="Comma 4 55 4 2 2 3" xfId="47126" xr:uid="{00000000-0005-0000-0000-00004D460000}"/>
    <cellStyle name="Comma 4 55 4 2 3" xfId="23894" xr:uid="{00000000-0005-0000-0000-00004E460000}"/>
    <cellStyle name="Comma 4 55 4 2 4" xfId="39386" xr:uid="{00000000-0005-0000-0000-00004F460000}"/>
    <cellStyle name="Comma 4 55 4 3" xfId="12172" xr:uid="{00000000-0005-0000-0000-000050460000}"/>
    <cellStyle name="Comma 4 55 4 3 2" xfId="27764" xr:uid="{00000000-0005-0000-0000-000051460000}"/>
    <cellStyle name="Comma 4 55 4 3 3" xfId="43256" xr:uid="{00000000-0005-0000-0000-000052460000}"/>
    <cellStyle name="Comma 4 55 4 4" xfId="20024" xr:uid="{00000000-0005-0000-0000-000053460000}"/>
    <cellStyle name="Comma 4 55 4 5" xfId="35516" xr:uid="{00000000-0005-0000-0000-000054460000}"/>
    <cellStyle name="Comma 4 55 5" xfId="6370" xr:uid="{00000000-0005-0000-0000-000055460000}"/>
    <cellStyle name="Comma 4 55 5 2" xfId="14115" xr:uid="{00000000-0005-0000-0000-000056460000}"/>
    <cellStyle name="Comma 4 55 5 2 2" xfId="29707" xr:uid="{00000000-0005-0000-0000-000057460000}"/>
    <cellStyle name="Comma 4 55 5 2 3" xfId="45199" xr:uid="{00000000-0005-0000-0000-000058460000}"/>
    <cellStyle name="Comma 4 55 5 3" xfId="21967" xr:uid="{00000000-0005-0000-0000-000059460000}"/>
    <cellStyle name="Comma 4 55 5 4" xfId="37459" xr:uid="{00000000-0005-0000-0000-00005A460000}"/>
    <cellStyle name="Comma 4 55 6" xfId="10245" xr:uid="{00000000-0005-0000-0000-00005B460000}"/>
    <cellStyle name="Comma 4 55 6 2" xfId="25837" xr:uid="{00000000-0005-0000-0000-00005C460000}"/>
    <cellStyle name="Comma 4 55 6 3" xfId="41329" xr:uid="{00000000-0005-0000-0000-00005D460000}"/>
    <cellStyle name="Comma 4 55 7" xfId="18097" xr:uid="{00000000-0005-0000-0000-00005E460000}"/>
    <cellStyle name="Comma 4 55 8" xfId="33589" xr:uid="{00000000-0005-0000-0000-00005F460000}"/>
    <cellStyle name="Comma 4 56" xfId="2463" xr:uid="{00000000-0005-0000-0000-000060460000}"/>
    <cellStyle name="Comma 4 56 2" xfId="2772" xr:uid="{00000000-0005-0000-0000-000061460000}"/>
    <cellStyle name="Comma 4 56 2 2" xfId="3780" xr:uid="{00000000-0005-0000-0000-000062460000}"/>
    <cellStyle name="Comma 4 56 2 2 2" xfId="5719" xr:uid="{00000000-0005-0000-0000-000063460000}"/>
    <cellStyle name="Comma 4 56 2 2 2 2" xfId="9590" xr:uid="{00000000-0005-0000-0000-000064460000}"/>
    <cellStyle name="Comma 4 56 2 2 2 2 2" xfId="17335" xr:uid="{00000000-0005-0000-0000-000065460000}"/>
    <cellStyle name="Comma 4 56 2 2 2 2 2 2" xfId="32927" xr:uid="{00000000-0005-0000-0000-000066460000}"/>
    <cellStyle name="Comma 4 56 2 2 2 2 2 3" xfId="48419" xr:uid="{00000000-0005-0000-0000-000067460000}"/>
    <cellStyle name="Comma 4 56 2 2 2 2 3" xfId="25187" xr:uid="{00000000-0005-0000-0000-000068460000}"/>
    <cellStyle name="Comma 4 56 2 2 2 2 4" xfId="40679" xr:uid="{00000000-0005-0000-0000-000069460000}"/>
    <cellStyle name="Comma 4 56 2 2 2 3" xfId="13465" xr:uid="{00000000-0005-0000-0000-00006A460000}"/>
    <cellStyle name="Comma 4 56 2 2 2 3 2" xfId="29057" xr:uid="{00000000-0005-0000-0000-00006B460000}"/>
    <cellStyle name="Comma 4 56 2 2 2 3 3" xfId="44549" xr:uid="{00000000-0005-0000-0000-00006C460000}"/>
    <cellStyle name="Comma 4 56 2 2 2 4" xfId="21317" xr:uid="{00000000-0005-0000-0000-00006D460000}"/>
    <cellStyle name="Comma 4 56 2 2 2 5" xfId="36809" xr:uid="{00000000-0005-0000-0000-00006E460000}"/>
    <cellStyle name="Comma 4 56 2 2 3" xfId="7663" xr:uid="{00000000-0005-0000-0000-00006F460000}"/>
    <cellStyle name="Comma 4 56 2 2 3 2" xfId="15408" xr:uid="{00000000-0005-0000-0000-000070460000}"/>
    <cellStyle name="Comma 4 56 2 2 3 2 2" xfId="31000" xr:uid="{00000000-0005-0000-0000-000071460000}"/>
    <cellStyle name="Comma 4 56 2 2 3 2 3" xfId="46492" xr:uid="{00000000-0005-0000-0000-000072460000}"/>
    <cellStyle name="Comma 4 56 2 2 3 3" xfId="23260" xr:uid="{00000000-0005-0000-0000-000073460000}"/>
    <cellStyle name="Comma 4 56 2 2 3 4" xfId="38752" xr:uid="{00000000-0005-0000-0000-000074460000}"/>
    <cellStyle name="Comma 4 56 2 2 4" xfId="11538" xr:uid="{00000000-0005-0000-0000-000075460000}"/>
    <cellStyle name="Comma 4 56 2 2 4 2" xfId="27130" xr:uid="{00000000-0005-0000-0000-000076460000}"/>
    <cellStyle name="Comma 4 56 2 2 4 3" xfId="42622" xr:uid="{00000000-0005-0000-0000-000077460000}"/>
    <cellStyle name="Comma 4 56 2 2 5" xfId="19390" xr:uid="{00000000-0005-0000-0000-000078460000}"/>
    <cellStyle name="Comma 4 56 2 2 6" xfId="34882" xr:uid="{00000000-0005-0000-0000-000079460000}"/>
    <cellStyle name="Comma 4 56 2 3" xfId="4771" xr:uid="{00000000-0005-0000-0000-00007A460000}"/>
    <cellStyle name="Comma 4 56 2 3 2" xfId="8642" xr:uid="{00000000-0005-0000-0000-00007B460000}"/>
    <cellStyle name="Comma 4 56 2 3 2 2" xfId="16387" xr:uid="{00000000-0005-0000-0000-00007C460000}"/>
    <cellStyle name="Comma 4 56 2 3 2 2 2" xfId="31979" xr:uid="{00000000-0005-0000-0000-00007D460000}"/>
    <cellStyle name="Comma 4 56 2 3 2 2 3" xfId="47471" xr:uid="{00000000-0005-0000-0000-00007E460000}"/>
    <cellStyle name="Comma 4 56 2 3 2 3" xfId="24239" xr:uid="{00000000-0005-0000-0000-00007F460000}"/>
    <cellStyle name="Comma 4 56 2 3 2 4" xfId="39731" xr:uid="{00000000-0005-0000-0000-000080460000}"/>
    <cellStyle name="Comma 4 56 2 3 3" xfId="12517" xr:uid="{00000000-0005-0000-0000-000081460000}"/>
    <cellStyle name="Comma 4 56 2 3 3 2" xfId="28109" xr:uid="{00000000-0005-0000-0000-000082460000}"/>
    <cellStyle name="Comma 4 56 2 3 3 3" xfId="43601" xr:uid="{00000000-0005-0000-0000-000083460000}"/>
    <cellStyle name="Comma 4 56 2 3 4" xfId="20369" xr:uid="{00000000-0005-0000-0000-000084460000}"/>
    <cellStyle name="Comma 4 56 2 3 5" xfId="35861" xr:uid="{00000000-0005-0000-0000-000085460000}"/>
    <cellStyle name="Comma 4 56 2 4" xfId="6715" xr:uid="{00000000-0005-0000-0000-000086460000}"/>
    <cellStyle name="Comma 4 56 2 4 2" xfId="14460" xr:uid="{00000000-0005-0000-0000-000087460000}"/>
    <cellStyle name="Comma 4 56 2 4 2 2" xfId="30052" xr:uid="{00000000-0005-0000-0000-000088460000}"/>
    <cellStyle name="Comma 4 56 2 4 2 3" xfId="45544" xr:uid="{00000000-0005-0000-0000-000089460000}"/>
    <cellStyle name="Comma 4 56 2 4 3" xfId="22312" xr:uid="{00000000-0005-0000-0000-00008A460000}"/>
    <cellStyle name="Comma 4 56 2 4 4" xfId="37804" xr:uid="{00000000-0005-0000-0000-00008B460000}"/>
    <cellStyle name="Comma 4 56 2 5" xfId="10590" xr:uid="{00000000-0005-0000-0000-00008C460000}"/>
    <cellStyle name="Comma 4 56 2 5 2" xfId="26182" xr:uid="{00000000-0005-0000-0000-00008D460000}"/>
    <cellStyle name="Comma 4 56 2 5 3" xfId="41674" xr:uid="{00000000-0005-0000-0000-00008E460000}"/>
    <cellStyle name="Comma 4 56 2 6" xfId="18442" xr:uid="{00000000-0005-0000-0000-00008F460000}"/>
    <cellStyle name="Comma 4 56 2 7" xfId="33934" xr:uid="{00000000-0005-0000-0000-000090460000}"/>
    <cellStyle name="Comma 4 56 3" xfId="3471" xr:uid="{00000000-0005-0000-0000-000091460000}"/>
    <cellStyle name="Comma 4 56 3 2" xfId="5410" xr:uid="{00000000-0005-0000-0000-000092460000}"/>
    <cellStyle name="Comma 4 56 3 2 2" xfId="9281" xr:uid="{00000000-0005-0000-0000-000093460000}"/>
    <cellStyle name="Comma 4 56 3 2 2 2" xfId="17026" xr:uid="{00000000-0005-0000-0000-000094460000}"/>
    <cellStyle name="Comma 4 56 3 2 2 2 2" xfId="32618" xr:uid="{00000000-0005-0000-0000-000095460000}"/>
    <cellStyle name="Comma 4 56 3 2 2 2 3" xfId="48110" xr:uid="{00000000-0005-0000-0000-000096460000}"/>
    <cellStyle name="Comma 4 56 3 2 2 3" xfId="24878" xr:uid="{00000000-0005-0000-0000-000097460000}"/>
    <cellStyle name="Comma 4 56 3 2 2 4" xfId="40370" xr:uid="{00000000-0005-0000-0000-000098460000}"/>
    <cellStyle name="Comma 4 56 3 2 3" xfId="13156" xr:uid="{00000000-0005-0000-0000-000099460000}"/>
    <cellStyle name="Comma 4 56 3 2 3 2" xfId="28748" xr:uid="{00000000-0005-0000-0000-00009A460000}"/>
    <cellStyle name="Comma 4 56 3 2 3 3" xfId="44240" xr:uid="{00000000-0005-0000-0000-00009B460000}"/>
    <cellStyle name="Comma 4 56 3 2 4" xfId="21008" xr:uid="{00000000-0005-0000-0000-00009C460000}"/>
    <cellStyle name="Comma 4 56 3 2 5" xfId="36500" xr:uid="{00000000-0005-0000-0000-00009D460000}"/>
    <cellStyle name="Comma 4 56 3 3" xfId="7354" xr:uid="{00000000-0005-0000-0000-00009E460000}"/>
    <cellStyle name="Comma 4 56 3 3 2" xfId="15099" xr:uid="{00000000-0005-0000-0000-00009F460000}"/>
    <cellStyle name="Comma 4 56 3 3 2 2" xfId="30691" xr:uid="{00000000-0005-0000-0000-0000A0460000}"/>
    <cellStyle name="Comma 4 56 3 3 2 3" xfId="46183" xr:uid="{00000000-0005-0000-0000-0000A1460000}"/>
    <cellStyle name="Comma 4 56 3 3 3" xfId="22951" xr:uid="{00000000-0005-0000-0000-0000A2460000}"/>
    <cellStyle name="Comma 4 56 3 3 4" xfId="38443" xr:uid="{00000000-0005-0000-0000-0000A3460000}"/>
    <cellStyle name="Comma 4 56 3 4" xfId="11229" xr:uid="{00000000-0005-0000-0000-0000A4460000}"/>
    <cellStyle name="Comma 4 56 3 4 2" xfId="26821" xr:uid="{00000000-0005-0000-0000-0000A5460000}"/>
    <cellStyle name="Comma 4 56 3 4 3" xfId="42313" xr:uid="{00000000-0005-0000-0000-0000A6460000}"/>
    <cellStyle name="Comma 4 56 3 5" xfId="19081" xr:uid="{00000000-0005-0000-0000-0000A7460000}"/>
    <cellStyle name="Comma 4 56 3 6" xfId="34573" xr:uid="{00000000-0005-0000-0000-0000A8460000}"/>
    <cellStyle name="Comma 4 56 4" xfId="4462" xr:uid="{00000000-0005-0000-0000-0000A9460000}"/>
    <cellStyle name="Comma 4 56 4 2" xfId="8333" xr:uid="{00000000-0005-0000-0000-0000AA460000}"/>
    <cellStyle name="Comma 4 56 4 2 2" xfId="16078" xr:uid="{00000000-0005-0000-0000-0000AB460000}"/>
    <cellStyle name="Comma 4 56 4 2 2 2" xfId="31670" xr:uid="{00000000-0005-0000-0000-0000AC460000}"/>
    <cellStyle name="Comma 4 56 4 2 2 3" xfId="47162" xr:uid="{00000000-0005-0000-0000-0000AD460000}"/>
    <cellStyle name="Comma 4 56 4 2 3" xfId="23930" xr:uid="{00000000-0005-0000-0000-0000AE460000}"/>
    <cellStyle name="Comma 4 56 4 2 4" xfId="39422" xr:uid="{00000000-0005-0000-0000-0000AF460000}"/>
    <cellStyle name="Comma 4 56 4 3" xfId="12208" xr:uid="{00000000-0005-0000-0000-0000B0460000}"/>
    <cellStyle name="Comma 4 56 4 3 2" xfId="27800" xr:uid="{00000000-0005-0000-0000-0000B1460000}"/>
    <cellStyle name="Comma 4 56 4 3 3" xfId="43292" xr:uid="{00000000-0005-0000-0000-0000B2460000}"/>
    <cellStyle name="Comma 4 56 4 4" xfId="20060" xr:uid="{00000000-0005-0000-0000-0000B3460000}"/>
    <cellStyle name="Comma 4 56 4 5" xfId="35552" xr:uid="{00000000-0005-0000-0000-0000B4460000}"/>
    <cellStyle name="Comma 4 56 5" xfId="6406" xr:uid="{00000000-0005-0000-0000-0000B5460000}"/>
    <cellStyle name="Comma 4 56 5 2" xfId="14151" xr:uid="{00000000-0005-0000-0000-0000B6460000}"/>
    <cellStyle name="Comma 4 56 5 2 2" xfId="29743" xr:uid="{00000000-0005-0000-0000-0000B7460000}"/>
    <cellStyle name="Comma 4 56 5 2 3" xfId="45235" xr:uid="{00000000-0005-0000-0000-0000B8460000}"/>
    <cellStyle name="Comma 4 56 5 3" xfId="22003" xr:uid="{00000000-0005-0000-0000-0000B9460000}"/>
    <cellStyle name="Comma 4 56 5 4" xfId="37495" xr:uid="{00000000-0005-0000-0000-0000BA460000}"/>
    <cellStyle name="Comma 4 56 6" xfId="10281" xr:uid="{00000000-0005-0000-0000-0000BB460000}"/>
    <cellStyle name="Comma 4 56 6 2" xfId="25873" xr:uid="{00000000-0005-0000-0000-0000BC460000}"/>
    <cellStyle name="Comma 4 56 6 3" xfId="41365" xr:uid="{00000000-0005-0000-0000-0000BD460000}"/>
    <cellStyle name="Comma 4 56 7" xfId="18133" xr:uid="{00000000-0005-0000-0000-0000BE460000}"/>
    <cellStyle name="Comma 4 56 8" xfId="33625" xr:uid="{00000000-0005-0000-0000-0000BF460000}"/>
    <cellStyle name="Comma 4 57" xfId="2809" xr:uid="{00000000-0005-0000-0000-0000C0460000}"/>
    <cellStyle name="Comma 4 57 2" xfId="3816" xr:uid="{00000000-0005-0000-0000-0000C1460000}"/>
    <cellStyle name="Comma 4 57 2 2" xfId="5755" xr:uid="{00000000-0005-0000-0000-0000C2460000}"/>
    <cellStyle name="Comma 4 57 2 2 2" xfId="9626" xr:uid="{00000000-0005-0000-0000-0000C3460000}"/>
    <cellStyle name="Comma 4 57 2 2 2 2" xfId="17371" xr:uid="{00000000-0005-0000-0000-0000C4460000}"/>
    <cellStyle name="Comma 4 57 2 2 2 2 2" xfId="32963" xr:uid="{00000000-0005-0000-0000-0000C5460000}"/>
    <cellStyle name="Comma 4 57 2 2 2 2 3" xfId="48455" xr:uid="{00000000-0005-0000-0000-0000C6460000}"/>
    <cellStyle name="Comma 4 57 2 2 2 3" xfId="25223" xr:uid="{00000000-0005-0000-0000-0000C7460000}"/>
    <cellStyle name="Comma 4 57 2 2 2 4" xfId="40715" xr:uid="{00000000-0005-0000-0000-0000C8460000}"/>
    <cellStyle name="Comma 4 57 2 2 3" xfId="13501" xr:uid="{00000000-0005-0000-0000-0000C9460000}"/>
    <cellStyle name="Comma 4 57 2 2 3 2" xfId="29093" xr:uid="{00000000-0005-0000-0000-0000CA460000}"/>
    <cellStyle name="Comma 4 57 2 2 3 3" xfId="44585" xr:uid="{00000000-0005-0000-0000-0000CB460000}"/>
    <cellStyle name="Comma 4 57 2 2 4" xfId="21353" xr:uid="{00000000-0005-0000-0000-0000CC460000}"/>
    <cellStyle name="Comma 4 57 2 2 5" xfId="36845" xr:uid="{00000000-0005-0000-0000-0000CD460000}"/>
    <cellStyle name="Comma 4 57 2 3" xfId="7699" xr:uid="{00000000-0005-0000-0000-0000CE460000}"/>
    <cellStyle name="Comma 4 57 2 3 2" xfId="15444" xr:uid="{00000000-0005-0000-0000-0000CF460000}"/>
    <cellStyle name="Comma 4 57 2 3 2 2" xfId="31036" xr:uid="{00000000-0005-0000-0000-0000D0460000}"/>
    <cellStyle name="Comma 4 57 2 3 2 3" xfId="46528" xr:uid="{00000000-0005-0000-0000-0000D1460000}"/>
    <cellStyle name="Comma 4 57 2 3 3" xfId="23296" xr:uid="{00000000-0005-0000-0000-0000D2460000}"/>
    <cellStyle name="Comma 4 57 2 3 4" xfId="38788" xr:uid="{00000000-0005-0000-0000-0000D3460000}"/>
    <cellStyle name="Comma 4 57 2 4" xfId="11574" xr:uid="{00000000-0005-0000-0000-0000D4460000}"/>
    <cellStyle name="Comma 4 57 2 4 2" xfId="27166" xr:uid="{00000000-0005-0000-0000-0000D5460000}"/>
    <cellStyle name="Comma 4 57 2 4 3" xfId="42658" xr:uid="{00000000-0005-0000-0000-0000D6460000}"/>
    <cellStyle name="Comma 4 57 2 5" xfId="19426" xr:uid="{00000000-0005-0000-0000-0000D7460000}"/>
    <cellStyle name="Comma 4 57 2 6" xfId="34918" xr:uid="{00000000-0005-0000-0000-0000D8460000}"/>
    <cellStyle name="Comma 4 57 3" xfId="4807" xr:uid="{00000000-0005-0000-0000-0000D9460000}"/>
    <cellStyle name="Comma 4 57 3 2" xfId="8678" xr:uid="{00000000-0005-0000-0000-0000DA460000}"/>
    <cellStyle name="Comma 4 57 3 2 2" xfId="16423" xr:uid="{00000000-0005-0000-0000-0000DB460000}"/>
    <cellStyle name="Comma 4 57 3 2 2 2" xfId="32015" xr:uid="{00000000-0005-0000-0000-0000DC460000}"/>
    <cellStyle name="Comma 4 57 3 2 2 3" xfId="47507" xr:uid="{00000000-0005-0000-0000-0000DD460000}"/>
    <cellStyle name="Comma 4 57 3 2 3" xfId="24275" xr:uid="{00000000-0005-0000-0000-0000DE460000}"/>
    <cellStyle name="Comma 4 57 3 2 4" xfId="39767" xr:uid="{00000000-0005-0000-0000-0000DF460000}"/>
    <cellStyle name="Comma 4 57 3 3" xfId="12553" xr:uid="{00000000-0005-0000-0000-0000E0460000}"/>
    <cellStyle name="Comma 4 57 3 3 2" xfId="28145" xr:uid="{00000000-0005-0000-0000-0000E1460000}"/>
    <cellStyle name="Comma 4 57 3 3 3" xfId="43637" xr:uid="{00000000-0005-0000-0000-0000E2460000}"/>
    <cellStyle name="Comma 4 57 3 4" xfId="20405" xr:uid="{00000000-0005-0000-0000-0000E3460000}"/>
    <cellStyle name="Comma 4 57 3 5" xfId="35897" xr:uid="{00000000-0005-0000-0000-0000E4460000}"/>
    <cellStyle name="Comma 4 57 4" xfId="6751" xr:uid="{00000000-0005-0000-0000-0000E5460000}"/>
    <cellStyle name="Comma 4 57 4 2" xfId="14496" xr:uid="{00000000-0005-0000-0000-0000E6460000}"/>
    <cellStyle name="Comma 4 57 4 2 2" xfId="30088" xr:uid="{00000000-0005-0000-0000-0000E7460000}"/>
    <cellStyle name="Comma 4 57 4 2 3" xfId="45580" xr:uid="{00000000-0005-0000-0000-0000E8460000}"/>
    <cellStyle name="Comma 4 57 4 3" xfId="22348" xr:uid="{00000000-0005-0000-0000-0000E9460000}"/>
    <cellStyle name="Comma 4 57 4 4" xfId="37840" xr:uid="{00000000-0005-0000-0000-0000EA460000}"/>
    <cellStyle name="Comma 4 57 5" xfId="10626" xr:uid="{00000000-0005-0000-0000-0000EB460000}"/>
    <cellStyle name="Comma 4 57 5 2" xfId="26218" xr:uid="{00000000-0005-0000-0000-0000EC460000}"/>
    <cellStyle name="Comma 4 57 5 3" xfId="41710" xr:uid="{00000000-0005-0000-0000-0000ED460000}"/>
    <cellStyle name="Comma 4 57 6" xfId="18478" xr:uid="{00000000-0005-0000-0000-0000EE460000}"/>
    <cellStyle name="Comma 4 57 7" xfId="33970" xr:uid="{00000000-0005-0000-0000-0000EF460000}"/>
    <cellStyle name="Comma 4 58" xfId="2848" xr:uid="{00000000-0005-0000-0000-0000F0460000}"/>
    <cellStyle name="Comma 4 58 2" xfId="3854" xr:uid="{00000000-0005-0000-0000-0000F1460000}"/>
    <cellStyle name="Comma 4 58 2 2" xfId="5793" xr:uid="{00000000-0005-0000-0000-0000F2460000}"/>
    <cellStyle name="Comma 4 58 2 2 2" xfId="9664" xr:uid="{00000000-0005-0000-0000-0000F3460000}"/>
    <cellStyle name="Comma 4 58 2 2 2 2" xfId="17409" xr:uid="{00000000-0005-0000-0000-0000F4460000}"/>
    <cellStyle name="Comma 4 58 2 2 2 2 2" xfId="33001" xr:uid="{00000000-0005-0000-0000-0000F5460000}"/>
    <cellStyle name="Comma 4 58 2 2 2 2 3" xfId="48493" xr:uid="{00000000-0005-0000-0000-0000F6460000}"/>
    <cellStyle name="Comma 4 58 2 2 2 3" xfId="25261" xr:uid="{00000000-0005-0000-0000-0000F7460000}"/>
    <cellStyle name="Comma 4 58 2 2 2 4" xfId="40753" xr:uid="{00000000-0005-0000-0000-0000F8460000}"/>
    <cellStyle name="Comma 4 58 2 2 3" xfId="13539" xr:uid="{00000000-0005-0000-0000-0000F9460000}"/>
    <cellStyle name="Comma 4 58 2 2 3 2" xfId="29131" xr:uid="{00000000-0005-0000-0000-0000FA460000}"/>
    <cellStyle name="Comma 4 58 2 2 3 3" xfId="44623" xr:uid="{00000000-0005-0000-0000-0000FB460000}"/>
    <cellStyle name="Comma 4 58 2 2 4" xfId="21391" xr:uid="{00000000-0005-0000-0000-0000FC460000}"/>
    <cellStyle name="Comma 4 58 2 2 5" xfId="36883" xr:uid="{00000000-0005-0000-0000-0000FD460000}"/>
    <cellStyle name="Comma 4 58 2 3" xfId="7737" xr:uid="{00000000-0005-0000-0000-0000FE460000}"/>
    <cellStyle name="Comma 4 58 2 3 2" xfId="15482" xr:uid="{00000000-0005-0000-0000-0000FF460000}"/>
    <cellStyle name="Comma 4 58 2 3 2 2" xfId="31074" xr:uid="{00000000-0005-0000-0000-000000470000}"/>
    <cellStyle name="Comma 4 58 2 3 2 3" xfId="46566" xr:uid="{00000000-0005-0000-0000-000001470000}"/>
    <cellStyle name="Comma 4 58 2 3 3" xfId="23334" xr:uid="{00000000-0005-0000-0000-000002470000}"/>
    <cellStyle name="Comma 4 58 2 3 4" xfId="38826" xr:uid="{00000000-0005-0000-0000-000003470000}"/>
    <cellStyle name="Comma 4 58 2 4" xfId="11612" xr:uid="{00000000-0005-0000-0000-000004470000}"/>
    <cellStyle name="Comma 4 58 2 4 2" xfId="27204" xr:uid="{00000000-0005-0000-0000-000005470000}"/>
    <cellStyle name="Comma 4 58 2 4 3" xfId="42696" xr:uid="{00000000-0005-0000-0000-000006470000}"/>
    <cellStyle name="Comma 4 58 2 5" xfId="19464" xr:uid="{00000000-0005-0000-0000-000007470000}"/>
    <cellStyle name="Comma 4 58 2 6" xfId="34956" xr:uid="{00000000-0005-0000-0000-000008470000}"/>
    <cellStyle name="Comma 4 58 3" xfId="4845" xr:uid="{00000000-0005-0000-0000-000009470000}"/>
    <cellStyle name="Comma 4 58 3 2" xfId="8716" xr:uid="{00000000-0005-0000-0000-00000A470000}"/>
    <cellStyle name="Comma 4 58 3 2 2" xfId="16461" xr:uid="{00000000-0005-0000-0000-00000B470000}"/>
    <cellStyle name="Comma 4 58 3 2 2 2" xfId="32053" xr:uid="{00000000-0005-0000-0000-00000C470000}"/>
    <cellStyle name="Comma 4 58 3 2 2 3" xfId="47545" xr:uid="{00000000-0005-0000-0000-00000D470000}"/>
    <cellStyle name="Comma 4 58 3 2 3" xfId="24313" xr:uid="{00000000-0005-0000-0000-00000E470000}"/>
    <cellStyle name="Comma 4 58 3 2 4" xfId="39805" xr:uid="{00000000-0005-0000-0000-00000F470000}"/>
    <cellStyle name="Comma 4 58 3 3" xfId="12591" xr:uid="{00000000-0005-0000-0000-000010470000}"/>
    <cellStyle name="Comma 4 58 3 3 2" xfId="28183" xr:uid="{00000000-0005-0000-0000-000011470000}"/>
    <cellStyle name="Comma 4 58 3 3 3" xfId="43675" xr:uid="{00000000-0005-0000-0000-000012470000}"/>
    <cellStyle name="Comma 4 58 3 4" xfId="20443" xr:uid="{00000000-0005-0000-0000-000013470000}"/>
    <cellStyle name="Comma 4 58 3 5" xfId="35935" xr:uid="{00000000-0005-0000-0000-000014470000}"/>
    <cellStyle name="Comma 4 58 4" xfId="6789" xr:uid="{00000000-0005-0000-0000-000015470000}"/>
    <cellStyle name="Comma 4 58 4 2" xfId="14534" xr:uid="{00000000-0005-0000-0000-000016470000}"/>
    <cellStyle name="Comma 4 58 4 2 2" xfId="30126" xr:uid="{00000000-0005-0000-0000-000017470000}"/>
    <cellStyle name="Comma 4 58 4 2 3" xfId="45618" xr:uid="{00000000-0005-0000-0000-000018470000}"/>
    <cellStyle name="Comma 4 58 4 3" xfId="22386" xr:uid="{00000000-0005-0000-0000-000019470000}"/>
    <cellStyle name="Comma 4 58 4 4" xfId="37878" xr:uid="{00000000-0005-0000-0000-00001A470000}"/>
    <cellStyle name="Comma 4 58 5" xfId="10664" xr:uid="{00000000-0005-0000-0000-00001B470000}"/>
    <cellStyle name="Comma 4 58 5 2" xfId="26256" xr:uid="{00000000-0005-0000-0000-00001C470000}"/>
    <cellStyle name="Comma 4 58 5 3" xfId="41748" xr:uid="{00000000-0005-0000-0000-00001D470000}"/>
    <cellStyle name="Comma 4 58 6" xfId="18516" xr:uid="{00000000-0005-0000-0000-00001E470000}"/>
    <cellStyle name="Comma 4 58 7" xfId="34008" xr:uid="{00000000-0005-0000-0000-00001F470000}"/>
    <cellStyle name="Comma 4 59" xfId="2885" xr:uid="{00000000-0005-0000-0000-000020470000}"/>
    <cellStyle name="Comma 4 59 2" xfId="3890" xr:uid="{00000000-0005-0000-0000-000021470000}"/>
    <cellStyle name="Comma 4 59 2 2" xfId="5829" xr:uid="{00000000-0005-0000-0000-000022470000}"/>
    <cellStyle name="Comma 4 59 2 2 2" xfId="9700" xr:uid="{00000000-0005-0000-0000-000023470000}"/>
    <cellStyle name="Comma 4 59 2 2 2 2" xfId="17445" xr:uid="{00000000-0005-0000-0000-000024470000}"/>
    <cellStyle name="Comma 4 59 2 2 2 2 2" xfId="33037" xr:uid="{00000000-0005-0000-0000-000025470000}"/>
    <cellStyle name="Comma 4 59 2 2 2 2 3" xfId="48529" xr:uid="{00000000-0005-0000-0000-000026470000}"/>
    <cellStyle name="Comma 4 59 2 2 2 3" xfId="25297" xr:uid="{00000000-0005-0000-0000-000027470000}"/>
    <cellStyle name="Comma 4 59 2 2 2 4" xfId="40789" xr:uid="{00000000-0005-0000-0000-000028470000}"/>
    <cellStyle name="Comma 4 59 2 2 3" xfId="13575" xr:uid="{00000000-0005-0000-0000-000029470000}"/>
    <cellStyle name="Comma 4 59 2 2 3 2" xfId="29167" xr:uid="{00000000-0005-0000-0000-00002A470000}"/>
    <cellStyle name="Comma 4 59 2 2 3 3" xfId="44659" xr:uid="{00000000-0005-0000-0000-00002B470000}"/>
    <cellStyle name="Comma 4 59 2 2 4" xfId="21427" xr:uid="{00000000-0005-0000-0000-00002C470000}"/>
    <cellStyle name="Comma 4 59 2 2 5" xfId="36919" xr:uid="{00000000-0005-0000-0000-00002D470000}"/>
    <cellStyle name="Comma 4 59 2 3" xfId="7773" xr:uid="{00000000-0005-0000-0000-00002E470000}"/>
    <cellStyle name="Comma 4 59 2 3 2" xfId="15518" xr:uid="{00000000-0005-0000-0000-00002F470000}"/>
    <cellStyle name="Comma 4 59 2 3 2 2" xfId="31110" xr:uid="{00000000-0005-0000-0000-000030470000}"/>
    <cellStyle name="Comma 4 59 2 3 2 3" xfId="46602" xr:uid="{00000000-0005-0000-0000-000031470000}"/>
    <cellStyle name="Comma 4 59 2 3 3" xfId="23370" xr:uid="{00000000-0005-0000-0000-000032470000}"/>
    <cellStyle name="Comma 4 59 2 3 4" xfId="38862" xr:uid="{00000000-0005-0000-0000-000033470000}"/>
    <cellStyle name="Comma 4 59 2 4" xfId="11648" xr:uid="{00000000-0005-0000-0000-000034470000}"/>
    <cellStyle name="Comma 4 59 2 4 2" xfId="27240" xr:uid="{00000000-0005-0000-0000-000035470000}"/>
    <cellStyle name="Comma 4 59 2 4 3" xfId="42732" xr:uid="{00000000-0005-0000-0000-000036470000}"/>
    <cellStyle name="Comma 4 59 2 5" xfId="19500" xr:uid="{00000000-0005-0000-0000-000037470000}"/>
    <cellStyle name="Comma 4 59 2 6" xfId="34992" xr:uid="{00000000-0005-0000-0000-000038470000}"/>
    <cellStyle name="Comma 4 59 3" xfId="4881" xr:uid="{00000000-0005-0000-0000-000039470000}"/>
    <cellStyle name="Comma 4 59 3 2" xfId="8752" xr:uid="{00000000-0005-0000-0000-00003A470000}"/>
    <cellStyle name="Comma 4 59 3 2 2" xfId="16497" xr:uid="{00000000-0005-0000-0000-00003B470000}"/>
    <cellStyle name="Comma 4 59 3 2 2 2" xfId="32089" xr:uid="{00000000-0005-0000-0000-00003C470000}"/>
    <cellStyle name="Comma 4 59 3 2 2 3" xfId="47581" xr:uid="{00000000-0005-0000-0000-00003D470000}"/>
    <cellStyle name="Comma 4 59 3 2 3" xfId="24349" xr:uid="{00000000-0005-0000-0000-00003E470000}"/>
    <cellStyle name="Comma 4 59 3 2 4" xfId="39841" xr:uid="{00000000-0005-0000-0000-00003F470000}"/>
    <cellStyle name="Comma 4 59 3 3" xfId="12627" xr:uid="{00000000-0005-0000-0000-000040470000}"/>
    <cellStyle name="Comma 4 59 3 3 2" xfId="28219" xr:uid="{00000000-0005-0000-0000-000041470000}"/>
    <cellStyle name="Comma 4 59 3 3 3" xfId="43711" xr:uid="{00000000-0005-0000-0000-000042470000}"/>
    <cellStyle name="Comma 4 59 3 4" xfId="20479" xr:uid="{00000000-0005-0000-0000-000043470000}"/>
    <cellStyle name="Comma 4 59 3 5" xfId="35971" xr:uid="{00000000-0005-0000-0000-000044470000}"/>
    <cellStyle name="Comma 4 59 4" xfId="6825" xr:uid="{00000000-0005-0000-0000-000045470000}"/>
    <cellStyle name="Comma 4 59 4 2" xfId="14570" xr:uid="{00000000-0005-0000-0000-000046470000}"/>
    <cellStyle name="Comma 4 59 4 2 2" xfId="30162" xr:uid="{00000000-0005-0000-0000-000047470000}"/>
    <cellStyle name="Comma 4 59 4 2 3" xfId="45654" xr:uid="{00000000-0005-0000-0000-000048470000}"/>
    <cellStyle name="Comma 4 59 4 3" xfId="22422" xr:uid="{00000000-0005-0000-0000-000049470000}"/>
    <cellStyle name="Comma 4 59 4 4" xfId="37914" xr:uid="{00000000-0005-0000-0000-00004A470000}"/>
    <cellStyle name="Comma 4 59 5" xfId="10700" xr:uid="{00000000-0005-0000-0000-00004B470000}"/>
    <cellStyle name="Comma 4 59 5 2" xfId="26292" xr:uid="{00000000-0005-0000-0000-00004C470000}"/>
    <cellStyle name="Comma 4 59 5 3" xfId="41784" xr:uid="{00000000-0005-0000-0000-00004D470000}"/>
    <cellStyle name="Comma 4 59 6" xfId="18552" xr:uid="{00000000-0005-0000-0000-00004E470000}"/>
    <cellStyle name="Comma 4 59 7" xfId="34044" xr:uid="{00000000-0005-0000-0000-00004F470000}"/>
    <cellStyle name="Comma 4 6" xfId="1283" xr:uid="{00000000-0005-0000-0000-000050470000}"/>
    <cellStyle name="Comma 4 60" xfId="2922" xr:uid="{00000000-0005-0000-0000-000051470000}"/>
    <cellStyle name="Comma 4 60 2" xfId="3926" xr:uid="{00000000-0005-0000-0000-000052470000}"/>
    <cellStyle name="Comma 4 60 2 2" xfId="5865" xr:uid="{00000000-0005-0000-0000-000053470000}"/>
    <cellStyle name="Comma 4 60 2 2 2" xfId="9736" xr:uid="{00000000-0005-0000-0000-000054470000}"/>
    <cellStyle name="Comma 4 60 2 2 2 2" xfId="17481" xr:uid="{00000000-0005-0000-0000-000055470000}"/>
    <cellStyle name="Comma 4 60 2 2 2 2 2" xfId="33073" xr:uid="{00000000-0005-0000-0000-000056470000}"/>
    <cellStyle name="Comma 4 60 2 2 2 2 3" xfId="48565" xr:uid="{00000000-0005-0000-0000-000057470000}"/>
    <cellStyle name="Comma 4 60 2 2 2 3" xfId="25333" xr:uid="{00000000-0005-0000-0000-000058470000}"/>
    <cellStyle name="Comma 4 60 2 2 2 4" xfId="40825" xr:uid="{00000000-0005-0000-0000-000059470000}"/>
    <cellStyle name="Comma 4 60 2 2 3" xfId="13611" xr:uid="{00000000-0005-0000-0000-00005A470000}"/>
    <cellStyle name="Comma 4 60 2 2 3 2" xfId="29203" xr:uid="{00000000-0005-0000-0000-00005B470000}"/>
    <cellStyle name="Comma 4 60 2 2 3 3" xfId="44695" xr:uid="{00000000-0005-0000-0000-00005C470000}"/>
    <cellStyle name="Comma 4 60 2 2 4" xfId="21463" xr:uid="{00000000-0005-0000-0000-00005D470000}"/>
    <cellStyle name="Comma 4 60 2 2 5" xfId="36955" xr:uid="{00000000-0005-0000-0000-00005E470000}"/>
    <cellStyle name="Comma 4 60 2 3" xfId="7809" xr:uid="{00000000-0005-0000-0000-00005F470000}"/>
    <cellStyle name="Comma 4 60 2 3 2" xfId="15554" xr:uid="{00000000-0005-0000-0000-000060470000}"/>
    <cellStyle name="Comma 4 60 2 3 2 2" xfId="31146" xr:uid="{00000000-0005-0000-0000-000061470000}"/>
    <cellStyle name="Comma 4 60 2 3 2 3" xfId="46638" xr:uid="{00000000-0005-0000-0000-000062470000}"/>
    <cellStyle name="Comma 4 60 2 3 3" xfId="23406" xr:uid="{00000000-0005-0000-0000-000063470000}"/>
    <cellStyle name="Comma 4 60 2 3 4" xfId="38898" xr:uid="{00000000-0005-0000-0000-000064470000}"/>
    <cellStyle name="Comma 4 60 2 4" xfId="11684" xr:uid="{00000000-0005-0000-0000-000065470000}"/>
    <cellStyle name="Comma 4 60 2 4 2" xfId="27276" xr:uid="{00000000-0005-0000-0000-000066470000}"/>
    <cellStyle name="Comma 4 60 2 4 3" xfId="42768" xr:uid="{00000000-0005-0000-0000-000067470000}"/>
    <cellStyle name="Comma 4 60 2 5" xfId="19536" xr:uid="{00000000-0005-0000-0000-000068470000}"/>
    <cellStyle name="Comma 4 60 2 6" xfId="35028" xr:uid="{00000000-0005-0000-0000-000069470000}"/>
    <cellStyle name="Comma 4 60 3" xfId="4917" xr:uid="{00000000-0005-0000-0000-00006A470000}"/>
    <cellStyle name="Comma 4 60 3 2" xfId="8788" xr:uid="{00000000-0005-0000-0000-00006B470000}"/>
    <cellStyle name="Comma 4 60 3 2 2" xfId="16533" xr:uid="{00000000-0005-0000-0000-00006C470000}"/>
    <cellStyle name="Comma 4 60 3 2 2 2" xfId="32125" xr:uid="{00000000-0005-0000-0000-00006D470000}"/>
    <cellStyle name="Comma 4 60 3 2 2 3" xfId="47617" xr:uid="{00000000-0005-0000-0000-00006E470000}"/>
    <cellStyle name="Comma 4 60 3 2 3" xfId="24385" xr:uid="{00000000-0005-0000-0000-00006F470000}"/>
    <cellStyle name="Comma 4 60 3 2 4" xfId="39877" xr:uid="{00000000-0005-0000-0000-000070470000}"/>
    <cellStyle name="Comma 4 60 3 3" xfId="12663" xr:uid="{00000000-0005-0000-0000-000071470000}"/>
    <cellStyle name="Comma 4 60 3 3 2" xfId="28255" xr:uid="{00000000-0005-0000-0000-000072470000}"/>
    <cellStyle name="Comma 4 60 3 3 3" xfId="43747" xr:uid="{00000000-0005-0000-0000-000073470000}"/>
    <cellStyle name="Comma 4 60 3 4" xfId="20515" xr:uid="{00000000-0005-0000-0000-000074470000}"/>
    <cellStyle name="Comma 4 60 3 5" xfId="36007" xr:uid="{00000000-0005-0000-0000-000075470000}"/>
    <cellStyle name="Comma 4 60 4" xfId="6861" xr:uid="{00000000-0005-0000-0000-000076470000}"/>
    <cellStyle name="Comma 4 60 4 2" xfId="14606" xr:uid="{00000000-0005-0000-0000-000077470000}"/>
    <cellStyle name="Comma 4 60 4 2 2" xfId="30198" xr:uid="{00000000-0005-0000-0000-000078470000}"/>
    <cellStyle name="Comma 4 60 4 2 3" xfId="45690" xr:uid="{00000000-0005-0000-0000-000079470000}"/>
    <cellStyle name="Comma 4 60 4 3" xfId="22458" xr:uid="{00000000-0005-0000-0000-00007A470000}"/>
    <cellStyle name="Comma 4 60 4 4" xfId="37950" xr:uid="{00000000-0005-0000-0000-00007B470000}"/>
    <cellStyle name="Comma 4 60 5" xfId="10736" xr:uid="{00000000-0005-0000-0000-00007C470000}"/>
    <cellStyle name="Comma 4 60 5 2" xfId="26328" xr:uid="{00000000-0005-0000-0000-00007D470000}"/>
    <cellStyle name="Comma 4 60 5 3" xfId="41820" xr:uid="{00000000-0005-0000-0000-00007E470000}"/>
    <cellStyle name="Comma 4 60 6" xfId="18588" xr:uid="{00000000-0005-0000-0000-00007F470000}"/>
    <cellStyle name="Comma 4 60 7" xfId="34080" xr:uid="{00000000-0005-0000-0000-000080470000}"/>
    <cellStyle name="Comma 4 61" xfId="2961" xr:uid="{00000000-0005-0000-0000-000081470000}"/>
    <cellStyle name="Comma 4 61 2" xfId="3962" xr:uid="{00000000-0005-0000-0000-000082470000}"/>
    <cellStyle name="Comma 4 61 2 2" xfId="5901" xr:uid="{00000000-0005-0000-0000-000083470000}"/>
    <cellStyle name="Comma 4 61 2 2 2" xfId="9772" xr:uid="{00000000-0005-0000-0000-000084470000}"/>
    <cellStyle name="Comma 4 61 2 2 2 2" xfId="17517" xr:uid="{00000000-0005-0000-0000-000085470000}"/>
    <cellStyle name="Comma 4 61 2 2 2 2 2" xfId="33109" xr:uid="{00000000-0005-0000-0000-000086470000}"/>
    <cellStyle name="Comma 4 61 2 2 2 2 3" xfId="48601" xr:uid="{00000000-0005-0000-0000-000087470000}"/>
    <cellStyle name="Comma 4 61 2 2 2 3" xfId="25369" xr:uid="{00000000-0005-0000-0000-000088470000}"/>
    <cellStyle name="Comma 4 61 2 2 2 4" xfId="40861" xr:uid="{00000000-0005-0000-0000-000089470000}"/>
    <cellStyle name="Comma 4 61 2 2 3" xfId="13647" xr:uid="{00000000-0005-0000-0000-00008A470000}"/>
    <cellStyle name="Comma 4 61 2 2 3 2" xfId="29239" xr:uid="{00000000-0005-0000-0000-00008B470000}"/>
    <cellStyle name="Comma 4 61 2 2 3 3" xfId="44731" xr:uid="{00000000-0005-0000-0000-00008C470000}"/>
    <cellStyle name="Comma 4 61 2 2 4" xfId="21499" xr:uid="{00000000-0005-0000-0000-00008D470000}"/>
    <cellStyle name="Comma 4 61 2 2 5" xfId="36991" xr:uid="{00000000-0005-0000-0000-00008E470000}"/>
    <cellStyle name="Comma 4 61 2 3" xfId="7845" xr:uid="{00000000-0005-0000-0000-00008F470000}"/>
    <cellStyle name="Comma 4 61 2 3 2" xfId="15590" xr:uid="{00000000-0005-0000-0000-000090470000}"/>
    <cellStyle name="Comma 4 61 2 3 2 2" xfId="31182" xr:uid="{00000000-0005-0000-0000-000091470000}"/>
    <cellStyle name="Comma 4 61 2 3 2 3" xfId="46674" xr:uid="{00000000-0005-0000-0000-000092470000}"/>
    <cellStyle name="Comma 4 61 2 3 3" xfId="23442" xr:uid="{00000000-0005-0000-0000-000093470000}"/>
    <cellStyle name="Comma 4 61 2 3 4" xfId="38934" xr:uid="{00000000-0005-0000-0000-000094470000}"/>
    <cellStyle name="Comma 4 61 2 4" xfId="11720" xr:uid="{00000000-0005-0000-0000-000095470000}"/>
    <cellStyle name="Comma 4 61 2 4 2" xfId="27312" xr:uid="{00000000-0005-0000-0000-000096470000}"/>
    <cellStyle name="Comma 4 61 2 4 3" xfId="42804" xr:uid="{00000000-0005-0000-0000-000097470000}"/>
    <cellStyle name="Comma 4 61 2 5" xfId="19572" xr:uid="{00000000-0005-0000-0000-000098470000}"/>
    <cellStyle name="Comma 4 61 2 6" xfId="35064" xr:uid="{00000000-0005-0000-0000-000099470000}"/>
    <cellStyle name="Comma 4 61 3" xfId="4953" xr:uid="{00000000-0005-0000-0000-00009A470000}"/>
    <cellStyle name="Comma 4 61 3 2" xfId="8824" xr:uid="{00000000-0005-0000-0000-00009B470000}"/>
    <cellStyle name="Comma 4 61 3 2 2" xfId="16569" xr:uid="{00000000-0005-0000-0000-00009C470000}"/>
    <cellStyle name="Comma 4 61 3 2 2 2" xfId="32161" xr:uid="{00000000-0005-0000-0000-00009D470000}"/>
    <cellStyle name="Comma 4 61 3 2 2 3" xfId="47653" xr:uid="{00000000-0005-0000-0000-00009E470000}"/>
    <cellStyle name="Comma 4 61 3 2 3" xfId="24421" xr:uid="{00000000-0005-0000-0000-00009F470000}"/>
    <cellStyle name="Comma 4 61 3 2 4" xfId="39913" xr:uid="{00000000-0005-0000-0000-0000A0470000}"/>
    <cellStyle name="Comma 4 61 3 3" xfId="12699" xr:uid="{00000000-0005-0000-0000-0000A1470000}"/>
    <cellStyle name="Comma 4 61 3 3 2" xfId="28291" xr:uid="{00000000-0005-0000-0000-0000A2470000}"/>
    <cellStyle name="Comma 4 61 3 3 3" xfId="43783" xr:uid="{00000000-0005-0000-0000-0000A3470000}"/>
    <cellStyle name="Comma 4 61 3 4" xfId="20551" xr:uid="{00000000-0005-0000-0000-0000A4470000}"/>
    <cellStyle name="Comma 4 61 3 5" xfId="36043" xr:uid="{00000000-0005-0000-0000-0000A5470000}"/>
    <cellStyle name="Comma 4 61 4" xfId="6897" xr:uid="{00000000-0005-0000-0000-0000A6470000}"/>
    <cellStyle name="Comma 4 61 4 2" xfId="14642" xr:uid="{00000000-0005-0000-0000-0000A7470000}"/>
    <cellStyle name="Comma 4 61 4 2 2" xfId="30234" xr:uid="{00000000-0005-0000-0000-0000A8470000}"/>
    <cellStyle name="Comma 4 61 4 2 3" xfId="45726" xr:uid="{00000000-0005-0000-0000-0000A9470000}"/>
    <cellStyle name="Comma 4 61 4 3" xfId="22494" xr:uid="{00000000-0005-0000-0000-0000AA470000}"/>
    <cellStyle name="Comma 4 61 4 4" xfId="37986" xr:uid="{00000000-0005-0000-0000-0000AB470000}"/>
    <cellStyle name="Comma 4 61 5" xfId="10772" xr:uid="{00000000-0005-0000-0000-0000AC470000}"/>
    <cellStyle name="Comma 4 61 5 2" xfId="26364" xr:uid="{00000000-0005-0000-0000-0000AD470000}"/>
    <cellStyle name="Comma 4 61 5 3" xfId="41856" xr:uid="{00000000-0005-0000-0000-0000AE470000}"/>
    <cellStyle name="Comma 4 61 6" xfId="18624" xr:uid="{00000000-0005-0000-0000-0000AF470000}"/>
    <cellStyle name="Comma 4 61 7" xfId="34116" xr:uid="{00000000-0005-0000-0000-0000B0470000}"/>
    <cellStyle name="Comma 4 62" xfId="3001" xr:uid="{00000000-0005-0000-0000-0000B1470000}"/>
    <cellStyle name="Comma 4 62 2" xfId="3998" xr:uid="{00000000-0005-0000-0000-0000B2470000}"/>
    <cellStyle name="Comma 4 62 2 2" xfId="5937" xr:uid="{00000000-0005-0000-0000-0000B3470000}"/>
    <cellStyle name="Comma 4 62 2 2 2" xfId="9808" xr:uid="{00000000-0005-0000-0000-0000B4470000}"/>
    <cellStyle name="Comma 4 62 2 2 2 2" xfId="17553" xr:uid="{00000000-0005-0000-0000-0000B5470000}"/>
    <cellStyle name="Comma 4 62 2 2 2 2 2" xfId="33145" xr:uid="{00000000-0005-0000-0000-0000B6470000}"/>
    <cellStyle name="Comma 4 62 2 2 2 2 3" xfId="48637" xr:uid="{00000000-0005-0000-0000-0000B7470000}"/>
    <cellStyle name="Comma 4 62 2 2 2 3" xfId="25405" xr:uid="{00000000-0005-0000-0000-0000B8470000}"/>
    <cellStyle name="Comma 4 62 2 2 2 4" xfId="40897" xr:uid="{00000000-0005-0000-0000-0000B9470000}"/>
    <cellStyle name="Comma 4 62 2 2 3" xfId="13683" xr:uid="{00000000-0005-0000-0000-0000BA470000}"/>
    <cellStyle name="Comma 4 62 2 2 3 2" xfId="29275" xr:uid="{00000000-0005-0000-0000-0000BB470000}"/>
    <cellStyle name="Comma 4 62 2 2 3 3" xfId="44767" xr:uid="{00000000-0005-0000-0000-0000BC470000}"/>
    <cellStyle name="Comma 4 62 2 2 4" xfId="21535" xr:uid="{00000000-0005-0000-0000-0000BD470000}"/>
    <cellStyle name="Comma 4 62 2 2 5" xfId="37027" xr:uid="{00000000-0005-0000-0000-0000BE470000}"/>
    <cellStyle name="Comma 4 62 2 3" xfId="7881" xr:uid="{00000000-0005-0000-0000-0000BF470000}"/>
    <cellStyle name="Comma 4 62 2 3 2" xfId="15626" xr:uid="{00000000-0005-0000-0000-0000C0470000}"/>
    <cellStyle name="Comma 4 62 2 3 2 2" xfId="31218" xr:uid="{00000000-0005-0000-0000-0000C1470000}"/>
    <cellStyle name="Comma 4 62 2 3 2 3" xfId="46710" xr:uid="{00000000-0005-0000-0000-0000C2470000}"/>
    <cellStyle name="Comma 4 62 2 3 3" xfId="23478" xr:uid="{00000000-0005-0000-0000-0000C3470000}"/>
    <cellStyle name="Comma 4 62 2 3 4" xfId="38970" xr:uid="{00000000-0005-0000-0000-0000C4470000}"/>
    <cellStyle name="Comma 4 62 2 4" xfId="11756" xr:uid="{00000000-0005-0000-0000-0000C5470000}"/>
    <cellStyle name="Comma 4 62 2 4 2" xfId="27348" xr:uid="{00000000-0005-0000-0000-0000C6470000}"/>
    <cellStyle name="Comma 4 62 2 4 3" xfId="42840" xr:uid="{00000000-0005-0000-0000-0000C7470000}"/>
    <cellStyle name="Comma 4 62 2 5" xfId="19608" xr:uid="{00000000-0005-0000-0000-0000C8470000}"/>
    <cellStyle name="Comma 4 62 2 6" xfId="35100" xr:uid="{00000000-0005-0000-0000-0000C9470000}"/>
    <cellStyle name="Comma 4 62 3" xfId="4989" xr:uid="{00000000-0005-0000-0000-0000CA470000}"/>
    <cellStyle name="Comma 4 62 3 2" xfId="8860" xr:uid="{00000000-0005-0000-0000-0000CB470000}"/>
    <cellStyle name="Comma 4 62 3 2 2" xfId="16605" xr:uid="{00000000-0005-0000-0000-0000CC470000}"/>
    <cellStyle name="Comma 4 62 3 2 2 2" xfId="32197" xr:uid="{00000000-0005-0000-0000-0000CD470000}"/>
    <cellStyle name="Comma 4 62 3 2 2 3" xfId="47689" xr:uid="{00000000-0005-0000-0000-0000CE470000}"/>
    <cellStyle name="Comma 4 62 3 2 3" xfId="24457" xr:uid="{00000000-0005-0000-0000-0000CF470000}"/>
    <cellStyle name="Comma 4 62 3 2 4" xfId="39949" xr:uid="{00000000-0005-0000-0000-0000D0470000}"/>
    <cellStyle name="Comma 4 62 3 3" xfId="12735" xr:uid="{00000000-0005-0000-0000-0000D1470000}"/>
    <cellStyle name="Comma 4 62 3 3 2" xfId="28327" xr:uid="{00000000-0005-0000-0000-0000D2470000}"/>
    <cellStyle name="Comma 4 62 3 3 3" xfId="43819" xr:uid="{00000000-0005-0000-0000-0000D3470000}"/>
    <cellStyle name="Comma 4 62 3 4" xfId="20587" xr:uid="{00000000-0005-0000-0000-0000D4470000}"/>
    <cellStyle name="Comma 4 62 3 5" xfId="36079" xr:uid="{00000000-0005-0000-0000-0000D5470000}"/>
    <cellStyle name="Comma 4 62 4" xfId="6933" xr:uid="{00000000-0005-0000-0000-0000D6470000}"/>
    <cellStyle name="Comma 4 62 4 2" xfId="14678" xr:uid="{00000000-0005-0000-0000-0000D7470000}"/>
    <cellStyle name="Comma 4 62 4 2 2" xfId="30270" xr:uid="{00000000-0005-0000-0000-0000D8470000}"/>
    <cellStyle name="Comma 4 62 4 2 3" xfId="45762" xr:uid="{00000000-0005-0000-0000-0000D9470000}"/>
    <cellStyle name="Comma 4 62 4 3" xfId="22530" xr:uid="{00000000-0005-0000-0000-0000DA470000}"/>
    <cellStyle name="Comma 4 62 4 4" xfId="38022" xr:uid="{00000000-0005-0000-0000-0000DB470000}"/>
    <cellStyle name="Comma 4 62 5" xfId="10808" xr:uid="{00000000-0005-0000-0000-0000DC470000}"/>
    <cellStyle name="Comma 4 62 5 2" xfId="26400" xr:uid="{00000000-0005-0000-0000-0000DD470000}"/>
    <cellStyle name="Comma 4 62 5 3" xfId="41892" xr:uid="{00000000-0005-0000-0000-0000DE470000}"/>
    <cellStyle name="Comma 4 62 6" xfId="18660" xr:uid="{00000000-0005-0000-0000-0000DF470000}"/>
    <cellStyle name="Comma 4 62 7" xfId="34152" xr:uid="{00000000-0005-0000-0000-0000E0470000}"/>
    <cellStyle name="Comma 4 63" xfId="3039" xr:uid="{00000000-0005-0000-0000-0000E1470000}"/>
    <cellStyle name="Comma 4 63 2" xfId="4034" xr:uid="{00000000-0005-0000-0000-0000E2470000}"/>
    <cellStyle name="Comma 4 63 2 2" xfId="5973" xr:uid="{00000000-0005-0000-0000-0000E3470000}"/>
    <cellStyle name="Comma 4 63 2 2 2" xfId="9844" xr:uid="{00000000-0005-0000-0000-0000E4470000}"/>
    <cellStyle name="Comma 4 63 2 2 2 2" xfId="17589" xr:uid="{00000000-0005-0000-0000-0000E5470000}"/>
    <cellStyle name="Comma 4 63 2 2 2 2 2" xfId="33181" xr:uid="{00000000-0005-0000-0000-0000E6470000}"/>
    <cellStyle name="Comma 4 63 2 2 2 2 3" xfId="48673" xr:uid="{00000000-0005-0000-0000-0000E7470000}"/>
    <cellStyle name="Comma 4 63 2 2 2 3" xfId="25441" xr:uid="{00000000-0005-0000-0000-0000E8470000}"/>
    <cellStyle name="Comma 4 63 2 2 2 4" xfId="40933" xr:uid="{00000000-0005-0000-0000-0000E9470000}"/>
    <cellStyle name="Comma 4 63 2 2 3" xfId="13719" xr:uid="{00000000-0005-0000-0000-0000EA470000}"/>
    <cellStyle name="Comma 4 63 2 2 3 2" xfId="29311" xr:uid="{00000000-0005-0000-0000-0000EB470000}"/>
    <cellStyle name="Comma 4 63 2 2 3 3" xfId="44803" xr:uid="{00000000-0005-0000-0000-0000EC470000}"/>
    <cellStyle name="Comma 4 63 2 2 4" xfId="21571" xr:uid="{00000000-0005-0000-0000-0000ED470000}"/>
    <cellStyle name="Comma 4 63 2 2 5" xfId="37063" xr:uid="{00000000-0005-0000-0000-0000EE470000}"/>
    <cellStyle name="Comma 4 63 2 3" xfId="7917" xr:uid="{00000000-0005-0000-0000-0000EF470000}"/>
    <cellStyle name="Comma 4 63 2 3 2" xfId="15662" xr:uid="{00000000-0005-0000-0000-0000F0470000}"/>
    <cellStyle name="Comma 4 63 2 3 2 2" xfId="31254" xr:uid="{00000000-0005-0000-0000-0000F1470000}"/>
    <cellStyle name="Comma 4 63 2 3 2 3" xfId="46746" xr:uid="{00000000-0005-0000-0000-0000F2470000}"/>
    <cellStyle name="Comma 4 63 2 3 3" xfId="23514" xr:uid="{00000000-0005-0000-0000-0000F3470000}"/>
    <cellStyle name="Comma 4 63 2 3 4" xfId="39006" xr:uid="{00000000-0005-0000-0000-0000F4470000}"/>
    <cellStyle name="Comma 4 63 2 4" xfId="11792" xr:uid="{00000000-0005-0000-0000-0000F5470000}"/>
    <cellStyle name="Comma 4 63 2 4 2" xfId="27384" xr:uid="{00000000-0005-0000-0000-0000F6470000}"/>
    <cellStyle name="Comma 4 63 2 4 3" xfId="42876" xr:uid="{00000000-0005-0000-0000-0000F7470000}"/>
    <cellStyle name="Comma 4 63 2 5" xfId="19644" xr:uid="{00000000-0005-0000-0000-0000F8470000}"/>
    <cellStyle name="Comma 4 63 2 6" xfId="35136" xr:uid="{00000000-0005-0000-0000-0000F9470000}"/>
    <cellStyle name="Comma 4 63 3" xfId="5025" xr:uid="{00000000-0005-0000-0000-0000FA470000}"/>
    <cellStyle name="Comma 4 63 3 2" xfId="8896" xr:uid="{00000000-0005-0000-0000-0000FB470000}"/>
    <cellStyle name="Comma 4 63 3 2 2" xfId="16641" xr:uid="{00000000-0005-0000-0000-0000FC470000}"/>
    <cellStyle name="Comma 4 63 3 2 2 2" xfId="32233" xr:uid="{00000000-0005-0000-0000-0000FD470000}"/>
    <cellStyle name="Comma 4 63 3 2 2 3" xfId="47725" xr:uid="{00000000-0005-0000-0000-0000FE470000}"/>
    <cellStyle name="Comma 4 63 3 2 3" xfId="24493" xr:uid="{00000000-0005-0000-0000-0000FF470000}"/>
    <cellStyle name="Comma 4 63 3 2 4" xfId="39985" xr:uid="{00000000-0005-0000-0000-000000480000}"/>
    <cellStyle name="Comma 4 63 3 3" xfId="12771" xr:uid="{00000000-0005-0000-0000-000001480000}"/>
    <cellStyle name="Comma 4 63 3 3 2" xfId="28363" xr:uid="{00000000-0005-0000-0000-000002480000}"/>
    <cellStyle name="Comma 4 63 3 3 3" xfId="43855" xr:uid="{00000000-0005-0000-0000-000003480000}"/>
    <cellStyle name="Comma 4 63 3 4" xfId="20623" xr:uid="{00000000-0005-0000-0000-000004480000}"/>
    <cellStyle name="Comma 4 63 3 5" xfId="36115" xr:uid="{00000000-0005-0000-0000-000005480000}"/>
    <cellStyle name="Comma 4 63 4" xfId="6969" xr:uid="{00000000-0005-0000-0000-000006480000}"/>
    <cellStyle name="Comma 4 63 4 2" xfId="14714" xr:uid="{00000000-0005-0000-0000-000007480000}"/>
    <cellStyle name="Comma 4 63 4 2 2" xfId="30306" xr:uid="{00000000-0005-0000-0000-000008480000}"/>
    <cellStyle name="Comma 4 63 4 2 3" xfId="45798" xr:uid="{00000000-0005-0000-0000-000009480000}"/>
    <cellStyle name="Comma 4 63 4 3" xfId="22566" xr:uid="{00000000-0005-0000-0000-00000A480000}"/>
    <cellStyle name="Comma 4 63 4 4" xfId="38058" xr:uid="{00000000-0005-0000-0000-00000B480000}"/>
    <cellStyle name="Comma 4 63 5" xfId="10844" xr:uid="{00000000-0005-0000-0000-00000C480000}"/>
    <cellStyle name="Comma 4 63 5 2" xfId="26436" xr:uid="{00000000-0005-0000-0000-00000D480000}"/>
    <cellStyle name="Comma 4 63 5 3" xfId="41928" xr:uid="{00000000-0005-0000-0000-00000E480000}"/>
    <cellStyle name="Comma 4 63 6" xfId="18696" xr:uid="{00000000-0005-0000-0000-00000F480000}"/>
    <cellStyle name="Comma 4 63 7" xfId="34188" xr:uid="{00000000-0005-0000-0000-000010480000}"/>
    <cellStyle name="Comma 4 64" xfId="3076" xr:uid="{00000000-0005-0000-0000-000011480000}"/>
    <cellStyle name="Comma 4 64 2" xfId="4070" xr:uid="{00000000-0005-0000-0000-000012480000}"/>
    <cellStyle name="Comma 4 64 2 2" xfId="6009" xr:uid="{00000000-0005-0000-0000-000013480000}"/>
    <cellStyle name="Comma 4 64 2 2 2" xfId="9880" xr:uid="{00000000-0005-0000-0000-000014480000}"/>
    <cellStyle name="Comma 4 64 2 2 2 2" xfId="17625" xr:uid="{00000000-0005-0000-0000-000015480000}"/>
    <cellStyle name="Comma 4 64 2 2 2 2 2" xfId="33217" xr:uid="{00000000-0005-0000-0000-000016480000}"/>
    <cellStyle name="Comma 4 64 2 2 2 2 3" xfId="48709" xr:uid="{00000000-0005-0000-0000-000017480000}"/>
    <cellStyle name="Comma 4 64 2 2 2 3" xfId="25477" xr:uid="{00000000-0005-0000-0000-000018480000}"/>
    <cellStyle name="Comma 4 64 2 2 2 4" xfId="40969" xr:uid="{00000000-0005-0000-0000-000019480000}"/>
    <cellStyle name="Comma 4 64 2 2 3" xfId="13755" xr:uid="{00000000-0005-0000-0000-00001A480000}"/>
    <cellStyle name="Comma 4 64 2 2 3 2" xfId="29347" xr:uid="{00000000-0005-0000-0000-00001B480000}"/>
    <cellStyle name="Comma 4 64 2 2 3 3" xfId="44839" xr:uid="{00000000-0005-0000-0000-00001C480000}"/>
    <cellStyle name="Comma 4 64 2 2 4" xfId="21607" xr:uid="{00000000-0005-0000-0000-00001D480000}"/>
    <cellStyle name="Comma 4 64 2 2 5" xfId="37099" xr:uid="{00000000-0005-0000-0000-00001E480000}"/>
    <cellStyle name="Comma 4 64 2 3" xfId="7953" xr:uid="{00000000-0005-0000-0000-00001F480000}"/>
    <cellStyle name="Comma 4 64 2 3 2" xfId="15698" xr:uid="{00000000-0005-0000-0000-000020480000}"/>
    <cellStyle name="Comma 4 64 2 3 2 2" xfId="31290" xr:uid="{00000000-0005-0000-0000-000021480000}"/>
    <cellStyle name="Comma 4 64 2 3 2 3" xfId="46782" xr:uid="{00000000-0005-0000-0000-000022480000}"/>
    <cellStyle name="Comma 4 64 2 3 3" xfId="23550" xr:uid="{00000000-0005-0000-0000-000023480000}"/>
    <cellStyle name="Comma 4 64 2 3 4" xfId="39042" xr:uid="{00000000-0005-0000-0000-000024480000}"/>
    <cellStyle name="Comma 4 64 2 4" xfId="11828" xr:uid="{00000000-0005-0000-0000-000025480000}"/>
    <cellStyle name="Comma 4 64 2 4 2" xfId="27420" xr:uid="{00000000-0005-0000-0000-000026480000}"/>
    <cellStyle name="Comma 4 64 2 4 3" xfId="42912" xr:uid="{00000000-0005-0000-0000-000027480000}"/>
    <cellStyle name="Comma 4 64 2 5" xfId="19680" xr:uid="{00000000-0005-0000-0000-000028480000}"/>
    <cellStyle name="Comma 4 64 2 6" xfId="35172" xr:uid="{00000000-0005-0000-0000-000029480000}"/>
    <cellStyle name="Comma 4 64 3" xfId="5061" xr:uid="{00000000-0005-0000-0000-00002A480000}"/>
    <cellStyle name="Comma 4 64 3 2" xfId="8932" xr:uid="{00000000-0005-0000-0000-00002B480000}"/>
    <cellStyle name="Comma 4 64 3 2 2" xfId="16677" xr:uid="{00000000-0005-0000-0000-00002C480000}"/>
    <cellStyle name="Comma 4 64 3 2 2 2" xfId="32269" xr:uid="{00000000-0005-0000-0000-00002D480000}"/>
    <cellStyle name="Comma 4 64 3 2 2 3" xfId="47761" xr:uid="{00000000-0005-0000-0000-00002E480000}"/>
    <cellStyle name="Comma 4 64 3 2 3" xfId="24529" xr:uid="{00000000-0005-0000-0000-00002F480000}"/>
    <cellStyle name="Comma 4 64 3 2 4" xfId="40021" xr:uid="{00000000-0005-0000-0000-000030480000}"/>
    <cellStyle name="Comma 4 64 3 3" xfId="12807" xr:uid="{00000000-0005-0000-0000-000031480000}"/>
    <cellStyle name="Comma 4 64 3 3 2" xfId="28399" xr:uid="{00000000-0005-0000-0000-000032480000}"/>
    <cellStyle name="Comma 4 64 3 3 3" xfId="43891" xr:uid="{00000000-0005-0000-0000-000033480000}"/>
    <cellStyle name="Comma 4 64 3 4" xfId="20659" xr:uid="{00000000-0005-0000-0000-000034480000}"/>
    <cellStyle name="Comma 4 64 3 5" xfId="36151" xr:uid="{00000000-0005-0000-0000-000035480000}"/>
    <cellStyle name="Comma 4 64 4" xfId="7005" xr:uid="{00000000-0005-0000-0000-000036480000}"/>
    <cellStyle name="Comma 4 64 4 2" xfId="14750" xr:uid="{00000000-0005-0000-0000-000037480000}"/>
    <cellStyle name="Comma 4 64 4 2 2" xfId="30342" xr:uid="{00000000-0005-0000-0000-000038480000}"/>
    <cellStyle name="Comma 4 64 4 2 3" xfId="45834" xr:uid="{00000000-0005-0000-0000-000039480000}"/>
    <cellStyle name="Comma 4 64 4 3" xfId="22602" xr:uid="{00000000-0005-0000-0000-00003A480000}"/>
    <cellStyle name="Comma 4 64 4 4" xfId="38094" xr:uid="{00000000-0005-0000-0000-00003B480000}"/>
    <cellStyle name="Comma 4 64 5" xfId="10880" xr:uid="{00000000-0005-0000-0000-00003C480000}"/>
    <cellStyle name="Comma 4 64 5 2" xfId="26472" xr:uid="{00000000-0005-0000-0000-00003D480000}"/>
    <cellStyle name="Comma 4 64 5 3" xfId="41964" xr:uid="{00000000-0005-0000-0000-00003E480000}"/>
    <cellStyle name="Comma 4 64 6" xfId="18732" xr:uid="{00000000-0005-0000-0000-00003F480000}"/>
    <cellStyle name="Comma 4 64 7" xfId="34224" xr:uid="{00000000-0005-0000-0000-000040480000}"/>
    <cellStyle name="Comma 4 65" xfId="3123" xr:uid="{00000000-0005-0000-0000-000041480000}"/>
    <cellStyle name="Comma 4 65 2" xfId="4106" xr:uid="{00000000-0005-0000-0000-000042480000}"/>
    <cellStyle name="Comma 4 65 2 2" xfId="6045" xr:uid="{00000000-0005-0000-0000-000043480000}"/>
    <cellStyle name="Comma 4 65 2 2 2" xfId="9916" xr:uid="{00000000-0005-0000-0000-000044480000}"/>
    <cellStyle name="Comma 4 65 2 2 2 2" xfId="17661" xr:uid="{00000000-0005-0000-0000-000045480000}"/>
    <cellStyle name="Comma 4 65 2 2 2 2 2" xfId="33253" xr:uid="{00000000-0005-0000-0000-000046480000}"/>
    <cellStyle name="Comma 4 65 2 2 2 2 3" xfId="48745" xr:uid="{00000000-0005-0000-0000-000047480000}"/>
    <cellStyle name="Comma 4 65 2 2 2 3" xfId="25513" xr:uid="{00000000-0005-0000-0000-000048480000}"/>
    <cellStyle name="Comma 4 65 2 2 2 4" xfId="41005" xr:uid="{00000000-0005-0000-0000-000049480000}"/>
    <cellStyle name="Comma 4 65 2 2 3" xfId="13791" xr:uid="{00000000-0005-0000-0000-00004A480000}"/>
    <cellStyle name="Comma 4 65 2 2 3 2" xfId="29383" xr:uid="{00000000-0005-0000-0000-00004B480000}"/>
    <cellStyle name="Comma 4 65 2 2 3 3" xfId="44875" xr:uid="{00000000-0005-0000-0000-00004C480000}"/>
    <cellStyle name="Comma 4 65 2 2 4" xfId="21643" xr:uid="{00000000-0005-0000-0000-00004D480000}"/>
    <cellStyle name="Comma 4 65 2 2 5" xfId="37135" xr:uid="{00000000-0005-0000-0000-00004E480000}"/>
    <cellStyle name="Comma 4 65 2 3" xfId="7989" xr:uid="{00000000-0005-0000-0000-00004F480000}"/>
    <cellStyle name="Comma 4 65 2 3 2" xfId="15734" xr:uid="{00000000-0005-0000-0000-000050480000}"/>
    <cellStyle name="Comma 4 65 2 3 2 2" xfId="31326" xr:uid="{00000000-0005-0000-0000-000051480000}"/>
    <cellStyle name="Comma 4 65 2 3 2 3" xfId="46818" xr:uid="{00000000-0005-0000-0000-000052480000}"/>
    <cellStyle name="Comma 4 65 2 3 3" xfId="23586" xr:uid="{00000000-0005-0000-0000-000053480000}"/>
    <cellStyle name="Comma 4 65 2 3 4" xfId="39078" xr:uid="{00000000-0005-0000-0000-000054480000}"/>
    <cellStyle name="Comma 4 65 2 4" xfId="11864" xr:uid="{00000000-0005-0000-0000-000055480000}"/>
    <cellStyle name="Comma 4 65 2 4 2" xfId="27456" xr:uid="{00000000-0005-0000-0000-000056480000}"/>
    <cellStyle name="Comma 4 65 2 4 3" xfId="42948" xr:uid="{00000000-0005-0000-0000-000057480000}"/>
    <cellStyle name="Comma 4 65 2 5" xfId="19716" xr:uid="{00000000-0005-0000-0000-000058480000}"/>
    <cellStyle name="Comma 4 65 2 6" xfId="35208" xr:uid="{00000000-0005-0000-0000-000059480000}"/>
    <cellStyle name="Comma 4 65 3" xfId="5097" xr:uid="{00000000-0005-0000-0000-00005A480000}"/>
    <cellStyle name="Comma 4 65 3 2" xfId="8968" xr:uid="{00000000-0005-0000-0000-00005B480000}"/>
    <cellStyle name="Comma 4 65 3 2 2" xfId="16713" xr:uid="{00000000-0005-0000-0000-00005C480000}"/>
    <cellStyle name="Comma 4 65 3 2 2 2" xfId="32305" xr:uid="{00000000-0005-0000-0000-00005D480000}"/>
    <cellStyle name="Comma 4 65 3 2 2 3" xfId="47797" xr:uid="{00000000-0005-0000-0000-00005E480000}"/>
    <cellStyle name="Comma 4 65 3 2 3" xfId="24565" xr:uid="{00000000-0005-0000-0000-00005F480000}"/>
    <cellStyle name="Comma 4 65 3 2 4" xfId="40057" xr:uid="{00000000-0005-0000-0000-000060480000}"/>
    <cellStyle name="Comma 4 65 3 3" xfId="12843" xr:uid="{00000000-0005-0000-0000-000061480000}"/>
    <cellStyle name="Comma 4 65 3 3 2" xfId="28435" xr:uid="{00000000-0005-0000-0000-000062480000}"/>
    <cellStyle name="Comma 4 65 3 3 3" xfId="43927" xr:uid="{00000000-0005-0000-0000-000063480000}"/>
    <cellStyle name="Comma 4 65 3 4" xfId="20695" xr:uid="{00000000-0005-0000-0000-000064480000}"/>
    <cellStyle name="Comma 4 65 3 5" xfId="36187" xr:uid="{00000000-0005-0000-0000-000065480000}"/>
    <cellStyle name="Comma 4 65 4" xfId="7041" xr:uid="{00000000-0005-0000-0000-000066480000}"/>
    <cellStyle name="Comma 4 65 4 2" xfId="14786" xr:uid="{00000000-0005-0000-0000-000067480000}"/>
    <cellStyle name="Comma 4 65 4 2 2" xfId="30378" xr:uid="{00000000-0005-0000-0000-000068480000}"/>
    <cellStyle name="Comma 4 65 4 2 3" xfId="45870" xr:uid="{00000000-0005-0000-0000-000069480000}"/>
    <cellStyle name="Comma 4 65 4 3" xfId="22638" xr:uid="{00000000-0005-0000-0000-00006A480000}"/>
    <cellStyle name="Comma 4 65 4 4" xfId="38130" xr:uid="{00000000-0005-0000-0000-00006B480000}"/>
    <cellStyle name="Comma 4 65 5" xfId="10916" xr:uid="{00000000-0005-0000-0000-00006C480000}"/>
    <cellStyle name="Comma 4 65 5 2" xfId="26508" xr:uid="{00000000-0005-0000-0000-00006D480000}"/>
    <cellStyle name="Comma 4 65 5 3" xfId="42000" xr:uid="{00000000-0005-0000-0000-00006E480000}"/>
    <cellStyle name="Comma 4 65 6" xfId="18768" xr:uid="{00000000-0005-0000-0000-00006F480000}"/>
    <cellStyle name="Comma 4 65 7" xfId="34260" xr:uid="{00000000-0005-0000-0000-000070480000}"/>
    <cellStyle name="Comma 4 66" xfId="48837" xr:uid="{00000000-0005-0000-0000-000071480000}"/>
    <cellStyle name="Comma 4 7" xfId="1284" xr:uid="{00000000-0005-0000-0000-000072480000}"/>
    <cellStyle name="Comma 4 8" xfId="1285" xr:uid="{00000000-0005-0000-0000-000073480000}"/>
    <cellStyle name="Comma 4 9" xfId="1286" xr:uid="{00000000-0005-0000-0000-000074480000}"/>
    <cellStyle name="Comma 40" xfId="1287" xr:uid="{00000000-0005-0000-0000-000075480000}"/>
    <cellStyle name="Comma 41" xfId="1288" xr:uid="{00000000-0005-0000-0000-000076480000}"/>
    <cellStyle name="Comma 42" xfId="1289" xr:uid="{00000000-0005-0000-0000-000077480000}"/>
    <cellStyle name="Comma 43" xfId="1290" xr:uid="{00000000-0005-0000-0000-000078480000}"/>
    <cellStyle name="Comma 44" xfId="1291" xr:uid="{00000000-0005-0000-0000-000079480000}"/>
    <cellStyle name="Comma 45" xfId="1292" xr:uid="{00000000-0005-0000-0000-00007A480000}"/>
    <cellStyle name="Comma 46" xfId="1293" xr:uid="{00000000-0005-0000-0000-00007B480000}"/>
    <cellStyle name="Comma 47" xfId="1294" xr:uid="{00000000-0005-0000-0000-00007C480000}"/>
    <cellStyle name="Comma 48" xfId="1295" xr:uid="{00000000-0005-0000-0000-00007D480000}"/>
    <cellStyle name="Comma 49" xfId="1296" xr:uid="{00000000-0005-0000-0000-00007E480000}"/>
    <cellStyle name="Comma 5" xfId="1297" xr:uid="{00000000-0005-0000-0000-00007F480000}"/>
    <cellStyle name="Comma 5 10" xfId="1298" xr:uid="{00000000-0005-0000-0000-000080480000}"/>
    <cellStyle name="Comma 5 11" xfId="1299" xr:uid="{00000000-0005-0000-0000-000081480000}"/>
    <cellStyle name="Comma 5 12" xfId="1300" xr:uid="{00000000-0005-0000-0000-000082480000}"/>
    <cellStyle name="Comma 5 13" xfId="1301" xr:uid="{00000000-0005-0000-0000-000083480000}"/>
    <cellStyle name="Comma 5 14" xfId="1302" xr:uid="{00000000-0005-0000-0000-000084480000}"/>
    <cellStyle name="Comma 5 15" xfId="1303" xr:uid="{00000000-0005-0000-0000-000085480000}"/>
    <cellStyle name="Comma 5 16" xfId="1304" xr:uid="{00000000-0005-0000-0000-000086480000}"/>
    <cellStyle name="Comma 5 17" xfId="1305" xr:uid="{00000000-0005-0000-0000-000087480000}"/>
    <cellStyle name="Comma 5 18" xfId="1306" xr:uid="{00000000-0005-0000-0000-000088480000}"/>
    <cellStyle name="Comma 5 19" xfId="1307" xr:uid="{00000000-0005-0000-0000-000089480000}"/>
    <cellStyle name="Comma 5 2" xfId="1308" xr:uid="{00000000-0005-0000-0000-00008A480000}"/>
    <cellStyle name="Comma 5 2 2" xfId="1309" xr:uid="{00000000-0005-0000-0000-00008B480000}"/>
    <cellStyle name="Comma 5 2 3" xfId="17737" xr:uid="{00000000-0005-0000-0000-00008C480000}"/>
    <cellStyle name="Comma 5 2 3 2" xfId="48979" xr:uid="{00000000-0005-0000-0000-00008D480000}"/>
    <cellStyle name="Comma 5 2 4" xfId="17750" xr:uid="{00000000-0005-0000-0000-00008E480000}"/>
    <cellStyle name="Comma 5 20" xfId="1310" xr:uid="{00000000-0005-0000-0000-00008F480000}"/>
    <cellStyle name="Comma 5 21" xfId="1311" xr:uid="{00000000-0005-0000-0000-000090480000}"/>
    <cellStyle name="Comma 5 22" xfId="1312" xr:uid="{00000000-0005-0000-0000-000091480000}"/>
    <cellStyle name="Comma 5 23" xfId="1313" xr:uid="{00000000-0005-0000-0000-000092480000}"/>
    <cellStyle name="Comma 5 24" xfId="1314" xr:uid="{00000000-0005-0000-0000-000093480000}"/>
    <cellStyle name="Comma 5 25" xfId="1315" xr:uid="{00000000-0005-0000-0000-000094480000}"/>
    <cellStyle name="Comma 5 26" xfId="1316" xr:uid="{00000000-0005-0000-0000-000095480000}"/>
    <cellStyle name="Comma 5 27" xfId="1317" xr:uid="{00000000-0005-0000-0000-000096480000}"/>
    <cellStyle name="Comma 5 28" xfId="2181" xr:uid="{00000000-0005-0000-0000-000097480000}"/>
    <cellStyle name="Comma 5 29" xfId="2946" xr:uid="{00000000-0005-0000-0000-000098480000}"/>
    <cellStyle name="Comma 5 3" xfId="1318" xr:uid="{00000000-0005-0000-0000-000099480000}"/>
    <cellStyle name="Comma 5 3 2" xfId="17741" xr:uid="{00000000-0005-0000-0000-00009A480000}"/>
    <cellStyle name="Comma 5 3 3" xfId="17777" xr:uid="{00000000-0005-0000-0000-00009B480000}"/>
    <cellStyle name="Comma 5 4" xfId="1319" xr:uid="{00000000-0005-0000-0000-00009C480000}"/>
    <cellStyle name="Comma 5 5" xfId="1320" xr:uid="{00000000-0005-0000-0000-00009D480000}"/>
    <cellStyle name="Comma 5 6" xfId="1321" xr:uid="{00000000-0005-0000-0000-00009E480000}"/>
    <cellStyle name="Comma 5 6 10" xfId="1322" xr:uid="{00000000-0005-0000-0000-00009F480000}"/>
    <cellStyle name="Comma 5 6 11" xfId="1323" xr:uid="{00000000-0005-0000-0000-0000A0480000}"/>
    <cellStyle name="Comma 5 6 12" xfId="1324" xr:uid="{00000000-0005-0000-0000-0000A1480000}"/>
    <cellStyle name="Comma 5 6 13" xfId="1325" xr:uid="{00000000-0005-0000-0000-0000A2480000}"/>
    <cellStyle name="Comma 5 6 2" xfId="1326" xr:uid="{00000000-0005-0000-0000-0000A3480000}"/>
    <cellStyle name="Comma 5 6 2 2" xfId="1327" xr:uid="{00000000-0005-0000-0000-0000A4480000}"/>
    <cellStyle name="Comma 5 6 3" xfId="1328" xr:uid="{00000000-0005-0000-0000-0000A5480000}"/>
    <cellStyle name="Comma 5 6 4" xfId="1329" xr:uid="{00000000-0005-0000-0000-0000A6480000}"/>
    <cellStyle name="Comma 5 6 5" xfId="1330" xr:uid="{00000000-0005-0000-0000-0000A7480000}"/>
    <cellStyle name="Comma 5 6 6" xfId="1331" xr:uid="{00000000-0005-0000-0000-0000A8480000}"/>
    <cellStyle name="Comma 5 6 7" xfId="1332" xr:uid="{00000000-0005-0000-0000-0000A9480000}"/>
    <cellStyle name="Comma 5 6 8" xfId="1333" xr:uid="{00000000-0005-0000-0000-0000AA480000}"/>
    <cellStyle name="Comma 5 6 9" xfId="1334" xr:uid="{00000000-0005-0000-0000-0000AB480000}"/>
    <cellStyle name="Comma 5 7" xfId="1335" xr:uid="{00000000-0005-0000-0000-0000AC480000}"/>
    <cellStyle name="Comma 5 8" xfId="1336" xr:uid="{00000000-0005-0000-0000-0000AD480000}"/>
    <cellStyle name="Comma 5 9" xfId="1337" xr:uid="{00000000-0005-0000-0000-0000AE480000}"/>
    <cellStyle name="Comma 50" xfId="1338" xr:uid="{00000000-0005-0000-0000-0000AF480000}"/>
    <cellStyle name="Comma 51" xfId="1339" xr:uid="{00000000-0005-0000-0000-0000B0480000}"/>
    <cellStyle name="Comma 52" xfId="1340" xr:uid="{00000000-0005-0000-0000-0000B1480000}"/>
    <cellStyle name="Comma 53" xfId="1341" xr:uid="{00000000-0005-0000-0000-0000B2480000}"/>
    <cellStyle name="Comma 54" xfId="1342" xr:uid="{00000000-0005-0000-0000-0000B3480000}"/>
    <cellStyle name="Comma 55" xfId="1343" xr:uid="{00000000-0005-0000-0000-0000B4480000}"/>
    <cellStyle name="Comma 56" xfId="1344" xr:uid="{00000000-0005-0000-0000-0000B5480000}"/>
    <cellStyle name="Comma 57" xfId="1345" xr:uid="{00000000-0005-0000-0000-0000B6480000}"/>
    <cellStyle name="Comma 58" xfId="1346" xr:uid="{00000000-0005-0000-0000-0000B7480000}"/>
    <cellStyle name="Comma 59" xfId="1347" xr:uid="{00000000-0005-0000-0000-0000B8480000}"/>
    <cellStyle name="Comma 6" xfId="1348" xr:uid="{00000000-0005-0000-0000-0000B9480000}"/>
    <cellStyle name="Comma 6 10" xfId="1349" xr:uid="{00000000-0005-0000-0000-0000BA480000}"/>
    <cellStyle name="Comma 6 11" xfId="1350" xr:uid="{00000000-0005-0000-0000-0000BB480000}"/>
    <cellStyle name="Comma 6 12" xfId="1351" xr:uid="{00000000-0005-0000-0000-0000BC480000}"/>
    <cellStyle name="Comma 6 13" xfId="1352" xr:uid="{00000000-0005-0000-0000-0000BD480000}"/>
    <cellStyle name="Comma 6 14" xfId="1353" xr:uid="{00000000-0005-0000-0000-0000BE480000}"/>
    <cellStyle name="Comma 6 15" xfId="1354" xr:uid="{00000000-0005-0000-0000-0000BF480000}"/>
    <cellStyle name="Comma 6 16" xfId="1355" xr:uid="{00000000-0005-0000-0000-0000C0480000}"/>
    <cellStyle name="Comma 6 17" xfId="1356" xr:uid="{00000000-0005-0000-0000-0000C1480000}"/>
    <cellStyle name="Comma 6 18" xfId="1357" xr:uid="{00000000-0005-0000-0000-0000C2480000}"/>
    <cellStyle name="Comma 6 19" xfId="1358" xr:uid="{00000000-0005-0000-0000-0000C3480000}"/>
    <cellStyle name="Comma 6 2" xfId="1359" xr:uid="{00000000-0005-0000-0000-0000C4480000}"/>
    <cellStyle name="Comma 6 2 2" xfId="1360" xr:uid="{00000000-0005-0000-0000-0000C5480000}"/>
    <cellStyle name="Comma 6 2 2 10" xfId="1361" xr:uid="{00000000-0005-0000-0000-0000C6480000}"/>
    <cellStyle name="Comma 6 2 2 11" xfId="1362" xr:uid="{00000000-0005-0000-0000-0000C7480000}"/>
    <cellStyle name="Comma 6 2 2 12" xfId="1363" xr:uid="{00000000-0005-0000-0000-0000C8480000}"/>
    <cellStyle name="Comma 6 2 2 13" xfId="1364" xr:uid="{00000000-0005-0000-0000-0000C9480000}"/>
    <cellStyle name="Comma 6 2 2 14" xfId="1365" xr:uid="{00000000-0005-0000-0000-0000CA480000}"/>
    <cellStyle name="Comma 6 2 2 15" xfId="1366" xr:uid="{00000000-0005-0000-0000-0000CB480000}"/>
    <cellStyle name="Comma 6 2 2 16" xfId="1367" xr:uid="{00000000-0005-0000-0000-0000CC480000}"/>
    <cellStyle name="Comma 6 2 2 17" xfId="1368" xr:uid="{00000000-0005-0000-0000-0000CD480000}"/>
    <cellStyle name="Comma 6 2 2 18" xfId="1369" xr:uid="{00000000-0005-0000-0000-0000CE480000}"/>
    <cellStyle name="Comma 6 2 2 19" xfId="1370" xr:uid="{00000000-0005-0000-0000-0000CF480000}"/>
    <cellStyle name="Comma 6 2 2 2" xfId="1371" xr:uid="{00000000-0005-0000-0000-0000D0480000}"/>
    <cellStyle name="Comma 6 2 2 20" xfId="1372" xr:uid="{00000000-0005-0000-0000-0000D1480000}"/>
    <cellStyle name="Comma 6 2 2 21" xfId="1373" xr:uid="{00000000-0005-0000-0000-0000D2480000}"/>
    <cellStyle name="Comma 6 2 2 22" xfId="1374" xr:uid="{00000000-0005-0000-0000-0000D3480000}"/>
    <cellStyle name="Comma 6 2 2 23" xfId="1375" xr:uid="{00000000-0005-0000-0000-0000D4480000}"/>
    <cellStyle name="Comma 6 2 2 24" xfId="2183" xr:uid="{00000000-0005-0000-0000-0000D5480000}"/>
    <cellStyle name="Comma 6 2 2 3" xfId="1376" xr:uid="{00000000-0005-0000-0000-0000D6480000}"/>
    <cellStyle name="Comma 6 2 2 4" xfId="1377" xr:uid="{00000000-0005-0000-0000-0000D7480000}"/>
    <cellStyle name="Comma 6 2 2 5" xfId="1378" xr:uid="{00000000-0005-0000-0000-0000D8480000}"/>
    <cellStyle name="Comma 6 2 2 6" xfId="1379" xr:uid="{00000000-0005-0000-0000-0000D9480000}"/>
    <cellStyle name="Comma 6 2 2 7" xfId="1380" xr:uid="{00000000-0005-0000-0000-0000DA480000}"/>
    <cellStyle name="Comma 6 2 2 8" xfId="1381" xr:uid="{00000000-0005-0000-0000-0000DB480000}"/>
    <cellStyle name="Comma 6 2 2 9" xfId="1382" xr:uid="{00000000-0005-0000-0000-0000DC480000}"/>
    <cellStyle name="Comma 6 2 3" xfId="17760" xr:uid="{00000000-0005-0000-0000-0000DD480000}"/>
    <cellStyle name="Comma 6 2 3 2" xfId="48980" xr:uid="{00000000-0005-0000-0000-0000DE480000}"/>
    <cellStyle name="Comma 6 2 4" xfId="17757" xr:uid="{00000000-0005-0000-0000-0000DF480000}"/>
    <cellStyle name="Comma 6 20" xfId="1383" xr:uid="{00000000-0005-0000-0000-0000E0480000}"/>
    <cellStyle name="Comma 6 21" xfId="1384" xr:uid="{00000000-0005-0000-0000-0000E1480000}"/>
    <cellStyle name="Comma 6 22" xfId="1385" xr:uid="{00000000-0005-0000-0000-0000E2480000}"/>
    <cellStyle name="Comma 6 23" xfId="1386" xr:uid="{00000000-0005-0000-0000-0000E3480000}"/>
    <cellStyle name="Comma 6 24" xfId="1387" xr:uid="{00000000-0005-0000-0000-0000E4480000}"/>
    <cellStyle name="Comma 6 25" xfId="1388" xr:uid="{00000000-0005-0000-0000-0000E5480000}"/>
    <cellStyle name="Comma 6 26" xfId="1389" xr:uid="{00000000-0005-0000-0000-0000E6480000}"/>
    <cellStyle name="Comma 6 27" xfId="1390" xr:uid="{00000000-0005-0000-0000-0000E7480000}"/>
    <cellStyle name="Comma 6 28" xfId="2182" xr:uid="{00000000-0005-0000-0000-0000E8480000}"/>
    <cellStyle name="Comma 6 28 2" xfId="2519" xr:uid="{00000000-0005-0000-0000-0000E9480000}"/>
    <cellStyle name="Comma 6 28 2 2" xfId="3527" xr:uid="{00000000-0005-0000-0000-0000EA480000}"/>
    <cellStyle name="Comma 6 28 2 2 2" xfId="5466" xr:uid="{00000000-0005-0000-0000-0000EB480000}"/>
    <cellStyle name="Comma 6 28 2 2 2 2" xfId="9337" xr:uid="{00000000-0005-0000-0000-0000EC480000}"/>
    <cellStyle name="Comma 6 28 2 2 2 2 2" xfId="17082" xr:uid="{00000000-0005-0000-0000-0000ED480000}"/>
    <cellStyle name="Comma 6 28 2 2 2 2 2 2" xfId="32674" xr:uid="{00000000-0005-0000-0000-0000EE480000}"/>
    <cellStyle name="Comma 6 28 2 2 2 2 2 3" xfId="48166" xr:uid="{00000000-0005-0000-0000-0000EF480000}"/>
    <cellStyle name="Comma 6 28 2 2 2 2 3" xfId="24934" xr:uid="{00000000-0005-0000-0000-0000F0480000}"/>
    <cellStyle name="Comma 6 28 2 2 2 2 4" xfId="40426" xr:uid="{00000000-0005-0000-0000-0000F1480000}"/>
    <cellStyle name="Comma 6 28 2 2 2 3" xfId="13212" xr:uid="{00000000-0005-0000-0000-0000F2480000}"/>
    <cellStyle name="Comma 6 28 2 2 2 3 2" xfId="28804" xr:uid="{00000000-0005-0000-0000-0000F3480000}"/>
    <cellStyle name="Comma 6 28 2 2 2 3 3" xfId="44296" xr:uid="{00000000-0005-0000-0000-0000F4480000}"/>
    <cellStyle name="Comma 6 28 2 2 2 4" xfId="21064" xr:uid="{00000000-0005-0000-0000-0000F5480000}"/>
    <cellStyle name="Comma 6 28 2 2 2 5" xfId="36556" xr:uid="{00000000-0005-0000-0000-0000F6480000}"/>
    <cellStyle name="Comma 6 28 2 2 3" xfId="7410" xr:uid="{00000000-0005-0000-0000-0000F7480000}"/>
    <cellStyle name="Comma 6 28 2 2 3 2" xfId="15155" xr:uid="{00000000-0005-0000-0000-0000F8480000}"/>
    <cellStyle name="Comma 6 28 2 2 3 2 2" xfId="30747" xr:uid="{00000000-0005-0000-0000-0000F9480000}"/>
    <cellStyle name="Comma 6 28 2 2 3 2 3" xfId="46239" xr:uid="{00000000-0005-0000-0000-0000FA480000}"/>
    <cellStyle name="Comma 6 28 2 2 3 3" xfId="23007" xr:uid="{00000000-0005-0000-0000-0000FB480000}"/>
    <cellStyle name="Comma 6 28 2 2 3 4" xfId="38499" xr:uid="{00000000-0005-0000-0000-0000FC480000}"/>
    <cellStyle name="Comma 6 28 2 2 4" xfId="11285" xr:uid="{00000000-0005-0000-0000-0000FD480000}"/>
    <cellStyle name="Comma 6 28 2 2 4 2" xfId="26877" xr:uid="{00000000-0005-0000-0000-0000FE480000}"/>
    <cellStyle name="Comma 6 28 2 2 4 3" xfId="42369" xr:uid="{00000000-0005-0000-0000-0000FF480000}"/>
    <cellStyle name="Comma 6 28 2 2 5" xfId="19137" xr:uid="{00000000-0005-0000-0000-000000490000}"/>
    <cellStyle name="Comma 6 28 2 2 6" xfId="34629" xr:uid="{00000000-0005-0000-0000-000001490000}"/>
    <cellStyle name="Comma 6 28 2 3" xfId="4518" xr:uid="{00000000-0005-0000-0000-000002490000}"/>
    <cellStyle name="Comma 6 28 2 3 2" xfId="8389" xr:uid="{00000000-0005-0000-0000-000003490000}"/>
    <cellStyle name="Comma 6 28 2 3 2 2" xfId="16134" xr:uid="{00000000-0005-0000-0000-000004490000}"/>
    <cellStyle name="Comma 6 28 2 3 2 2 2" xfId="31726" xr:uid="{00000000-0005-0000-0000-000005490000}"/>
    <cellStyle name="Comma 6 28 2 3 2 2 3" xfId="47218" xr:uid="{00000000-0005-0000-0000-000006490000}"/>
    <cellStyle name="Comma 6 28 2 3 2 3" xfId="23986" xr:uid="{00000000-0005-0000-0000-000007490000}"/>
    <cellStyle name="Comma 6 28 2 3 2 4" xfId="39478" xr:uid="{00000000-0005-0000-0000-000008490000}"/>
    <cellStyle name="Comma 6 28 2 3 3" xfId="12264" xr:uid="{00000000-0005-0000-0000-000009490000}"/>
    <cellStyle name="Comma 6 28 2 3 3 2" xfId="27856" xr:uid="{00000000-0005-0000-0000-00000A490000}"/>
    <cellStyle name="Comma 6 28 2 3 3 3" xfId="43348" xr:uid="{00000000-0005-0000-0000-00000B490000}"/>
    <cellStyle name="Comma 6 28 2 3 4" xfId="20116" xr:uid="{00000000-0005-0000-0000-00000C490000}"/>
    <cellStyle name="Comma 6 28 2 3 5" xfId="35608" xr:uid="{00000000-0005-0000-0000-00000D490000}"/>
    <cellStyle name="Comma 6 28 2 4" xfId="6462" xr:uid="{00000000-0005-0000-0000-00000E490000}"/>
    <cellStyle name="Comma 6 28 2 4 2" xfId="14207" xr:uid="{00000000-0005-0000-0000-00000F490000}"/>
    <cellStyle name="Comma 6 28 2 4 2 2" xfId="29799" xr:uid="{00000000-0005-0000-0000-000010490000}"/>
    <cellStyle name="Comma 6 28 2 4 2 3" xfId="45291" xr:uid="{00000000-0005-0000-0000-000011490000}"/>
    <cellStyle name="Comma 6 28 2 4 3" xfId="22059" xr:uid="{00000000-0005-0000-0000-000012490000}"/>
    <cellStyle name="Comma 6 28 2 4 4" xfId="37551" xr:uid="{00000000-0005-0000-0000-000013490000}"/>
    <cellStyle name="Comma 6 28 2 5" xfId="10337" xr:uid="{00000000-0005-0000-0000-000014490000}"/>
    <cellStyle name="Comma 6 28 2 5 2" xfId="25929" xr:uid="{00000000-0005-0000-0000-000015490000}"/>
    <cellStyle name="Comma 6 28 2 5 3" xfId="41421" xr:uid="{00000000-0005-0000-0000-000016490000}"/>
    <cellStyle name="Comma 6 28 2 6" xfId="18189" xr:uid="{00000000-0005-0000-0000-000017490000}"/>
    <cellStyle name="Comma 6 28 2 7" xfId="33681" xr:uid="{00000000-0005-0000-0000-000018490000}"/>
    <cellStyle name="Comma 6 28 3" xfId="3218" xr:uid="{00000000-0005-0000-0000-000019490000}"/>
    <cellStyle name="Comma 6 28 3 2" xfId="5157" xr:uid="{00000000-0005-0000-0000-00001A490000}"/>
    <cellStyle name="Comma 6 28 3 2 2" xfId="9028" xr:uid="{00000000-0005-0000-0000-00001B490000}"/>
    <cellStyle name="Comma 6 28 3 2 2 2" xfId="16773" xr:uid="{00000000-0005-0000-0000-00001C490000}"/>
    <cellStyle name="Comma 6 28 3 2 2 2 2" xfId="32365" xr:uid="{00000000-0005-0000-0000-00001D490000}"/>
    <cellStyle name="Comma 6 28 3 2 2 2 3" xfId="47857" xr:uid="{00000000-0005-0000-0000-00001E490000}"/>
    <cellStyle name="Comma 6 28 3 2 2 3" xfId="24625" xr:uid="{00000000-0005-0000-0000-00001F490000}"/>
    <cellStyle name="Comma 6 28 3 2 2 4" xfId="40117" xr:uid="{00000000-0005-0000-0000-000020490000}"/>
    <cellStyle name="Comma 6 28 3 2 3" xfId="12903" xr:uid="{00000000-0005-0000-0000-000021490000}"/>
    <cellStyle name="Comma 6 28 3 2 3 2" xfId="28495" xr:uid="{00000000-0005-0000-0000-000022490000}"/>
    <cellStyle name="Comma 6 28 3 2 3 3" xfId="43987" xr:uid="{00000000-0005-0000-0000-000023490000}"/>
    <cellStyle name="Comma 6 28 3 2 4" xfId="20755" xr:uid="{00000000-0005-0000-0000-000024490000}"/>
    <cellStyle name="Comma 6 28 3 2 5" xfId="36247" xr:uid="{00000000-0005-0000-0000-000025490000}"/>
    <cellStyle name="Comma 6 28 3 3" xfId="7101" xr:uid="{00000000-0005-0000-0000-000026490000}"/>
    <cellStyle name="Comma 6 28 3 3 2" xfId="14846" xr:uid="{00000000-0005-0000-0000-000027490000}"/>
    <cellStyle name="Comma 6 28 3 3 2 2" xfId="30438" xr:uid="{00000000-0005-0000-0000-000028490000}"/>
    <cellStyle name="Comma 6 28 3 3 2 3" xfId="45930" xr:uid="{00000000-0005-0000-0000-000029490000}"/>
    <cellStyle name="Comma 6 28 3 3 3" xfId="22698" xr:uid="{00000000-0005-0000-0000-00002A490000}"/>
    <cellStyle name="Comma 6 28 3 3 4" xfId="38190" xr:uid="{00000000-0005-0000-0000-00002B490000}"/>
    <cellStyle name="Comma 6 28 3 4" xfId="10976" xr:uid="{00000000-0005-0000-0000-00002C490000}"/>
    <cellStyle name="Comma 6 28 3 4 2" xfId="26568" xr:uid="{00000000-0005-0000-0000-00002D490000}"/>
    <cellStyle name="Comma 6 28 3 4 3" xfId="42060" xr:uid="{00000000-0005-0000-0000-00002E490000}"/>
    <cellStyle name="Comma 6 28 3 5" xfId="18828" xr:uid="{00000000-0005-0000-0000-00002F490000}"/>
    <cellStyle name="Comma 6 28 3 6" xfId="34320" xr:uid="{00000000-0005-0000-0000-000030490000}"/>
    <cellStyle name="Comma 6 28 4" xfId="4209" xr:uid="{00000000-0005-0000-0000-000031490000}"/>
    <cellStyle name="Comma 6 28 4 2" xfId="8080" xr:uid="{00000000-0005-0000-0000-000032490000}"/>
    <cellStyle name="Comma 6 28 4 2 2" xfId="15825" xr:uid="{00000000-0005-0000-0000-000033490000}"/>
    <cellStyle name="Comma 6 28 4 2 2 2" xfId="31417" xr:uid="{00000000-0005-0000-0000-000034490000}"/>
    <cellStyle name="Comma 6 28 4 2 2 3" xfId="46909" xr:uid="{00000000-0005-0000-0000-000035490000}"/>
    <cellStyle name="Comma 6 28 4 2 3" xfId="23677" xr:uid="{00000000-0005-0000-0000-000036490000}"/>
    <cellStyle name="Comma 6 28 4 2 4" xfId="39169" xr:uid="{00000000-0005-0000-0000-000037490000}"/>
    <cellStyle name="Comma 6 28 4 3" xfId="11955" xr:uid="{00000000-0005-0000-0000-000038490000}"/>
    <cellStyle name="Comma 6 28 4 3 2" xfId="27547" xr:uid="{00000000-0005-0000-0000-000039490000}"/>
    <cellStyle name="Comma 6 28 4 3 3" xfId="43039" xr:uid="{00000000-0005-0000-0000-00003A490000}"/>
    <cellStyle name="Comma 6 28 4 4" xfId="19807" xr:uid="{00000000-0005-0000-0000-00003B490000}"/>
    <cellStyle name="Comma 6 28 4 5" xfId="35299" xr:uid="{00000000-0005-0000-0000-00003C490000}"/>
    <cellStyle name="Comma 6 28 5" xfId="6153" xr:uid="{00000000-0005-0000-0000-00003D490000}"/>
    <cellStyle name="Comma 6 28 5 2" xfId="13898" xr:uid="{00000000-0005-0000-0000-00003E490000}"/>
    <cellStyle name="Comma 6 28 5 2 2" xfId="29490" xr:uid="{00000000-0005-0000-0000-00003F490000}"/>
    <cellStyle name="Comma 6 28 5 2 3" xfId="44982" xr:uid="{00000000-0005-0000-0000-000040490000}"/>
    <cellStyle name="Comma 6 28 5 3" xfId="21750" xr:uid="{00000000-0005-0000-0000-000041490000}"/>
    <cellStyle name="Comma 6 28 5 4" xfId="37242" xr:uid="{00000000-0005-0000-0000-000042490000}"/>
    <cellStyle name="Comma 6 28 6" xfId="10028" xr:uid="{00000000-0005-0000-0000-000043490000}"/>
    <cellStyle name="Comma 6 28 6 2" xfId="25620" xr:uid="{00000000-0005-0000-0000-000044490000}"/>
    <cellStyle name="Comma 6 28 6 3" xfId="41112" xr:uid="{00000000-0005-0000-0000-000045490000}"/>
    <cellStyle name="Comma 6 28 7" xfId="17880" xr:uid="{00000000-0005-0000-0000-000046490000}"/>
    <cellStyle name="Comma 6 28 8" xfId="33372" xr:uid="{00000000-0005-0000-0000-000047490000}"/>
    <cellStyle name="Comma 6 29" xfId="2240" xr:uid="{00000000-0005-0000-0000-000048490000}"/>
    <cellStyle name="Comma 6 29 2" xfId="2557" xr:uid="{00000000-0005-0000-0000-000049490000}"/>
    <cellStyle name="Comma 6 29 2 2" xfId="3565" xr:uid="{00000000-0005-0000-0000-00004A490000}"/>
    <cellStyle name="Comma 6 29 2 2 2" xfId="5504" xr:uid="{00000000-0005-0000-0000-00004B490000}"/>
    <cellStyle name="Comma 6 29 2 2 2 2" xfId="9375" xr:uid="{00000000-0005-0000-0000-00004C490000}"/>
    <cellStyle name="Comma 6 29 2 2 2 2 2" xfId="17120" xr:uid="{00000000-0005-0000-0000-00004D490000}"/>
    <cellStyle name="Comma 6 29 2 2 2 2 2 2" xfId="32712" xr:uid="{00000000-0005-0000-0000-00004E490000}"/>
    <cellStyle name="Comma 6 29 2 2 2 2 2 3" xfId="48204" xr:uid="{00000000-0005-0000-0000-00004F490000}"/>
    <cellStyle name="Comma 6 29 2 2 2 2 3" xfId="24972" xr:uid="{00000000-0005-0000-0000-000050490000}"/>
    <cellStyle name="Comma 6 29 2 2 2 2 4" xfId="40464" xr:uid="{00000000-0005-0000-0000-000051490000}"/>
    <cellStyle name="Comma 6 29 2 2 2 3" xfId="13250" xr:uid="{00000000-0005-0000-0000-000052490000}"/>
    <cellStyle name="Comma 6 29 2 2 2 3 2" xfId="28842" xr:uid="{00000000-0005-0000-0000-000053490000}"/>
    <cellStyle name="Comma 6 29 2 2 2 3 3" xfId="44334" xr:uid="{00000000-0005-0000-0000-000054490000}"/>
    <cellStyle name="Comma 6 29 2 2 2 4" xfId="21102" xr:uid="{00000000-0005-0000-0000-000055490000}"/>
    <cellStyle name="Comma 6 29 2 2 2 5" xfId="36594" xr:uid="{00000000-0005-0000-0000-000056490000}"/>
    <cellStyle name="Comma 6 29 2 2 3" xfId="7448" xr:uid="{00000000-0005-0000-0000-000057490000}"/>
    <cellStyle name="Comma 6 29 2 2 3 2" xfId="15193" xr:uid="{00000000-0005-0000-0000-000058490000}"/>
    <cellStyle name="Comma 6 29 2 2 3 2 2" xfId="30785" xr:uid="{00000000-0005-0000-0000-000059490000}"/>
    <cellStyle name="Comma 6 29 2 2 3 2 3" xfId="46277" xr:uid="{00000000-0005-0000-0000-00005A490000}"/>
    <cellStyle name="Comma 6 29 2 2 3 3" xfId="23045" xr:uid="{00000000-0005-0000-0000-00005B490000}"/>
    <cellStyle name="Comma 6 29 2 2 3 4" xfId="38537" xr:uid="{00000000-0005-0000-0000-00005C490000}"/>
    <cellStyle name="Comma 6 29 2 2 4" xfId="11323" xr:uid="{00000000-0005-0000-0000-00005D490000}"/>
    <cellStyle name="Comma 6 29 2 2 4 2" xfId="26915" xr:uid="{00000000-0005-0000-0000-00005E490000}"/>
    <cellStyle name="Comma 6 29 2 2 4 3" xfId="42407" xr:uid="{00000000-0005-0000-0000-00005F490000}"/>
    <cellStyle name="Comma 6 29 2 2 5" xfId="19175" xr:uid="{00000000-0005-0000-0000-000060490000}"/>
    <cellStyle name="Comma 6 29 2 2 6" xfId="34667" xr:uid="{00000000-0005-0000-0000-000061490000}"/>
    <cellStyle name="Comma 6 29 2 3" xfId="4556" xr:uid="{00000000-0005-0000-0000-000062490000}"/>
    <cellStyle name="Comma 6 29 2 3 2" xfId="8427" xr:uid="{00000000-0005-0000-0000-000063490000}"/>
    <cellStyle name="Comma 6 29 2 3 2 2" xfId="16172" xr:uid="{00000000-0005-0000-0000-000064490000}"/>
    <cellStyle name="Comma 6 29 2 3 2 2 2" xfId="31764" xr:uid="{00000000-0005-0000-0000-000065490000}"/>
    <cellStyle name="Comma 6 29 2 3 2 2 3" xfId="47256" xr:uid="{00000000-0005-0000-0000-000066490000}"/>
    <cellStyle name="Comma 6 29 2 3 2 3" xfId="24024" xr:uid="{00000000-0005-0000-0000-000067490000}"/>
    <cellStyle name="Comma 6 29 2 3 2 4" xfId="39516" xr:uid="{00000000-0005-0000-0000-000068490000}"/>
    <cellStyle name="Comma 6 29 2 3 3" xfId="12302" xr:uid="{00000000-0005-0000-0000-000069490000}"/>
    <cellStyle name="Comma 6 29 2 3 3 2" xfId="27894" xr:uid="{00000000-0005-0000-0000-00006A490000}"/>
    <cellStyle name="Comma 6 29 2 3 3 3" xfId="43386" xr:uid="{00000000-0005-0000-0000-00006B490000}"/>
    <cellStyle name="Comma 6 29 2 3 4" xfId="20154" xr:uid="{00000000-0005-0000-0000-00006C490000}"/>
    <cellStyle name="Comma 6 29 2 3 5" xfId="35646" xr:uid="{00000000-0005-0000-0000-00006D490000}"/>
    <cellStyle name="Comma 6 29 2 4" xfId="6500" xr:uid="{00000000-0005-0000-0000-00006E490000}"/>
    <cellStyle name="Comma 6 29 2 4 2" xfId="14245" xr:uid="{00000000-0005-0000-0000-00006F490000}"/>
    <cellStyle name="Comma 6 29 2 4 2 2" xfId="29837" xr:uid="{00000000-0005-0000-0000-000070490000}"/>
    <cellStyle name="Comma 6 29 2 4 2 3" xfId="45329" xr:uid="{00000000-0005-0000-0000-000071490000}"/>
    <cellStyle name="Comma 6 29 2 4 3" xfId="22097" xr:uid="{00000000-0005-0000-0000-000072490000}"/>
    <cellStyle name="Comma 6 29 2 4 4" xfId="37589" xr:uid="{00000000-0005-0000-0000-000073490000}"/>
    <cellStyle name="Comma 6 29 2 5" xfId="10375" xr:uid="{00000000-0005-0000-0000-000074490000}"/>
    <cellStyle name="Comma 6 29 2 5 2" xfId="25967" xr:uid="{00000000-0005-0000-0000-000075490000}"/>
    <cellStyle name="Comma 6 29 2 5 3" xfId="41459" xr:uid="{00000000-0005-0000-0000-000076490000}"/>
    <cellStyle name="Comma 6 29 2 6" xfId="18227" xr:uid="{00000000-0005-0000-0000-000077490000}"/>
    <cellStyle name="Comma 6 29 2 7" xfId="33719" xr:uid="{00000000-0005-0000-0000-000078490000}"/>
    <cellStyle name="Comma 6 29 3" xfId="3256" xr:uid="{00000000-0005-0000-0000-000079490000}"/>
    <cellStyle name="Comma 6 29 3 2" xfId="5195" xr:uid="{00000000-0005-0000-0000-00007A490000}"/>
    <cellStyle name="Comma 6 29 3 2 2" xfId="9066" xr:uid="{00000000-0005-0000-0000-00007B490000}"/>
    <cellStyle name="Comma 6 29 3 2 2 2" xfId="16811" xr:uid="{00000000-0005-0000-0000-00007C490000}"/>
    <cellStyle name="Comma 6 29 3 2 2 2 2" xfId="32403" xr:uid="{00000000-0005-0000-0000-00007D490000}"/>
    <cellStyle name="Comma 6 29 3 2 2 2 3" xfId="47895" xr:uid="{00000000-0005-0000-0000-00007E490000}"/>
    <cellStyle name="Comma 6 29 3 2 2 3" xfId="24663" xr:uid="{00000000-0005-0000-0000-00007F490000}"/>
    <cellStyle name="Comma 6 29 3 2 2 4" xfId="40155" xr:uid="{00000000-0005-0000-0000-000080490000}"/>
    <cellStyle name="Comma 6 29 3 2 3" xfId="12941" xr:uid="{00000000-0005-0000-0000-000081490000}"/>
    <cellStyle name="Comma 6 29 3 2 3 2" xfId="28533" xr:uid="{00000000-0005-0000-0000-000082490000}"/>
    <cellStyle name="Comma 6 29 3 2 3 3" xfId="44025" xr:uid="{00000000-0005-0000-0000-000083490000}"/>
    <cellStyle name="Comma 6 29 3 2 4" xfId="20793" xr:uid="{00000000-0005-0000-0000-000084490000}"/>
    <cellStyle name="Comma 6 29 3 2 5" xfId="36285" xr:uid="{00000000-0005-0000-0000-000085490000}"/>
    <cellStyle name="Comma 6 29 3 3" xfId="7139" xr:uid="{00000000-0005-0000-0000-000086490000}"/>
    <cellStyle name="Comma 6 29 3 3 2" xfId="14884" xr:uid="{00000000-0005-0000-0000-000087490000}"/>
    <cellStyle name="Comma 6 29 3 3 2 2" xfId="30476" xr:uid="{00000000-0005-0000-0000-000088490000}"/>
    <cellStyle name="Comma 6 29 3 3 2 3" xfId="45968" xr:uid="{00000000-0005-0000-0000-000089490000}"/>
    <cellStyle name="Comma 6 29 3 3 3" xfId="22736" xr:uid="{00000000-0005-0000-0000-00008A490000}"/>
    <cellStyle name="Comma 6 29 3 3 4" xfId="38228" xr:uid="{00000000-0005-0000-0000-00008B490000}"/>
    <cellStyle name="Comma 6 29 3 4" xfId="11014" xr:uid="{00000000-0005-0000-0000-00008C490000}"/>
    <cellStyle name="Comma 6 29 3 4 2" xfId="26606" xr:uid="{00000000-0005-0000-0000-00008D490000}"/>
    <cellStyle name="Comma 6 29 3 4 3" xfId="42098" xr:uid="{00000000-0005-0000-0000-00008E490000}"/>
    <cellStyle name="Comma 6 29 3 5" xfId="18866" xr:uid="{00000000-0005-0000-0000-00008F490000}"/>
    <cellStyle name="Comma 6 29 3 6" xfId="34358" xr:uid="{00000000-0005-0000-0000-000090490000}"/>
    <cellStyle name="Comma 6 29 4" xfId="4247" xr:uid="{00000000-0005-0000-0000-000091490000}"/>
    <cellStyle name="Comma 6 29 4 2" xfId="8118" xr:uid="{00000000-0005-0000-0000-000092490000}"/>
    <cellStyle name="Comma 6 29 4 2 2" xfId="15863" xr:uid="{00000000-0005-0000-0000-000093490000}"/>
    <cellStyle name="Comma 6 29 4 2 2 2" xfId="31455" xr:uid="{00000000-0005-0000-0000-000094490000}"/>
    <cellStyle name="Comma 6 29 4 2 2 3" xfId="46947" xr:uid="{00000000-0005-0000-0000-000095490000}"/>
    <cellStyle name="Comma 6 29 4 2 3" xfId="23715" xr:uid="{00000000-0005-0000-0000-000096490000}"/>
    <cellStyle name="Comma 6 29 4 2 4" xfId="39207" xr:uid="{00000000-0005-0000-0000-000097490000}"/>
    <cellStyle name="Comma 6 29 4 3" xfId="11993" xr:uid="{00000000-0005-0000-0000-000098490000}"/>
    <cellStyle name="Comma 6 29 4 3 2" xfId="27585" xr:uid="{00000000-0005-0000-0000-000099490000}"/>
    <cellStyle name="Comma 6 29 4 3 3" xfId="43077" xr:uid="{00000000-0005-0000-0000-00009A490000}"/>
    <cellStyle name="Comma 6 29 4 4" xfId="19845" xr:uid="{00000000-0005-0000-0000-00009B490000}"/>
    <cellStyle name="Comma 6 29 4 5" xfId="35337" xr:uid="{00000000-0005-0000-0000-00009C490000}"/>
    <cellStyle name="Comma 6 29 5" xfId="6191" xr:uid="{00000000-0005-0000-0000-00009D490000}"/>
    <cellStyle name="Comma 6 29 5 2" xfId="13936" xr:uid="{00000000-0005-0000-0000-00009E490000}"/>
    <cellStyle name="Comma 6 29 5 2 2" xfId="29528" xr:uid="{00000000-0005-0000-0000-00009F490000}"/>
    <cellStyle name="Comma 6 29 5 2 3" xfId="45020" xr:uid="{00000000-0005-0000-0000-0000A0490000}"/>
    <cellStyle name="Comma 6 29 5 3" xfId="21788" xr:uid="{00000000-0005-0000-0000-0000A1490000}"/>
    <cellStyle name="Comma 6 29 5 4" xfId="37280" xr:uid="{00000000-0005-0000-0000-0000A2490000}"/>
    <cellStyle name="Comma 6 29 6" xfId="10066" xr:uid="{00000000-0005-0000-0000-0000A3490000}"/>
    <cellStyle name="Comma 6 29 6 2" xfId="25658" xr:uid="{00000000-0005-0000-0000-0000A4490000}"/>
    <cellStyle name="Comma 6 29 6 3" xfId="41150" xr:uid="{00000000-0005-0000-0000-0000A5490000}"/>
    <cellStyle name="Comma 6 29 7" xfId="17918" xr:uid="{00000000-0005-0000-0000-0000A6490000}"/>
    <cellStyle name="Comma 6 29 8" xfId="33410" xr:uid="{00000000-0005-0000-0000-0000A7490000}"/>
    <cellStyle name="Comma 6 3" xfId="1391" xr:uid="{00000000-0005-0000-0000-0000A8490000}"/>
    <cellStyle name="Comma 6 3 10" xfId="1392" xr:uid="{00000000-0005-0000-0000-0000A9490000}"/>
    <cellStyle name="Comma 6 3 11" xfId="1393" xr:uid="{00000000-0005-0000-0000-0000AA490000}"/>
    <cellStyle name="Comma 6 3 12" xfId="1394" xr:uid="{00000000-0005-0000-0000-0000AB490000}"/>
    <cellStyle name="Comma 6 3 13" xfId="1395" xr:uid="{00000000-0005-0000-0000-0000AC490000}"/>
    <cellStyle name="Comma 6 3 14" xfId="1396" xr:uid="{00000000-0005-0000-0000-0000AD490000}"/>
    <cellStyle name="Comma 6 3 15" xfId="1397" xr:uid="{00000000-0005-0000-0000-0000AE490000}"/>
    <cellStyle name="Comma 6 3 16" xfId="1398" xr:uid="{00000000-0005-0000-0000-0000AF490000}"/>
    <cellStyle name="Comma 6 3 17" xfId="1399" xr:uid="{00000000-0005-0000-0000-0000B0490000}"/>
    <cellStyle name="Comma 6 3 18" xfId="1400" xr:uid="{00000000-0005-0000-0000-0000B1490000}"/>
    <cellStyle name="Comma 6 3 19" xfId="1401" xr:uid="{00000000-0005-0000-0000-0000B2490000}"/>
    <cellStyle name="Comma 6 3 2" xfId="1402" xr:uid="{00000000-0005-0000-0000-0000B3490000}"/>
    <cellStyle name="Comma 6 3 2 2" xfId="17774" xr:uid="{00000000-0005-0000-0000-0000B4490000}"/>
    <cellStyle name="Comma 6 3 20" xfId="1403" xr:uid="{00000000-0005-0000-0000-0000B5490000}"/>
    <cellStyle name="Comma 6 3 21" xfId="1404" xr:uid="{00000000-0005-0000-0000-0000B6490000}"/>
    <cellStyle name="Comma 6 3 22" xfId="1405" xr:uid="{00000000-0005-0000-0000-0000B7490000}"/>
    <cellStyle name="Comma 6 3 23" xfId="1406" xr:uid="{00000000-0005-0000-0000-0000B8490000}"/>
    <cellStyle name="Comma 6 3 24" xfId="2184" xr:uid="{00000000-0005-0000-0000-0000B9490000}"/>
    <cellStyle name="Comma 6 3 25" xfId="17738" xr:uid="{00000000-0005-0000-0000-0000BA490000}"/>
    <cellStyle name="Comma 6 3 3" xfId="1407" xr:uid="{00000000-0005-0000-0000-0000BB490000}"/>
    <cellStyle name="Comma 6 3 4" xfId="1408" xr:uid="{00000000-0005-0000-0000-0000BC490000}"/>
    <cellStyle name="Comma 6 3 5" xfId="1409" xr:uid="{00000000-0005-0000-0000-0000BD490000}"/>
    <cellStyle name="Comma 6 3 6" xfId="1410" xr:uid="{00000000-0005-0000-0000-0000BE490000}"/>
    <cellStyle name="Comma 6 3 7" xfId="1411" xr:uid="{00000000-0005-0000-0000-0000BF490000}"/>
    <cellStyle name="Comma 6 3 8" xfId="1412" xr:uid="{00000000-0005-0000-0000-0000C0490000}"/>
    <cellStyle name="Comma 6 3 9" xfId="1413" xr:uid="{00000000-0005-0000-0000-0000C1490000}"/>
    <cellStyle name="Comma 6 30" xfId="2277" xr:uid="{00000000-0005-0000-0000-0000C2490000}"/>
    <cellStyle name="Comma 6 30 2" xfId="2593" xr:uid="{00000000-0005-0000-0000-0000C3490000}"/>
    <cellStyle name="Comma 6 30 2 2" xfId="3601" xr:uid="{00000000-0005-0000-0000-0000C4490000}"/>
    <cellStyle name="Comma 6 30 2 2 2" xfId="5540" xr:uid="{00000000-0005-0000-0000-0000C5490000}"/>
    <cellStyle name="Comma 6 30 2 2 2 2" xfId="9411" xr:uid="{00000000-0005-0000-0000-0000C6490000}"/>
    <cellStyle name="Comma 6 30 2 2 2 2 2" xfId="17156" xr:uid="{00000000-0005-0000-0000-0000C7490000}"/>
    <cellStyle name="Comma 6 30 2 2 2 2 2 2" xfId="32748" xr:uid="{00000000-0005-0000-0000-0000C8490000}"/>
    <cellStyle name="Comma 6 30 2 2 2 2 2 3" xfId="48240" xr:uid="{00000000-0005-0000-0000-0000C9490000}"/>
    <cellStyle name="Comma 6 30 2 2 2 2 3" xfId="25008" xr:uid="{00000000-0005-0000-0000-0000CA490000}"/>
    <cellStyle name="Comma 6 30 2 2 2 2 4" xfId="40500" xr:uid="{00000000-0005-0000-0000-0000CB490000}"/>
    <cellStyle name="Comma 6 30 2 2 2 3" xfId="13286" xr:uid="{00000000-0005-0000-0000-0000CC490000}"/>
    <cellStyle name="Comma 6 30 2 2 2 3 2" xfId="28878" xr:uid="{00000000-0005-0000-0000-0000CD490000}"/>
    <cellStyle name="Comma 6 30 2 2 2 3 3" xfId="44370" xr:uid="{00000000-0005-0000-0000-0000CE490000}"/>
    <cellStyle name="Comma 6 30 2 2 2 4" xfId="21138" xr:uid="{00000000-0005-0000-0000-0000CF490000}"/>
    <cellStyle name="Comma 6 30 2 2 2 5" xfId="36630" xr:uid="{00000000-0005-0000-0000-0000D0490000}"/>
    <cellStyle name="Comma 6 30 2 2 3" xfId="7484" xr:uid="{00000000-0005-0000-0000-0000D1490000}"/>
    <cellStyle name="Comma 6 30 2 2 3 2" xfId="15229" xr:uid="{00000000-0005-0000-0000-0000D2490000}"/>
    <cellStyle name="Comma 6 30 2 2 3 2 2" xfId="30821" xr:uid="{00000000-0005-0000-0000-0000D3490000}"/>
    <cellStyle name="Comma 6 30 2 2 3 2 3" xfId="46313" xr:uid="{00000000-0005-0000-0000-0000D4490000}"/>
    <cellStyle name="Comma 6 30 2 2 3 3" xfId="23081" xr:uid="{00000000-0005-0000-0000-0000D5490000}"/>
    <cellStyle name="Comma 6 30 2 2 3 4" xfId="38573" xr:uid="{00000000-0005-0000-0000-0000D6490000}"/>
    <cellStyle name="Comma 6 30 2 2 4" xfId="11359" xr:uid="{00000000-0005-0000-0000-0000D7490000}"/>
    <cellStyle name="Comma 6 30 2 2 4 2" xfId="26951" xr:uid="{00000000-0005-0000-0000-0000D8490000}"/>
    <cellStyle name="Comma 6 30 2 2 4 3" xfId="42443" xr:uid="{00000000-0005-0000-0000-0000D9490000}"/>
    <cellStyle name="Comma 6 30 2 2 5" xfId="19211" xr:uid="{00000000-0005-0000-0000-0000DA490000}"/>
    <cellStyle name="Comma 6 30 2 2 6" xfId="34703" xr:uid="{00000000-0005-0000-0000-0000DB490000}"/>
    <cellStyle name="Comma 6 30 2 3" xfId="4592" xr:uid="{00000000-0005-0000-0000-0000DC490000}"/>
    <cellStyle name="Comma 6 30 2 3 2" xfId="8463" xr:uid="{00000000-0005-0000-0000-0000DD490000}"/>
    <cellStyle name="Comma 6 30 2 3 2 2" xfId="16208" xr:uid="{00000000-0005-0000-0000-0000DE490000}"/>
    <cellStyle name="Comma 6 30 2 3 2 2 2" xfId="31800" xr:uid="{00000000-0005-0000-0000-0000DF490000}"/>
    <cellStyle name="Comma 6 30 2 3 2 2 3" xfId="47292" xr:uid="{00000000-0005-0000-0000-0000E0490000}"/>
    <cellStyle name="Comma 6 30 2 3 2 3" xfId="24060" xr:uid="{00000000-0005-0000-0000-0000E1490000}"/>
    <cellStyle name="Comma 6 30 2 3 2 4" xfId="39552" xr:uid="{00000000-0005-0000-0000-0000E2490000}"/>
    <cellStyle name="Comma 6 30 2 3 3" xfId="12338" xr:uid="{00000000-0005-0000-0000-0000E3490000}"/>
    <cellStyle name="Comma 6 30 2 3 3 2" xfId="27930" xr:uid="{00000000-0005-0000-0000-0000E4490000}"/>
    <cellStyle name="Comma 6 30 2 3 3 3" xfId="43422" xr:uid="{00000000-0005-0000-0000-0000E5490000}"/>
    <cellStyle name="Comma 6 30 2 3 4" xfId="20190" xr:uid="{00000000-0005-0000-0000-0000E6490000}"/>
    <cellStyle name="Comma 6 30 2 3 5" xfId="35682" xr:uid="{00000000-0005-0000-0000-0000E7490000}"/>
    <cellStyle name="Comma 6 30 2 4" xfId="6536" xr:uid="{00000000-0005-0000-0000-0000E8490000}"/>
    <cellStyle name="Comma 6 30 2 4 2" xfId="14281" xr:uid="{00000000-0005-0000-0000-0000E9490000}"/>
    <cellStyle name="Comma 6 30 2 4 2 2" xfId="29873" xr:uid="{00000000-0005-0000-0000-0000EA490000}"/>
    <cellStyle name="Comma 6 30 2 4 2 3" xfId="45365" xr:uid="{00000000-0005-0000-0000-0000EB490000}"/>
    <cellStyle name="Comma 6 30 2 4 3" xfId="22133" xr:uid="{00000000-0005-0000-0000-0000EC490000}"/>
    <cellStyle name="Comma 6 30 2 4 4" xfId="37625" xr:uid="{00000000-0005-0000-0000-0000ED490000}"/>
    <cellStyle name="Comma 6 30 2 5" xfId="10411" xr:uid="{00000000-0005-0000-0000-0000EE490000}"/>
    <cellStyle name="Comma 6 30 2 5 2" xfId="26003" xr:uid="{00000000-0005-0000-0000-0000EF490000}"/>
    <cellStyle name="Comma 6 30 2 5 3" xfId="41495" xr:uid="{00000000-0005-0000-0000-0000F0490000}"/>
    <cellStyle name="Comma 6 30 2 6" xfId="18263" xr:uid="{00000000-0005-0000-0000-0000F1490000}"/>
    <cellStyle name="Comma 6 30 2 7" xfId="33755" xr:uid="{00000000-0005-0000-0000-0000F2490000}"/>
    <cellStyle name="Comma 6 30 3" xfId="3292" xr:uid="{00000000-0005-0000-0000-0000F3490000}"/>
    <cellStyle name="Comma 6 30 3 2" xfId="5231" xr:uid="{00000000-0005-0000-0000-0000F4490000}"/>
    <cellStyle name="Comma 6 30 3 2 2" xfId="9102" xr:uid="{00000000-0005-0000-0000-0000F5490000}"/>
    <cellStyle name="Comma 6 30 3 2 2 2" xfId="16847" xr:uid="{00000000-0005-0000-0000-0000F6490000}"/>
    <cellStyle name="Comma 6 30 3 2 2 2 2" xfId="32439" xr:uid="{00000000-0005-0000-0000-0000F7490000}"/>
    <cellStyle name="Comma 6 30 3 2 2 2 3" xfId="47931" xr:uid="{00000000-0005-0000-0000-0000F8490000}"/>
    <cellStyle name="Comma 6 30 3 2 2 3" xfId="24699" xr:uid="{00000000-0005-0000-0000-0000F9490000}"/>
    <cellStyle name="Comma 6 30 3 2 2 4" xfId="40191" xr:uid="{00000000-0005-0000-0000-0000FA490000}"/>
    <cellStyle name="Comma 6 30 3 2 3" xfId="12977" xr:uid="{00000000-0005-0000-0000-0000FB490000}"/>
    <cellStyle name="Comma 6 30 3 2 3 2" xfId="28569" xr:uid="{00000000-0005-0000-0000-0000FC490000}"/>
    <cellStyle name="Comma 6 30 3 2 3 3" xfId="44061" xr:uid="{00000000-0005-0000-0000-0000FD490000}"/>
    <cellStyle name="Comma 6 30 3 2 4" xfId="20829" xr:uid="{00000000-0005-0000-0000-0000FE490000}"/>
    <cellStyle name="Comma 6 30 3 2 5" xfId="36321" xr:uid="{00000000-0005-0000-0000-0000FF490000}"/>
    <cellStyle name="Comma 6 30 3 3" xfId="7175" xr:uid="{00000000-0005-0000-0000-0000004A0000}"/>
    <cellStyle name="Comma 6 30 3 3 2" xfId="14920" xr:uid="{00000000-0005-0000-0000-0000014A0000}"/>
    <cellStyle name="Comma 6 30 3 3 2 2" xfId="30512" xr:uid="{00000000-0005-0000-0000-0000024A0000}"/>
    <cellStyle name="Comma 6 30 3 3 2 3" xfId="46004" xr:uid="{00000000-0005-0000-0000-0000034A0000}"/>
    <cellStyle name="Comma 6 30 3 3 3" xfId="22772" xr:uid="{00000000-0005-0000-0000-0000044A0000}"/>
    <cellStyle name="Comma 6 30 3 3 4" xfId="38264" xr:uid="{00000000-0005-0000-0000-0000054A0000}"/>
    <cellStyle name="Comma 6 30 3 4" xfId="11050" xr:uid="{00000000-0005-0000-0000-0000064A0000}"/>
    <cellStyle name="Comma 6 30 3 4 2" xfId="26642" xr:uid="{00000000-0005-0000-0000-0000074A0000}"/>
    <cellStyle name="Comma 6 30 3 4 3" xfId="42134" xr:uid="{00000000-0005-0000-0000-0000084A0000}"/>
    <cellStyle name="Comma 6 30 3 5" xfId="18902" xr:uid="{00000000-0005-0000-0000-0000094A0000}"/>
    <cellStyle name="Comma 6 30 3 6" xfId="34394" xr:uid="{00000000-0005-0000-0000-00000A4A0000}"/>
    <cellStyle name="Comma 6 30 4" xfId="4283" xr:uid="{00000000-0005-0000-0000-00000B4A0000}"/>
    <cellStyle name="Comma 6 30 4 2" xfId="8154" xr:uid="{00000000-0005-0000-0000-00000C4A0000}"/>
    <cellStyle name="Comma 6 30 4 2 2" xfId="15899" xr:uid="{00000000-0005-0000-0000-00000D4A0000}"/>
    <cellStyle name="Comma 6 30 4 2 2 2" xfId="31491" xr:uid="{00000000-0005-0000-0000-00000E4A0000}"/>
    <cellStyle name="Comma 6 30 4 2 2 3" xfId="46983" xr:uid="{00000000-0005-0000-0000-00000F4A0000}"/>
    <cellStyle name="Comma 6 30 4 2 3" xfId="23751" xr:uid="{00000000-0005-0000-0000-0000104A0000}"/>
    <cellStyle name="Comma 6 30 4 2 4" xfId="39243" xr:uid="{00000000-0005-0000-0000-0000114A0000}"/>
    <cellStyle name="Comma 6 30 4 3" xfId="12029" xr:uid="{00000000-0005-0000-0000-0000124A0000}"/>
    <cellStyle name="Comma 6 30 4 3 2" xfId="27621" xr:uid="{00000000-0005-0000-0000-0000134A0000}"/>
    <cellStyle name="Comma 6 30 4 3 3" xfId="43113" xr:uid="{00000000-0005-0000-0000-0000144A0000}"/>
    <cellStyle name="Comma 6 30 4 4" xfId="19881" xr:uid="{00000000-0005-0000-0000-0000154A0000}"/>
    <cellStyle name="Comma 6 30 4 5" xfId="35373" xr:uid="{00000000-0005-0000-0000-0000164A0000}"/>
    <cellStyle name="Comma 6 30 5" xfId="6227" xr:uid="{00000000-0005-0000-0000-0000174A0000}"/>
    <cellStyle name="Comma 6 30 5 2" xfId="13972" xr:uid="{00000000-0005-0000-0000-0000184A0000}"/>
    <cellStyle name="Comma 6 30 5 2 2" xfId="29564" xr:uid="{00000000-0005-0000-0000-0000194A0000}"/>
    <cellStyle name="Comma 6 30 5 2 3" xfId="45056" xr:uid="{00000000-0005-0000-0000-00001A4A0000}"/>
    <cellStyle name="Comma 6 30 5 3" xfId="21824" xr:uid="{00000000-0005-0000-0000-00001B4A0000}"/>
    <cellStyle name="Comma 6 30 5 4" xfId="37316" xr:uid="{00000000-0005-0000-0000-00001C4A0000}"/>
    <cellStyle name="Comma 6 30 6" xfId="10102" xr:uid="{00000000-0005-0000-0000-00001D4A0000}"/>
    <cellStyle name="Comma 6 30 6 2" xfId="25694" xr:uid="{00000000-0005-0000-0000-00001E4A0000}"/>
    <cellStyle name="Comma 6 30 6 3" xfId="41186" xr:uid="{00000000-0005-0000-0000-00001F4A0000}"/>
    <cellStyle name="Comma 6 30 7" xfId="17954" xr:uid="{00000000-0005-0000-0000-0000204A0000}"/>
    <cellStyle name="Comma 6 30 8" xfId="33446" xr:uid="{00000000-0005-0000-0000-0000214A0000}"/>
    <cellStyle name="Comma 6 31" xfId="2314" xr:uid="{00000000-0005-0000-0000-0000224A0000}"/>
    <cellStyle name="Comma 6 31 2" xfId="2629" xr:uid="{00000000-0005-0000-0000-0000234A0000}"/>
    <cellStyle name="Comma 6 31 2 2" xfId="3637" xr:uid="{00000000-0005-0000-0000-0000244A0000}"/>
    <cellStyle name="Comma 6 31 2 2 2" xfId="5576" xr:uid="{00000000-0005-0000-0000-0000254A0000}"/>
    <cellStyle name="Comma 6 31 2 2 2 2" xfId="9447" xr:uid="{00000000-0005-0000-0000-0000264A0000}"/>
    <cellStyle name="Comma 6 31 2 2 2 2 2" xfId="17192" xr:uid="{00000000-0005-0000-0000-0000274A0000}"/>
    <cellStyle name="Comma 6 31 2 2 2 2 2 2" xfId="32784" xr:uid="{00000000-0005-0000-0000-0000284A0000}"/>
    <cellStyle name="Comma 6 31 2 2 2 2 2 3" xfId="48276" xr:uid="{00000000-0005-0000-0000-0000294A0000}"/>
    <cellStyle name="Comma 6 31 2 2 2 2 3" xfId="25044" xr:uid="{00000000-0005-0000-0000-00002A4A0000}"/>
    <cellStyle name="Comma 6 31 2 2 2 2 4" xfId="40536" xr:uid="{00000000-0005-0000-0000-00002B4A0000}"/>
    <cellStyle name="Comma 6 31 2 2 2 3" xfId="13322" xr:uid="{00000000-0005-0000-0000-00002C4A0000}"/>
    <cellStyle name="Comma 6 31 2 2 2 3 2" xfId="28914" xr:uid="{00000000-0005-0000-0000-00002D4A0000}"/>
    <cellStyle name="Comma 6 31 2 2 2 3 3" xfId="44406" xr:uid="{00000000-0005-0000-0000-00002E4A0000}"/>
    <cellStyle name="Comma 6 31 2 2 2 4" xfId="21174" xr:uid="{00000000-0005-0000-0000-00002F4A0000}"/>
    <cellStyle name="Comma 6 31 2 2 2 5" xfId="36666" xr:uid="{00000000-0005-0000-0000-0000304A0000}"/>
    <cellStyle name="Comma 6 31 2 2 3" xfId="7520" xr:uid="{00000000-0005-0000-0000-0000314A0000}"/>
    <cellStyle name="Comma 6 31 2 2 3 2" xfId="15265" xr:uid="{00000000-0005-0000-0000-0000324A0000}"/>
    <cellStyle name="Comma 6 31 2 2 3 2 2" xfId="30857" xr:uid="{00000000-0005-0000-0000-0000334A0000}"/>
    <cellStyle name="Comma 6 31 2 2 3 2 3" xfId="46349" xr:uid="{00000000-0005-0000-0000-0000344A0000}"/>
    <cellStyle name="Comma 6 31 2 2 3 3" xfId="23117" xr:uid="{00000000-0005-0000-0000-0000354A0000}"/>
    <cellStyle name="Comma 6 31 2 2 3 4" xfId="38609" xr:uid="{00000000-0005-0000-0000-0000364A0000}"/>
    <cellStyle name="Comma 6 31 2 2 4" xfId="11395" xr:uid="{00000000-0005-0000-0000-0000374A0000}"/>
    <cellStyle name="Comma 6 31 2 2 4 2" xfId="26987" xr:uid="{00000000-0005-0000-0000-0000384A0000}"/>
    <cellStyle name="Comma 6 31 2 2 4 3" xfId="42479" xr:uid="{00000000-0005-0000-0000-0000394A0000}"/>
    <cellStyle name="Comma 6 31 2 2 5" xfId="19247" xr:uid="{00000000-0005-0000-0000-00003A4A0000}"/>
    <cellStyle name="Comma 6 31 2 2 6" xfId="34739" xr:uid="{00000000-0005-0000-0000-00003B4A0000}"/>
    <cellStyle name="Comma 6 31 2 3" xfId="4628" xr:uid="{00000000-0005-0000-0000-00003C4A0000}"/>
    <cellStyle name="Comma 6 31 2 3 2" xfId="8499" xr:uid="{00000000-0005-0000-0000-00003D4A0000}"/>
    <cellStyle name="Comma 6 31 2 3 2 2" xfId="16244" xr:uid="{00000000-0005-0000-0000-00003E4A0000}"/>
    <cellStyle name="Comma 6 31 2 3 2 2 2" xfId="31836" xr:uid="{00000000-0005-0000-0000-00003F4A0000}"/>
    <cellStyle name="Comma 6 31 2 3 2 2 3" xfId="47328" xr:uid="{00000000-0005-0000-0000-0000404A0000}"/>
    <cellStyle name="Comma 6 31 2 3 2 3" xfId="24096" xr:uid="{00000000-0005-0000-0000-0000414A0000}"/>
    <cellStyle name="Comma 6 31 2 3 2 4" xfId="39588" xr:uid="{00000000-0005-0000-0000-0000424A0000}"/>
    <cellStyle name="Comma 6 31 2 3 3" xfId="12374" xr:uid="{00000000-0005-0000-0000-0000434A0000}"/>
    <cellStyle name="Comma 6 31 2 3 3 2" xfId="27966" xr:uid="{00000000-0005-0000-0000-0000444A0000}"/>
    <cellStyle name="Comma 6 31 2 3 3 3" xfId="43458" xr:uid="{00000000-0005-0000-0000-0000454A0000}"/>
    <cellStyle name="Comma 6 31 2 3 4" xfId="20226" xr:uid="{00000000-0005-0000-0000-0000464A0000}"/>
    <cellStyle name="Comma 6 31 2 3 5" xfId="35718" xr:uid="{00000000-0005-0000-0000-0000474A0000}"/>
    <cellStyle name="Comma 6 31 2 4" xfId="6572" xr:uid="{00000000-0005-0000-0000-0000484A0000}"/>
    <cellStyle name="Comma 6 31 2 4 2" xfId="14317" xr:uid="{00000000-0005-0000-0000-0000494A0000}"/>
    <cellStyle name="Comma 6 31 2 4 2 2" xfId="29909" xr:uid="{00000000-0005-0000-0000-00004A4A0000}"/>
    <cellStyle name="Comma 6 31 2 4 2 3" xfId="45401" xr:uid="{00000000-0005-0000-0000-00004B4A0000}"/>
    <cellStyle name="Comma 6 31 2 4 3" xfId="22169" xr:uid="{00000000-0005-0000-0000-00004C4A0000}"/>
    <cellStyle name="Comma 6 31 2 4 4" xfId="37661" xr:uid="{00000000-0005-0000-0000-00004D4A0000}"/>
    <cellStyle name="Comma 6 31 2 5" xfId="10447" xr:uid="{00000000-0005-0000-0000-00004E4A0000}"/>
    <cellStyle name="Comma 6 31 2 5 2" xfId="26039" xr:uid="{00000000-0005-0000-0000-00004F4A0000}"/>
    <cellStyle name="Comma 6 31 2 5 3" xfId="41531" xr:uid="{00000000-0005-0000-0000-0000504A0000}"/>
    <cellStyle name="Comma 6 31 2 6" xfId="18299" xr:uid="{00000000-0005-0000-0000-0000514A0000}"/>
    <cellStyle name="Comma 6 31 2 7" xfId="33791" xr:uid="{00000000-0005-0000-0000-0000524A0000}"/>
    <cellStyle name="Comma 6 31 3" xfId="3328" xr:uid="{00000000-0005-0000-0000-0000534A0000}"/>
    <cellStyle name="Comma 6 31 3 2" xfId="5267" xr:uid="{00000000-0005-0000-0000-0000544A0000}"/>
    <cellStyle name="Comma 6 31 3 2 2" xfId="9138" xr:uid="{00000000-0005-0000-0000-0000554A0000}"/>
    <cellStyle name="Comma 6 31 3 2 2 2" xfId="16883" xr:uid="{00000000-0005-0000-0000-0000564A0000}"/>
    <cellStyle name="Comma 6 31 3 2 2 2 2" xfId="32475" xr:uid="{00000000-0005-0000-0000-0000574A0000}"/>
    <cellStyle name="Comma 6 31 3 2 2 2 3" xfId="47967" xr:uid="{00000000-0005-0000-0000-0000584A0000}"/>
    <cellStyle name="Comma 6 31 3 2 2 3" xfId="24735" xr:uid="{00000000-0005-0000-0000-0000594A0000}"/>
    <cellStyle name="Comma 6 31 3 2 2 4" xfId="40227" xr:uid="{00000000-0005-0000-0000-00005A4A0000}"/>
    <cellStyle name="Comma 6 31 3 2 3" xfId="13013" xr:uid="{00000000-0005-0000-0000-00005B4A0000}"/>
    <cellStyle name="Comma 6 31 3 2 3 2" xfId="28605" xr:uid="{00000000-0005-0000-0000-00005C4A0000}"/>
    <cellStyle name="Comma 6 31 3 2 3 3" xfId="44097" xr:uid="{00000000-0005-0000-0000-00005D4A0000}"/>
    <cellStyle name="Comma 6 31 3 2 4" xfId="20865" xr:uid="{00000000-0005-0000-0000-00005E4A0000}"/>
    <cellStyle name="Comma 6 31 3 2 5" xfId="36357" xr:uid="{00000000-0005-0000-0000-00005F4A0000}"/>
    <cellStyle name="Comma 6 31 3 3" xfId="7211" xr:uid="{00000000-0005-0000-0000-0000604A0000}"/>
    <cellStyle name="Comma 6 31 3 3 2" xfId="14956" xr:uid="{00000000-0005-0000-0000-0000614A0000}"/>
    <cellStyle name="Comma 6 31 3 3 2 2" xfId="30548" xr:uid="{00000000-0005-0000-0000-0000624A0000}"/>
    <cellStyle name="Comma 6 31 3 3 2 3" xfId="46040" xr:uid="{00000000-0005-0000-0000-0000634A0000}"/>
    <cellStyle name="Comma 6 31 3 3 3" xfId="22808" xr:uid="{00000000-0005-0000-0000-0000644A0000}"/>
    <cellStyle name="Comma 6 31 3 3 4" xfId="38300" xr:uid="{00000000-0005-0000-0000-0000654A0000}"/>
    <cellStyle name="Comma 6 31 3 4" xfId="11086" xr:uid="{00000000-0005-0000-0000-0000664A0000}"/>
    <cellStyle name="Comma 6 31 3 4 2" xfId="26678" xr:uid="{00000000-0005-0000-0000-0000674A0000}"/>
    <cellStyle name="Comma 6 31 3 4 3" xfId="42170" xr:uid="{00000000-0005-0000-0000-0000684A0000}"/>
    <cellStyle name="Comma 6 31 3 5" xfId="18938" xr:uid="{00000000-0005-0000-0000-0000694A0000}"/>
    <cellStyle name="Comma 6 31 3 6" xfId="34430" xr:uid="{00000000-0005-0000-0000-00006A4A0000}"/>
    <cellStyle name="Comma 6 31 4" xfId="4319" xr:uid="{00000000-0005-0000-0000-00006B4A0000}"/>
    <cellStyle name="Comma 6 31 4 2" xfId="8190" xr:uid="{00000000-0005-0000-0000-00006C4A0000}"/>
    <cellStyle name="Comma 6 31 4 2 2" xfId="15935" xr:uid="{00000000-0005-0000-0000-00006D4A0000}"/>
    <cellStyle name="Comma 6 31 4 2 2 2" xfId="31527" xr:uid="{00000000-0005-0000-0000-00006E4A0000}"/>
    <cellStyle name="Comma 6 31 4 2 2 3" xfId="47019" xr:uid="{00000000-0005-0000-0000-00006F4A0000}"/>
    <cellStyle name="Comma 6 31 4 2 3" xfId="23787" xr:uid="{00000000-0005-0000-0000-0000704A0000}"/>
    <cellStyle name="Comma 6 31 4 2 4" xfId="39279" xr:uid="{00000000-0005-0000-0000-0000714A0000}"/>
    <cellStyle name="Comma 6 31 4 3" xfId="12065" xr:uid="{00000000-0005-0000-0000-0000724A0000}"/>
    <cellStyle name="Comma 6 31 4 3 2" xfId="27657" xr:uid="{00000000-0005-0000-0000-0000734A0000}"/>
    <cellStyle name="Comma 6 31 4 3 3" xfId="43149" xr:uid="{00000000-0005-0000-0000-0000744A0000}"/>
    <cellStyle name="Comma 6 31 4 4" xfId="19917" xr:uid="{00000000-0005-0000-0000-0000754A0000}"/>
    <cellStyle name="Comma 6 31 4 5" xfId="35409" xr:uid="{00000000-0005-0000-0000-0000764A0000}"/>
    <cellStyle name="Comma 6 31 5" xfId="6263" xr:uid="{00000000-0005-0000-0000-0000774A0000}"/>
    <cellStyle name="Comma 6 31 5 2" xfId="14008" xr:uid="{00000000-0005-0000-0000-0000784A0000}"/>
    <cellStyle name="Comma 6 31 5 2 2" xfId="29600" xr:uid="{00000000-0005-0000-0000-0000794A0000}"/>
    <cellStyle name="Comma 6 31 5 2 3" xfId="45092" xr:uid="{00000000-0005-0000-0000-00007A4A0000}"/>
    <cellStyle name="Comma 6 31 5 3" xfId="21860" xr:uid="{00000000-0005-0000-0000-00007B4A0000}"/>
    <cellStyle name="Comma 6 31 5 4" xfId="37352" xr:uid="{00000000-0005-0000-0000-00007C4A0000}"/>
    <cellStyle name="Comma 6 31 6" xfId="10138" xr:uid="{00000000-0005-0000-0000-00007D4A0000}"/>
    <cellStyle name="Comma 6 31 6 2" xfId="25730" xr:uid="{00000000-0005-0000-0000-00007E4A0000}"/>
    <cellStyle name="Comma 6 31 6 3" xfId="41222" xr:uid="{00000000-0005-0000-0000-00007F4A0000}"/>
    <cellStyle name="Comma 6 31 7" xfId="17990" xr:uid="{00000000-0005-0000-0000-0000804A0000}"/>
    <cellStyle name="Comma 6 31 8" xfId="33482" xr:uid="{00000000-0005-0000-0000-0000814A0000}"/>
    <cellStyle name="Comma 6 32" xfId="2352" xr:uid="{00000000-0005-0000-0000-0000824A0000}"/>
    <cellStyle name="Comma 6 32 2" xfId="2665" xr:uid="{00000000-0005-0000-0000-0000834A0000}"/>
    <cellStyle name="Comma 6 32 2 2" xfId="3673" xr:uid="{00000000-0005-0000-0000-0000844A0000}"/>
    <cellStyle name="Comma 6 32 2 2 2" xfId="5612" xr:uid="{00000000-0005-0000-0000-0000854A0000}"/>
    <cellStyle name="Comma 6 32 2 2 2 2" xfId="9483" xr:uid="{00000000-0005-0000-0000-0000864A0000}"/>
    <cellStyle name="Comma 6 32 2 2 2 2 2" xfId="17228" xr:uid="{00000000-0005-0000-0000-0000874A0000}"/>
    <cellStyle name="Comma 6 32 2 2 2 2 2 2" xfId="32820" xr:uid="{00000000-0005-0000-0000-0000884A0000}"/>
    <cellStyle name="Comma 6 32 2 2 2 2 2 3" xfId="48312" xr:uid="{00000000-0005-0000-0000-0000894A0000}"/>
    <cellStyle name="Comma 6 32 2 2 2 2 3" xfId="25080" xr:uid="{00000000-0005-0000-0000-00008A4A0000}"/>
    <cellStyle name="Comma 6 32 2 2 2 2 4" xfId="40572" xr:uid="{00000000-0005-0000-0000-00008B4A0000}"/>
    <cellStyle name="Comma 6 32 2 2 2 3" xfId="13358" xr:uid="{00000000-0005-0000-0000-00008C4A0000}"/>
    <cellStyle name="Comma 6 32 2 2 2 3 2" xfId="28950" xr:uid="{00000000-0005-0000-0000-00008D4A0000}"/>
    <cellStyle name="Comma 6 32 2 2 2 3 3" xfId="44442" xr:uid="{00000000-0005-0000-0000-00008E4A0000}"/>
    <cellStyle name="Comma 6 32 2 2 2 4" xfId="21210" xr:uid="{00000000-0005-0000-0000-00008F4A0000}"/>
    <cellStyle name="Comma 6 32 2 2 2 5" xfId="36702" xr:uid="{00000000-0005-0000-0000-0000904A0000}"/>
    <cellStyle name="Comma 6 32 2 2 3" xfId="7556" xr:uid="{00000000-0005-0000-0000-0000914A0000}"/>
    <cellStyle name="Comma 6 32 2 2 3 2" xfId="15301" xr:uid="{00000000-0005-0000-0000-0000924A0000}"/>
    <cellStyle name="Comma 6 32 2 2 3 2 2" xfId="30893" xr:uid="{00000000-0005-0000-0000-0000934A0000}"/>
    <cellStyle name="Comma 6 32 2 2 3 2 3" xfId="46385" xr:uid="{00000000-0005-0000-0000-0000944A0000}"/>
    <cellStyle name="Comma 6 32 2 2 3 3" xfId="23153" xr:uid="{00000000-0005-0000-0000-0000954A0000}"/>
    <cellStyle name="Comma 6 32 2 2 3 4" xfId="38645" xr:uid="{00000000-0005-0000-0000-0000964A0000}"/>
    <cellStyle name="Comma 6 32 2 2 4" xfId="11431" xr:uid="{00000000-0005-0000-0000-0000974A0000}"/>
    <cellStyle name="Comma 6 32 2 2 4 2" xfId="27023" xr:uid="{00000000-0005-0000-0000-0000984A0000}"/>
    <cellStyle name="Comma 6 32 2 2 4 3" xfId="42515" xr:uid="{00000000-0005-0000-0000-0000994A0000}"/>
    <cellStyle name="Comma 6 32 2 2 5" xfId="19283" xr:uid="{00000000-0005-0000-0000-00009A4A0000}"/>
    <cellStyle name="Comma 6 32 2 2 6" xfId="34775" xr:uid="{00000000-0005-0000-0000-00009B4A0000}"/>
    <cellStyle name="Comma 6 32 2 3" xfId="4664" xr:uid="{00000000-0005-0000-0000-00009C4A0000}"/>
    <cellStyle name="Comma 6 32 2 3 2" xfId="8535" xr:uid="{00000000-0005-0000-0000-00009D4A0000}"/>
    <cellStyle name="Comma 6 32 2 3 2 2" xfId="16280" xr:uid="{00000000-0005-0000-0000-00009E4A0000}"/>
    <cellStyle name="Comma 6 32 2 3 2 2 2" xfId="31872" xr:uid="{00000000-0005-0000-0000-00009F4A0000}"/>
    <cellStyle name="Comma 6 32 2 3 2 2 3" xfId="47364" xr:uid="{00000000-0005-0000-0000-0000A04A0000}"/>
    <cellStyle name="Comma 6 32 2 3 2 3" xfId="24132" xr:uid="{00000000-0005-0000-0000-0000A14A0000}"/>
    <cellStyle name="Comma 6 32 2 3 2 4" xfId="39624" xr:uid="{00000000-0005-0000-0000-0000A24A0000}"/>
    <cellStyle name="Comma 6 32 2 3 3" xfId="12410" xr:uid="{00000000-0005-0000-0000-0000A34A0000}"/>
    <cellStyle name="Comma 6 32 2 3 3 2" xfId="28002" xr:uid="{00000000-0005-0000-0000-0000A44A0000}"/>
    <cellStyle name="Comma 6 32 2 3 3 3" xfId="43494" xr:uid="{00000000-0005-0000-0000-0000A54A0000}"/>
    <cellStyle name="Comma 6 32 2 3 4" xfId="20262" xr:uid="{00000000-0005-0000-0000-0000A64A0000}"/>
    <cellStyle name="Comma 6 32 2 3 5" xfId="35754" xr:uid="{00000000-0005-0000-0000-0000A74A0000}"/>
    <cellStyle name="Comma 6 32 2 4" xfId="6608" xr:uid="{00000000-0005-0000-0000-0000A84A0000}"/>
    <cellStyle name="Comma 6 32 2 4 2" xfId="14353" xr:uid="{00000000-0005-0000-0000-0000A94A0000}"/>
    <cellStyle name="Comma 6 32 2 4 2 2" xfId="29945" xr:uid="{00000000-0005-0000-0000-0000AA4A0000}"/>
    <cellStyle name="Comma 6 32 2 4 2 3" xfId="45437" xr:uid="{00000000-0005-0000-0000-0000AB4A0000}"/>
    <cellStyle name="Comma 6 32 2 4 3" xfId="22205" xr:uid="{00000000-0005-0000-0000-0000AC4A0000}"/>
    <cellStyle name="Comma 6 32 2 4 4" xfId="37697" xr:uid="{00000000-0005-0000-0000-0000AD4A0000}"/>
    <cellStyle name="Comma 6 32 2 5" xfId="10483" xr:uid="{00000000-0005-0000-0000-0000AE4A0000}"/>
    <cellStyle name="Comma 6 32 2 5 2" xfId="26075" xr:uid="{00000000-0005-0000-0000-0000AF4A0000}"/>
    <cellStyle name="Comma 6 32 2 5 3" xfId="41567" xr:uid="{00000000-0005-0000-0000-0000B04A0000}"/>
    <cellStyle name="Comma 6 32 2 6" xfId="18335" xr:uid="{00000000-0005-0000-0000-0000B14A0000}"/>
    <cellStyle name="Comma 6 32 2 7" xfId="33827" xr:uid="{00000000-0005-0000-0000-0000B24A0000}"/>
    <cellStyle name="Comma 6 32 3" xfId="3364" xr:uid="{00000000-0005-0000-0000-0000B34A0000}"/>
    <cellStyle name="Comma 6 32 3 2" xfId="5303" xr:uid="{00000000-0005-0000-0000-0000B44A0000}"/>
    <cellStyle name="Comma 6 32 3 2 2" xfId="9174" xr:uid="{00000000-0005-0000-0000-0000B54A0000}"/>
    <cellStyle name="Comma 6 32 3 2 2 2" xfId="16919" xr:uid="{00000000-0005-0000-0000-0000B64A0000}"/>
    <cellStyle name="Comma 6 32 3 2 2 2 2" xfId="32511" xr:uid="{00000000-0005-0000-0000-0000B74A0000}"/>
    <cellStyle name="Comma 6 32 3 2 2 2 3" xfId="48003" xr:uid="{00000000-0005-0000-0000-0000B84A0000}"/>
    <cellStyle name="Comma 6 32 3 2 2 3" xfId="24771" xr:uid="{00000000-0005-0000-0000-0000B94A0000}"/>
    <cellStyle name="Comma 6 32 3 2 2 4" xfId="40263" xr:uid="{00000000-0005-0000-0000-0000BA4A0000}"/>
    <cellStyle name="Comma 6 32 3 2 3" xfId="13049" xr:uid="{00000000-0005-0000-0000-0000BB4A0000}"/>
    <cellStyle name="Comma 6 32 3 2 3 2" xfId="28641" xr:uid="{00000000-0005-0000-0000-0000BC4A0000}"/>
    <cellStyle name="Comma 6 32 3 2 3 3" xfId="44133" xr:uid="{00000000-0005-0000-0000-0000BD4A0000}"/>
    <cellStyle name="Comma 6 32 3 2 4" xfId="20901" xr:uid="{00000000-0005-0000-0000-0000BE4A0000}"/>
    <cellStyle name="Comma 6 32 3 2 5" xfId="36393" xr:uid="{00000000-0005-0000-0000-0000BF4A0000}"/>
    <cellStyle name="Comma 6 32 3 3" xfId="7247" xr:uid="{00000000-0005-0000-0000-0000C04A0000}"/>
    <cellStyle name="Comma 6 32 3 3 2" xfId="14992" xr:uid="{00000000-0005-0000-0000-0000C14A0000}"/>
    <cellStyle name="Comma 6 32 3 3 2 2" xfId="30584" xr:uid="{00000000-0005-0000-0000-0000C24A0000}"/>
    <cellStyle name="Comma 6 32 3 3 2 3" xfId="46076" xr:uid="{00000000-0005-0000-0000-0000C34A0000}"/>
    <cellStyle name="Comma 6 32 3 3 3" xfId="22844" xr:uid="{00000000-0005-0000-0000-0000C44A0000}"/>
    <cellStyle name="Comma 6 32 3 3 4" xfId="38336" xr:uid="{00000000-0005-0000-0000-0000C54A0000}"/>
    <cellStyle name="Comma 6 32 3 4" xfId="11122" xr:uid="{00000000-0005-0000-0000-0000C64A0000}"/>
    <cellStyle name="Comma 6 32 3 4 2" xfId="26714" xr:uid="{00000000-0005-0000-0000-0000C74A0000}"/>
    <cellStyle name="Comma 6 32 3 4 3" xfId="42206" xr:uid="{00000000-0005-0000-0000-0000C84A0000}"/>
    <cellStyle name="Comma 6 32 3 5" xfId="18974" xr:uid="{00000000-0005-0000-0000-0000C94A0000}"/>
    <cellStyle name="Comma 6 32 3 6" xfId="34466" xr:uid="{00000000-0005-0000-0000-0000CA4A0000}"/>
    <cellStyle name="Comma 6 32 4" xfId="4355" xr:uid="{00000000-0005-0000-0000-0000CB4A0000}"/>
    <cellStyle name="Comma 6 32 4 2" xfId="8226" xr:uid="{00000000-0005-0000-0000-0000CC4A0000}"/>
    <cellStyle name="Comma 6 32 4 2 2" xfId="15971" xr:uid="{00000000-0005-0000-0000-0000CD4A0000}"/>
    <cellStyle name="Comma 6 32 4 2 2 2" xfId="31563" xr:uid="{00000000-0005-0000-0000-0000CE4A0000}"/>
    <cellStyle name="Comma 6 32 4 2 2 3" xfId="47055" xr:uid="{00000000-0005-0000-0000-0000CF4A0000}"/>
    <cellStyle name="Comma 6 32 4 2 3" xfId="23823" xr:uid="{00000000-0005-0000-0000-0000D04A0000}"/>
    <cellStyle name="Comma 6 32 4 2 4" xfId="39315" xr:uid="{00000000-0005-0000-0000-0000D14A0000}"/>
    <cellStyle name="Comma 6 32 4 3" xfId="12101" xr:uid="{00000000-0005-0000-0000-0000D24A0000}"/>
    <cellStyle name="Comma 6 32 4 3 2" xfId="27693" xr:uid="{00000000-0005-0000-0000-0000D34A0000}"/>
    <cellStyle name="Comma 6 32 4 3 3" xfId="43185" xr:uid="{00000000-0005-0000-0000-0000D44A0000}"/>
    <cellStyle name="Comma 6 32 4 4" xfId="19953" xr:uid="{00000000-0005-0000-0000-0000D54A0000}"/>
    <cellStyle name="Comma 6 32 4 5" xfId="35445" xr:uid="{00000000-0005-0000-0000-0000D64A0000}"/>
    <cellStyle name="Comma 6 32 5" xfId="6299" xr:uid="{00000000-0005-0000-0000-0000D74A0000}"/>
    <cellStyle name="Comma 6 32 5 2" xfId="14044" xr:uid="{00000000-0005-0000-0000-0000D84A0000}"/>
    <cellStyle name="Comma 6 32 5 2 2" xfId="29636" xr:uid="{00000000-0005-0000-0000-0000D94A0000}"/>
    <cellStyle name="Comma 6 32 5 2 3" xfId="45128" xr:uid="{00000000-0005-0000-0000-0000DA4A0000}"/>
    <cellStyle name="Comma 6 32 5 3" xfId="21896" xr:uid="{00000000-0005-0000-0000-0000DB4A0000}"/>
    <cellStyle name="Comma 6 32 5 4" xfId="37388" xr:uid="{00000000-0005-0000-0000-0000DC4A0000}"/>
    <cellStyle name="Comma 6 32 6" xfId="10174" xr:uid="{00000000-0005-0000-0000-0000DD4A0000}"/>
    <cellStyle name="Comma 6 32 6 2" xfId="25766" xr:uid="{00000000-0005-0000-0000-0000DE4A0000}"/>
    <cellStyle name="Comma 6 32 6 3" xfId="41258" xr:uid="{00000000-0005-0000-0000-0000DF4A0000}"/>
    <cellStyle name="Comma 6 32 7" xfId="18026" xr:uid="{00000000-0005-0000-0000-0000E04A0000}"/>
    <cellStyle name="Comma 6 32 8" xfId="33518" xr:uid="{00000000-0005-0000-0000-0000E14A0000}"/>
    <cellStyle name="Comma 6 33" xfId="2389" xr:uid="{00000000-0005-0000-0000-0000E24A0000}"/>
    <cellStyle name="Comma 6 33 2" xfId="2701" xr:uid="{00000000-0005-0000-0000-0000E34A0000}"/>
    <cellStyle name="Comma 6 33 2 2" xfId="3709" xr:uid="{00000000-0005-0000-0000-0000E44A0000}"/>
    <cellStyle name="Comma 6 33 2 2 2" xfId="5648" xr:uid="{00000000-0005-0000-0000-0000E54A0000}"/>
    <cellStyle name="Comma 6 33 2 2 2 2" xfId="9519" xr:uid="{00000000-0005-0000-0000-0000E64A0000}"/>
    <cellStyle name="Comma 6 33 2 2 2 2 2" xfId="17264" xr:uid="{00000000-0005-0000-0000-0000E74A0000}"/>
    <cellStyle name="Comma 6 33 2 2 2 2 2 2" xfId="32856" xr:uid="{00000000-0005-0000-0000-0000E84A0000}"/>
    <cellStyle name="Comma 6 33 2 2 2 2 2 3" xfId="48348" xr:uid="{00000000-0005-0000-0000-0000E94A0000}"/>
    <cellStyle name="Comma 6 33 2 2 2 2 3" xfId="25116" xr:uid="{00000000-0005-0000-0000-0000EA4A0000}"/>
    <cellStyle name="Comma 6 33 2 2 2 2 4" xfId="40608" xr:uid="{00000000-0005-0000-0000-0000EB4A0000}"/>
    <cellStyle name="Comma 6 33 2 2 2 3" xfId="13394" xr:uid="{00000000-0005-0000-0000-0000EC4A0000}"/>
    <cellStyle name="Comma 6 33 2 2 2 3 2" xfId="28986" xr:uid="{00000000-0005-0000-0000-0000ED4A0000}"/>
    <cellStyle name="Comma 6 33 2 2 2 3 3" xfId="44478" xr:uid="{00000000-0005-0000-0000-0000EE4A0000}"/>
    <cellStyle name="Comma 6 33 2 2 2 4" xfId="21246" xr:uid="{00000000-0005-0000-0000-0000EF4A0000}"/>
    <cellStyle name="Comma 6 33 2 2 2 5" xfId="36738" xr:uid="{00000000-0005-0000-0000-0000F04A0000}"/>
    <cellStyle name="Comma 6 33 2 2 3" xfId="7592" xr:uid="{00000000-0005-0000-0000-0000F14A0000}"/>
    <cellStyle name="Comma 6 33 2 2 3 2" xfId="15337" xr:uid="{00000000-0005-0000-0000-0000F24A0000}"/>
    <cellStyle name="Comma 6 33 2 2 3 2 2" xfId="30929" xr:uid="{00000000-0005-0000-0000-0000F34A0000}"/>
    <cellStyle name="Comma 6 33 2 2 3 2 3" xfId="46421" xr:uid="{00000000-0005-0000-0000-0000F44A0000}"/>
    <cellStyle name="Comma 6 33 2 2 3 3" xfId="23189" xr:uid="{00000000-0005-0000-0000-0000F54A0000}"/>
    <cellStyle name="Comma 6 33 2 2 3 4" xfId="38681" xr:uid="{00000000-0005-0000-0000-0000F64A0000}"/>
    <cellStyle name="Comma 6 33 2 2 4" xfId="11467" xr:uid="{00000000-0005-0000-0000-0000F74A0000}"/>
    <cellStyle name="Comma 6 33 2 2 4 2" xfId="27059" xr:uid="{00000000-0005-0000-0000-0000F84A0000}"/>
    <cellStyle name="Comma 6 33 2 2 4 3" xfId="42551" xr:uid="{00000000-0005-0000-0000-0000F94A0000}"/>
    <cellStyle name="Comma 6 33 2 2 5" xfId="19319" xr:uid="{00000000-0005-0000-0000-0000FA4A0000}"/>
    <cellStyle name="Comma 6 33 2 2 6" xfId="34811" xr:uid="{00000000-0005-0000-0000-0000FB4A0000}"/>
    <cellStyle name="Comma 6 33 2 3" xfId="4700" xr:uid="{00000000-0005-0000-0000-0000FC4A0000}"/>
    <cellStyle name="Comma 6 33 2 3 2" xfId="8571" xr:uid="{00000000-0005-0000-0000-0000FD4A0000}"/>
    <cellStyle name="Comma 6 33 2 3 2 2" xfId="16316" xr:uid="{00000000-0005-0000-0000-0000FE4A0000}"/>
    <cellStyle name="Comma 6 33 2 3 2 2 2" xfId="31908" xr:uid="{00000000-0005-0000-0000-0000FF4A0000}"/>
    <cellStyle name="Comma 6 33 2 3 2 2 3" xfId="47400" xr:uid="{00000000-0005-0000-0000-0000004B0000}"/>
    <cellStyle name="Comma 6 33 2 3 2 3" xfId="24168" xr:uid="{00000000-0005-0000-0000-0000014B0000}"/>
    <cellStyle name="Comma 6 33 2 3 2 4" xfId="39660" xr:uid="{00000000-0005-0000-0000-0000024B0000}"/>
    <cellStyle name="Comma 6 33 2 3 3" xfId="12446" xr:uid="{00000000-0005-0000-0000-0000034B0000}"/>
    <cellStyle name="Comma 6 33 2 3 3 2" xfId="28038" xr:uid="{00000000-0005-0000-0000-0000044B0000}"/>
    <cellStyle name="Comma 6 33 2 3 3 3" xfId="43530" xr:uid="{00000000-0005-0000-0000-0000054B0000}"/>
    <cellStyle name="Comma 6 33 2 3 4" xfId="20298" xr:uid="{00000000-0005-0000-0000-0000064B0000}"/>
    <cellStyle name="Comma 6 33 2 3 5" xfId="35790" xr:uid="{00000000-0005-0000-0000-0000074B0000}"/>
    <cellStyle name="Comma 6 33 2 4" xfId="6644" xr:uid="{00000000-0005-0000-0000-0000084B0000}"/>
    <cellStyle name="Comma 6 33 2 4 2" xfId="14389" xr:uid="{00000000-0005-0000-0000-0000094B0000}"/>
    <cellStyle name="Comma 6 33 2 4 2 2" xfId="29981" xr:uid="{00000000-0005-0000-0000-00000A4B0000}"/>
    <cellStyle name="Comma 6 33 2 4 2 3" xfId="45473" xr:uid="{00000000-0005-0000-0000-00000B4B0000}"/>
    <cellStyle name="Comma 6 33 2 4 3" xfId="22241" xr:uid="{00000000-0005-0000-0000-00000C4B0000}"/>
    <cellStyle name="Comma 6 33 2 4 4" xfId="37733" xr:uid="{00000000-0005-0000-0000-00000D4B0000}"/>
    <cellStyle name="Comma 6 33 2 5" xfId="10519" xr:uid="{00000000-0005-0000-0000-00000E4B0000}"/>
    <cellStyle name="Comma 6 33 2 5 2" xfId="26111" xr:uid="{00000000-0005-0000-0000-00000F4B0000}"/>
    <cellStyle name="Comma 6 33 2 5 3" xfId="41603" xr:uid="{00000000-0005-0000-0000-0000104B0000}"/>
    <cellStyle name="Comma 6 33 2 6" xfId="18371" xr:uid="{00000000-0005-0000-0000-0000114B0000}"/>
    <cellStyle name="Comma 6 33 2 7" xfId="33863" xr:uid="{00000000-0005-0000-0000-0000124B0000}"/>
    <cellStyle name="Comma 6 33 3" xfId="3400" xr:uid="{00000000-0005-0000-0000-0000134B0000}"/>
    <cellStyle name="Comma 6 33 3 2" xfId="5339" xr:uid="{00000000-0005-0000-0000-0000144B0000}"/>
    <cellStyle name="Comma 6 33 3 2 2" xfId="9210" xr:uid="{00000000-0005-0000-0000-0000154B0000}"/>
    <cellStyle name="Comma 6 33 3 2 2 2" xfId="16955" xr:uid="{00000000-0005-0000-0000-0000164B0000}"/>
    <cellStyle name="Comma 6 33 3 2 2 2 2" xfId="32547" xr:uid="{00000000-0005-0000-0000-0000174B0000}"/>
    <cellStyle name="Comma 6 33 3 2 2 2 3" xfId="48039" xr:uid="{00000000-0005-0000-0000-0000184B0000}"/>
    <cellStyle name="Comma 6 33 3 2 2 3" xfId="24807" xr:uid="{00000000-0005-0000-0000-0000194B0000}"/>
    <cellStyle name="Comma 6 33 3 2 2 4" xfId="40299" xr:uid="{00000000-0005-0000-0000-00001A4B0000}"/>
    <cellStyle name="Comma 6 33 3 2 3" xfId="13085" xr:uid="{00000000-0005-0000-0000-00001B4B0000}"/>
    <cellStyle name="Comma 6 33 3 2 3 2" xfId="28677" xr:uid="{00000000-0005-0000-0000-00001C4B0000}"/>
    <cellStyle name="Comma 6 33 3 2 3 3" xfId="44169" xr:uid="{00000000-0005-0000-0000-00001D4B0000}"/>
    <cellStyle name="Comma 6 33 3 2 4" xfId="20937" xr:uid="{00000000-0005-0000-0000-00001E4B0000}"/>
    <cellStyle name="Comma 6 33 3 2 5" xfId="36429" xr:uid="{00000000-0005-0000-0000-00001F4B0000}"/>
    <cellStyle name="Comma 6 33 3 3" xfId="7283" xr:uid="{00000000-0005-0000-0000-0000204B0000}"/>
    <cellStyle name="Comma 6 33 3 3 2" xfId="15028" xr:uid="{00000000-0005-0000-0000-0000214B0000}"/>
    <cellStyle name="Comma 6 33 3 3 2 2" xfId="30620" xr:uid="{00000000-0005-0000-0000-0000224B0000}"/>
    <cellStyle name="Comma 6 33 3 3 2 3" xfId="46112" xr:uid="{00000000-0005-0000-0000-0000234B0000}"/>
    <cellStyle name="Comma 6 33 3 3 3" xfId="22880" xr:uid="{00000000-0005-0000-0000-0000244B0000}"/>
    <cellStyle name="Comma 6 33 3 3 4" xfId="38372" xr:uid="{00000000-0005-0000-0000-0000254B0000}"/>
    <cellStyle name="Comma 6 33 3 4" xfId="11158" xr:uid="{00000000-0005-0000-0000-0000264B0000}"/>
    <cellStyle name="Comma 6 33 3 4 2" xfId="26750" xr:uid="{00000000-0005-0000-0000-0000274B0000}"/>
    <cellStyle name="Comma 6 33 3 4 3" xfId="42242" xr:uid="{00000000-0005-0000-0000-0000284B0000}"/>
    <cellStyle name="Comma 6 33 3 5" xfId="19010" xr:uid="{00000000-0005-0000-0000-0000294B0000}"/>
    <cellStyle name="Comma 6 33 3 6" xfId="34502" xr:uid="{00000000-0005-0000-0000-00002A4B0000}"/>
    <cellStyle name="Comma 6 33 4" xfId="4391" xr:uid="{00000000-0005-0000-0000-00002B4B0000}"/>
    <cellStyle name="Comma 6 33 4 2" xfId="8262" xr:uid="{00000000-0005-0000-0000-00002C4B0000}"/>
    <cellStyle name="Comma 6 33 4 2 2" xfId="16007" xr:uid="{00000000-0005-0000-0000-00002D4B0000}"/>
    <cellStyle name="Comma 6 33 4 2 2 2" xfId="31599" xr:uid="{00000000-0005-0000-0000-00002E4B0000}"/>
    <cellStyle name="Comma 6 33 4 2 2 3" xfId="47091" xr:uid="{00000000-0005-0000-0000-00002F4B0000}"/>
    <cellStyle name="Comma 6 33 4 2 3" xfId="23859" xr:uid="{00000000-0005-0000-0000-0000304B0000}"/>
    <cellStyle name="Comma 6 33 4 2 4" xfId="39351" xr:uid="{00000000-0005-0000-0000-0000314B0000}"/>
    <cellStyle name="Comma 6 33 4 3" xfId="12137" xr:uid="{00000000-0005-0000-0000-0000324B0000}"/>
    <cellStyle name="Comma 6 33 4 3 2" xfId="27729" xr:uid="{00000000-0005-0000-0000-0000334B0000}"/>
    <cellStyle name="Comma 6 33 4 3 3" xfId="43221" xr:uid="{00000000-0005-0000-0000-0000344B0000}"/>
    <cellStyle name="Comma 6 33 4 4" xfId="19989" xr:uid="{00000000-0005-0000-0000-0000354B0000}"/>
    <cellStyle name="Comma 6 33 4 5" xfId="35481" xr:uid="{00000000-0005-0000-0000-0000364B0000}"/>
    <cellStyle name="Comma 6 33 5" xfId="6335" xr:uid="{00000000-0005-0000-0000-0000374B0000}"/>
    <cellStyle name="Comma 6 33 5 2" xfId="14080" xr:uid="{00000000-0005-0000-0000-0000384B0000}"/>
    <cellStyle name="Comma 6 33 5 2 2" xfId="29672" xr:uid="{00000000-0005-0000-0000-0000394B0000}"/>
    <cellStyle name="Comma 6 33 5 2 3" xfId="45164" xr:uid="{00000000-0005-0000-0000-00003A4B0000}"/>
    <cellStyle name="Comma 6 33 5 3" xfId="21932" xr:uid="{00000000-0005-0000-0000-00003B4B0000}"/>
    <cellStyle name="Comma 6 33 5 4" xfId="37424" xr:uid="{00000000-0005-0000-0000-00003C4B0000}"/>
    <cellStyle name="Comma 6 33 6" xfId="10210" xr:uid="{00000000-0005-0000-0000-00003D4B0000}"/>
    <cellStyle name="Comma 6 33 6 2" xfId="25802" xr:uid="{00000000-0005-0000-0000-00003E4B0000}"/>
    <cellStyle name="Comma 6 33 6 3" xfId="41294" xr:uid="{00000000-0005-0000-0000-00003F4B0000}"/>
    <cellStyle name="Comma 6 33 7" xfId="18062" xr:uid="{00000000-0005-0000-0000-0000404B0000}"/>
    <cellStyle name="Comma 6 33 8" xfId="33554" xr:uid="{00000000-0005-0000-0000-0000414B0000}"/>
    <cellStyle name="Comma 6 34" xfId="2427" xr:uid="{00000000-0005-0000-0000-0000424B0000}"/>
    <cellStyle name="Comma 6 34 2" xfId="2737" xr:uid="{00000000-0005-0000-0000-0000434B0000}"/>
    <cellStyle name="Comma 6 34 2 2" xfId="3745" xr:uid="{00000000-0005-0000-0000-0000444B0000}"/>
    <cellStyle name="Comma 6 34 2 2 2" xfId="5684" xr:uid="{00000000-0005-0000-0000-0000454B0000}"/>
    <cellStyle name="Comma 6 34 2 2 2 2" xfId="9555" xr:uid="{00000000-0005-0000-0000-0000464B0000}"/>
    <cellStyle name="Comma 6 34 2 2 2 2 2" xfId="17300" xr:uid="{00000000-0005-0000-0000-0000474B0000}"/>
    <cellStyle name="Comma 6 34 2 2 2 2 2 2" xfId="32892" xr:uid="{00000000-0005-0000-0000-0000484B0000}"/>
    <cellStyle name="Comma 6 34 2 2 2 2 2 3" xfId="48384" xr:uid="{00000000-0005-0000-0000-0000494B0000}"/>
    <cellStyle name="Comma 6 34 2 2 2 2 3" xfId="25152" xr:uid="{00000000-0005-0000-0000-00004A4B0000}"/>
    <cellStyle name="Comma 6 34 2 2 2 2 4" xfId="40644" xr:uid="{00000000-0005-0000-0000-00004B4B0000}"/>
    <cellStyle name="Comma 6 34 2 2 2 3" xfId="13430" xr:uid="{00000000-0005-0000-0000-00004C4B0000}"/>
    <cellStyle name="Comma 6 34 2 2 2 3 2" xfId="29022" xr:uid="{00000000-0005-0000-0000-00004D4B0000}"/>
    <cellStyle name="Comma 6 34 2 2 2 3 3" xfId="44514" xr:uid="{00000000-0005-0000-0000-00004E4B0000}"/>
    <cellStyle name="Comma 6 34 2 2 2 4" xfId="21282" xr:uid="{00000000-0005-0000-0000-00004F4B0000}"/>
    <cellStyle name="Comma 6 34 2 2 2 5" xfId="36774" xr:uid="{00000000-0005-0000-0000-0000504B0000}"/>
    <cellStyle name="Comma 6 34 2 2 3" xfId="7628" xr:uid="{00000000-0005-0000-0000-0000514B0000}"/>
    <cellStyle name="Comma 6 34 2 2 3 2" xfId="15373" xr:uid="{00000000-0005-0000-0000-0000524B0000}"/>
    <cellStyle name="Comma 6 34 2 2 3 2 2" xfId="30965" xr:uid="{00000000-0005-0000-0000-0000534B0000}"/>
    <cellStyle name="Comma 6 34 2 2 3 2 3" xfId="46457" xr:uid="{00000000-0005-0000-0000-0000544B0000}"/>
    <cellStyle name="Comma 6 34 2 2 3 3" xfId="23225" xr:uid="{00000000-0005-0000-0000-0000554B0000}"/>
    <cellStyle name="Comma 6 34 2 2 3 4" xfId="38717" xr:uid="{00000000-0005-0000-0000-0000564B0000}"/>
    <cellStyle name="Comma 6 34 2 2 4" xfId="11503" xr:uid="{00000000-0005-0000-0000-0000574B0000}"/>
    <cellStyle name="Comma 6 34 2 2 4 2" xfId="27095" xr:uid="{00000000-0005-0000-0000-0000584B0000}"/>
    <cellStyle name="Comma 6 34 2 2 4 3" xfId="42587" xr:uid="{00000000-0005-0000-0000-0000594B0000}"/>
    <cellStyle name="Comma 6 34 2 2 5" xfId="19355" xr:uid="{00000000-0005-0000-0000-00005A4B0000}"/>
    <cellStyle name="Comma 6 34 2 2 6" xfId="34847" xr:uid="{00000000-0005-0000-0000-00005B4B0000}"/>
    <cellStyle name="Comma 6 34 2 3" xfId="4736" xr:uid="{00000000-0005-0000-0000-00005C4B0000}"/>
    <cellStyle name="Comma 6 34 2 3 2" xfId="8607" xr:uid="{00000000-0005-0000-0000-00005D4B0000}"/>
    <cellStyle name="Comma 6 34 2 3 2 2" xfId="16352" xr:uid="{00000000-0005-0000-0000-00005E4B0000}"/>
    <cellStyle name="Comma 6 34 2 3 2 2 2" xfId="31944" xr:uid="{00000000-0005-0000-0000-00005F4B0000}"/>
    <cellStyle name="Comma 6 34 2 3 2 2 3" xfId="47436" xr:uid="{00000000-0005-0000-0000-0000604B0000}"/>
    <cellStyle name="Comma 6 34 2 3 2 3" xfId="24204" xr:uid="{00000000-0005-0000-0000-0000614B0000}"/>
    <cellStyle name="Comma 6 34 2 3 2 4" xfId="39696" xr:uid="{00000000-0005-0000-0000-0000624B0000}"/>
    <cellStyle name="Comma 6 34 2 3 3" xfId="12482" xr:uid="{00000000-0005-0000-0000-0000634B0000}"/>
    <cellStyle name="Comma 6 34 2 3 3 2" xfId="28074" xr:uid="{00000000-0005-0000-0000-0000644B0000}"/>
    <cellStyle name="Comma 6 34 2 3 3 3" xfId="43566" xr:uid="{00000000-0005-0000-0000-0000654B0000}"/>
    <cellStyle name="Comma 6 34 2 3 4" xfId="20334" xr:uid="{00000000-0005-0000-0000-0000664B0000}"/>
    <cellStyle name="Comma 6 34 2 3 5" xfId="35826" xr:uid="{00000000-0005-0000-0000-0000674B0000}"/>
    <cellStyle name="Comma 6 34 2 4" xfId="6680" xr:uid="{00000000-0005-0000-0000-0000684B0000}"/>
    <cellStyle name="Comma 6 34 2 4 2" xfId="14425" xr:uid="{00000000-0005-0000-0000-0000694B0000}"/>
    <cellStyle name="Comma 6 34 2 4 2 2" xfId="30017" xr:uid="{00000000-0005-0000-0000-00006A4B0000}"/>
    <cellStyle name="Comma 6 34 2 4 2 3" xfId="45509" xr:uid="{00000000-0005-0000-0000-00006B4B0000}"/>
    <cellStyle name="Comma 6 34 2 4 3" xfId="22277" xr:uid="{00000000-0005-0000-0000-00006C4B0000}"/>
    <cellStyle name="Comma 6 34 2 4 4" xfId="37769" xr:uid="{00000000-0005-0000-0000-00006D4B0000}"/>
    <cellStyle name="Comma 6 34 2 5" xfId="10555" xr:uid="{00000000-0005-0000-0000-00006E4B0000}"/>
    <cellStyle name="Comma 6 34 2 5 2" xfId="26147" xr:uid="{00000000-0005-0000-0000-00006F4B0000}"/>
    <cellStyle name="Comma 6 34 2 5 3" xfId="41639" xr:uid="{00000000-0005-0000-0000-0000704B0000}"/>
    <cellStyle name="Comma 6 34 2 6" xfId="18407" xr:uid="{00000000-0005-0000-0000-0000714B0000}"/>
    <cellStyle name="Comma 6 34 2 7" xfId="33899" xr:uid="{00000000-0005-0000-0000-0000724B0000}"/>
    <cellStyle name="Comma 6 34 3" xfId="3436" xr:uid="{00000000-0005-0000-0000-0000734B0000}"/>
    <cellStyle name="Comma 6 34 3 2" xfId="5375" xr:uid="{00000000-0005-0000-0000-0000744B0000}"/>
    <cellStyle name="Comma 6 34 3 2 2" xfId="9246" xr:uid="{00000000-0005-0000-0000-0000754B0000}"/>
    <cellStyle name="Comma 6 34 3 2 2 2" xfId="16991" xr:uid="{00000000-0005-0000-0000-0000764B0000}"/>
    <cellStyle name="Comma 6 34 3 2 2 2 2" xfId="32583" xr:uid="{00000000-0005-0000-0000-0000774B0000}"/>
    <cellStyle name="Comma 6 34 3 2 2 2 3" xfId="48075" xr:uid="{00000000-0005-0000-0000-0000784B0000}"/>
    <cellStyle name="Comma 6 34 3 2 2 3" xfId="24843" xr:uid="{00000000-0005-0000-0000-0000794B0000}"/>
    <cellStyle name="Comma 6 34 3 2 2 4" xfId="40335" xr:uid="{00000000-0005-0000-0000-00007A4B0000}"/>
    <cellStyle name="Comma 6 34 3 2 3" xfId="13121" xr:uid="{00000000-0005-0000-0000-00007B4B0000}"/>
    <cellStyle name="Comma 6 34 3 2 3 2" xfId="28713" xr:uid="{00000000-0005-0000-0000-00007C4B0000}"/>
    <cellStyle name="Comma 6 34 3 2 3 3" xfId="44205" xr:uid="{00000000-0005-0000-0000-00007D4B0000}"/>
    <cellStyle name="Comma 6 34 3 2 4" xfId="20973" xr:uid="{00000000-0005-0000-0000-00007E4B0000}"/>
    <cellStyle name="Comma 6 34 3 2 5" xfId="36465" xr:uid="{00000000-0005-0000-0000-00007F4B0000}"/>
    <cellStyle name="Comma 6 34 3 3" xfId="7319" xr:uid="{00000000-0005-0000-0000-0000804B0000}"/>
    <cellStyle name="Comma 6 34 3 3 2" xfId="15064" xr:uid="{00000000-0005-0000-0000-0000814B0000}"/>
    <cellStyle name="Comma 6 34 3 3 2 2" xfId="30656" xr:uid="{00000000-0005-0000-0000-0000824B0000}"/>
    <cellStyle name="Comma 6 34 3 3 2 3" xfId="46148" xr:uid="{00000000-0005-0000-0000-0000834B0000}"/>
    <cellStyle name="Comma 6 34 3 3 3" xfId="22916" xr:uid="{00000000-0005-0000-0000-0000844B0000}"/>
    <cellStyle name="Comma 6 34 3 3 4" xfId="38408" xr:uid="{00000000-0005-0000-0000-0000854B0000}"/>
    <cellStyle name="Comma 6 34 3 4" xfId="11194" xr:uid="{00000000-0005-0000-0000-0000864B0000}"/>
    <cellStyle name="Comma 6 34 3 4 2" xfId="26786" xr:uid="{00000000-0005-0000-0000-0000874B0000}"/>
    <cellStyle name="Comma 6 34 3 4 3" xfId="42278" xr:uid="{00000000-0005-0000-0000-0000884B0000}"/>
    <cellStyle name="Comma 6 34 3 5" xfId="19046" xr:uid="{00000000-0005-0000-0000-0000894B0000}"/>
    <cellStyle name="Comma 6 34 3 6" xfId="34538" xr:uid="{00000000-0005-0000-0000-00008A4B0000}"/>
    <cellStyle name="Comma 6 34 4" xfId="4427" xr:uid="{00000000-0005-0000-0000-00008B4B0000}"/>
    <cellStyle name="Comma 6 34 4 2" xfId="8298" xr:uid="{00000000-0005-0000-0000-00008C4B0000}"/>
    <cellStyle name="Comma 6 34 4 2 2" xfId="16043" xr:uid="{00000000-0005-0000-0000-00008D4B0000}"/>
    <cellStyle name="Comma 6 34 4 2 2 2" xfId="31635" xr:uid="{00000000-0005-0000-0000-00008E4B0000}"/>
    <cellStyle name="Comma 6 34 4 2 2 3" xfId="47127" xr:uid="{00000000-0005-0000-0000-00008F4B0000}"/>
    <cellStyle name="Comma 6 34 4 2 3" xfId="23895" xr:uid="{00000000-0005-0000-0000-0000904B0000}"/>
    <cellStyle name="Comma 6 34 4 2 4" xfId="39387" xr:uid="{00000000-0005-0000-0000-0000914B0000}"/>
    <cellStyle name="Comma 6 34 4 3" xfId="12173" xr:uid="{00000000-0005-0000-0000-0000924B0000}"/>
    <cellStyle name="Comma 6 34 4 3 2" xfId="27765" xr:uid="{00000000-0005-0000-0000-0000934B0000}"/>
    <cellStyle name="Comma 6 34 4 3 3" xfId="43257" xr:uid="{00000000-0005-0000-0000-0000944B0000}"/>
    <cellStyle name="Comma 6 34 4 4" xfId="20025" xr:uid="{00000000-0005-0000-0000-0000954B0000}"/>
    <cellStyle name="Comma 6 34 4 5" xfId="35517" xr:uid="{00000000-0005-0000-0000-0000964B0000}"/>
    <cellStyle name="Comma 6 34 5" xfId="6371" xr:uid="{00000000-0005-0000-0000-0000974B0000}"/>
    <cellStyle name="Comma 6 34 5 2" xfId="14116" xr:uid="{00000000-0005-0000-0000-0000984B0000}"/>
    <cellStyle name="Comma 6 34 5 2 2" xfId="29708" xr:uid="{00000000-0005-0000-0000-0000994B0000}"/>
    <cellStyle name="Comma 6 34 5 2 3" xfId="45200" xr:uid="{00000000-0005-0000-0000-00009A4B0000}"/>
    <cellStyle name="Comma 6 34 5 3" xfId="21968" xr:uid="{00000000-0005-0000-0000-00009B4B0000}"/>
    <cellStyle name="Comma 6 34 5 4" xfId="37460" xr:uid="{00000000-0005-0000-0000-00009C4B0000}"/>
    <cellStyle name="Comma 6 34 6" xfId="10246" xr:uid="{00000000-0005-0000-0000-00009D4B0000}"/>
    <cellStyle name="Comma 6 34 6 2" xfId="25838" xr:uid="{00000000-0005-0000-0000-00009E4B0000}"/>
    <cellStyle name="Comma 6 34 6 3" xfId="41330" xr:uid="{00000000-0005-0000-0000-00009F4B0000}"/>
    <cellStyle name="Comma 6 34 7" xfId="18098" xr:uid="{00000000-0005-0000-0000-0000A04B0000}"/>
    <cellStyle name="Comma 6 34 8" xfId="33590" xr:uid="{00000000-0005-0000-0000-0000A14B0000}"/>
    <cellStyle name="Comma 6 35" xfId="2464" xr:uid="{00000000-0005-0000-0000-0000A24B0000}"/>
    <cellStyle name="Comma 6 35 2" xfId="2773" xr:uid="{00000000-0005-0000-0000-0000A34B0000}"/>
    <cellStyle name="Comma 6 35 2 2" xfId="3781" xr:uid="{00000000-0005-0000-0000-0000A44B0000}"/>
    <cellStyle name="Comma 6 35 2 2 2" xfId="5720" xr:uid="{00000000-0005-0000-0000-0000A54B0000}"/>
    <cellStyle name="Comma 6 35 2 2 2 2" xfId="9591" xr:uid="{00000000-0005-0000-0000-0000A64B0000}"/>
    <cellStyle name="Comma 6 35 2 2 2 2 2" xfId="17336" xr:uid="{00000000-0005-0000-0000-0000A74B0000}"/>
    <cellStyle name="Comma 6 35 2 2 2 2 2 2" xfId="32928" xr:uid="{00000000-0005-0000-0000-0000A84B0000}"/>
    <cellStyle name="Comma 6 35 2 2 2 2 2 3" xfId="48420" xr:uid="{00000000-0005-0000-0000-0000A94B0000}"/>
    <cellStyle name="Comma 6 35 2 2 2 2 3" xfId="25188" xr:uid="{00000000-0005-0000-0000-0000AA4B0000}"/>
    <cellStyle name="Comma 6 35 2 2 2 2 4" xfId="40680" xr:uid="{00000000-0005-0000-0000-0000AB4B0000}"/>
    <cellStyle name="Comma 6 35 2 2 2 3" xfId="13466" xr:uid="{00000000-0005-0000-0000-0000AC4B0000}"/>
    <cellStyle name="Comma 6 35 2 2 2 3 2" xfId="29058" xr:uid="{00000000-0005-0000-0000-0000AD4B0000}"/>
    <cellStyle name="Comma 6 35 2 2 2 3 3" xfId="44550" xr:uid="{00000000-0005-0000-0000-0000AE4B0000}"/>
    <cellStyle name="Comma 6 35 2 2 2 4" xfId="21318" xr:uid="{00000000-0005-0000-0000-0000AF4B0000}"/>
    <cellStyle name="Comma 6 35 2 2 2 5" xfId="36810" xr:uid="{00000000-0005-0000-0000-0000B04B0000}"/>
    <cellStyle name="Comma 6 35 2 2 3" xfId="7664" xr:uid="{00000000-0005-0000-0000-0000B14B0000}"/>
    <cellStyle name="Comma 6 35 2 2 3 2" xfId="15409" xr:uid="{00000000-0005-0000-0000-0000B24B0000}"/>
    <cellStyle name="Comma 6 35 2 2 3 2 2" xfId="31001" xr:uid="{00000000-0005-0000-0000-0000B34B0000}"/>
    <cellStyle name="Comma 6 35 2 2 3 2 3" xfId="46493" xr:uid="{00000000-0005-0000-0000-0000B44B0000}"/>
    <cellStyle name="Comma 6 35 2 2 3 3" xfId="23261" xr:uid="{00000000-0005-0000-0000-0000B54B0000}"/>
    <cellStyle name="Comma 6 35 2 2 3 4" xfId="38753" xr:uid="{00000000-0005-0000-0000-0000B64B0000}"/>
    <cellStyle name="Comma 6 35 2 2 4" xfId="11539" xr:uid="{00000000-0005-0000-0000-0000B74B0000}"/>
    <cellStyle name="Comma 6 35 2 2 4 2" xfId="27131" xr:uid="{00000000-0005-0000-0000-0000B84B0000}"/>
    <cellStyle name="Comma 6 35 2 2 4 3" xfId="42623" xr:uid="{00000000-0005-0000-0000-0000B94B0000}"/>
    <cellStyle name="Comma 6 35 2 2 5" xfId="19391" xr:uid="{00000000-0005-0000-0000-0000BA4B0000}"/>
    <cellStyle name="Comma 6 35 2 2 6" xfId="34883" xr:uid="{00000000-0005-0000-0000-0000BB4B0000}"/>
    <cellStyle name="Comma 6 35 2 3" xfId="4772" xr:uid="{00000000-0005-0000-0000-0000BC4B0000}"/>
    <cellStyle name="Comma 6 35 2 3 2" xfId="8643" xr:uid="{00000000-0005-0000-0000-0000BD4B0000}"/>
    <cellStyle name="Comma 6 35 2 3 2 2" xfId="16388" xr:uid="{00000000-0005-0000-0000-0000BE4B0000}"/>
    <cellStyle name="Comma 6 35 2 3 2 2 2" xfId="31980" xr:uid="{00000000-0005-0000-0000-0000BF4B0000}"/>
    <cellStyle name="Comma 6 35 2 3 2 2 3" xfId="47472" xr:uid="{00000000-0005-0000-0000-0000C04B0000}"/>
    <cellStyle name="Comma 6 35 2 3 2 3" xfId="24240" xr:uid="{00000000-0005-0000-0000-0000C14B0000}"/>
    <cellStyle name="Comma 6 35 2 3 2 4" xfId="39732" xr:uid="{00000000-0005-0000-0000-0000C24B0000}"/>
    <cellStyle name="Comma 6 35 2 3 3" xfId="12518" xr:uid="{00000000-0005-0000-0000-0000C34B0000}"/>
    <cellStyle name="Comma 6 35 2 3 3 2" xfId="28110" xr:uid="{00000000-0005-0000-0000-0000C44B0000}"/>
    <cellStyle name="Comma 6 35 2 3 3 3" xfId="43602" xr:uid="{00000000-0005-0000-0000-0000C54B0000}"/>
    <cellStyle name="Comma 6 35 2 3 4" xfId="20370" xr:uid="{00000000-0005-0000-0000-0000C64B0000}"/>
    <cellStyle name="Comma 6 35 2 3 5" xfId="35862" xr:uid="{00000000-0005-0000-0000-0000C74B0000}"/>
    <cellStyle name="Comma 6 35 2 4" xfId="6716" xr:uid="{00000000-0005-0000-0000-0000C84B0000}"/>
    <cellStyle name="Comma 6 35 2 4 2" xfId="14461" xr:uid="{00000000-0005-0000-0000-0000C94B0000}"/>
    <cellStyle name="Comma 6 35 2 4 2 2" xfId="30053" xr:uid="{00000000-0005-0000-0000-0000CA4B0000}"/>
    <cellStyle name="Comma 6 35 2 4 2 3" xfId="45545" xr:uid="{00000000-0005-0000-0000-0000CB4B0000}"/>
    <cellStyle name="Comma 6 35 2 4 3" xfId="22313" xr:uid="{00000000-0005-0000-0000-0000CC4B0000}"/>
    <cellStyle name="Comma 6 35 2 4 4" xfId="37805" xr:uid="{00000000-0005-0000-0000-0000CD4B0000}"/>
    <cellStyle name="Comma 6 35 2 5" xfId="10591" xr:uid="{00000000-0005-0000-0000-0000CE4B0000}"/>
    <cellStyle name="Comma 6 35 2 5 2" xfId="26183" xr:uid="{00000000-0005-0000-0000-0000CF4B0000}"/>
    <cellStyle name="Comma 6 35 2 5 3" xfId="41675" xr:uid="{00000000-0005-0000-0000-0000D04B0000}"/>
    <cellStyle name="Comma 6 35 2 6" xfId="18443" xr:uid="{00000000-0005-0000-0000-0000D14B0000}"/>
    <cellStyle name="Comma 6 35 2 7" xfId="33935" xr:uid="{00000000-0005-0000-0000-0000D24B0000}"/>
    <cellStyle name="Comma 6 35 3" xfId="3472" xr:uid="{00000000-0005-0000-0000-0000D34B0000}"/>
    <cellStyle name="Comma 6 35 3 2" xfId="5411" xr:uid="{00000000-0005-0000-0000-0000D44B0000}"/>
    <cellStyle name="Comma 6 35 3 2 2" xfId="9282" xr:uid="{00000000-0005-0000-0000-0000D54B0000}"/>
    <cellStyle name="Comma 6 35 3 2 2 2" xfId="17027" xr:uid="{00000000-0005-0000-0000-0000D64B0000}"/>
    <cellStyle name="Comma 6 35 3 2 2 2 2" xfId="32619" xr:uid="{00000000-0005-0000-0000-0000D74B0000}"/>
    <cellStyle name="Comma 6 35 3 2 2 2 3" xfId="48111" xr:uid="{00000000-0005-0000-0000-0000D84B0000}"/>
    <cellStyle name="Comma 6 35 3 2 2 3" xfId="24879" xr:uid="{00000000-0005-0000-0000-0000D94B0000}"/>
    <cellStyle name="Comma 6 35 3 2 2 4" xfId="40371" xr:uid="{00000000-0005-0000-0000-0000DA4B0000}"/>
    <cellStyle name="Comma 6 35 3 2 3" xfId="13157" xr:uid="{00000000-0005-0000-0000-0000DB4B0000}"/>
    <cellStyle name="Comma 6 35 3 2 3 2" xfId="28749" xr:uid="{00000000-0005-0000-0000-0000DC4B0000}"/>
    <cellStyle name="Comma 6 35 3 2 3 3" xfId="44241" xr:uid="{00000000-0005-0000-0000-0000DD4B0000}"/>
    <cellStyle name="Comma 6 35 3 2 4" xfId="21009" xr:uid="{00000000-0005-0000-0000-0000DE4B0000}"/>
    <cellStyle name="Comma 6 35 3 2 5" xfId="36501" xr:uid="{00000000-0005-0000-0000-0000DF4B0000}"/>
    <cellStyle name="Comma 6 35 3 3" xfId="7355" xr:uid="{00000000-0005-0000-0000-0000E04B0000}"/>
    <cellStyle name="Comma 6 35 3 3 2" xfId="15100" xr:uid="{00000000-0005-0000-0000-0000E14B0000}"/>
    <cellStyle name="Comma 6 35 3 3 2 2" xfId="30692" xr:uid="{00000000-0005-0000-0000-0000E24B0000}"/>
    <cellStyle name="Comma 6 35 3 3 2 3" xfId="46184" xr:uid="{00000000-0005-0000-0000-0000E34B0000}"/>
    <cellStyle name="Comma 6 35 3 3 3" xfId="22952" xr:uid="{00000000-0005-0000-0000-0000E44B0000}"/>
    <cellStyle name="Comma 6 35 3 3 4" xfId="38444" xr:uid="{00000000-0005-0000-0000-0000E54B0000}"/>
    <cellStyle name="Comma 6 35 3 4" xfId="11230" xr:uid="{00000000-0005-0000-0000-0000E64B0000}"/>
    <cellStyle name="Comma 6 35 3 4 2" xfId="26822" xr:uid="{00000000-0005-0000-0000-0000E74B0000}"/>
    <cellStyle name="Comma 6 35 3 4 3" xfId="42314" xr:uid="{00000000-0005-0000-0000-0000E84B0000}"/>
    <cellStyle name="Comma 6 35 3 5" xfId="19082" xr:uid="{00000000-0005-0000-0000-0000E94B0000}"/>
    <cellStyle name="Comma 6 35 3 6" xfId="34574" xr:uid="{00000000-0005-0000-0000-0000EA4B0000}"/>
    <cellStyle name="Comma 6 35 4" xfId="4463" xr:uid="{00000000-0005-0000-0000-0000EB4B0000}"/>
    <cellStyle name="Comma 6 35 4 2" xfId="8334" xr:uid="{00000000-0005-0000-0000-0000EC4B0000}"/>
    <cellStyle name="Comma 6 35 4 2 2" xfId="16079" xr:uid="{00000000-0005-0000-0000-0000ED4B0000}"/>
    <cellStyle name="Comma 6 35 4 2 2 2" xfId="31671" xr:uid="{00000000-0005-0000-0000-0000EE4B0000}"/>
    <cellStyle name="Comma 6 35 4 2 2 3" xfId="47163" xr:uid="{00000000-0005-0000-0000-0000EF4B0000}"/>
    <cellStyle name="Comma 6 35 4 2 3" xfId="23931" xr:uid="{00000000-0005-0000-0000-0000F04B0000}"/>
    <cellStyle name="Comma 6 35 4 2 4" xfId="39423" xr:uid="{00000000-0005-0000-0000-0000F14B0000}"/>
    <cellStyle name="Comma 6 35 4 3" xfId="12209" xr:uid="{00000000-0005-0000-0000-0000F24B0000}"/>
    <cellStyle name="Comma 6 35 4 3 2" xfId="27801" xr:uid="{00000000-0005-0000-0000-0000F34B0000}"/>
    <cellStyle name="Comma 6 35 4 3 3" xfId="43293" xr:uid="{00000000-0005-0000-0000-0000F44B0000}"/>
    <cellStyle name="Comma 6 35 4 4" xfId="20061" xr:uid="{00000000-0005-0000-0000-0000F54B0000}"/>
    <cellStyle name="Comma 6 35 4 5" xfId="35553" xr:uid="{00000000-0005-0000-0000-0000F64B0000}"/>
    <cellStyle name="Comma 6 35 5" xfId="6407" xr:uid="{00000000-0005-0000-0000-0000F74B0000}"/>
    <cellStyle name="Comma 6 35 5 2" xfId="14152" xr:uid="{00000000-0005-0000-0000-0000F84B0000}"/>
    <cellStyle name="Comma 6 35 5 2 2" xfId="29744" xr:uid="{00000000-0005-0000-0000-0000F94B0000}"/>
    <cellStyle name="Comma 6 35 5 2 3" xfId="45236" xr:uid="{00000000-0005-0000-0000-0000FA4B0000}"/>
    <cellStyle name="Comma 6 35 5 3" xfId="22004" xr:uid="{00000000-0005-0000-0000-0000FB4B0000}"/>
    <cellStyle name="Comma 6 35 5 4" xfId="37496" xr:uid="{00000000-0005-0000-0000-0000FC4B0000}"/>
    <cellStyle name="Comma 6 35 6" xfId="10282" xr:uid="{00000000-0005-0000-0000-0000FD4B0000}"/>
    <cellStyle name="Comma 6 35 6 2" xfId="25874" xr:uid="{00000000-0005-0000-0000-0000FE4B0000}"/>
    <cellStyle name="Comma 6 35 6 3" xfId="41366" xr:uid="{00000000-0005-0000-0000-0000FF4B0000}"/>
    <cellStyle name="Comma 6 35 7" xfId="18134" xr:uid="{00000000-0005-0000-0000-0000004C0000}"/>
    <cellStyle name="Comma 6 35 8" xfId="33626" xr:uid="{00000000-0005-0000-0000-0000014C0000}"/>
    <cellStyle name="Comma 6 36" xfId="2810" xr:uid="{00000000-0005-0000-0000-0000024C0000}"/>
    <cellStyle name="Comma 6 36 2" xfId="3817" xr:uid="{00000000-0005-0000-0000-0000034C0000}"/>
    <cellStyle name="Comma 6 36 2 2" xfId="5756" xr:uid="{00000000-0005-0000-0000-0000044C0000}"/>
    <cellStyle name="Comma 6 36 2 2 2" xfId="9627" xr:uid="{00000000-0005-0000-0000-0000054C0000}"/>
    <cellStyle name="Comma 6 36 2 2 2 2" xfId="17372" xr:uid="{00000000-0005-0000-0000-0000064C0000}"/>
    <cellStyle name="Comma 6 36 2 2 2 2 2" xfId="32964" xr:uid="{00000000-0005-0000-0000-0000074C0000}"/>
    <cellStyle name="Comma 6 36 2 2 2 2 3" xfId="48456" xr:uid="{00000000-0005-0000-0000-0000084C0000}"/>
    <cellStyle name="Comma 6 36 2 2 2 3" xfId="25224" xr:uid="{00000000-0005-0000-0000-0000094C0000}"/>
    <cellStyle name="Comma 6 36 2 2 2 4" xfId="40716" xr:uid="{00000000-0005-0000-0000-00000A4C0000}"/>
    <cellStyle name="Comma 6 36 2 2 3" xfId="13502" xr:uid="{00000000-0005-0000-0000-00000B4C0000}"/>
    <cellStyle name="Comma 6 36 2 2 3 2" xfId="29094" xr:uid="{00000000-0005-0000-0000-00000C4C0000}"/>
    <cellStyle name="Comma 6 36 2 2 3 3" xfId="44586" xr:uid="{00000000-0005-0000-0000-00000D4C0000}"/>
    <cellStyle name="Comma 6 36 2 2 4" xfId="21354" xr:uid="{00000000-0005-0000-0000-00000E4C0000}"/>
    <cellStyle name="Comma 6 36 2 2 5" xfId="36846" xr:uid="{00000000-0005-0000-0000-00000F4C0000}"/>
    <cellStyle name="Comma 6 36 2 3" xfId="7700" xr:uid="{00000000-0005-0000-0000-0000104C0000}"/>
    <cellStyle name="Comma 6 36 2 3 2" xfId="15445" xr:uid="{00000000-0005-0000-0000-0000114C0000}"/>
    <cellStyle name="Comma 6 36 2 3 2 2" xfId="31037" xr:uid="{00000000-0005-0000-0000-0000124C0000}"/>
    <cellStyle name="Comma 6 36 2 3 2 3" xfId="46529" xr:uid="{00000000-0005-0000-0000-0000134C0000}"/>
    <cellStyle name="Comma 6 36 2 3 3" xfId="23297" xr:uid="{00000000-0005-0000-0000-0000144C0000}"/>
    <cellStyle name="Comma 6 36 2 3 4" xfId="38789" xr:uid="{00000000-0005-0000-0000-0000154C0000}"/>
    <cellStyle name="Comma 6 36 2 4" xfId="11575" xr:uid="{00000000-0005-0000-0000-0000164C0000}"/>
    <cellStyle name="Comma 6 36 2 4 2" xfId="27167" xr:uid="{00000000-0005-0000-0000-0000174C0000}"/>
    <cellStyle name="Comma 6 36 2 4 3" xfId="42659" xr:uid="{00000000-0005-0000-0000-0000184C0000}"/>
    <cellStyle name="Comma 6 36 2 5" xfId="19427" xr:uid="{00000000-0005-0000-0000-0000194C0000}"/>
    <cellStyle name="Comma 6 36 2 6" xfId="34919" xr:uid="{00000000-0005-0000-0000-00001A4C0000}"/>
    <cellStyle name="Comma 6 36 3" xfId="4808" xr:uid="{00000000-0005-0000-0000-00001B4C0000}"/>
    <cellStyle name="Comma 6 36 3 2" xfId="8679" xr:uid="{00000000-0005-0000-0000-00001C4C0000}"/>
    <cellStyle name="Comma 6 36 3 2 2" xfId="16424" xr:uid="{00000000-0005-0000-0000-00001D4C0000}"/>
    <cellStyle name="Comma 6 36 3 2 2 2" xfId="32016" xr:uid="{00000000-0005-0000-0000-00001E4C0000}"/>
    <cellStyle name="Comma 6 36 3 2 2 3" xfId="47508" xr:uid="{00000000-0005-0000-0000-00001F4C0000}"/>
    <cellStyle name="Comma 6 36 3 2 3" xfId="24276" xr:uid="{00000000-0005-0000-0000-0000204C0000}"/>
    <cellStyle name="Comma 6 36 3 2 4" xfId="39768" xr:uid="{00000000-0005-0000-0000-0000214C0000}"/>
    <cellStyle name="Comma 6 36 3 3" xfId="12554" xr:uid="{00000000-0005-0000-0000-0000224C0000}"/>
    <cellStyle name="Comma 6 36 3 3 2" xfId="28146" xr:uid="{00000000-0005-0000-0000-0000234C0000}"/>
    <cellStyle name="Comma 6 36 3 3 3" xfId="43638" xr:uid="{00000000-0005-0000-0000-0000244C0000}"/>
    <cellStyle name="Comma 6 36 3 4" xfId="20406" xr:uid="{00000000-0005-0000-0000-0000254C0000}"/>
    <cellStyle name="Comma 6 36 3 5" xfId="35898" xr:uid="{00000000-0005-0000-0000-0000264C0000}"/>
    <cellStyle name="Comma 6 36 4" xfId="6752" xr:uid="{00000000-0005-0000-0000-0000274C0000}"/>
    <cellStyle name="Comma 6 36 4 2" xfId="14497" xr:uid="{00000000-0005-0000-0000-0000284C0000}"/>
    <cellStyle name="Comma 6 36 4 2 2" xfId="30089" xr:uid="{00000000-0005-0000-0000-0000294C0000}"/>
    <cellStyle name="Comma 6 36 4 2 3" xfId="45581" xr:uid="{00000000-0005-0000-0000-00002A4C0000}"/>
    <cellStyle name="Comma 6 36 4 3" xfId="22349" xr:uid="{00000000-0005-0000-0000-00002B4C0000}"/>
    <cellStyle name="Comma 6 36 4 4" xfId="37841" xr:uid="{00000000-0005-0000-0000-00002C4C0000}"/>
    <cellStyle name="Comma 6 36 5" xfId="10627" xr:uid="{00000000-0005-0000-0000-00002D4C0000}"/>
    <cellStyle name="Comma 6 36 5 2" xfId="26219" xr:uid="{00000000-0005-0000-0000-00002E4C0000}"/>
    <cellStyle name="Comma 6 36 5 3" xfId="41711" xr:uid="{00000000-0005-0000-0000-00002F4C0000}"/>
    <cellStyle name="Comma 6 36 6" xfId="18479" xr:uid="{00000000-0005-0000-0000-0000304C0000}"/>
    <cellStyle name="Comma 6 36 7" xfId="33971" xr:uid="{00000000-0005-0000-0000-0000314C0000}"/>
    <cellStyle name="Comma 6 37" xfId="2849" xr:uid="{00000000-0005-0000-0000-0000324C0000}"/>
    <cellStyle name="Comma 6 37 2" xfId="3855" xr:uid="{00000000-0005-0000-0000-0000334C0000}"/>
    <cellStyle name="Comma 6 37 2 2" xfId="5794" xr:uid="{00000000-0005-0000-0000-0000344C0000}"/>
    <cellStyle name="Comma 6 37 2 2 2" xfId="9665" xr:uid="{00000000-0005-0000-0000-0000354C0000}"/>
    <cellStyle name="Comma 6 37 2 2 2 2" xfId="17410" xr:uid="{00000000-0005-0000-0000-0000364C0000}"/>
    <cellStyle name="Comma 6 37 2 2 2 2 2" xfId="33002" xr:uid="{00000000-0005-0000-0000-0000374C0000}"/>
    <cellStyle name="Comma 6 37 2 2 2 2 3" xfId="48494" xr:uid="{00000000-0005-0000-0000-0000384C0000}"/>
    <cellStyle name="Comma 6 37 2 2 2 3" xfId="25262" xr:uid="{00000000-0005-0000-0000-0000394C0000}"/>
    <cellStyle name="Comma 6 37 2 2 2 4" xfId="40754" xr:uid="{00000000-0005-0000-0000-00003A4C0000}"/>
    <cellStyle name="Comma 6 37 2 2 3" xfId="13540" xr:uid="{00000000-0005-0000-0000-00003B4C0000}"/>
    <cellStyle name="Comma 6 37 2 2 3 2" xfId="29132" xr:uid="{00000000-0005-0000-0000-00003C4C0000}"/>
    <cellStyle name="Comma 6 37 2 2 3 3" xfId="44624" xr:uid="{00000000-0005-0000-0000-00003D4C0000}"/>
    <cellStyle name="Comma 6 37 2 2 4" xfId="21392" xr:uid="{00000000-0005-0000-0000-00003E4C0000}"/>
    <cellStyle name="Comma 6 37 2 2 5" xfId="36884" xr:uid="{00000000-0005-0000-0000-00003F4C0000}"/>
    <cellStyle name="Comma 6 37 2 3" xfId="7738" xr:uid="{00000000-0005-0000-0000-0000404C0000}"/>
    <cellStyle name="Comma 6 37 2 3 2" xfId="15483" xr:uid="{00000000-0005-0000-0000-0000414C0000}"/>
    <cellStyle name="Comma 6 37 2 3 2 2" xfId="31075" xr:uid="{00000000-0005-0000-0000-0000424C0000}"/>
    <cellStyle name="Comma 6 37 2 3 2 3" xfId="46567" xr:uid="{00000000-0005-0000-0000-0000434C0000}"/>
    <cellStyle name="Comma 6 37 2 3 3" xfId="23335" xr:uid="{00000000-0005-0000-0000-0000444C0000}"/>
    <cellStyle name="Comma 6 37 2 3 4" xfId="38827" xr:uid="{00000000-0005-0000-0000-0000454C0000}"/>
    <cellStyle name="Comma 6 37 2 4" xfId="11613" xr:uid="{00000000-0005-0000-0000-0000464C0000}"/>
    <cellStyle name="Comma 6 37 2 4 2" xfId="27205" xr:uid="{00000000-0005-0000-0000-0000474C0000}"/>
    <cellStyle name="Comma 6 37 2 4 3" xfId="42697" xr:uid="{00000000-0005-0000-0000-0000484C0000}"/>
    <cellStyle name="Comma 6 37 2 5" xfId="19465" xr:uid="{00000000-0005-0000-0000-0000494C0000}"/>
    <cellStyle name="Comma 6 37 2 6" xfId="34957" xr:uid="{00000000-0005-0000-0000-00004A4C0000}"/>
    <cellStyle name="Comma 6 37 3" xfId="4846" xr:uid="{00000000-0005-0000-0000-00004B4C0000}"/>
    <cellStyle name="Comma 6 37 3 2" xfId="8717" xr:uid="{00000000-0005-0000-0000-00004C4C0000}"/>
    <cellStyle name="Comma 6 37 3 2 2" xfId="16462" xr:uid="{00000000-0005-0000-0000-00004D4C0000}"/>
    <cellStyle name="Comma 6 37 3 2 2 2" xfId="32054" xr:uid="{00000000-0005-0000-0000-00004E4C0000}"/>
    <cellStyle name="Comma 6 37 3 2 2 3" xfId="47546" xr:uid="{00000000-0005-0000-0000-00004F4C0000}"/>
    <cellStyle name="Comma 6 37 3 2 3" xfId="24314" xr:uid="{00000000-0005-0000-0000-0000504C0000}"/>
    <cellStyle name="Comma 6 37 3 2 4" xfId="39806" xr:uid="{00000000-0005-0000-0000-0000514C0000}"/>
    <cellStyle name="Comma 6 37 3 3" xfId="12592" xr:uid="{00000000-0005-0000-0000-0000524C0000}"/>
    <cellStyle name="Comma 6 37 3 3 2" xfId="28184" xr:uid="{00000000-0005-0000-0000-0000534C0000}"/>
    <cellStyle name="Comma 6 37 3 3 3" xfId="43676" xr:uid="{00000000-0005-0000-0000-0000544C0000}"/>
    <cellStyle name="Comma 6 37 3 4" xfId="20444" xr:uid="{00000000-0005-0000-0000-0000554C0000}"/>
    <cellStyle name="Comma 6 37 3 5" xfId="35936" xr:uid="{00000000-0005-0000-0000-0000564C0000}"/>
    <cellStyle name="Comma 6 37 4" xfId="6790" xr:uid="{00000000-0005-0000-0000-0000574C0000}"/>
    <cellStyle name="Comma 6 37 4 2" xfId="14535" xr:uid="{00000000-0005-0000-0000-0000584C0000}"/>
    <cellStyle name="Comma 6 37 4 2 2" xfId="30127" xr:uid="{00000000-0005-0000-0000-0000594C0000}"/>
    <cellStyle name="Comma 6 37 4 2 3" xfId="45619" xr:uid="{00000000-0005-0000-0000-00005A4C0000}"/>
    <cellStyle name="Comma 6 37 4 3" xfId="22387" xr:uid="{00000000-0005-0000-0000-00005B4C0000}"/>
    <cellStyle name="Comma 6 37 4 4" xfId="37879" xr:uid="{00000000-0005-0000-0000-00005C4C0000}"/>
    <cellStyle name="Comma 6 37 5" xfId="10665" xr:uid="{00000000-0005-0000-0000-00005D4C0000}"/>
    <cellStyle name="Comma 6 37 5 2" xfId="26257" xr:uid="{00000000-0005-0000-0000-00005E4C0000}"/>
    <cellStyle name="Comma 6 37 5 3" xfId="41749" xr:uid="{00000000-0005-0000-0000-00005F4C0000}"/>
    <cellStyle name="Comma 6 37 6" xfId="18517" xr:uid="{00000000-0005-0000-0000-0000604C0000}"/>
    <cellStyle name="Comma 6 37 7" xfId="34009" xr:uid="{00000000-0005-0000-0000-0000614C0000}"/>
    <cellStyle name="Comma 6 38" xfId="2886" xr:uid="{00000000-0005-0000-0000-0000624C0000}"/>
    <cellStyle name="Comma 6 38 2" xfId="3891" xr:uid="{00000000-0005-0000-0000-0000634C0000}"/>
    <cellStyle name="Comma 6 38 2 2" xfId="5830" xr:uid="{00000000-0005-0000-0000-0000644C0000}"/>
    <cellStyle name="Comma 6 38 2 2 2" xfId="9701" xr:uid="{00000000-0005-0000-0000-0000654C0000}"/>
    <cellStyle name="Comma 6 38 2 2 2 2" xfId="17446" xr:uid="{00000000-0005-0000-0000-0000664C0000}"/>
    <cellStyle name="Comma 6 38 2 2 2 2 2" xfId="33038" xr:uid="{00000000-0005-0000-0000-0000674C0000}"/>
    <cellStyle name="Comma 6 38 2 2 2 2 3" xfId="48530" xr:uid="{00000000-0005-0000-0000-0000684C0000}"/>
    <cellStyle name="Comma 6 38 2 2 2 3" xfId="25298" xr:uid="{00000000-0005-0000-0000-0000694C0000}"/>
    <cellStyle name="Comma 6 38 2 2 2 4" xfId="40790" xr:uid="{00000000-0005-0000-0000-00006A4C0000}"/>
    <cellStyle name="Comma 6 38 2 2 3" xfId="13576" xr:uid="{00000000-0005-0000-0000-00006B4C0000}"/>
    <cellStyle name="Comma 6 38 2 2 3 2" xfId="29168" xr:uid="{00000000-0005-0000-0000-00006C4C0000}"/>
    <cellStyle name="Comma 6 38 2 2 3 3" xfId="44660" xr:uid="{00000000-0005-0000-0000-00006D4C0000}"/>
    <cellStyle name="Comma 6 38 2 2 4" xfId="21428" xr:uid="{00000000-0005-0000-0000-00006E4C0000}"/>
    <cellStyle name="Comma 6 38 2 2 5" xfId="36920" xr:uid="{00000000-0005-0000-0000-00006F4C0000}"/>
    <cellStyle name="Comma 6 38 2 3" xfId="7774" xr:uid="{00000000-0005-0000-0000-0000704C0000}"/>
    <cellStyle name="Comma 6 38 2 3 2" xfId="15519" xr:uid="{00000000-0005-0000-0000-0000714C0000}"/>
    <cellStyle name="Comma 6 38 2 3 2 2" xfId="31111" xr:uid="{00000000-0005-0000-0000-0000724C0000}"/>
    <cellStyle name="Comma 6 38 2 3 2 3" xfId="46603" xr:uid="{00000000-0005-0000-0000-0000734C0000}"/>
    <cellStyle name="Comma 6 38 2 3 3" xfId="23371" xr:uid="{00000000-0005-0000-0000-0000744C0000}"/>
    <cellStyle name="Comma 6 38 2 3 4" xfId="38863" xr:uid="{00000000-0005-0000-0000-0000754C0000}"/>
    <cellStyle name="Comma 6 38 2 4" xfId="11649" xr:uid="{00000000-0005-0000-0000-0000764C0000}"/>
    <cellStyle name="Comma 6 38 2 4 2" xfId="27241" xr:uid="{00000000-0005-0000-0000-0000774C0000}"/>
    <cellStyle name="Comma 6 38 2 4 3" xfId="42733" xr:uid="{00000000-0005-0000-0000-0000784C0000}"/>
    <cellStyle name="Comma 6 38 2 5" xfId="19501" xr:uid="{00000000-0005-0000-0000-0000794C0000}"/>
    <cellStyle name="Comma 6 38 2 6" xfId="34993" xr:uid="{00000000-0005-0000-0000-00007A4C0000}"/>
    <cellStyle name="Comma 6 38 3" xfId="4882" xr:uid="{00000000-0005-0000-0000-00007B4C0000}"/>
    <cellStyle name="Comma 6 38 3 2" xfId="8753" xr:uid="{00000000-0005-0000-0000-00007C4C0000}"/>
    <cellStyle name="Comma 6 38 3 2 2" xfId="16498" xr:uid="{00000000-0005-0000-0000-00007D4C0000}"/>
    <cellStyle name="Comma 6 38 3 2 2 2" xfId="32090" xr:uid="{00000000-0005-0000-0000-00007E4C0000}"/>
    <cellStyle name="Comma 6 38 3 2 2 3" xfId="47582" xr:uid="{00000000-0005-0000-0000-00007F4C0000}"/>
    <cellStyle name="Comma 6 38 3 2 3" xfId="24350" xr:uid="{00000000-0005-0000-0000-0000804C0000}"/>
    <cellStyle name="Comma 6 38 3 2 4" xfId="39842" xr:uid="{00000000-0005-0000-0000-0000814C0000}"/>
    <cellStyle name="Comma 6 38 3 3" xfId="12628" xr:uid="{00000000-0005-0000-0000-0000824C0000}"/>
    <cellStyle name="Comma 6 38 3 3 2" xfId="28220" xr:uid="{00000000-0005-0000-0000-0000834C0000}"/>
    <cellStyle name="Comma 6 38 3 3 3" xfId="43712" xr:uid="{00000000-0005-0000-0000-0000844C0000}"/>
    <cellStyle name="Comma 6 38 3 4" xfId="20480" xr:uid="{00000000-0005-0000-0000-0000854C0000}"/>
    <cellStyle name="Comma 6 38 3 5" xfId="35972" xr:uid="{00000000-0005-0000-0000-0000864C0000}"/>
    <cellStyle name="Comma 6 38 4" xfId="6826" xr:uid="{00000000-0005-0000-0000-0000874C0000}"/>
    <cellStyle name="Comma 6 38 4 2" xfId="14571" xr:uid="{00000000-0005-0000-0000-0000884C0000}"/>
    <cellStyle name="Comma 6 38 4 2 2" xfId="30163" xr:uid="{00000000-0005-0000-0000-0000894C0000}"/>
    <cellStyle name="Comma 6 38 4 2 3" xfId="45655" xr:uid="{00000000-0005-0000-0000-00008A4C0000}"/>
    <cellStyle name="Comma 6 38 4 3" xfId="22423" xr:uid="{00000000-0005-0000-0000-00008B4C0000}"/>
    <cellStyle name="Comma 6 38 4 4" xfId="37915" xr:uid="{00000000-0005-0000-0000-00008C4C0000}"/>
    <cellStyle name="Comma 6 38 5" xfId="10701" xr:uid="{00000000-0005-0000-0000-00008D4C0000}"/>
    <cellStyle name="Comma 6 38 5 2" xfId="26293" xr:uid="{00000000-0005-0000-0000-00008E4C0000}"/>
    <cellStyle name="Comma 6 38 5 3" xfId="41785" xr:uid="{00000000-0005-0000-0000-00008F4C0000}"/>
    <cellStyle name="Comma 6 38 6" xfId="18553" xr:uid="{00000000-0005-0000-0000-0000904C0000}"/>
    <cellStyle name="Comma 6 38 7" xfId="34045" xr:uid="{00000000-0005-0000-0000-0000914C0000}"/>
    <cellStyle name="Comma 6 39" xfId="2923" xr:uid="{00000000-0005-0000-0000-0000924C0000}"/>
    <cellStyle name="Comma 6 39 2" xfId="3927" xr:uid="{00000000-0005-0000-0000-0000934C0000}"/>
    <cellStyle name="Comma 6 39 2 2" xfId="5866" xr:uid="{00000000-0005-0000-0000-0000944C0000}"/>
    <cellStyle name="Comma 6 39 2 2 2" xfId="9737" xr:uid="{00000000-0005-0000-0000-0000954C0000}"/>
    <cellStyle name="Comma 6 39 2 2 2 2" xfId="17482" xr:uid="{00000000-0005-0000-0000-0000964C0000}"/>
    <cellStyle name="Comma 6 39 2 2 2 2 2" xfId="33074" xr:uid="{00000000-0005-0000-0000-0000974C0000}"/>
    <cellStyle name="Comma 6 39 2 2 2 2 3" xfId="48566" xr:uid="{00000000-0005-0000-0000-0000984C0000}"/>
    <cellStyle name="Comma 6 39 2 2 2 3" xfId="25334" xr:uid="{00000000-0005-0000-0000-0000994C0000}"/>
    <cellStyle name="Comma 6 39 2 2 2 4" xfId="40826" xr:uid="{00000000-0005-0000-0000-00009A4C0000}"/>
    <cellStyle name="Comma 6 39 2 2 3" xfId="13612" xr:uid="{00000000-0005-0000-0000-00009B4C0000}"/>
    <cellStyle name="Comma 6 39 2 2 3 2" xfId="29204" xr:uid="{00000000-0005-0000-0000-00009C4C0000}"/>
    <cellStyle name="Comma 6 39 2 2 3 3" xfId="44696" xr:uid="{00000000-0005-0000-0000-00009D4C0000}"/>
    <cellStyle name="Comma 6 39 2 2 4" xfId="21464" xr:uid="{00000000-0005-0000-0000-00009E4C0000}"/>
    <cellStyle name="Comma 6 39 2 2 5" xfId="36956" xr:uid="{00000000-0005-0000-0000-00009F4C0000}"/>
    <cellStyle name="Comma 6 39 2 3" xfId="7810" xr:uid="{00000000-0005-0000-0000-0000A04C0000}"/>
    <cellStyle name="Comma 6 39 2 3 2" xfId="15555" xr:uid="{00000000-0005-0000-0000-0000A14C0000}"/>
    <cellStyle name="Comma 6 39 2 3 2 2" xfId="31147" xr:uid="{00000000-0005-0000-0000-0000A24C0000}"/>
    <cellStyle name="Comma 6 39 2 3 2 3" xfId="46639" xr:uid="{00000000-0005-0000-0000-0000A34C0000}"/>
    <cellStyle name="Comma 6 39 2 3 3" xfId="23407" xr:uid="{00000000-0005-0000-0000-0000A44C0000}"/>
    <cellStyle name="Comma 6 39 2 3 4" xfId="38899" xr:uid="{00000000-0005-0000-0000-0000A54C0000}"/>
    <cellStyle name="Comma 6 39 2 4" xfId="11685" xr:uid="{00000000-0005-0000-0000-0000A64C0000}"/>
    <cellStyle name="Comma 6 39 2 4 2" xfId="27277" xr:uid="{00000000-0005-0000-0000-0000A74C0000}"/>
    <cellStyle name="Comma 6 39 2 4 3" xfId="42769" xr:uid="{00000000-0005-0000-0000-0000A84C0000}"/>
    <cellStyle name="Comma 6 39 2 5" xfId="19537" xr:uid="{00000000-0005-0000-0000-0000A94C0000}"/>
    <cellStyle name="Comma 6 39 2 6" xfId="35029" xr:uid="{00000000-0005-0000-0000-0000AA4C0000}"/>
    <cellStyle name="Comma 6 39 3" xfId="4918" xr:uid="{00000000-0005-0000-0000-0000AB4C0000}"/>
    <cellStyle name="Comma 6 39 3 2" xfId="8789" xr:uid="{00000000-0005-0000-0000-0000AC4C0000}"/>
    <cellStyle name="Comma 6 39 3 2 2" xfId="16534" xr:uid="{00000000-0005-0000-0000-0000AD4C0000}"/>
    <cellStyle name="Comma 6 39 3 2 2 2" xfId="32126" xr:uid="{00000000-0005-0000-0000-0000AE4C0000}"/>
    <cellStyle name="Comma 6 39 3 2 2 3" xfId="47618" xr:uid="{00000000-0005-0000-0000-0000AF4C0000}"/>
    <cellStyle name="Comma 6 39 3 2 3" xfId="24386" xr:uid="{00000000-0005-0000-0000-0000B04C0000}"/>
    <cellStyle name="Comma 6 39 3 2 4" xfId="39878" xr:uid="{00000000-0005-0000-0000-0000B14C0000}"/>
    <cellStyle name="Comma 6 39 3 3" xfId="12664" xr:uid="{00000000-0005-0000-0000-0000B24C0000}"/>
    <cellStyle name="Comma 6 39 3 3 2" xfId="28256" xr:uid="{00000000-0005-0000-0000-0000B34C0000}"/>
    <cellStyle name="Comma 6 39 3 3 3" xfId="43748" xr:uid="{00000000-0005-0000-0000-0000B44C0000}"/>
    <cellStyle name="Comma 6 39 3 4" xfId="20516" xr:uid="{00000000-0005-0000-0000-0000B54C0000}"/>
    <cellStyle name="Comma 6 39 3 5" xfId="36008" xr:uid="{00000000-0005-0000-0000-0000B64C0000}"/>
    <cellStyle name="Comma 6 39 4" xfId="6862" xr:uid="{00000000-0005-0000-0000-0000B74C0000}"/>
    <cellStyle name="Comma 6 39 4 2" xfId="14607" xr:uid="{00000000-0005-0000-0000-0000B84C0000}"/>
    <cellStyle name="Comma 6 39 4 2 2" xfId="30199" xr:uid="{00000000-0005-0000-0000-0000B94C0000}"/>
    <cellStyle name="Comma 6 39 4 2 3" xfId="45691" xr:uid="{00000000-0005-0000-0000-0000BA4C0000}"/>
    <cellStyle name="Comma 6 39 4 3" xfId="22459" xr:uid="{00000000-0005-0000-0000-0000BB4C0000}"/>
    <cellStyle name="Comma 6 39 4 4" xfId="37951" xr:uid="{00000000-0005-0000-0000-0000BC4C0000}"/>
    <cellStyle name="Comma 6 39 5" xfId="10737" xr:uid="{00000000-0005-0000-0000-0000BD4C0000}"/>
    <cellStyle name="Comma 6 39 5 2" xfId="26329" xr:uid="{00000000-0005-0000-0000-0000BE4C0000}"/>
    <cellStyle name="Comma 6 39 5 3" xfId="41821" xr:uid="{00000000-0005-0000-0000-0000BF4C0000}"/>
    <cellStyle name="Comma 6 39 6" xfId="18589" xr:uid="{00000000-0005-0000-0000-0000C04C0000}"/>
    <cellStyle name="Comma 6 39 7" xfId="34081" xr:uid="{00000000-0005-0000-0000-0000C14C0000}"/>
    <cellStyle name="Comma 6 4" xfId="1414" xr:uid="{00000000-0005-0000-0000-0000C24C0000}"/>
    <cellStyle name="Comma 6 40" xfId="2962" xr:uid="{00000000-0005-0000-0000-0000C34C0000}"/>
    <cellStyle name="Comma 6 40 2" xfId="3963" xr:uid="{00000000-0005-0000-0000-0000C44C0000}"/>
    <cellStyle name="Comma 6 40 2 2" xfId="5902" xr:uid="{00000000-0005-0000-0000-0000C54C0000}"/>
    <cellStyle name="Comma 6 40 2 2 2" xfId="9773" xr:uid="{00000000-0005-0000-0000-0000C64C0000}"/>
    <cellStyle name="Comma 6 40 2 2 2 2" xfId="17518" xr:uid="{00000000-0005-0000-0000-0000C74C0000}"/>
    <cellStyle name="Comma 6 40 2 2 2 2 2" xfId="33110" xr:uid="{00000000-0005-0000-0000-0000C84C0000}"/>
    <cellStyle name="Comma 6 40 2 2 2 2 3" xfId="48602" xr:uid="{00000000-0005-0000-0000-0000C94C0000}"/>
    <cellStyle name="Comma 6 40 2 2 2 3" xfId="25370" xr:uid="{00000000-0005-0000-0000-0000CA4C0000}"/>
    <cellStyle name="Comma 6 40 2 2 2 4" xfId="40862" xr:uid="{00000000-0005-0000-0000-0000CB4C0000}"/>
    <cellStyle name="Comma 6 40 2 2 3" xfId="13648" xr:uid="{00000000-0005-0000-0000-0000CC4C0000}"/>
    <cellStyle name="Comma 6 40 2 2 3 2" xfId="29240" xr:uid="{00000000-0005-0000-0000-0000CD4C0000}"/>
    <cellStyle name="Comma 6 40 2 2 3 3" xfId="44732" xr:uid="{00000000-0005-0000-0000-0000CE4C0000}"/>
    <cellStyle name="Comma 6 40 2 2 4" xfId="21500" xr:uid="{00000000-0005-0000-0000-0000CF4C0000}"/>
    <cellStyle name="Comma 6 40 2 2 5" xfId="36992" xr:uid="{00000000-0005-0000-0000-0000D04C0000}"/>
    <cellStyle name="Comma 6 40 2 3" xfId="7846" xr:uid="{00000000-0005-0000-0000-0000D14C0000}"/>
    <cellStyle name="Comma 6 40 2 3 2" xfId="15591" xr:uid="{00000000-0005-0000-0000-0000D24C0000}"/>
    <cellStyle name="Comma 6 40 2 3 2 2" xfId="31183" xr:uid="{00000000-0005-0000-0000-0000D34C0000}"/>
    <cellStyle name="Comma 6 40 2 3 2 3" xfId="46675" xr:uid="{00000000-0005-0000-0000-0000D44C0000}"/>
    <cellStyle name="Comma 6 40 2 3 3" xfId="23443" xr:uid="{00000000-0005-0000-0000-0000D54C0000}"/>
    <cellStyle name="Comma 6 40 2 3 4" xfId="38935" xr:uid="{00000000-0005-0000-0000-0000D64C0000}"/>
    <cellStyle name="Comma 6 40 2 4" xfId="11721" xr:uid="{00000000-0005-0000-0000-0000D74C0000}"/>
    <cellStyle name="Comma 6 40 2 4 2" xfId="27313" xr:uid="{00000000-0005-0000-0000-0000D84C0000}"/>
    <cellStyle name="Comma 6 40 2 4 3" xfId="42805" xr:uid="{00000000-0005-0000-0000-0000D94C0000}"/>
    <cellStyle name="Comma 6 40 2 5" xfId="19573" xr:uid="{00000000-0005-0000-0000-0000DA4C0000}"/>
    <cellStyle name="Comma 6 40 2 6" xfId="35065" xr:uid="{00000000-0005-0000-0000-0000DB4C0000}"/>
    <cellStyle name="Comma 6 40 3" xfId="4954" xr:uid="{00000000-0005-0000-0000-0000DC4C0000}"/>
    <cellStyle name="Comma 6 40 3 2" xfId="8825" xr:uid="{00000000-0005-0000-0000-0000DD4C0000}"/>
    <cellStyle name="Comma 6 40 3 2 2" xfId="16570" xr:uid="{00000000-0005-0000-0000-0000DE4C0000}"/>
    <cellStyle name="Comma 6 40 3 2 2 2" xfId="32162" xr:uid="{00000000-0005-0000-0000-0000DF4C0000}"/>
    <cellStyle name="Comma 6 40 3 2 2 3" xfId="47654" xr:uid="{00000000-0005-0000-0000-0000E04C0000}"/>
    <cellStyle name="Comma 6 40 3 2 3" xfId="24422" xr:uid="{00000000-0005-0000-0000-0000E14C0000}"/>
    <cellStyle name="Comma 6 40 3 2 4" xfId="39914" xr:uid="{00000000-0005-0000-0000-0000E24C0000}"/>
    <cellStyle name="Comma 6 40 3 3" xfId="12700" xr:uid="{00000000-0005-0000-0000-0000E34C0000}"/>
    <cellStyle name="Comma 6 40 3 3 2" xfId="28292" xr:uid="{00000000-0005-0000-0000-0000E44C0000}"/>
    <cellStyle name="Comma 6 40 3 3 3" xfId="43784" xr:uid="{00000000-0005-0000-0000-0000E54C0000}"/>
    <cellStyle name="Comma 6 40 3 4" xfId="20552" xr:uid="{00000000-0005-0000-0000-0000E64C0000}"/>
    <cellStyle name="Comma 6 40 3 5" xfId="36044" xr:uid="{00000000-0005-0000-0000-0000E74C0000}"/>
    <cellStyle name="Comma 6 40 4" xfId="6898" xr:uid="{00000000-0005-0000-0000-0000E84C0000}"/>
    <cellStyle name="Comma 6 40 4 2" xfId="14643" xr:uid="{00000000-0005-0000-0000-0000E94C0000}"/>
    <cellStyle name="Comma 6 40 4 2 2" xfId="30235" xr:uid="{00000000-0005-0000-0000-0000EA4C0000}"/>
    <cellStyle name="Comma 6 40 4 2 3" xfId="45727" xr:uid="{00000000-0005-0000-0000-0000EB4C0000}"/>
    <cellStyle name="Comma 6 40 4 3" xfId="22495" xr:uid="{00000000-0005-0000-0000-0000EC4C0000}"/>
    <cellStyle name="Comma 6 40 4 4" xfId="37987" xr:uid="{00000000-0005-0000-0000-0000ED4C0000}"/>
    <cellStyle name="Comma 6 40 5" xfId="10773" xr:uid="{00000000-0005-0000-0000-0000EE4C0000}"/>
    <cellStyle name="Comma 6 40 5 2" xfId="26365" xr:uid="{00000000-0005-0000-0000-0000EF4C0000}"/>
    <cellStyle name="Comma 6 40 5 3" xfId="41857" xr:uid="{00000000-0005-0000-0000-0000F04C0000}"/>
    <cellStyle name="Comma 6 40 6" xfId="18625" xr:uid="{00000000-0005-0000-0000-0000F14C0000}"/>
    <cellStyle name="Comma 6 40 7" xfId="34117" xr:uid="{00000000-0005-0000-0000-0000F24C0000}"/>
    <cellStyle name="Comma 6 41" xfId="3002" xr:uid="{00000000-0005-0000-0000-0000F34C0000}"/>
    <cellStyle name="Comma 6 41 2" xfId="3999" xr:uid="{00000000-0005-0000-0000-0000F44C0000}"/>
    <cellStyle name="Comma 6 41 2 2" xfId="5938" xr:uid="{00000000-0005-0000-0000-0000F54C0000}"/>
    <cellStyle name="Comma 6 41 2 2 2" xfId="9809" xr:uid="{00000000-0005-0000-0000-0000F64C0000}"/>
    <cellStyle name="Comma 6 41 2 2 2 2" xfId="17554" xr:uid="{00000000-0005-0000-0000-0000F74C0000}"/>
    <cellStyle name="Comma 6 41 2 2 2 2 2" xfId="33146" xr:uid="{00000000-0005-0000-0000-0000F84C0000}"/>
    <cellStyle name="Comma 6 41 2 2 2 2 3" xfId="48638" xr:uid="{00000000-0005-0000-0000-0000F94C0000}"/>
    <cellStyle name="Comma 6 41 2 2 2 3" xfId="25406" xr:uid="{00000000-0005-0000-0000-0000FA4C0000}"/>
    <cellStyle name="Comma 6 41 2 2 2 4" xfId="40898" xr:uid="{00000000-0005-0000-0000-0000FB4C0000}"/>
    <cellStyle name="Comma 6 41 2 2 3" xfId="13684" xr:uid="{00000000-0005-0000-0000-0000FC4C0000}"/>
    <cellStyle name="Comma 6 41 2 2 3 2" xfId="29276" xr:uid="{00000000-0005-0000-0000-0000FD4C0000}"/>
    <cellStyle name="Comma 6 41 2 2 3 3" xfId="44768" xr:uid="{00000000-0005-0000-0000-0000FE4C0000}"/>
    <cellStyle name="Comma 6 41 2 2 4" xfId="21536" xr:uid="{00000000-0005-0000-0000-0000FF4C0000}"/>
    <cellStyle name="Comma 6 41 2 2 5" xfId="37028" xr:uid="{00000000-0005-0000-0000-0000004D0000}"/>
    <cellStyle name="Comma 6 41 2 3" xfId="7882" xr:uid="{00000000-0005-0000-0000-0000014D0000}"/>
    <cellStyle name="Comma 6 41 2 3 2" xfId="15627" xr:uid="{00000000-0005-0000-0000-0000024D0000}"/>
    <cellStyle name="Comma 6 41 2 3 2 2" xfId="31219" xr:uid="{00000000-0005-0000-0000-0000034D0000}"/>
    <cellStyle name="Comma 6 41 2 3 2 3" xfId="46711" xr:uid="{00000000-0005-0000-0000-0000044D0000}"/>
    <cellStyle name="Comma 6 41 2 3 3" xfId="23479" xr:uid="{00000000-0005-0000-0000-0000054D0000}"/>
    <cellStyle name="Comma 6 41 2 3 4" xfId="38971" xr:uid="{00000000-0005-0000-0000-0000064D0000}"/>
    <cellStyle name="Comma 6 41 2 4" xfId="11757" xr:uid="{00000000-0005-0000-0000-0000074D0000}"/>
    <cellStyle name="Comma 6 41 2 4 2" xfId="27349" xr:uid="{00000000-0005-0000-0000-0000084D0000}"/>
    <cellStyle name="Comma 6 41 2 4 3" xfId="42841" xr:uid="{00000000-0005-0000-0000-0000094D0000}"/>
    <cellStyle name="Comma 6 41 2 5" xfId="19609" xr:uid="{00000000-0005-0000-0000-00000A4D0000}"/>
    <cellStyle name="Comma 6 41 2 6" xfId="35101" xr:uid="{00000000-0005-0000-0000-00000B4D0000}"/>
    <cellStyle name="Comma 6 41 3" xfId="4990" xr:uid="{00000000-0005-0000-0000-00000C4D0000}"/>
    <cellStyle name="Comma 6 41 3 2" xfId="8861" xr:uid="{00000000-0005-0000-0000-00000D4D0000}"/>
    <cellStyle name="Comma 6 41 3 2 2" xfId="16606" xr:uid="{00000000-0005-0000-0000-00000E4D0000}"/>
    <cellStyle name="Comma 6 41 3 2 2 2" xfId="32198" xr:uid="{00000000-0005-0000-0000-00000F4D0000}"/>
    <cellStyle name="Comma 6 41 3 2 2 3" xfId="47690" xr:uid="{00000000-0005-0000-0000-0000104D0000}"/>
    <cellStyle name="Comma 6 41 3 2 3" xfId="24458" xr:uid="{00000000-0005-0000-0000-0000114D0000}"/>
    <cellStyle name="Comma 6 41 3 2 4" xfId="39950" xr:uid="{00000000-0005-0000-0000-0000124D0000}"/>
    <cellStyle name="Comma 6 41 3 3" xfId="12736" xr:uid="{00000000-0005-0000-0000-0000134D0000}"/>
    <cellStyle name="Comma 6 41 3 3 2" xfId="28328" xr:uid="{00000000-0005-0000-0000-0000144D0000}"/>
    <cellStyle name="Comma 6 41 3 3 3" xfId="43820" xr:uid="{00000000-0005-0000-0000-0000154D0000}"/>
    <cellStyle name="Comma 6 41 3 4" xfId="20588" xr:uid="{00000000-0005-0000-0000-0000164D0000}"/>
    <cellStyle name="Comma 6 41 3 5" xfId="36080" xr:uid="{00000000-0005-0000-0000-0000174D0000}"/>
    <cellStyle name="Comma 6 41 4" xfId="6934" xr:uid="{00000000-0005-0000-0000-0000184D0000}"/>
    <cellStyle name="Comma 6 41 4 2" xfId="14679" xr:uid="{00000000-0005-0000-0000-0000194D0000}"/>
    <cellStyle name="Comma 6 41 4 2 2" xfId="30271" xr:uid="{00000000-0005-0000-0000-00001A4D0000}"/>
    <cellStyle name="Comma 6 41 4 2 3" xfId="45763" xr:uid="{00000000-0005-0000-0000-00001B4D0000}"/>
    <cellStyle name="Comma 6 41 4 3" xfId="22531" xr:uid="{00000000-0005-0000-0000-00001C4D0000}"/>
    <cellStyle name="Comma 6 41 4 4" xfId="38023" xr:uid="{00000000-0005-0000-0000-00001D4D0000}"/>
    <cellStyle name="Comma 6 41 5" xfId="10809" xr:uid="{00000000-0005-0000-0000-00001E4D0000}"/>
    <cellStyle name="Comma 6 41 5 2" xfId="26401" xr:uid="{00000000-0005-0000-0000-00001F4D0000}"/>
    <cellStyle name="Comma 6 41 5 3" xfId="41893" xr:uid="{00000000-0005-0000-0000-0000204D0000}"/>
    <cellStyle name="Comma 6 41 6" xfId="18661" xr:uid="{00000000-0005-0000-0000-0000214D0000}"/>
    <cellStyle name="Comma 6 41 7" xfId="34153" xr:uid="{00000000-0005-0000-0000-0000224D0000}"/>
    <cellStyle name="Comma 6 42" xfId="3040" xr:uid="{00000000-0005-0000-0000-0000234D0000}"/>
    <cellStyle name="Comma 6 42 2" xfId="4035" xr:uid="{00000000-0005-0000-0000-0000244D0000}"/>
    <cellStyle name="Comma 6 42 2 2" xfId="5974" xr:uid="{00000000-0005-0000-0000-0000254D0000}"/>
    <cellStyle name="Comma 6 42 2 2 2" xfId="9845" xr:uid="{00000000-0005-0000-0000-0000264D0000}"/>
    <cellStyle name="Comma 6 42 2 2 2 2" xfId="17590" xr:uid="{00000000-0005-0000-0000-0000274D0000}"/>
    <cellStyle name="Comma 6 42 2 2 2 2 2" xfId="33182" xr:uid="{00000000-0005-0000-0000-0000284D0000}"/>
    <cellStyle name="Comma 6 42 2 2 2 2 3" xfId="48674" xr:uid="{00000000-0005-0000-0000-0000294D0000}"/>
    <cellStyle name="Comma 6 42 2 2 2 3" xfId="25442" xr:uid="{00000000-0005-0000-0000-00002A4D0000}"/>
    <cellStyle name="Comma 6 42 2 2 2 4" xfId="40934" xr:uid="{00000000-0005-0000-0000-00002B4D0000}"/>
    <cellStyle name="Comma 6 42 2 2 3" xfId="13720" xr:uid="{00000000-0005-0000-0000-00002C4D0000}"/>
    <cellStyle name="Comma 6 42 2 2 3 2" xfId="29312" xr:uid="{00000000-0005-0000-0000-00002D4D0000}"/>
    <cellStyle name="Comma 6 42 2 2 3 3" xfId="44804" xr:uid="{00000000-0005-0000-0000-00002E4D0000}"/>
    <cellStyle name="Comma 6 42 2 2 4" xfId="21572" xr:uid="{00000000-0005-0000-0000-00002F4D0000}"/>
    <cellStyle name="Comma 6 42 2 2 5" xfId="37064" xr:uid="{00000000-0005-0000-0000-0000304D0000}"/>
    <cellStyle name="Comma 6 42 2 3" xfId="7918" xr:uid="{00000000-0005-0000-0000-0000314D0000}"/>
    <cellStyle name="Comma 6 42 2 3 2" xfId="15663" xr:uid="{00000000-0005-0000-0000-0000324D0000}"/>
    <cellStyle name="Comma 6 42 2 3 2 2" xfId="31255" xr:uid="{00000000-0005-0000-0000-0000334D0000}"/>
    <cellStyle name="Comma 6 42 2 3 2 3" xfId="46747" xr:uid="{00000000-0005-0000-0000-0000344D0000}"/>
    <cellStyle name="Comma 6 42 2 3 3" xfId="23515" xr:uid="{00000000-0005-0000-0000-0000354D0000}"/>
    <cellStyle name="Comma 6 42 2 3 4" xfId="39007" xr:uid="{00000000-0005-0000-0000-0000364D0000}"/>
    <cellStyle name="Comma 6 42 2 4" xfId="11793" xr:uid="{00000000-0005-0000-0000-0000374D0000}"/>
    <cellStyle name="Comma 6 42 2 4 2" xfId="27385" xr:uid="{00000000-0005-0000-0000-0000384D0000}"/>
    <cellStyle name="Comma 6 42 2 4 3" xfId="42877" xr:uid="{00000000-0005-0000-0000-0000394D0000}"/>
    <cellStyle name="Comma 6 42 2 5" xfId="19645" xr:uid="{00000000-0005-0000-0000-00003A4D0000}"/>
    <cellStyle name="Comma 6 42 2 6" xfId="35137" xr:uid="{00000000-0005-0000-0000-00003B4D0000}"/>
    <cellStyle name="Comma 6 42 3" xfId="5026" xr:uid="{00000000-0005-0000-0000-00003C4D0000}"/>
    <cellStyle name="Comma 6 42 3 2" xfId="8897" xr:uid="{00000000-0005-0000-0000-00003D4D0000}"/>
    <cellStyle name="Comma 6 42 3 2 2" xfId="16642" xr:uid="{00000000-0005-0000-0000-00003E4D0000}"/>
    <cellStyle name="Comma 6 42 3 2 2 2" xfId="32234" xr:uid="{00000000-0005-0000-0000-00003F4D0000}"/>
    <cellStyle name="Comma 6 42 3 2 2 3" xfId="47726" xr:uid="{00000000-0005-0000-0000-0000404D0000}"/>
    <cellStyle name="Comma 6 42 3 2 3" xfId="24494" xr:uid="{00000000-0005-0000-0000-0000414D0000}"/>
    <cellStyle name="Comma 6 42 3 2 4" xfId="39986" xr:uid="{00000000-0005-0000-0000-0000424D0000}"/>
    <cellStyle name="Comma 6 42 3 3" xfId="12772" xr:uid="{00000000-0005-0000-0000-0000434D0000}"/>
    <cellStyle name="Comma 6 42 3 3 2" xfId="28364" xr:uid="{00000000-0005-0000-0000-0000444D0000}"/>
    <cellStyle name="Comma 6 42 3 3 3" xfId="43856" xr:uid="{00000000-0005-0000-0000-0000454D0000}"/>
    <cellStyle name="Comma 6 42 3 4" xfId="20624" xr:uid="{00000000-0005-0000-0000-0000464D0000}"/>
    <cellStyle name="Comma 6 42 3 5" xfId="36116" xr:uid="{00000000-0005-0000-0000-0000474D0000}"/>
    <cellStyle name="Comma 6 42 4" xfId="6970" xr:uid="{00000000-0005-0000-0000-0000484D0000}"/>
    <cellStyle name="Comma 6 42 4 2" xfId="14715" xr:uid="{00000000-0005-0000-0000-0000494D0000}"/>
    <cellStyle name="Comma 6 42 4 2 2" xfId="30307" xr:uid="{00000000-0005-0000-0000-00004A4D0000}"/>
    <cellStyle name="Comma 6 42 4 2 3" xfId="45799" xr:uid="{00000000-0005-0000-0000-00004B4D0000}"/>
    <cellStyle name="Comma 6 42 4 3" xfId="22567" xr:uid="{00000000-0005-0000-0000-00004C4D0000}"/>
    <cellStyle name="Comma 6 42 4 4" xfId="38059" xr:uid="{00000000-0005-0000-0000-00004D4D0000}"/>
    <cellStyle name="Comma 6 42 5" xfId="10845" xr:uid="{00000000-0005-0000-0000-00004E4D0000}"/>
    <cellStyle name="Comma 6 42 5 2" xfId="26437" xr:uid="{00000000-0005-0000-0000-00004F4D0000}"/>
    <cellStyle name="Comma 6 42 5 3" xfId="41929" xr:uid="{00000000-0005-0000-0000-0000504D0000}"/>
    <cellStyle name="Comma 6 42 6" xfId="18697" xr:uid="{00000000-0005-0000-0000-0000514D0000}"/>
    <cellStyle name="Comma 6 42 7" xfId="34189" xr:uid="{00000000-0005-0000-0000-0000524D0000}"/>
    <cellStyle name="Comma 6 43" xfId="3077" xr:uid="{00000000-0005-0000-0000-0000534D0000}"/>
    <cellStyle name="Comma 6 43 2" xfId="4071" xr:uid="{00000000-0005-0000-0000-0000544D0000}"/>
    <cellStyle name="Comma 6 43 2 2" xfId="6010" xr:uid="{00000000-0005-0000-0000-0000554D0000}"/>
    <cellStyle name="Comma 6 43 2 2 2" xfId="9881" xr:uid="{00000000-0005-0000-0000-0000564D0000}"/>
    <cellStyle name="Comma 6 43 2 2 2 2" xfId="17626" xr:uid="{00000000-0005-0000-0000-0000574D0000}"/>
    <cellStyle name="Comma 6 43 2 2 2 2 2" xfId="33218" xr:uid="{00000000-0005-0000-0000-0000584D0000}"/>
    <cellStyle name="Comma 6 43 2 2 2 2 3" xfId="48710" xr:uid="{00000000-0005-0000-0000-0000594D0000}"/>
    <cellStyle name="Comma 6 43 2 2 2 3" xfId="25478" xr:uid="{00000000-0005-0000-0000-00005A4D0000}"/>
    <cellStyle name="Comma 6 43 2 2 2 4" xfId="40970" xr:uid="{00000000-0005-0000-0000-00005B4D0000}"/>
    <cellStyle name="Comma 6 43 2 2 3" xfId="13756" xr:uid="{00000000-0005-0000-0000-00005C4D0000}"/>
    <cellStyle name="Comma 6 43 2 2 3 2" xfId="29348" xr:uid="{00000000-0005-0000-0000-00005D4D0000}"/>
    <cellStyle name="Comma 6 43 2 2 3 3" xfId="44840" xr:uid="{00000000-0005-0000-0000-00005E4D0000}"/>
    <cellStyle name="Comma 6 43 2 2 4" xfId="21608" xr:uid="{00000000-0005-0000-0000-00005F4D0000}"/>
    <cellStyle name="Comma 6 43 2 2 5" xfId="37100" xr:uid="{00000000-0005-0000-0000-0000604D0000}"/>
    <cellStyle name="Comma 6 43 2 3" xfId="7954" xr:uid="{00000000-0005-0000-0000-0000614D0000}"/>
    <cellStyle name="Comma 6 43 2 3 2" xfId="15699" xr:uid="{00000000-0005-0000-0000-0000624D0000}"/>
    <cellStyle name="Comma 6 43 2 3 2 2" xfId="31291" xr:uid="{00000000-0005-0000-0000-0000634D0000}"/>
    <cellStyle name="Comma 6 43 2 3 2 3" xfId="46783" xr:uid="{00000000-0005-0000-0000-0000644D0000}"/>
    <cellStyle name="Comma 6 43 2 3 3" xfId="23551" xr:uid="{00000000-0005-0000-0000-0000654D0000}"/>
    <cellStyle name="Comma 6 43 2 3 4" xfId="39043" xr:uid="{00000000-0005-0000-0000-0000664D0000}"/>
    <cellStyle name="Comma 6 43 2 4" xfId="11829" xr:uid="{00000000-0005-0000-0000-0000674D0000}"/>
    <cellStyle name="Comma 6 43 2 4 2" xfId="27421" xr:uid="{00000000-0005-0000-0000-0000684D0000}"/>
    <cellStyle name="Comma 6 43 2 4 3" xfId="42913" xr:uid="{00000000-0005-0000-0000-0000694D0000}"/>
    <cellStyle name="Comma 6 43 2 5" xfId="19681" xr:uid="{00000000-0005-0000-0000-00006A4D0000}"/>
    <cellStyle name="Comma 6 43 2 6" xfId="35173" xr:uid="{00000000-0005-0000-0000-00006B4D0000}"/>
    <cellStyle name="Comma 6 43 3" xfId="5062" xr:uid="{00000000-0005-0000-0000-00006C4D0000}"/>
    <cellStyle name="Comma 6 43 3 2" xfId="8933" xr:uid="{00000000-0005-0000-0000-00006D4D0000}"/>
    <cellStyle name="Comma 6 43 3 2 2" xfId="16678" xr:uid="{00000000-0005-0000-0000-00006E4D0000}"/>
    <cellStyle name="Comma 6 43 3 2 2 2" xfId="32270" xr:uid="{00000000-0005-0000-0000-00006F4D0000}"/>
    <cellStyle name="Comma 6 43 3 2 2 3" xfId="47762" xr:uid="{00000000-0005-0000-0000-0000704D0000}"/>
    <cellStyle name="Comma 6 43 3 2 3" xfId="24530" xr:uid="{00000000-0005-0000-0000-0000714D0000}"/>
    <cellStyle name="Comma 6 43 3 2 4" xfId="40022" xr:uid="{00000000-0005-0000-0000-0000724D0000}"/>
    <cellStyle name="Comma 6 43 3 3" xfId="12808" xr:uid="{00000000-0005-0000-0000-0000734D0000}"/>
    <cellStyle name="Comma 6 43 3 3 2" xfId="28400" xr:uid="{00000000-0005-0000-0000-0000744D0000}"/>
    <cellStyle name="Comma 6 43 3 3 3" xfId="43892" xr:uid="{00000000-0005-0000-0000-0000754D0000}"/>
    <cellStyle name="Comma 6 43 3 4" xfId="20660" xr:uid="{00000000-0005-0000-0000-0000764D0000}"/>
    <cellStyle name="Comma 6 43 3 5" xfId="36152" xr:uid="{00000000-0005-0000-0000-0000774D0000}"/>
    <cellStyle name="Comma 6 43 4" xfId="7006" xr:uid="{00000000-0005-0000-0000-0000784D0000}"/>
    <cellStyle name="Comma 6 43 4 2" xfId="14751" xr:uid="{00000000-0005-0000-0000-0000794D0000}"/>
    <cellStyle name="Comma 6 43 4 2 2" xfId="30343" xr:uid="{00000000-0005-0000-0000-00007A4D0000}"/>
    <cellStyle name="Comma 6 43 4 2 3" xfId="45835" xr:uid="{00000000-0005-0000-0000-00007B4D0000}"/>
    <cellStyle name="Comma 6 43 4 3" xfId="22603" xr:uid="{00000000-0005-0000-0000-00007C4D0000}"/>
    <cellStyle name="Comma 6 43 4 4" xfId="38095" xr:uid="{00000000-0005-0000-0000-00007D4D0000}"/>
    <cellStyle name="Comma 6 43 5" xfId="10881" xr:uid="{00000000-0005-0000-0000-00007E4D0000}"/>
    <cellStyle name="Comma 6 43 5 2" xfId="26473" xr:uid="{00000000-0005-0000-0000-00007F4D0000}"/>
    <cellStyle name="Comma 6 43 5 3" xfId="41965" xr:uid="{00000000-0005-0000-0000-0000804D0000}"/>
    <cellStyle name="Comma 6 43 6" xfId="18733" xr:uid="{00000000-0005-0000-0000-0000814D0000}"/>
    <cellStyle name="Comma 6 43 7" xfId="34225" xr:uid="{00000000-0005-0000-0000-0000824D0000}"/>
    <cellStyle name="Comma 6 44" xfId="3124" xr:uid="{00000000-0005-0000-0000-0000834D0000}"/>
    <cellStyle name="Comma 6 44 2" xfId="4107" xr:uid="{00000000-0005-0000-0000-0000844D0000}"/>
    <cellStyle name="Comma 6 44 2 2" xfId="6046" xr:uid="{00000000-0005-0000-0000-0000854D0000}"/>
    <cellStyle name="Comma 6 44 2 2 2" xfId="9917" xr:uid="{00000000-0005-0000-0000-0000864D0000}"/>
    <cellStyle name="Comma 6 44 2 2 2 2" xfId="17662" xr:uid="{00000000-0005-0000-0000-0000874D0000}"/>
    <cellStyle name="Comma 6 44 2 2 2 2 2" xfId="33254" xr:uid="{00000000-0005-0000-0000-0000884D0000}"/>
    <cellStyle name="Comma 6 44 2 2 2 2 3" xfId="48746" xr:uid="{00000000-0005-0000-0000-0000894D0000}"/>
    <cellStyle name="Comma 6 44 2 2 2 3" xfId="25514" xr:uid="{00000000-0005-0000-0000-00008A4D0000}"/>
    <cellStyle name="Comma 6 44 2 2 2 4" xfId="41006" xr:uid="{00000000-0005-0000-0000-00008B4D0000}"/>
    <cellStyle name="Comma 6 44 2 2 3" xfId="13792" xr:uid="{00000000-0005-0000-0000-00008C4D0000}"/>
    <cellStyle name="Comma 6 44 2 2 3 2" xfId="29384" xr:uid="{00000000-0005-0000-0000-00008D4D0000}"/>
    <cellStyle name="Comma 6 44 2 2 3 3" xfId="44876" xr:uid="{00000000-0005-0000-0000-00008E4D0000}"/>
    <cellStyle name="Comma 6 44 2 2 4" xfId="21644" xr:uid="{00000000-0005-0000-0000-00008F4D0000}"/>
    <cellStyle name="Comma 6 44 2 2 5" xfId="37136" xr:uid="{00000000-0005-0000-0000-0000904D0000}"/>
    <cellStyle name="Comma 6 44 2 3" xfId="7990" xr:uid="{00000000-0005-0000-0000-0000914D0000}"/>
    <cellStyle name="Comma 6 44 2 3 2" xfId="15735" xr:uid="{00000000-0005-0000-0000-0000924D0000}"/>
    <cellStyle name="Comma 6 44 2 3 2 2" xfId="31327" xr:uid="{00000000-0005-0000-0000-0000934D0000}"/>
    <cellStyle name="Comma 6 44 2 3 2 3" xfId="46819" xr:uid="{00000000-0005-0000-0000-0000944D0000}"/>
    <cellStyle name="Comma 6 44 2 3 3" xfId="23587" xr:uid="{00000000-0005-0000-0000-0000954D0000}"/>
    <cellStyle name="Comma 6 44 2 3 4" xfId="39079" xr:uid="{00000000-0005-0000-0000-0000964D0000}"/>
    <cellStyle name="Comma 6 44 2 4" xfId="11865" xr:uid="{00000000-0005-0000-0000-0000974D0000}"/>
    <cellStyle name="Comma 6 44 2 4 2" xfId="27457" xr:uid="{00000000-0005-0000-0000-0000984D0000}"/>
    <cellStyle name="Comma 6 44 2 4 3" xfId="42949" xr:uid="{00000000-0005-0000-0000-0000994D0000}"/>
    <cellStyle name="Comma 6 44 2 5" xfId="19717" xr:uid="{00000000-0005-0000-0000-00009A4D0000}"/>
    <cellStyle name="Comma 6 44 2 6" xfId="35209" xr:uid="{00000000-0005-0000-0000-00009B4D0000}"/>
    <cellStyle name="Comma 6 44 3" xfId="5098" xr:uid="{00000000-0005-0000-0000-00009C4D0000}"/>
    <cellStyle name="Comma 6 44 3 2" xfId="8969" xr:uid="{00000000-0005-0000-0000-00009D4D0000}"/>
    <cellStyle name="Comma 6 44 3 2 2" xfId="16714" xr:uid="{00000000-0005-0000-0000-00009E4D0000}"/>
    <cellStyle name="Comma 6 44 3 2 2 2" xfId="32306" xr:uid="{00000000-0005-0000-0000-00009F4D0000}"/>
    <cellStyle name="Comma 6 44 3 2 2 3" xfId="47798" xr:uid="{00000000-0005-0000-0000-0000A04D0000}"/>
    <cellStyle name="Comma 6 44 3 2 3" xfId="24566" xr:uid="{00000000-0005-0000-0000-0000A14D0000}"/>
    <cellStyle name="Comma 6 44 3 2 4" xfId="40058" xr:uid="{00000000-0005-0000-0000-0000A24D0000}"/>
    <cellStyle name="Comma 6 44 3 3" xfId="12844" xr:uid="{00000000-0005-0000-0000-0000A34D0000}"/>
    <cellStyle name="Comma 6 44 3 3 2" xfId="28436" xr:uid="{00000000-0005-0000-0000-0000A44D0000}"/>
    <cellStyle name="Comma 6 44 3 3 3" xfId="43928" xr:uid="{00000000-0005-0000-0000-0000A54D0000}"/>
    <cellStyle name="Comma 6 44 3 4" xfId="20696" xr:uid="{00000000-0005-0000-0000-0000A64D0000}"/>
    <cellStyle name="Comma 6 44 3 5" xfId="36188" xr:uid="{00000000-0005-0000-0000-0000A74D0000}"/>
    <cellStyle name="Comma 6 44 4" xfId="7042" xr:uid="{00000000-0005-0000-0000-0000A84D0000}"/>
    <cellStyle name="Comma 6 44 4 2" xfId="14787" xr:uid="{00000000-0005-0000-0000-0000A94D0000}"/>
    <cellStyle name="Comma 6 44 4 2 2" xfId="30379" xr:uid="{00000000-0005-0000-0000-0000AA4D0000}"/>
    <cellStyle name="Comma 6 44 4 2 3" xfId="45871" xr:uid="{00000000-0005-0000-0000-0000AB4D0000}"/>
    <cellStyle name="Comma 6 44 4 3" xfId="22639" xr:uid="{00000000-0005-0000-0000-0000AC4D0000}"/>
    <cellStyle name="Comma 6 44 4 4" xfId="38131" xr:uid="{00000000-0005-0000-0000-0000AD4D0000}"/>
    <cellStyle name="Comma 6 44 5" xfId="10917" xr:uid="{00000000-0005-0000-0000-0000AE4D0000}"/>
    <cellStyle name="Comma 6 44 5 2" xfId="26509" xr:uid="{00000000-0005-0000-0000-0000AF4D0000}"/>
    <cellStyle name="Comma 6 44 5 3" xfId="42001" xr:uid="{00000000-0005-0000-0000-0000B04D0000}"/>
    <cellStyle name="Comma 6 44 6" xfId="18769" xr:uid="{00000000-0005-0000-0000-0000B14D0000}"/>
    <cellStyle name="Comma 6 44 7" xfId="34261" xr:uid="{00000000-0005-0000-0000-0000B24D0000}"/>
    <cellStyle name="Comma 6 5" xfId="1415" xr:uid="{00000000-0005-0000-0000-0000B34D0000}"/>
    <cellStyle name="Comma 6 6" xfId="1416" xr:uid="{00000000-0005-0000-0000-0000B44D0000}"/>
    <cellStyle name="Comma 6 6 10" xfId="1417" xr:uid="{00000000-0005-0000-0000-0000B54D0000}"/>
    <cellStyle name="Comma 6 6 11" xfId="1418" xr:uid="{00000000-0005-0000-0000-0000B64D0000}"/>
    <cellStyle name="Comma 6 6 12" xfId="1419" xr:uid="{00000000-0005-0000-0000-0000B74D0000}"/>
    <cellStyle name="Comma 6 6 13" xfId="1420" xr:uid="{00000000-0005-0000-0000-0000B84D0000}"/>
    <cellStyle name="Comma 6 6 2" xfId="1421" xr:uid="{00000000-0005-0000-0000-0000B94D0000}"/>
    <cellStyle name="Comma 6 6 2 2" xfId="1422" xr:uid="{00000000-0005-0000-0000-0000BA4D0000}"/>
    <cellStyle name="Comma 6 6 3" xfId="1423" xr:uid="{00000000-0005-0000-0000-0000BB4D0000}"/>
    <cellStyle name="Comma 6 6 4" xfId="1424" xr:uid="{00000000-0005-0000-0000-0000BC4D0000}"/>
    <cellStyle name="Comma 6 6 5" xfId="1425" xr:uid="{00000000-0005-0000-0000-0000BD4D0000}"/>
    <cellStyle name="Comma 6 6 6" xfId="1426" xr:uid="{00000000-0005-0000-0000-0000BE4D0000}"/>
    <cellStyle name="Comma 6 6 7" xfId="1427" xr:uid="{00000000-0005-0000-0000-0000BF4D0000}"/>
    <cellStyle name="Comma 6 6 8" xfId="1428" xr:uid="{00000000-0005-0000-0000-0000C04D0000}"/>
    <cellStyle name="Comma 6 6 9" xfId="1429" xr:uid="{00000000-0005-0000-0000-0000C14D0000}"/>
    <cellStyle name="Comma 6 7" xfId="1430" xr:uid="{00000000-0005-0000-0000-0000C24D0000}"/>
    <cellStyle name="Comma 6 8" xfId="1431" xr:uid="{00000000-0005-0000-0000-0000C34D0000}"/>
    <cellStyle name="Comma 6 9" xfId="1432" xr:uid="{00000000-0005-0000-0000-0000C44D0000}"/>
    <cellStyle name="Comma 60" xfId="1433" xr:uid="{00000000-0005-0000-0000-0000C54D0000}"/>
    <cellStyle name="Comma 61" xfId="1434" xr:uid="{00000000-0005-0000-0000-0000C64D0000}"/>
    <cellStyle name="Comma 62" xfId="1435" xr:uid="{00000000-0005-0000-0000-0000C74D0000}"/>
    <cellStyle name="Comma 63" xfId="1436" xr:uid="{00000000-0005-0000-0000-0000C84D0000}"/>
    <cellStyle name="Comma 64" xfId="1437" xr:uid="{00000000-0005-0000-0000-0000C94D0000}"/>
    <cellStyle name="Comma 65" xfId="1438" xr:uid="{00000000-0005-0000-0000-0000CA4D0000}"/>
    <cellStyle name="Comma 66" xfId="1439" xr:uid="{00000000-0005-0000-0000-0000CB4D0000}"/>
    <cellStyle name="Comma 67" xfId="1440" xr:uid="{00000000-0005-0000-0000-0000CC4D0000}"/>
    <cellStyle name="Comma 67 3" xfId="3152" xr:uid="{00000000-0005-0000-0000-0000CD4D0000}"/>
    <cellStyle name="Comma 68" xfId="2155" xr:uid="{00000000-0005-0000-0000-0000CE4D0000}"/>
    <cellStyle name="Comma 68 2" xfId="3163" xr:uid="{00000000-0005-0000-0000-0000CF4D0000}"/>
    <cellStyle name="Comma 68 3" xfId="17751" xr:uid="{00000000-0005-0000-0000-0000D04D0000}"/>
    <cellStyle name="Comma 68 3 2" xfId="33328" xr:uid="{00000000-0005-0000-0000-0000D14D0000}"/>
    <cellStyle name="Comma 68 3 3" xfId="48820" xr:uid="{00000000-0005-0000-0000-0000D24D0000}"/>
    <cellStyle name="Comma 68 4" xfId="48865" xr:uid="{00000000-0005-0000-0000-0000D34D0000}"/>
    <cellStyle name="Comma 69" xfId="2202" xr:uid="{00000000-0005-0000-0000-0000D44D0000}"/>
    <cellStyle name="Comma 69 2" xfId="48869" xr:uid="{00000000-0005-0000-0000-0000D54D0000}"/>
    <cellStyle name="Comma 7" xfId="1441" xr:uid="{00000000-0005-0000-0000-0000D64D0000}"/>
    <cellStyle name="Comma 7 10" xfId="1442" xr:uid="{00000000-0005-0000-0000-0000D74D0000}"/>
    <cellStyle name="Comma 7 11" xfId="1443" xr:uid="{00000000-0005-0000-0000-0000D84D0000}"/>
    <cellStyle name="Comma 7 12" xfId="1444" xr:uid="{00000000-0005-0000-0000-0000D94D0000}"/>
    <cellStyle name="Comma 7 13" xfId="1445" xr:uid="{00000000-0005-0000-0000-0000DA4D0000}"/>
    <cellStyle name="Comma 7 14" xfId="1446" xr:uid="{00000000-0005-0000-0000-0000DB4D0000}"/>
    <cellStyle name="Comma 7 15" xfId="1447" xr:uid="{00000000-0005-0000-0000-0000DC4D0000}"/>
    <cellStyle name="Comma 7 16" xfId="1448" xr:uid="{00000000-0005-0000-0000-0000DD4D0000}"/>
    <cellStyle name="Comma 7 17" xfId="1449" xr:uid="{00000000-0005-0000-0000-0000DE4D0000}"/>
    <cellStyle name="Comma 7 18" xfId="1450" xr:uid="{00000000-0005-0000-0000-0000DF4D0000}"/>
    <cellStyle name="Comma 7 19" xfId="1451" xr:uid="{00000000-0005-0000-0000-0000E04D0000}"/>
    <cellStyle name="Comma 7 2" xfId="1452" xr:uid="{00000000-0005-0000-0000-0000E14D0000}"/>
    <cellStyle name="Comma 7 2 2" xfId="1453" xr:uid="{00000000-0005-0000-0000-0000E24D0000}"/>
    <cellStyle name="Comma 7 2 2 10" xfId="1454" xr:uid="{00000000-0005-0000-0000-0000E34D0000}"/>
    <cellStyle name="Comma 7 2 2 11" xfId="1455" xr:uid="{00000000-0005-0000-0000-0000E44D0000}"/>
    <cellStyle name="Comma 7 2 2 12" xfId="1456" xr:uid="{00000000-0005-0000-0000-0000E54D0000}"/>
    <cellStyle name="Comma 7 2 2 13" xfId="1457" xr:uid="{00000000-0005-0000-0000-0000E64D0000}"/>
    <cellStyle name="Comma 7 2 2 14" xfId="1458" xr:uid="{00000000-0005-0000-0000-0000E74D0000}"/>
    <cellStyle name="Comma 7 2 2 15" xfId="1459" xr:uid="{00000000-0005-0000-0000-0000E84D0000}"/>
    <cellStyle name="Comma 7 2 2 16" xfId="1460" xr:uid="{00000000-0005-0000-0000-0000E94D0000}"/>
    <cellStyle name="Comma 7 2 2 17" xfId="1461" xr:uid="{00000000-0005-0000-0000-0000EA4D0000}"/>
    <cellStyle name="Comma 7 2 2 18" xfId="1462" xr:uid="{00000000-0005-0000-0000-0000EB4D0000}"/>
    <cellStyle name="Comma 7 2 2 19" xfId="1463" xr:uid="{00000000-0005-0000-0000-0000EC4D0000}"/>
    <cellStyle name="Comma 7 2 2 2" xfId="1464" xr:uid="{00000000-0005-0000-0000-0000ED4D0000}"/>
    <cellStyle name="Comma 7 2 2 20" xfId="1465" xr:uid="{00000000-0005-0000-0000-0000EE4D0000}"/>
    <cellStyle name="Comma 7 2 2 21" xfId="1466" xr:uid="{00000000-0005-0000-0000-0000EF4D0000}"/>
    <cellStyle name="Comma 7 2 2 22" xfId="1467" xr:uid="{00000000-0005-0000-0000-0000F04D0000}"/>
    <cellStyle name="Comma 7 2 2 23" xfId="1468" xr:uid="{00000000-0005-0000-0000-0000F14D0000}"/>
    <cellStyle name="Comma 7 2 2 24" xfId="2186" xr:uid="{00000000-0005-0000-0000-0000F24D0000}"/>
    <cellStyle name="Comma 7 2 2 3" xfId="1469" xr:uid="{00000000-0005-0000-0000-0000F34D0000}"/>
    <cellStyle name="Comma 7 2 2 4" xfId="1470" xr:uid="{00000000-0005-0000-0000-0000F44D0000}"/>
    <cellStyle name="Comma 7 2 2 5" xfId="1471" xr:uid="{00000000-0005-0000-0000-0000F54D0000}"/>
    <cellStyle name="Comma 7 2 2 6" xfId="1472" xr:uid="{00000000-0005-0000-0000-0000F64D0000}"/>
    <cellStyle name="Comma 7 2 2 7" xfId="1473" xr:uid="{00000000-0005-0000-0000-0000F74D0000}"/>
    <cellStyle name="Comma 7 2 2 8" xfId="1474" xr:uid="{00000000-0005-0000-0000-0000F84D0000}"/>
    <cellStyle name="Comma 7 2 2 9" xfId="1475" xr:uid="{00000000-0005-0000-0000-0000F94D0000}"/>
    <cellStyle name="Comma 7 2 3" xfId="48981" xr:uid="{00000000-0005-0000-0000-0000FA4D0000}"/>
    <cellStyle name="Comma 7 20" xfId="1476" xr:uid="{00000000-0005-0000-0000-0000FB4D0000}"/>
    <cellStyle name="Comma 7 21" xfId="1477" xr:uid="{00000000-0005-0000-0000-0000FC4D0000}"/>
    <cellStyle name="Comma 7 22" xfId="1478" xr:uid="{00000000-0005-0000-0000-0000FD4D0000}"/>
    <cellStyle name="Comma 7 23" xfId="1479" xr:uid="{00000000-0005-0000-0000-0000FE4D0000}"/>
    <cellStyle name="Comma 7 24" xfId="1480" xr:uid="{00000000-0005-0000-0000-0000FF4D0000}"/>
    <cellStyle name="Comma 7 25" xfId="1481" xr:uid="{00000000-0005-0000-0000-0000004E0000}"/>
    <cellStyle name="Comma 7 26" xfId="1482" xr:uid="{00000000-0005-0000-0000-0000014E0000}"/>
    <cellStyle name="Comma 7 27" xfId="1483" xr:uid="{00000000-0005-0000-0000-0000024E0000}"/>
    <cellStyle name="Comma 7 28" xfId="2185" xr:uid="{00000000-0005-0000-0000-0000034E0000}"/>
    <cellStyle name="Comma 7 28 2" xfId="2520" xr:uid="{00000000-0005-0000-0000-0000044E0000}"/>
    <cellStyle name="Comma 7 28 2 2" xfId="3528" xr:uid="{00000000-0005-0000-0000-0000054E0000}"/>
    <cellStyle name="Comma 7 28 2 2 2" xfId="5467" xr:uid="{00000000-0005-0000-0000-0000064E0000}"/>
    <cellStyle name="Comma 7 28 2 2 2 2" xfId="9338" xr:uid="{00000000-0005-0000-0000-0000074E0000}"/>
    <cellStyle name="Comma 7 28 2 2 2 2 2" xfId="17083" xr:uid="{00000000-0005-0000-0000-0000084E0000}"/>
    <cellStyle name="Comma 7 28 2 2 2 2 2 2" xfId="32675" xr:uid="{00000000-0005-0000-0000-0000094E0000}"/>
    <cellStyle name="Comma 7 28 2 2 2 2 2 3" xfId="48167" xr:uid="{00000000-0005-0000-0000-00000A4E0000}"/>
    <cellStyle name="Comma 7 28 2 2 2 2 3" xfId="24935" xr:uid="{00000000-0005-0000-0000-00000B4E0000}"/>
    <cellStyle name="Comma 7 28 2 2 2 2 4" xfId="40427" xr:uid="{00000000-0005-0000-0000-00000C4E0000}"/>
    <cellStyle name="Comma 7 28 2 2 2 3" xfId="13213" xr:uid="{00000000-0005-0000-0000-00000D4E0000}"/>
    <cellStyle name="Comma 7 28 2 2 2 3 2" xfId="28805" xr:uid="{00000000-0005-0000-0000-00000E4E0000}"/>
    <cellStyle name="Comma 7 28 2 2 2 3 3" xfId="44297" xr:uid="{00000000-0005-0000-0000-00000F4E0000}"/>
    <cellStyle name="Comma 7 28 2 2 2 4" xfId="21065" xr:uid="{00000000-0005-0000-0000-0000104E0000}"/>
    <cellStyle name="Comma 7 28 2 2 2 5" xfId="36557" xr:uid="{00000000-0005-0000-0000-0000114E0000}"/>
    <cellStyle name="Comma 7 28 2 2 3" xfId="7411" xr:uid="{00000000-0005-0000-0000-0000124E0000}"/>
    <cellStyle name="Comma 7 28 2 2 3 2" xfId="15156" xr:uid="{00000000-0005-0000-0000-0000134E0000}"/>
    <cellStyle name="Comma 7 28 2 2 3 2 2" xfId="30748" xr:uid="{00000000-0005-0000-0000-0000144E0000}"/>
    <cellStyle name="Comma 7 28 2 2 3 2 3" xfId="46240" xr:uid="{00000000-0005-0000-0000-0000154E0000}"/>
    <cellStyle name="Comma 7 28 2 2 3 3" xfId="23008" xr:uid="{00000000-0005-0000-0000-0000164E0000}"/>
    <cellStyle name="Comma 7 28 2 2 3 4" xfId="38500" xr:uid="{00000000-0005-0000-0000-0000174E0000}"/>
    <cellStyle name="Comma 7 28 2 2 4" xfId="11286" xr:uid="{00000000-0005-0000-0000-0000184E0000}"/>
    <cellStyle name="Comma 7 28 2 2 4 2" xfId="26878" xr:uid="{00000000-0005-0000-0000-0000194E0000}"/>
    <cellStyle name="Comma 7 28 2 2 4 3" xfId="42370" xr:uid="{00000000-0005-0000-0000-00001A4E0000}"/>
    <cellStyle name="Comma 7 28 2 2 5" xfId="19138" xr:uid="{00000000-0005-0000-0000-00001B4E0000}"/>
    <cellStyle name="Comma 7 28 2 2 6" xfId="34630" xr:uid="{00000000-0005-0000-0000-00001C4E0000}"/>
    <cellStyle name="Comma 7 28 2 3" xfId="4519" xr:uid="{00000000-0005-0000-0000-00001D4E0000}"/>
    <cellStyle name="Comma 7 28 2 3 2" xfId="8390" xr:uid="{00000000-0005-0000-0000-00001E4E0000}"/>
    <cellStyle name="Comma 7 28 2 3 2 2" xfId="16135" xr:uid="{00000000-0005-0000-0000-00001F4E0000}"/>
    <cellStyle name="Comma 7 28 2 3 2 2 2" xfId="31727" xr:uid="{00000000-0005-0000-0000-0000204E0000}"/>
    <cellStyle name="Comma 7 28 2 3 2 2 3" xfId="47219" xr:uid="{00000000-0005-0000-0000-0000214E0000}"/>
    <cellStyle name="Comma 7 28 2 3 2 3" xfId="23987" xr:uid="{00000000-0005-0000-0000-0000224E0000}"/>
    <cellStyle name="Comma 7 28 2 3 2 4" xfId="39479" xr:uid="{00000000-0005-0000-0000-0000234E0000}"/>
    <cellStyle name="Comma 7 28 2 3 3" xfId="12265" xr:uid="{00000000-0005-0000-0000-0000244E0000}"/>
    <cellStyle name="Comma 7 28 2 3 3 2" xfId="27857" xr:uid="{00000000-0005-0000-0000-0000254E0000}"/>
    <cellStyle name="Comma 7 28 2 3 3 3" xfId="43349" xr:uid="{00000000-0005-0000-0000-0000264E0000}"/>
    <cellStyle name="Comma 7 28 2 3 4" xfId="20117" xr:uid="{00000000-0005-0000-0000-0000274E0000}"/>
    <cellStyle name="Comma 7 28 2 3 5" xfId="35609" xr:uid="{00000000-0005-0000-0000-0000284E0000}"/>
    <cellStyle name="Comma 7 28 2 4" xfId="6463" xr:uid="{00000000-0005-0000-0000-0000294E0000}"/>
    <cellStyle name="Comma 7 28 2 4 2" xfId="14208" xr:uid="{00000000-0005-0000-0000-00002A4E0000}"/>
    <cellStyle name="Comma 7 28 2 4 2 2" xfId="29800" xr:uid="{00000000-0005-0000-0000-00002B4E0000}"/>
    <cellStyle name="Comma 7 28 2 4 2 3" xfId="45292" xr:uid="{00000000-0005-0000-0000-00002C4E0000}"/>
    <cellStyle name="Comma 7 28 2 4 3" xfId="22060" xr:uid="{00000000-0005-0000-0000-00002D4E0000}"/>
    <cellStyle name="Comma 7 28 2 4 4" xfId="37552" xr:uid="{00000000-0005-0000-0000-00002E4E0000}"/>
    <cellStyle name="Comma 7 28 2 5" xfId="10338" xr:uid="{00000000-0005-0000-0000-00002F4E0000}"/>
    <cellStyle name="Comma 7 28 2 5 2" xfId="25930" xr:uid="{00000000-0005-0000-0000-0000304E0000}"/>
    <cellStyle name="Comma 7 28 2 5 3" xfId="41422" xr:uid="{00000000-0005-0000-0000-0000314E0000}"/>
    <cellStyle name="Comma 7 28 2 6" xfId="18190" xr:uid="{00000000-0005-0000-0000-0000324E0000}"/>
    <cellStyle name="Comma 7 28 2 7" xfId="33682" xr:uid="{00000000-0005-0000-0000-0000334E0000}"/>
    <cellStyle name="Comma 7 28 3" xfId="3219" xr:uid="{00000000-0005-0000-0000-0000344E0000}"/>
    <cellStyle name="Comma 7 28 3 2" xfId="5158" xr:uid="{00000000-0005-0000-0000-0000354E0000}"/>
    <cellStyle name="Comma 7 28 3 2 2" xfId="9029" xr:uid="{00000000-0005-0000-0000-0000364E0000}"/>
    <cellStyle name="Comma 7 28 3 2 2 2" xfId="16774" xr:uid="{00000000-0005-0000-0000-0000374E0000}"/>
    <cellStyle name="Comma 7 28 3 2 2 2 2" xfId="32366" xr:uid="{00000000-0005-0000-0000-0000384E0000}"/>
    <cellStyle name="Comma 7 28 3 2 2 2 3" xfId="47858" xr:uid="{00000000-0005-0000-0000-0000394E0000}"/>
    <cellStyle name="Comma 7 28 3 2 2 3" xfId="24626" xr:uid="{00000000-0005-0000-0000-00003A4E0000}"/>
    <cellStyle name="Comma 7 28 3 2 2 4" xfId="40118" xr:uid="{00000000-0005-0000-0000-00003B4E0000}"/>
    <cellStyle name="Comma 7 28 3 2 3" xfId="12904" xr:uid="{00000000-0005-0000-0000-00003C4E0000}"/>
    <cellStyle name="Comma 7 28 3 2 3 2" xfId="28496" xr:uid="{00000000-0005-0000-0000-00003D4E0000}"/>
    <cellStyle name="Comma 7 28 3 2 3 3" xfId="43988" xr:uid="{00000000-0005-0000-0000-00003E4E0000}"/>
    <cellStyle name="Comma 7 28 3 2 4" xfId="20756" xr:uid="{00000000-0005-0000-0000-00003F4E0000}"/>
    <cellStyle name="Comma 7 28 3 2 5" xfId="36248" xr:uid="{00000000-0005-0000-0000-0000404E0000}"/>
    <cellStyle name="Comma 7 28 3 3" xfId="7102" xr:uid="{00000000-0005-0000-0000-0000414E0000}"/>
    <cellStyle name="Comma 7 28 3 3 2" xfId="14847" xr:uid="{00000000-0005-0000-0000-0000424E0000}"/>
    <cellStyle name="Comma 7 28 3 3 2 2" xfId="30439" xr:uid="{00000000-0005-0000-0000-0000434E0000}"/>
    <cellStyle name="Comma 7 28 3 3 2 3" xfId="45931" xr:uid="{00000000-0005-0000-0000-0000444E0000}"/>
    <cellStyle name="Comma 7 28 3 3 3" xfId="22699" xr:uid="{00000000-0005-0000-0000-0000454E0000}"/>
    <cellStyle name="Comma 7 28 3 3 4" xfId="38191" xr:uid="{00000000-0005-0000-0000-0000464E0000}"/>
    <cellStyle name="Comma 7 28 3 4" xfId="10977" xr:uid="{00000000-0005-0000-0000-0000474E0000}"/>
    <cellStyle name="Comma 7 28 3 4 2" xfId="26569" xr:uid="{00000000-0005-0000-0000-0000484E0000}"/>
    <cellStyle name="Comma 7 28 3 4 3" xfId="42061" xr:uid="{00000000-0005-0000-0000-0000494E0000}"/>
    <cellStyle name="Comma 7 28 3 5" xfId="18829" xr:uid="{00000000-0005-0000-0000-00004A4E0000}"/>
    <cellStyle name="Comma 7 28 3 6" xfId="34321" xr:uid="{00000000-0005-0000-0000-00004B4E0000}"/>
    <cellStyle name="Comma 7 28 4" xfId="4210" xr:uid="{00000000-0005-0000-0000-00004C4E0000}"/>
    <cellStyle name="Comma 7 28 4 2" xfId="8081" xr:uid="{00000000-0005-0000-0000-00004D4E0000}"/>
    <cellStyle name="Comma 7 28 4 2 2" xfId="15826" xr:uid="{00000000-0005-0000-0000-00004E4E0000}"/>
    <cellStyle name="Comma 7 28 4 2 2 2" xfId="31418" xr:uid="{00000000-0005-0000-0000-00004F4E0000}"/>
    <cellStyle name="Comma 7 28 4 2 2 3" xfId="46910" xr:uid="{00000000-0005-0000-0000-0000504E0000}"/>
    <cellStyle name="Comma 7 28 4 2 3" xfId="23678" xr:uid="{00000000-0005-0000-0000-0000514E0000}"/>
    <cellStyle name="Comma 7 28 4 2 4" xfId="39170" xr:uid="{00000000-0005-0000-0000-0000524E0000}"/>
    <cellStyle name="Comma 7 28 4 3" xfId="11956" xr:uid="{00000000-0005-0000-0000-0000534E0000}"/>
    <cellStyle name="Comma 7 28 4 3 2" xfId="27548" xr:uid="{00000000-0005-0000-0000-0000544E0000}"/>
    <cellStyle name="Comma 7 28 4 3 3" xfId="43040" xr:uid="{00000000-0005-0000-0000-0000554E0000}"/>
    <cellStyle name="Comma 7 28 4 4" xfId="19808" xr:uid="{00000000-0005-0000-0000-0000564E0000}"/>
    <cellStyle name="Comma 7 28 4 5" xfId="35300" xr:uid="{00000000-0005-0000-0000-0000574E0000}"/>
    <cellStyle name="Comma 7 28 5" xfId="6154" xr:uid="{00000000-0005-0000-0000-0000584E0000}"/>
    <cellStyle name="Comma 7 28 5 2" xfId="13899" xr:uid="{00000000-0005-0000-0000-0000594E0000}"/>
    <cellStyle name="Comma 7 28 5 2 2" xfId="29491" xr:uid="{00000000-0005-0000-0000-00005A4E0000}"/>
    <cellStyle name="Comma 7 28 5 2 3" xfId="44983" xr:uid="{00000000-0005-0000-0000-00005B4E0000}"/>
    <cellStyle name="Comma 7 28 5 3" xfId="21751" xr:uid="{00000000-0005-0000-0000-00005C4E0000}"/>
    <cellStyle name="Comma 7 28 5 4" xfId="37243" xr:uid="{00000000-0005-0000-0000-00005D4E0000}"/>
    <cellStyle name="Comma 7 28 6" xfId="10029" xr:uid="{00000000-0005-0000-0000-00005E4E0000}"/>
    <cellStyle name="Comma 7 28 6 2" xfId="25621" xr:uid="{00000000-0005-0000-0000-00005F4E0000}"/>
    <cellStyle name="Comma 7 28 6 3" xfId="41113" xr:uid="{00000000-0005-0000-0000-0000604E0000}"/>
    <cellStyle name="Comma 7 28 7" xfId="17881" xr:uid="{00000000-0005-0000-0000-0000614E0000}"/>
    <cellStyle name="Comma 7 28 8" xfId="33373" xr:uid="{00000000-0005-0000-0000-0000624E0000}"/>
    <cellStyle name="Comma 7 29" xfId="2241" xr:uid="{00000000-0005-0000-0000-0000634E0000}"/>
    <cellStyle name="Comma 7 29 2" xfId="2558" xr:uid="{00000000-0005-0000-0000-0000644E0000}"/>
    <cellStyle name="Comma 7 29 2 2" xfId="3566" xr:uid="{00000000-0005-0000-0000-0000654E0000}"/>
    <cellStyle name="Comma 7 29 2 2 2" xfId="5505" xr:uid="{00000000-0005-0000-0000-0000664E0000}"/>
    <cellStyle name="Comma 7 29 2 2 2 2" xfId="9376" xr:uid="{00000000-0005-0000-0000-0000674E0000}"/>
    <cellStyle name="Comma 7 29 2 2 2 2 2" xfId="17121" xr:uid="{00000000-0005-0000-0000-0000684E0000}"/>
    <cellStyle name="Comma 7 29 2 2 2 2 2 2" xfId="32713" xr:uid="{00000000-0005-0000-0000-0000694E0000}"/>
    <cellStyle name="Comma 7 29 2 2 2 2 2 3" xfId="48205" xr:uid="{00000000-0005-0000-0000-00006A4E0000}"/>
    <cellStyle name="Comma 7 29 2 2 2 2 3" xfId="24973" xr:uid="{00000000-0005-0000-0000-00006B4E0000}"/>
    <cellStyle name="Comma 7 29 2 2 2 2 4" xfId="40465" xr:uid="{00000000-0005-0000-0000-00006C4E0000}"/>
    <cellStyle name="Comma 7 29 2 2 2 3" xfId="13251" xr:uid="{00000000-0005-0000-0000-00006D4E0000}"/>
    <cellStyle name="Comma 7 29 2 2 2 3 2" xfId="28843" xr:uid="{00000000-0005-0000-0000-00006E4E0000}"/>
    <cellStyle name="Comma 7 29 2 2 2 3 3" xfId="44335" xr:uid="{00000000-0005-0000-0000-00006F4E0000}"/>
    <cellStyle name="Comma 7 29 2 2 2 4" xfId="21103" xr:uid="{00000000-0005-0000-0000-0000704E0000}"/>
    <cellStyle name="Comma 7 29 2 2 2 5" xfId="36595" xr:uid="{00000000-0005-0000-0000-0000714E0000}"/>
    <cellStyle name="Comma 7 29 2 2 3" xfId="7449" xr:uid="{00000000-0005-0000-0000-0000724E0000}"/>
    <cellStyle name="Comma 7 29 2 2 3 2" xfId="15194" xr:uid="{00000000-0005-0000-0000-0000734E0000}"/>
    <cellStyle name="Comma 7 29 2 2 3 2 2" xfId="30786" xr:uid="{00000000-0005-0000-0000-0000744E0000}"/>
    <cellStyle name="Comma 7 29 2 2 3 2 3" xfId="46278" xr:uid="{00000000-0005-0000-0000-0000754E0000}"/>
    <cellStyle name="Comma 7 29 2 2 3 3" xfId="23046" xr:uid="{00000000-0005-0000-0000-0000764E0000}"/>
    <cellStyle name="Comma 7 29 2 2 3 4" xfId="38538" xr:uid="{00000000-0005-0000-0000-0000774E0000}"/>
    <cellStyle name="Comma 7 29 2 2 4" xfId="11324" xr:uid="{00000000-0005-0000-0000-0000784E0000}"/>
    <cellStyle name="Comma 7 29 2 2 4 2" xfId="26916" xr:uid="{00000000-0005-0000-0000-0000794E0000}"/>
    <cellStyle name="Comma 7 29 2 2 4 3" xfId="42408" xr:uid="{00000000-0005-0000-0000-00007A4E0000}"/>
    <cellStyle name="Comma 7 29 2 2 5" xfId="19176" xr:uid="{00000000-0005-0000-0000-00007B4E0000}"/>
    <cellStyle name="Comma 7 29 2 2 6" xfId="34668" xr:uid="{00000000-0005-0000-0000-00007C4E0000}"/>
    <cellStyle name="Comma 7 29 2 3" xfId="4557" xr:uid="{00000000-0005-0000-0000-00007D4E0000}"/>
    <cellStyle name="Comma 7 29 2 3 2" xfId="8428" xr:uid="{00000000-0005-0000-0000-00007E4E0000}"/>
    <cellStyle name="Comma 7 29 2 3 2 2" xfId="16173" xr:uid="{00000000-0005-0000-0000-00007F4E0000}"/>
    <cellStyle name="Comma 7 29 2 3 2 2 2" xfId="31765" xr:uid="{00000000-0005-0000-0000-0000804E0000}"/>
    <cellStyle name="Comma 7 29 2 3 2 2 3" xfId="47257" xr:uid="{00000000-0005-0000-0000-0000814E0000}"/>
    <cellStyle name="Comma 7 29 2 3 2 3" xfId="24025" xr:uid="{00000000-0005-0000-0000-0000824E0000}"/>
    <cellStyle name="Comma 7 29 2 3 2 4" xfId="39517" xr:uid="{00000000-0005-0000-0000-0000834E0000}"/>
    <cellStyle name="Comma 7 29 2 3 3" xfId="12303" xr:uid="{00000000-0005-0000-0000-0000844E0000}"/>
    <cellStyle name="Comma 7 29 2 3 3 2" xfId="27895" xr:uid="{00000000-0005-0000-0000-0000854E0000}"/>
    <cellStyle name="Comma 7 29 2 3 3 3" xfId="43387" xr:uid="{00000000-0005-0000-0000-0000864E0000}"/>
    <cellStyle name="Comma 7 29 2 3 4" xfId="20155" xr:uid="{00000000-0005-0000-0000-0000874E0000}"/>
    <cellStyle name="Comma 7 29 2 3 5" xfId="35647" xr:uid="{00000000-0005-0000-0000-0000884E0000}"/>
    <cellStyle name="Comma 7 29 2 4" xfId="6501" xr:uid="{00000000-0005-0000-0000-0000894E0000}"/>
    <cellStyle name="Comma 7 29 2 4 2" xfId="14246" xr:uid="{00000000-0005-0000-0000-00008A4E0000}"/>
    <cellStyle name="Comma 7 29 2 4 2 2" xfId="29838" xr:uid="{00000000-0005-0000-0000-00008B4E0000}"/>
    <cellStyle name="Comma 7 29 2 4 2 3" xfId="45330" xr:uid="{00000000-0005-0000-0000-00008C4E0000}"/>
    <cellStyle name="Comma 7 29 2 4 3" xfId="22098" xr:uid="{00000000-0005-0000-0000-00008D4E0000}"/>
    <cellStyle name="Comma 7 29 2 4 4" xfId="37590" xr:uid="{00000000-0005-0000-0000-00008E4E0000}"/>
    <cellStyle name="Comma 7 29 2 5" xfId="10376" xr:uid="{00000000-0005-0000-0000-00008F4E0000}"/>
    <cellStyle name="Comma 7 29 2 5 2" xfId="25968" xr:uid="{00000000-0005-0000-0000-0000904E0000}"/>
    <cellStyle name="Comma 7 29 2 5 3" xfId="41460" xr:uid="{00000000-0005-0000-0000-0000914E0000}"/>
    <cellStyle name="Comma 7 29 2 6" xfId="18228" xr:uid="{00000000-0005-0000-0000-0000924E0000}"/>
    <cellStyle name="Comma 7 29 2 7" xfId="33720" xr:uid="{00000000-0005-0000-0000-0000934E0000}"/>
    <cellStyle name="Comma 7 29 3" xfId="3257" xr:uid="{00000000-0005-0000-0000-0000944E0000}"/>
    <cellStyle name="Comma 7 29 3 2" xfId="5196" xr:uid="{00000000-0005-0000-0000-0000954E0000}"/>
    <cellStyle name="Comma 7 29 3 2 2" xfId="9067" xr:uid="{00000000-0005-0000-0000-0000964E0000}"/>
    <cellStyle name="Comma 7 29 3 2 2 2" xfId="16812" xr:uid="{00000000-0005-0000-0000-0000974E0000}"/>
    <cellStyle name="Comma 7 29 3 2 2 2 2" xfId="32404" xr:uid="{00000000-0005-0000-0000-0000984E0000}"/>
    <cellStyle name="Comma 7 29 3 2 2 2 3" xfId="47896" xr:uid="{00000000-0005-0000-0000-0000994E0000}"/>
    <cellStyle name="Comma 7 29 3 2 2 3" xfId="24664" xr:uid="{00000000-0005-0000-0000-00009A4E0000}"/>
    <cellStyle name="Comma 7 29 3 2 2 4" xfId="40156" xr:uid="{00000000-0005-0000-0000-00009B4E0000}"/>
    <cellStyle name="Comma 7 29 3 2 3" xfId="12942" xr:uid="{00000000-0005-0000-0000-00009C4E0000}"/>
    <cellStyle name="Comma 7 29 3 2 3 2" xfId="28534" xr:uid="{00000000-0005-0000-0000-00009D4E0000}"/>
    <cellStyle name="Comma 7 29 3 2 3 3" xfId="44026" xr:uid="{00000000-0005-0000-0000-00009E4E0000}"/>
    <cellStyle name="Comma 7 29 3 2 4" xfId="20794" xr:uid="{00000000-0005-0000-0000-00009F4E0000}"/>
    <cellStyle name="Comma 7 29 3 2 5" xfId="36286" xr:uid="{00000000-0005-0000-0000-0000A04E0000}"/>
    <cellStyle name="Comma 7 29 3 3" xfId="7140" xr:uid="{00000000-0005-0000-0000-0000A14E0000}"/>
    <cellStyle name="Comma 7 29 3 3 2" xfId="14885" xr:uid="{00000000-0005-0000-0000-0000A24E0000}"/>
    <cellStyle name="Comma 7 29 3 3 2 2" xfId="30477" xr:uid="{00000000-0005-0000-0000-0000A34E0000}"/>
    <cellStyle name="Comma 7 29 3 3 2 3" xfId="45969" xr:uid="{00000000-0005-0000-0000-0000A44E0000}"/>
    <cellStyle name="Comma 7 29 3 3 3" xfId="22737" xr:uid="{00000000-0005-0000-0000-0000A54E0000}"/>
    <cellStyle name="Comma 7 29 3 3 4" xfId="38229" xr:uid="{00000000-0005-0000-0000-0000A64E0000}"/>
    <cellStyle name="Comma 7 29 3 4" xfId="11015" xr:uid="{00000000-0005-0000-0000-0000A74E0000}"/>
    <cellStyle name="Comma 7 29 3 4 2" xfId="26607" xr:uid="{00000000-0005-0000-0000-0000A84E0000}"/>
    <cellStyle name="Comma 7 29 3 4 3" xfId="42099" xr:uid="{00000000-0005-0000-0000-0000A94E0000}"/>
    <cellStyle name="Comma 7 29 3 5" xfId="18867" xr:uid="{00000000-0005-0000-0000-0000AA4E0000}"/>
    <cellStyle name="Comma 7 29 3 6" xfId="34359" xr:uid="{00000000-0005-0000-0000-0000AB4E0000}"/>
    <cellStyle name="Comma 7 29 4" xfId="4248" xr:uid="{00000000-0005-0000-0000-0000AC4E0000}"/>
    <cellStyle name="Comma 7 29 4 2" xfId="8119" xr:uid="{00000000-0005-0000-0000-0000AD4E0000}"/>
    <cellStyle name="Comma 7 29 4 2 2" xfId="15864" xr:uid="{00000000-0005-0000-0000-0000AE4E0000}"/>
    <cellStyle name="Comma 7 29 4 2 2 2" xfId="31456" xr:uid="{00000000-0005-0000-0000-0000AF4E0000}"/>
    <cellStyle name="Comma 7 29 4 2 2 3" xfId="46948" xr:uid="{00000000-0005-0000-0000-0000B04E0000}"/>
    <cellStyle name="Comma 7 29 4 2 3" xfId="23716" xr:uid="{00000000-0005-0000-0000-0000B14E0000}"/>
    <cellStyle name="Comma 7 29 4 2 4" xfId="39208" xr:uid="{00000000-0005-0000-0000-0000B24E0000}"/>
    <cellStyle name="Comma 7 29 4 3" xfId="11994" xr:uid="{00000000-0005-0000-0000-0000B34E0000}"/>
    <cellStyle name="Comma 7 29 4 3 2" xfId="27586" xr:uid="{00000000-0005-0000-0000-0000B44E0000}"/>
    <cellStyle name="Comma 7 29 4 3 3" xfId="43078" xr:uid="{00000000-0005-0000-0000-0000B54E0000}"/>
    <cellStyle name="Comma 7 29 4 4" xfId="19846" xr:uid="{00000000-0005-0000-0000-0000B64E0000}"/>
    <cellStyle name="Comma 7 29 4 5" xfId="35338" xr:uid="{00000000-0005-0000-0000-0000B74E0000}"/>
    <cellStyle name="Comma 7 29 5" xfId="6192" xr:uid="{00000000-0005-0000-0000-0000B84E0000}"/>
    <cellStyle name="Comma 7 29 5 2" xfId="13937" xr:uid="{00000000-0005-0000-0000-0000B94E0000}"/>
    <cellStyle name="Comma 7 29 5 2 2" xfId="29529" xr:uid="{00000000-0005-0000-0000-0000BA4E0000}"/>
    <cellStyle name="Comma 7 29 5 2 3" xfId="45021" xr:uid="{00000000-0005-0000-0000-0000BB4E0000}"/>
    <cellStyle name="Comma 7 29 5 3" xfId="21789" xr:uid="{00000000-0005-0000-0000-0000BC4E0000}"/>
    <cellStyle name="Comma 7 29 5 4" xfId="37281" xr:uid="{00000000-0005-0000-0000-0000BD4E0000}"/>
    <cellStyle name="Comma 7 29 6" xfId="10067" xr:uid="{00000000-0005-0000-0000-0000BE4E0000}"/>
    <cellStyle name="Comma 7 29 6 2" xfId="25659" xr:uid="{00000000-0005-0000-0000-0000BF4E0000}"/>
    <cellStyle name="Comma 7 29 6 3" xfId="41151" xr:uid="{00000000-0005-0000-0000-0000C04E0000}"/>
    <cellStyle name="Comma 7 29 7" xfId="17919" xr:uid="{00000000-0005-0000-0000-0000C14E0000}"/>
    <cellStyle name="Comma 7 29 8" xfId="33411" xr:uid="{00000000-0005-0000-0000-0000C24E0000}"/>
    <cellStyle name="Comma 7 3" xfId="1484" xr:uid="{00000000-0005-0000-0000-0000C34E0000}"/>
    <cellStyle name="Comma 7 3 10" xfId="1485" xr:uid="{00000000-0005-0000-0000-0000C44E0000}"/>
    <cellStyle name="Comma 7 3 11" xfId="1486" xr:uid="{00000000-0005-0000-0000-0000C54E0000}"/>
    <cellStyle name="Comma 7 3 12" xfId="1487" xr:uid="{00000000-0005-0000-0000-0000C64E0000}"/>
    <cellStyle name="Comma 7 3 13" xfId="1488" xr:uid="{00000000-0005-0000-0000-0000C74E0000}"/>
    <cellStyle name="Comma 7 3 14" xfId="1489" xr:uid="{00000000-0005-0000-0000-0000C84E0000}"/>
    <cellStyle name="Comma 7 3 15" xfId="1490" xr:uid="{00000000-0005-0000-0000-0000C94E0000}"/>
    <cellStyle name="Comma 7 3 16" xfId="1491" xr:uid="{00000000-0005-0000-0000-0000CA4E0000}"/>
    <cellStyle name="Comma 7 3 17" xfId="1492" xr:uid="{00000000-0005-0000-0000-0000CB4E0000}"/>
    <cellStyle name="Comma 7 3 18" xfId="1493" xr:uid="{00000000-0005-0000-0000-0000CC4E0000}"/>
    <cellStyle name="Comma 7 3 19" xfId="1494" xr:uid="{00000000-0005-0000-0000-0000CD4E0000}"/>
    <cellStyle name="Comma 7 3 2" xfId="1495" xr:uid="{00000000-0005-0000-0000-0000CE4E0000}"/>
    <cellStyle name="Comma 7 3 20" xfId="1496" xr:uid="{00000000-0005-0000-0000-0000CF4E0000}"/>
    <cellStyle name="Comma 7 3 21" xfId="1497" xr:uid="{00000000-0005-0000-0000-0000D04E0000}"/>
    <cellStyle name="Comma 7 3 22" xfId="1498" xr:uid="{00000000-0005-0000-0000-0000D14E0000}"/>
    <cellStyle name="Comma 7 3 23" xfId="1499" xr:uid="{00000000-0005-0000-0000-0000D24E0000}"/>
    <cellStyle name="Comma 7 3 24" xfId="2187" xr:uid="{00000000-0005-0000-0000-0000D34E0000}"/>
    <cellStyle name="Comma 7 3 3" xfId="1500" xr:uid="{00000000-0005-0000-0000-0000D44E0000}"/>
    <cellStyle name="Comma 7 3 4" xfId="1501" xr:uid="{00000000-0005-0000-0000-0000D54E0000}"/>
    <cellStyle name="Comma 7 3 5" xfId="1502" xr:uid="{00000000-0005-0000-0000-0000D64E0000}"/>
    <cellStyle name="Comma 7 3 6" xfId="1503" xr:uid="{00000000-0005-0000-0000-0000D74E0000}"/>
    <cellStyle name="Comma 7 3 7" xfId="1504" xr:uid="{00000000-0005-0000-0000-0000D84E0000}"/>
    <cellStyle name="Comma 7 3 8" xfId="1505" xr:uid="{00000000-0005-0000-0000-0000D94E0000}"/>
    <cellStyle name="Comma 7 3 9" xfId="1506" xr:uid="{00000000-0005-0000-0000-0000DA4E0000}"/>
    <cellStyle name="Comma 7 30" xfId="2278" xr:uid="{00000000-0005-0000-0000-0000DB4E0000}"/>
    <cellStyle name="Comma 7 30 2" xfId="2594" xr:uid="{00000000-0005-0000-0000-0000DC4E0000}"/>
    <cellStyle name="Comma 7 30 2 2" xfId="3602" xr:uid="{00000000-0005-0000-0000-0000DD4E0000}"/>
    <cellStyle name="Comma 7 30 2 2 2" xfId="5541" xr:uid="{00000000-0005-0000-0000-0000DE4E0000}"/>
    <cellStyle name="Comma 7 30 2 2 2 2" xfId="9412" xr:uid="{00000000-0005-0000-0000-0000DF4E0000}"/>
    <cellStyle name="Comma 7 30 2 2 2 2 2" xfId="17157" xr:uid="{00000000-0005-0000-0000-0000E04E0000}"/>
    <cellStyle name="Comma 7 30 2 2 2 2 2 2" xfId="32749" xr:uid="{00000000-0005-0000-0000-0000E14E0000}"/>
    <cellStyle name="Comma 7 30 2 2 2 2 2 3" xfId="48241" xr:uid="{00000000-0005-0000-0000-0000E24E0000}"/>
    <cellStyle name="Comma 7 30 2 2 2 2 3" xfId="25009" xr:uid="{00000000-0005-0000-0000-0000E34E0000}"/>
    <cellStyle name="Comma 7 30 2 2 2 2 4" xfId="40501" xr:uid="{00000000-0005-0000-0000-0000E44E0000}"/>
    <cellStyle name="Comma 7 30 2 2 2 3" xfId="13287" xr:uid="{00000000-0005-0000-0000-0000E54E0000}"/>
    <cellStyle name="Comma 7 30 2 2 2 3 2" xfId="28879" xr:uid="{00000000-0005-0000-0000-0000E64E0000}"/>
    <cellStyle name="Comma 7 30 2 2 2 3 3" xfId="44371" xr:uid="{00000000-0005-0000-0000-0000E74E0000}"/>
    <cellStyle name="Comma 7 30 2 2 2 4" xfId="21139" xr:uid="{00000000-0005-0000-0000-0000E84E0000}"/>
    <cellStyle name="Comma 7 30 2 2 2 5" xfId="36631" xr:uid="{00000000-0005-0000-0000-0000E94E0000}"/>
    <cellStyle name="Comma 7 30 2 2 3" xfId="7485" xr:uid="{00000000-0005-0000-0000-0000EA4E0000}"/>
    <cellStyle name="Comma 7 30 2 2 3 2" xfId="15230" xr:uid="{00000000-0005-0000-0000-0000EB4E0000}"/>
    <cellStyle name="Comma 7 30 2 2 3 2 2" xfId="30822" xr:uid="{00000000-0005-0000-0000-0000EC4E0000}"/>
    <cellStyle name="Comma 7 30 2 2 3 2 3" xfId="46314" xr:uid="{00000000-0005-0000-0000-0000ED4E0000}"/>
    <cellStyle name="Comma 7 30 2 2 3 3" xfId="23082" xr:uid="{00000000-0005-0000-0000-0000EE4E0000}"/>
    <cellStyle name="Comma 7 30 2 2 3 4" xfId="38574" xr:uid="{00000000-0005-0000-0000-0000EF4E0000}"/>
    <cellStyle name="Comma 7 30 2 2 4" xfId="11360" xr:uid="{00000000-0005-0000-0000-0000F04E0000}"/>
    <cellStyle name="Comma 7 30 2 2 4 2" xfId="26952" xr:uid="{00000000-0005-0000-0000-0000F14E0000}"/>
    <cellStyle name="Comma 7 30 2 2 4 3" xfId="42444" xr:uid="{00000000-0005-0000-0000-0000F24E0000}"/>
    <cellStyle name="Comma 7 30 2 2 5" xfId="19212" xr:uid="{00000000-0005-0000-0000-0000F34E0000}"/>
    <cellStyle name="Comma 7 30 2 2 6" xfId="34704" xr:uid="{00000000-0005-0000-0000-0000F44E0000}"/>
    <cellStyle name="Comma 7 30 2 3" xfId="4593" xr:uid="{00000000-0005-0000-0000-0000F54E0000}"/>
    <cellStyle name="Comma 7 30 2 3 2" xfId="8464" xr:uid="{00000000-0005-0000-0000-0000F64E0000}"/>
    <cellStyle name="Comma 7 30 2 3 2 2" xfId="16209" xr:uid="{00000000-0005-0000-0000-0000F74E0000}"/>
    <cellStyle name="Comma 7 30 2 3 2 2 2" xfId="31801" xr:uid="{00000000-0005-0000-0000-0000F84E0000}"/>
    <cellStyle name="Comma 7 30 2 3 2 2 3" xfId="47293" xr:uid="{00000000-0005-0000-0000-0000F94E0000}"/>
    <cellStyle name="Comma 7 30 2 3 2 3" xfId="24061" xr:uid="{00000000-0005-0000-0000-0000FA4E0000}"/>
    <cellStyle name="Comma 7 30 2 3 2 4" xfId="39553" xr:uid="{00000000-0005-0000-0000-0000FB4E0000}"/>
    <cellStyle name="Comma 7 30 2 3 3" xfId="12339" xr:uid="{00000000-0005-0000-0000-0000FC4E0000}"/>
    <cellStyle name="Comma 7 30 2 3 3 2" xfId="27931" xr:uid="{00000000-0005-0000-0000-0000FD4E0000}"/>
    <cellStyle name="Comma 7 30 2 3 3 3" xfId="43423" xr:uid="{00000000-0005-0000-0000-0000FE4E0000}"/>
    <cellStyle name="Comma 7 30 2 3 4" xfId="20191" xr:uid="{00000000-0005-0000-0000-0000FF4E0000}"/>
    <cellStyle name="Comma 7 30 2 3 5" xfId="35683" xr:uid="{00000000-0005-0000-0000-0000004F0000}"/>
    <cellStyle name="Comma 7 30 2 4" xfId="6537" xr:uid="{00000000-0005-0000-0000-0000014F0000}"/>
    <cellStyle name="Comma 7 30 2 4 2" xfId="14282" xr:uid="{00000000-0005-0000-0000-0000024F0000}"/>
    <cellStyle name="Comma 7 30 2 4 2 2" xfId="29874" xr:uid="{00000000-0005-0000-0000-0000034F0000}"/>
    <cellStyle name="Comma 7 30 2 4 2 3" xfId="45366" xr:uid="{00000000-0005-0000-0000-0000044F0000}"/>
    <cellStyle name="Comma 7 30 2 4 3" xfId="22134" xr:uid="{00000000-0005-0000-0000-0000054F0000}"/>
    <cellStyle name="Comma 7 30 2 4 4" xfId="37626" xr:uid="{00000000-0005-0000-0000-0000064F0000}"/>
    <cellStyle name="Comma 7 30 2 5" xfId="10412" xr:uid="{00000000-0005-0000-0000-0000074F0000}"/>
    <cellStyle name="Comma 7 30 2 5 2" xfId="26004" xr:uid="{00000000-0005-0000-0000-0000084F0000}"/>
    <cellStyle name="Comma 7 30 2 5 3" xfId="41496" xr:uid="{00000000-0005-0000-0000-0000094F0000}"/>
    <cellStyle name="Comma 7 30 2 6" xfId="18264" xr:uid="{00000000-0005-0000-0000-00000A4F0000}"/>
    <cellStyle name="Comma 7 30 2 7" xfId="33756" xr:uid="{00000000-0005-0000-0000-00000B4F0000}"/>
    <cellStyle name="Comma 7 30 3" xfId="3293" xr:uid="{00000000-0005-0000-0000-00000C4F0000}"/>
    <cellStyle name="Comma 7 30 3 2" xfId="5232" xr:uid="{00000000-0005-0000-0000-00000D4F0000}"/>
    <cellStyle name="Comma 7 30 3 2 2" xfId="9103" xr:uid="{00000000-0005-0000-0000-00000E4F0000}"/>
    <cellStyle name="Comma 7 30 3 2 2 2" xfId="16848" xr:uid="{00000000-0005-0000-0000-00000F4F0000}"/>
    <cellStyle name="Comma 7 30 3 2 2 2 2" xfId="32440" xr:uid="{00000000-0005-0000-0000-0000104F0000}"/>
    <cellStyle name="Comma 7 30 3 2 2 2 3" xfId="47932" xr:uid="{00000000-0005-0000-0000-0000114F0000}"/>
    <cellStyle name="Comma 7 30 3 2 2 3" xfId="24700" xr:uid="{00000000-0005-0000-0000-0000124F0000}"/>
    <cellStyle name="Comma 7 30 3 2 2 4" xfId="40192" xr:uid="{00000000-0005-0000-0000-0000134F0000}"/>
    <cellStyle name="Comma 7 30 3 2 3" xfId="12978" xr:uid="{00000000-0005-0000-0000-0000144F0000}"/>
    <cellStyle name="Comma 7 30 3 2 3 2" xfId="28570" xr:uid="{00000000-0005-0000-0000-0000154F0000}"/>
    <cellStyle name="Comma 7 30 3 2 3 3" xfId="44062" xr:uid="{00000000-0005-0000-0000-0000164F0000}"/>
    <cellStyle name="Comma 7 30 3 2 4" xfId="20830" xr:uid="{00000000-0005-0000-0000-0000174F0000}"/>
    <cellStyle name="Comma 7 30 3 2 5" xfId="36322" xr:uid="{00000000-0005-0000-0000-0000184F0000}"/>
    <cellStyle name="Comma 7 30 3 3" xfId="7176" xr:uid="{00000000-0005-0000-0000-0000194F0000}"/>
    <cellStyle name="Comma 7 30 3 3 2" xfId="14921" xr:uid="{00000000-0005-0000-0000-00001A4F0000}"/>
    <cellStyle name="Comma 7 30 3 3 2 2" xfId="30513" xr:uid="{00000000-0005-0000-0000-00001B4F0000}"/>
    <cellStyle name="Comma 7 30 3 3 2 3" xfId="46005" xr:uid="{00000000-0005-0000-0000-00001C4F0000}"/>
    <cellStyle name="Comma 7 30 3 3 3" xfId="22773" xr:uid="{00000000-0005-0000-0000-00001D4F0000}"/>
    <cellStyle name="Comma 7 30 3 3 4" xfId="38265" xr:uid="{00000000-0005-0000-0000-00001E4F0000}"/>
    <cellStyle name="Comma 7 30 3 4" xfId="11051" xr:uid="{00000000-0005-0000-0000-00001F4F0000}"/>
    <cellStyle name="Comma 7 30 3 4 2" xfId="26643" xr:uid="{00000000-0005-0000-0000-0000204F0000}"/>
    <cellStyle name="Comma 7 30 3 4 3" xfId="42135" xr:uid="{00000000-0005-0000-0000-0000214F0000}"/>
    <cellStyle name="Comma 7 30 3 5" xfId="18903" xr:uid="{00000000-0005-0000-0000-0000224F0000}"/>
    <cellStyle name="Comma 7 30 3 6" xfId="34395" xr:uid="{00000000-0005-0000-0000-0000234F0000}"/>
    <cellStyle name="Comma 7 30 4" xfId="4284" xr:uid="{00000000-0005-0000-0000-0000244F0000}"/>
    <cellStyle name="Comma 7 30 4 2" xfId="8155" xr:uid="{00000000-0005-0000-0000-0000254F0000}"/>
    <cellStyle name="Comma 7 30 4 2 2" xfId="15900" xr:uid="{00000000-0005-0000-0000-0000264F0000}"/>
    <cellStyle name="Comma 7 30 4 2 2 2" xfId="31492" xr:uid="{00000000-0005-0000-0000-0000274F0000}"/>
    <cellStyle name="Comma 7 30 4 2 2 3" xfId="46984" xr:uid="{00000000-0005-0000-0000-0000284F0000}"/>
    <cellStyle name="Comma 7 30 4 2 3" xfId="23752" xr:uid="{00000000-0005-0000-0000-0000294F0000}"/>
    <cellStyle name="Comma 7 30 4 2 4" xfId="39244" xr:uid="{00000000-0005-0000-0000-00002A4F0000}"/>
    <cellStyle name="Comma 7 30 4 3" xfId="12030" xr:uid="{00000000-0005-0000-0000-00002B4F0000}"/>
    <cellStyle name="Comma 7 30 4 3 2" xfId="27622" xr:uid="{00000000-0005-0000-0000-00002C4F0000}"/>
    <cellStyle name="Comma 7 30 4 3 3" xfId="43114" xr:uid="{00000000-0005-0000-0000-00002D4F0000}"/>
    <cellStyle name="Comma 7 30 4 4" xfId="19882" xr:uid="{00000000-0005-0000-0000-00002E4F0000}"/>
    <cellStyle name="Comma 7 30 4 5" xfId="35374" xr:uid="{00000000-0005-0000-0000-00002F4F0000}"/>
    <cellStyle name="Comma 7 30 5" xfId="6228" xr:uid="{00000000-0005-0000-0000-0000304F0000}"/>
    <cellStyle name="Comma 7 30 5 2" xfId="13973" xr:uid="{00000000-0005-0000-0000-0000314F0000}"/>
    <cellStyle name="Comma 7 30 5 2 2" xfId="29565" xr:uid="{00000000-0005-0000-0000-0000324F0000}"/>
    <cellStyle name="Comma 7 30 5 2 3" xfId="45057" xr:uid="{00000000-0005-0000-0000-0000334F0000}"/>
    <cellStyle name="Comma 7 30 5 3" xfId="21825" xr:uid="{00000000-0005-0000-0000-0000344F0000}"/>
    <cellStyle name="Comma 7 30 5 4" xfId="37317" xr:uid="{00000000-0005-0000-0000-0000354F0000}"/>
    <cellStyle name="Comma 7 30 6" xfId="10103" xr:uid="{00000000-0005-0000-0000-0000364F0000}"/>
    <cellStyle name="Comma 7 30 6 2" xfId="25695" xr:uid="{00000000-0005-0000-0000-0000374F0000}"/>
    <cellStyle name="Comma 7 30 6 3" xfId="41187" xr:uid="{00000000-0005-0000-0000-0000384F0000}"/>
    <cellStyle name="Comma 7 30 7" xfId="17955" xr:uid="{00000000-0005-0000-0000-0000394F0000}"/>
    <cellStyle name="Comma 7 30 8" xfId="33447" xr:uid="{00000000-0005-0000-0000-00003A4F0000}"/>
    <cellStyle name="Comma 7 31" xfId="2315" xr:uid="{00000000-0005-0000-0000-00003B4F0000}"/>
    <cellStyle name="Comma 7 31 2" xfId="2630" xr:uid="{00000000-0005-0000-0000-00003C4F0000}"/>
    <cellStyle name="Comma 7 31 2 2" xfId="3638" xr:uid="{00000000-0005-0000-0000-00003D4F0000}"/>
    <cellStyle name="Comma 7 31 2 2 2" xfId="5577" xr:uid="{00000000-0005-0000-0000-00003E4F0000}"/>
    <cellStyle name="Comma 7 31 2 2 2 2" xfId="9448" xr:uid="{00000000-0005-0000-0000-00003F4F0000}"/>
    <cellStyle name="Comma 7 31 2 2 2 2 2" xfId="17193" xr:uid="{00000000-0005-0000-0000-0000404F0000}"/>
    <cellStyle name="Comma 7 31 2 2 2 2 2 2" xfId="32785" xr:uid="{00000000-0005-0000-0000-0000414F0000}"/>
    <cellStyle name="Comma 7 31 2 2 2 2 2 3" xfId="48277" xr:uid="{00000000-0005-0000-0000-0000424F0000}"/>
    <cellStyle name="Comma 7 31 2 2 2 2 3" xfId="25045" xr:uid="{00000000-0005-0000-0000-0000434F0000}"/>
    <cellStyle name="Comma 7 31 2 2 2 2 4" xfId="40537" xr:uid="{00000000-0005-0000-0000-0000444F0000}"/>
    <cellStyle name="Comma 7 31 2 2 2 3" xfId="13323" xr:uid="{00000000-0005-0000-0000-0000454F0000}"/>
    <cellStyle name="Comma 7 31 2 2 2 3 2" xfId="28915" xr:uid="{00000000-0005-0000-0000-0000464F0000}"/>
    <cellStyle name="Comma 7 31 2 2 2 3 3" xfId="44407" xr:uid="{00000000-0005-0000-0000-0000474F0000}"/>
    <cellStyle name="Comma 7 31 2 2 2 4" xfId="21175" xr:uid="{00000000-0005-0000-0000-0000484F0000}"/>
    <cellStyle name="Comma 7 31 2 2 2 5" xfId="36667" xr:uid="{00000000-0005-0000-0000-0000494F0000}"/>
    <cellStyle name="Comma 7 31 2 2 3" xfId="7521" xr:uid="{00000000-0005-0000-0000-00004A4F0000}"/>
    <cellStyle name="Comma 7 31 2 2 3 2" xfId="15266" xr:uid="{00000000-0005-0000-0000-00004B4F0000}"/>
    <cellStyle name="Comma 7 31 2 2 3 2 2" xfId="30858" xr:uid="{00000000-0005-0000-0000-00004C4F0000}"/>
    <cellStyle name="Comma 7 31 2 2 3 2 3" xfId="46350" xr:uid="{00000000-0005-0000-0000-00004D4F0000}"/>
    <cellStyle name="Comma 7 31 2 2 3 3" xfId="23118" xr:uid="{00000000-0005-0000-0000-00004E4F0000}"/>
    <cellStyle name="Comma 7 31 2 2 3 4" xfId="38610" xr:uid="{00000000-0005-0000-0000-00004F4F0000}"/>
    <cellStyle name="Comma 7 31 2 2 4" xfId="11396" xr:uid="{00000000-0005-0000-0000-0000504F0000}"/>
    <cellStyle name="Comma 7 31 2 2 4 2" xfId="26988" xr:uid="{00000000-0005-0000-0000-0000514F0000}"/>
    <cellStyle name="Comma 7 31 2 2 4 3" xfId="42480" xr:uid="{00000000-0005-0000-0000-0000524F0000}"/>
    <cellStyle name="Comma 7 31 2 2 5" xfId="19248" xr:uid="{00000000-0005-0000-0000-0000534F0000}"/>
    <cellStyle name="Comma 7 31 2 2 6" xfId="34740" xr:uid="{00000000-0005-0000-0000-0000544F0000}"/>
    <cellStyle name="Comma 7 31 2 3" xfId="4629" xr:uid="{00000000-0005-0000-0000-0000554F0000}"/>
    <cellStyle name="Comma 7 31 2 3 2" xfId="8500" xr:uid="{00000000-0005-0000-0000-0000564F0000}"/>
    <cellStyle name="Comma 7 31 2 3 2 2" xfId="16245" xr:uid="{00000000-0005-0000-0000-0000574F0000}"/>
    <cellStyle name="Comma 7 31 2 3 2 2 2" xfId="31837" xr:uid="{00000000-0005-0000-0000-0000584F0000}"/>
    <cellStyle name="Comma 7 31 2 3 2 2 3" xfId="47329" xr:uid="{00000000-0005-0000-0000-0000594F0000}"/>
    <cellStyle name="Comma 7 31 2 3 2 3" xfId="24097" xr:uid="{00000000-0005-0000-0000-00005A4F0000}"/>
    <cellStyle name="Comma 7 31 2 3 2 4" xfId="39589" xr:uid="{00000000-0005-0000-0000-00005B4F0000}"/>
    <cellStyle name="Comma 7 31 2 3 3" xfId="12375" xr:uid="{00000000-0005-0000-0000-00005C4F0000}"/>
    <cellStyle name="Comma 7 31 2 3 3 2" xfId="27967" xr:uid="{00000000-0005-0000-0000-00005D4F0000}"/>
    <cellStyle name="Comma 7 31 2 3 3 3" xfId="43459" xr:uid="{00000000-0005-0000-0000-00005E4F0000}"/>
    <cellStyle name="Comma 7 31 2 3 4" xfId="20227" xr:uid="{00000000-0005-0000-0000-00005F4F0000}"/>
    <cellStyle name="Comma 7 31 2 3 5" xfId="35719" xr:uid="{00000000-0005-0000-0000-0000604F0000}"/>
    <cellStyle name="Comma 7 31 2 4" xfId="6573" xr:uid="{00000000-0005-0000-0000-0000614F0000}"/>
    <cellStyle name="Comma 7 31 2 4 2" xfId="14318" xr:uid="{00000000-0005-0000-0000-0000624F0000}"/>
    <cellStyle name="Comma 7 31 2 4 2 2" xfId="29910" xr:uid="{00000000-0005-0000-0000-0000634F0000}"/>
    <cellStyle name="Comma 7 31 2 4 2 3" xfId="45402" xr:uid="{00000000-0005-0000-0000-0000644F0000}"/>
    <cellStyle name="Comma 7 31 2 4 3" xfId="22170" xr:uid="{00000000-0005-0000-0000-0000654F0000}"/>
    <cellStyle name="Comma 7 31 2 4 4" xfId="37662" xr:uid="{00000000-0005-0000-0000-0000664F0000}"/>
    <cellStyle name="Comma 7 31 2 5" xfId="10448" xr:uid="{00000000-0005-0000-0000-0000674F0000}"/>
    <cellStyle name="Comma 7 31 2 5 2" xfId="26040" xr:uid="{00000000-0005-0000-0000-0000684F0000}"/>
    <cellStyle name="Comma 7 31 2 5 3" xfId="41532" xr:uid="{00000000-0005-0000-0000-0000694F0000}"/>
    <cellStyle name="Comma 7 31 2 6" xfId="18300" xr:uid="{00000000-0005-0000-0000-00006A4F0000}"/>
    <cellStyle name="Comma 7 31 2 7" xfId="33792" xr:uid="{00000000-0005-0000-0000-00006B4F0000}"/>
    <cellStyle name="Comma 7 31 3" xfId="3329" xr:uid="{00000000-0005-0000-0000-00006C4F0000}"/>
    <cellStyle name="Comma 7 31 3 2" xfId="5268" xr:uid="{00000000-0005-0000-0000-00006D4F0000}"/>
    <cellStyle name="Comma 7 31 3 2 2" xfId="9139" xr:uid="{00000000-0005-0000-0000-00006E4F0000}"/>
    <cellStyle name="Comma 7 31 3 2 2 2" xfId="16884" xr:uid="{00000000-0005-0000-0000-00006F4F0000}"/>
    <cellStyle name="Comma 7 31 3 2 2 2 2" xfId="32476" xr:uid="{00000000-0005-0000-0000-0000704F0000}"/>
    <cellStyle name="Comma 7 31 3 2 2 2 3" xfId="47968" xr:uid="{00000000-0005-0000-0000-0000714F0000}"/>
    <cellStyle name="Comma 7 31 3 2 2 3" xfId="24736" xr:uid="{00000000-0005-0000-0000-0000724F0000}"/>
    <cellStyle name="Comma 7 31 3 2 2 4" xfId="40228" xr:uid="{00000000-0005-0000-0000-0000734F0000}"/>
    <cellStyle name="Comma 7 31 3 2 3" xfId="13014" xr:uid="{00000000-0005-0000-0000-0000744F0000}"/>
    <cellStyle name="Comma 7 31 3 2 3 2" xfId="28606" xr:uid="{00000000-0005-0000-0000-0000754F0000}"/>
    <cellStyle name="Comma 7 31 3 2 3 3" xfId="44098" xr:uid="{00000000-0005-0000-0000-0000764F0000}"/>
    <cellStyle name="Comma 7 31 3 2 4" xfId="20866" xr:uid="{00000000-0005-0000-0000-0000774F0000}"/>
    <cellStyle name="Comma 7 31 3 2 5" xfId="36358" xr:uid="{00000000-0005-0000-0000-0000784F0000}"/>
    <cellStyle name="Comma 7 31 3 3" xfId="7212" xr:uid="{00000000-0005-0000-0000-0000794F0000}"/>
    <cellStyle name="Comma 7 31 3 3 2" xfId="14957" xr:uid="{00000000-0005-0000-0000-00007A4F0000}"/>
    <cellStyle name="Comma 7 31 3 3 2 2" xfId="30549" xr:uid="{00000000-0005-0000-0000-00007B4F0000}"/>
    <cellStyle name="Comma 7 31 3 3 2 3" xfId="46041" xr:uid="{00000000-0005-0000-0000-00007C4F0000}"/>
    <cellStyle name="Comma 7 31 3 3 3" xfId="22809" xr:uid="{00000000-0005-0000-0000-00007D4F0000}"/>
    <cellStyle name="Comma 7 31 3 3 4" xfId="38301" xr:uid="{00000000-0005-0000-0000-00007E4F0000}"/>
    <cellStyle name="Comma 7 31 3 4" xfId="11087" xr:uid="{00000000-0005-0000-0000-00007F4F0000}"/>
    <cellStyle name="Comma 7 31 3 4 2" xfId="26679" xr:uid="{00000000-0005-0000-0000-0000804F0000}"/>
    <cellStyle name="Comma 7 31 3 4 3" xfId="42171" xr:uid="{00000000-0005-0000-0000-0000814F0000}"/>
    <cellStyle name="Comma 7 31 3 5" xfId="18939" xr:uid="{00000000-0005-0000-0000-0000824F0000}"/>
    <cellStyle name="Comma 7 31 3 6" xfId="34431" xr:uid="{00000000-0005-0000-0000-0000834F0000}"/>
    <cellStyle name="Comma 7 31 4" xfId="4320" xr:uid="{00000000-0005-0000-0000-0000844F0000}"/>
    <cellStyle name="Comma 7 31 4 2" xfId="8191" xr:uid="{00000000-0005-0000-0000-0000854F0000}"/>
    <cellStyle name="Comma 7 31 4 2 2" xfId="15936" xr:uid="{00000000-0005-0000-0000-0000864F0000}"/>
    <cellStyle name="Comma 7 31 4 2 2 2" xfId="31528" xr:uid="{00000000-0005-0000-0000-0000874F0000}"/>
    <cellStyle name="Comma 7 31 4 2 2 3" xfId="47020" xr:uid="{00000000-0005-0000-0000-0000884F0000}"/>
    <cellStyle name="Comma 7 31 4 2 3" xfId="23788" xr:uid="{00000000-0005-0000-0000-0000894F0000}"/>
    <cellStyle name="Comma 7 31 4 2 4" xfId="39280" xr:uid="{00000000-0005-0000-0000-00008A4F0000}"/>
    <cellStyle name="Comma 7 31 4 3" xfId="12066" xr:uid="{00000000-0005-0000-0000-00008B4F0000}"/>
    <cellStyle name="Comma 7 31 4 3 2" xfId="27658" xr:uid="{00000000-0005-0000-0000-00008C4F0000}"/>
    <cellStyle name="Comma 7 31 4 3 3" xfId="43150" xr:uid="{00000000-0005-0000-0000-00008D4F0000}"/>
    <cellStyle name="Comma 7 31 4 4" xfId="19918" xr:uid="{00000000-0005-0000-0000-00008E4F0000}"/>
    <cellStyle name="Comma 7 31 4 5" xfId="35410" xr:uid="{00000000-0005-0000-0000-00008F4F0000}"/>
    <cellStyle name="Comma 7 31 5" xfId="6264" xr:uid="{00000000-0005-0000-0000-0000904F0000}"/>
    <cellStyle name="Comma 7 31 5 2" xfId="14009" xr:uid="{00000000-0005-0000-0000-0000914F0000}"/>
    <cellStyle name="Comma 7 31 5 2 2" xfId="29601" xr:uid="{00000000-0005-0000-0000-0000924F0000}"/>
    <cellStyle name="Comma 7 31 5 2 3" xfId="45093" xr:uid="{00000000-0005-0000-0000-0000934F0000}"/>
    <cellStyle name="Comma 7 31 5 3" xfId="21861" xr:uid="{00000000-0005-0000-0000-0000944F0000}"/>
    <cellStyle name="Comma 7 31 5 4" xfId="37353" xr:uid="{00000000-0005-0000-0000-0000954F0000}"/>
    <cellStyle name="Comma 7 31 6" xfId="10139" xr:uid="{00000000-0005-0000-0000-0000964F0000}"/>
    <cellStyle name="Comma 7 31 6 2" xfId="25731" xr:uid="{00000000-0005-0000-0000-0000974F0000}"/>
    <cellStyle name="Comma 7 31 6 3" xfId="41223" xr:uid="{00000000-0005-0000-0000-0000984F0000}"/>
    <cellStyle name="Comma 7 31 7" xfId="17991" xr:uid="{00000000-0005-0000-0000-0000994F0000}"/>
    <cellStyle name="Comma 7 31 8" xfId="33483" xr:uid="{00000000-0005-0000-0000-00009A4F0000}"/>
    <cellStyle name="Comma 7 32" xfId="2353" xr:uid="{00000000-0005-0000-0000-00009B4F0000}"/>
    <cellStyle name="Comma 7 32 2" xfId="2666" xr:uid="{00000000-0005-0000-0000-00009C4F0000}"/>
    <cellStyle name="Comma 7 32 2 2" xfId="3674" xr:uid="{00000000-0005-0000-0000-00009D4F0000}"/>
    <cellStyle name="Comma 7 32 2 2 2" xfId="5613" xr:uid="{00000000-0005-0000-0000-00009E4F0000}"/>
    <cellStyle name="Comma 7 32 2 2 2 2" xfId="9484" xr:uid="{00000000-0005-0000-0000-00009F4F0000}"/>
    <cellStyle name="Comma 7 32 2 2 2 2 2" xfId="17229" xr:uid="{00000000-0005-0000-0000-0000A04F0000}"/>
    <cellStyle name="Comma 7 32 2 2 2 2 2 2" xfId="32821" xr:uid="{00000000-0005-0000-0000-0000A14F0000}"/>
    <cellStyle name="Comma 7 32 2 2 2 2 2 3" xfId="48313" xr:uid="{00000000-0005-0000-0000-0000A24F0000}"/>
    <cellStyle name="Comma 7 32 2 2 2 2 3" xfId="25081" xr:uid="{00000000-0005-0000-0000-0000A34F0000}"/>
    <cellStyle name="Comma 7 32 2 2 2 2 4" xfId="40573" xr:uid="{00000000-0005-0000-0000-0000A44F0000}"/>
    <cellStyle name="Comma 7 32 2 2 2 3" xfId="13359" xr:uid="{00000000-0005-0000-0000-0000A54F0000}"/>
    <cellStyle name="Comma 7 32 2 2 2 3 2" xfId="28951" xr:uid="{00000000-0005-0000-0000-0000A64F0000}"/>
    <cellStyle name="Comma 7 32 2 2 2 3 3" xfId="44443" xr:uid="{00000000-0005-0000-0000-0000A74F0000}"/>
    <cellStyle name="Comma 7 32 2 2 2 4" xfId="21211" xr:uid="{00000000-0005-0000-0000-0000A84F0000}"/>
    <cellStyle name="Comma 7 32 2 2 2 5" xfId="36703" xr:uid="{00000000-0005-0000-0000-0000A94F0000}"/>
    <cellStyle name="Comma 7 32 2 2 3" xfId="7557" xr:uid="{00000000-0005-0000-0000-0000AA4F0000}"/>
    <cellStyle name="Comma 7 32 2 2 3 2" xfId="15302" xr:uid="{00000000-0005-0000-0000-0000AB4F0000}"/>
    <cellStyle name="Comma 7 32 2 2 3 2 2" xfId="30894" xr:uid="{00000000-0005-0000-0000-0000AC4F0000}"/>
    <cellStyle name="Comma 7 32 2 2 3 2 3" xfId="46386" xr:uid="{00000000-0005-0000-0000-0000AD4F0000}"/>
    <cellStyle name="Comma 7 32 2 2 3 3" xfId="23154" xr:uid="{00000000-0005-0000-0000-0000AE4F0000}"/>
    <cellStyle name="Comma 7 32 2 2 3 4" xfId="38646" xr:uid="{00000000-0005-0000-0000-0000AF4F0000}"/>
    <cellStyle name="Comma 7 32 2 2 4" xfId="11432" xr:uid="{00000000-0005-0000-0000-0000B04F0000}"/>
    <cellStyle name="Comma 7 32 2 2 4 2" xfId="27024" xr:uid="{00000000-0005-0000-0000-0000B14F0000}"/>
    <cellStyle name="Comma 7 32 2 2 4 3" xfId="42516" xr:uid="{00000000-0005-0000-0000-0000B24F0000}"/>
    <cellStyle name="Comma 7 32 2 2 5" xfId="19284" xr:uid="{00000000-0005-0000-0000-0000B34F0000}"/>
    <cellStyle name="Comma 7 32 2 2 6" xfId="34776" xr:uid="{00000000-0005-0000-0000-0000B44F0000}"/>
    <cellStyle name="Comma 7 32 2 3" xfId="4665" xr:uid="{00000000-0005-0000-0000-0000B54F0000}"/>
    <cellStyle name="Comma 7 32 2 3 2" xfId="8536" xr:uid="{00000000-0005-0000-0000-0000B64F0000}"/>
    <cellStyle name="Comma 7 32 2 3 2 2" xfId="16281" xr:uid="{00000000-0005-0000-0000-0000B74F0000}"/>
    <cellStyle name="Comma 7 32 2 3 2 2 2" xfId="31873" xr:uid="{00000000-0005-0000-0000-0000B84F0000}"/>
    <cellStyle name="Comma 7 32 2 3 2 2 3" xfId="47365" xr:uid="{00000000-0005-0000-0000-0000B94F0000}"/>
    <cellStyle name="Comma 7 32 2 3 2 3" xfId="24133" xr:uid="{00000000-0005-0000-0000-0000BA4F0000}"/>
    <cellStyle name="Comma 7 32 2 3 2 4" xfId="39625" xr:uid="{00000000-0005-0000-0000-0000BB4F0000}"/>
    <cellStyle name="Comma 7 32 2 3 3" xfId="12411" xr:uid="{00000000-0005-0000-0000-0000BC4F0000}"/>
    <cellStyle name="Comma 7 32 2 3 3 2" xfId="28003" xr:uid="{00000000-0005-0000-0000-0000BD4F0000}"/>
    <cellStyle name="Comma 7 32 2 3 3 3" xfId="43495" xr:uid="{00000000-0005-0000-0000-0000BE4F0000}"/>
    <cellStyle name="Comma 7 32 2 3 4" xfId="20263" xr:uid="{00000000-0005-0000-0000-0000BF4F0000}"/>
    <cellStyle name="Comma 7 32 2 3 5" xfId="35755" xr:uid="{00000000-0005-0000-0000-0000C04F0000}"/>
    <cellStyle name="Comma 7 32 2 4" xfId="6609" xr:uid="{00000000-0005-0000-0000-0000C14F0000}"/>
    <cellStyle name="Comma 7 32 2 4 2" xfId="14354" xr:uid="{00000000-0005-0000-0000-0000C24F0000}"/>
    <cellStyle name="Comma 7 32 2 4 2 2" xfId="29946" xr:uid="{00000000-0005-0000-0000-0000C34F0000}"/>
    <cellStyle name="Comma 7 32 2 4 2 3" xfId="45438" xr:uid="{00000000-0005-0000-0000-0000C44F0000}"/>
    <cellStyle name="Comma 7 32 2 4 3" xfId="22206" xr:uid="{00000000-0005-0000-0000-0000C54F0000}"/>
    <cellStyle name="Comma 7 32 2 4 4" xfId="37698" xr:uid="{00000000-0005-0000-0000-0000C64F0000}"/>
    <cellStyle name="Comma 7 32 2 5" xfId="10484" xr:uid="{00000000-0005-0000-0000-0000C74F0000}"/>
    <cellStyle name="Comma 7 32 2 5 2" xfId="26076" xr:uid="{00000000-0005-0000-0000-0000C84F0000}"/>
    <cellStyle name="Comma 7 32 2 5 3" xfId="41568" xr:uid="{00000000-0005-0000-0000-0000C94F0000}"/>
    <cellStyle name="Comma 7 32 2 6" xfId="18336" xr:uid="{00000000-0005-0000-0000-0000CA4F0000}"/>
    <cellStyle name="Comma 7 32 2 7" xfId="33828" xr:uid="{00000000-0005-0000-0000-0000CB4F0000}"/>
    <cellStyle name="Comma 7 32 3" xfId="3365" xr:uid="{00000000-0005-0000-0000-0000CC4F0000}"/>
    <cellStyle name="Comma 7 32 3 2" xfId="5304" xr:uid="{00000000-0005-0000-0000-0000CD4F0000}"/>
    <cellStyle name="Comma 7 32 3 2 2" xfId="9175" xr:uid="{00000000-0005-0000-0000-0000CE4F0000}"/>
    <cellStyle name="Comma 7 32 3 2 2 2" xfId="16920" xr:uid="{00000000-0005-0000-0000-0000CF4F0000}"/>
    <cellStyle name="Comma 7 32 3 2 2 2 2" xfId="32512" xr:uid="{00000000-0005-0000-0000-0000D04F0000}"/>
    <cellStyle name="Comma 7 32 3 2 2 2 3" xfId="48004" xr:uid="{00000000-0005-0000-0000-0000D14F0000}"/>
    <cellStyle name="Comma 7 32 3 2 2 3" xfId="24772" xr:uid="{00000000-0005-0000-0000-0000D24F0000}"/>
    <cellStyle name="Comma 7 32 3 2 2 4" xfId="40264" xr:uid="{00000000-0005-0000-0000-0000D34F0000}"/>
    <cellStyle name="Comma 7 32 3 2 3" xfId="13050" xr:uid="{00000000-0005-0000-0000-0000D44F0000}"/>
    <cellStyle name="Comma 7 32 3 2 3 2" xfId="28642" xr:uid="{00000000-0005-0000-0000-0000D54F0000}"/>
    <cellStyle name="Comma 7 32 3 2 3 3" xfId="44134" xr:uid="{00000000-0005-0000-0000-0000D64F0000}"/>
    <cellStyle name="Comma 7 32 3 2 4" xfId="20902" xr:uid="{00000000-0005-0000-0000-0000D74F0000}"/>
    <cellStyle name="Comma 7 32 3 2 5" xfId="36394" xr:uid="{00000000-0005-0000-0000-0000D84F0000}"/>
    <cellStyle name="Comma 7 32 3 3" xfId="7248" xr:uid="{00000000-0005-0000-0000-0000D94F0000}"/>
    <cellStyle name="Comma 7 32 3 3 2" xfId="14993" xr:uid="{00000000-0005-0000-0000-0000DA4F0000}"/>
    <cellStyle name="Comma 7 32 3 3 2 2" xfId="30585" xr:uid="{00000000-0005-0000-0000-0000DB4F0000}"/>
    <cellStyle name="Comma 7 32 3 3 2 3" xfId="46077" xr:uid="{00000000-0005-0000-0000-0000DC4F0000}"/>
    <cellStyle name="Comma 7 32 3 3 3" xfId="22845" xr:uid="{00000000-0005-0000-0000-0000DD4F0000}"/>
    <cellStyle name="Comma 7 32 3 3 4" xfId="38337" xr:uid="{00000000-0005-0000-0000-0000DE4F0000}"/>
    <cellStyle name="Comma 7 32 3 4" xfId="11123" xr:uid="{00000000-0005-0000-0000-0000DF4F0000}"/>
    <cellStyle name="Comma 7 32 3 4 2" xfId="26715" xr:uid="{00000000-0005-0000-0000-0000E04F0000}"/>
    <cellStyle name="Comma 7 32 3 4 3" xfId="42207" xr:uid="{00000000-0005-0000-0000-0000E14F0000}"/>
    <cellStyle name="Comma 7 32 3 5" xfId="18975" xr:uid="{00000000-0005-0000-0000-0000E24F0000}"/>
    <cellStyle name="Comma 7 32 3 6" xfId="34467" xr:uid="{00000000-0005-0000-0000-0000E34F0000}"/>
    <cellStyle name="Comma 7 32 4" xfId="4356" xr:uid="{00000000-0005-0000-0000-0000E44F0000}"/>
    <cellStyle name="Comma 7 32 4 2" xfId="8227" xr:uid="{00000000-0005-0000-0000-0000E54F0000}"/>
    <cellStyle name="Comma 7 32 4 2 2" xfId="15972" xr:uid="{00000000-0005-0000-0000-0000E64F0000}"/>
    <cellStyle name="Comma 7 32 4 2 2 2" xfId="31564" xr:uid="{00000000-0005-0000-0000-0000E74F0000}"/>
    <cellStyle name="Comma 7 32 4 2 2 3" xfId="47056" xr:uid="{00000000-0005-0000-0000-0000E84F0000}"/>
    <cellStyle name="Comma 7 32 4 2 3" xfId="23824" xr:uid="{00000000-0005-0000-0000-0000E94F0000}"/>
    <cellStyle name="Comma 7 32 4 2 4" xfId="39316" xr:uid="{00000000-0005-0000-0000-0000EA4F0000}"/>
    <cellStyle name="Comma 7 32 4 3" xfId="12102" xr:uid="{00000000-0005-0000-0000-0000EB4F0000}"/>
    <cellStyle name="Comma 7 32 4 3 2" xfId="27694" xr:uid="{00000000-0005-0000-0000-0000EC4F0000}"/>
    <cellStyle name="Comma 7 32 4 3 3" xfId="43186" xr:uid="{00000000-0005-0000-0000-0000ED4F0000}"/>
    <cellStyle name="Comma 7 32 4 4" xfId="19954" xr:uid="{00000000-0005-0000-0000-0000EE4F0000}"/>
    <cellStyle name="Comma 7 32 4 5" xfId="35446" xr:uid="{00000000-0005-0000-0000-0000EF4F0000}"/>
    <cellStyle name="Comma 7 32 5" xfId="6300" xr:uid="{00000000-0005-0000-0000-0000F04F0000}"/>
    <cellStyle name="Comma 7 32 5 2" xfId="14045" xr:uid="{00000000-0005-0000-0000-0000F14F0000}"/>
    <cellStyle name="Comma 7 32 5 2 2" xfId="29637" xr:uid="{00000000-0005-0000-0000-0000F24F0000}"/>
    <cellStyle name="Comma 7 32 5 2 3" xfId="45129" xr:uid="{00000000-0005-0000-0000-0000F34F0000}"/>
    <cellStyle name="Comma 7 32 5 3" xfId="21897" xr:uid="{00000000-0005-0000-0000-0000F44F0000}"/>
    <cellStyle name="Comma 7 32 5 4" xfId="37389" xr:uid="{00000000-0005-0000-0000-0000F54F0000}"/>
    <cellStyle name="Comma 7 32 6" xfId="10175" xr:uid="{00000000-0005-0000-0000-0000F64F0000}"/>
    <cellStyle name="Comma 7 32 6 2" xfId="25767" xr:uid="{00000000-0005-0000-0000-0000F74F0000}"/>
    <cellStyle name="Comma 7 32 6 3" xfId="41259" xr:uid="{00000000-0005-0000-0000-0000F84F0000}"/>
    <cellStyle name="Comma 7 32 7" xfId="18027" xr:uid="{00000000-0005-0000-0000-0000F94F0000}"/>
    <cellStyle name="Comma 7 32 8" xfId="33519" xr:uid="{00000000-0005-0000-0000-0000FA4F0000}"/>
    <cellStyle name="Comma 7 33" xfId="2390" xr:uid="{00000000-0005-0000-0000-0000FB4F0000}"/>
    <cellStyle name="Comma 7 33 2" xfId="2702" xr:uid="{00000000-0005-0000-0000-0000FC4F0000}"/>
    <cellStyle name="Comma 7 33 2 2" xfId="3710" xr:uid="{00000000-0005-0000-0000-0000FD4F0000}"/>
    <cellStyle name="Comma 7 33 2 2 2" xfId="5649" xr:uid="{00000000-0005-0000-0000-0000FE4F0000}"/>
    <cellStyle name="Comma 7 33 2 2 2 2" xfId="9520" xr:uid="{00000000-0005-0000-0000-0000FF4F0000}"/>
    <cellStyle name="Comma 7 33 2 2 2 2 2" xfId="17265" xr:uid="{00000000-0005-0000-0000-000000500000}"/>
    <cellStyle name="Comma 7 33 2 2 2 2 2 2" xfId="32857" xr:uid="{00000000-0005-0000-0000-000001500000}"/>
    <cellStyle name="Comma 7 33 2 2 2 2 2 3" xfId="48349" xr:uid="{00000000-0005-0000-0000-000002500000}"/>
    <cellStyle name="Comma 7 33 2 2 2 2 3" xfId="25117" xr:uid="{00000000-0005-0000-0000-000003500000}"/>
    <cellStyle name="Comma 7 33 2 2 2 2 4" xfId="40609" xr:uid="{00000000-0005-0000-0000-000004500000}"/>
    <cellStyle name="Comma 7 33 2 2 2 3" xfId="13395" xr:uid="{00000000-0005-0000-0000-000005500000}"/>
    <cellStyle name="Comma 7 33 2 2 2 3 2" xfId="28987" xr:uid="{00000000-0005-0000-0000-000006500000}"/>
    <cellStyle name="Comma 7 33 2 2 2 3 3" xfId="44479" xr:uid="{00000000-0005-0000-0000-000007500000}"/>
    <cellStyle name="Comma 7 33 2 2 2 4" xfId="21247" xr:uid="{00000000-0005-0000-0000-000008500000}"/>
    <cellStyle name="Comma 7 33 2 2 2 5" xfId="36739" xr:uid="{00000000-0005-0000-0000-000009500000}"/>
    <cellStyle name="Comma 7 33 2 2 3" xfId="7593" xr:uid="{00000000-0005-0000-0000-00000A500000}"/>
    <cellStyle name="Comma 7 33 2 2 3 2" xfId="15338" xr:uid="{00000000-0005-0000-0000-00000B500000}"/>
    <cellStyle name="Comma 7 33 2 2 3 2 2" xfId="30930" xr:uid="{00000000-0005-0000-0000-00000C500000}"/>
    <cellStyle name="Comma 7 33 2 2 3 2 3" xfId="46422" xr:uid="{00000000-0005-0000-0000-00000D500000}"/>
    <cellStyle name="Comma 7 33 2 2 3 3" xfId="23190" xr:uid="{00000000-0005-0000-0000-00000E500000}"/>
    <cellStyle name="Comma 7 33 2 2 3 4" xfId="38682" xr:uid="{00000000-0005-0000-0000-00000F500000}"/>
    <cellStyle name="Comma 7 33 2 2 4" xfId="11468" xr:uid="{00000000-0005-0000-0000-000010500000}"/>
    <cellStyle name="Comma 7 33 2 2 4 2" xfId="27060" xr:uid="{00000000-0005-0000-0000-000011500000}"/>
    <cellStyle name="Comma 7 33 2 2 4 3" xfId="42552" xr:uid="{00000000-0005-0000-0000-000012500000}"/>
    <cellStyle name="Comma 7 33 2 2 5" xfId="19320" xr:uid="{00000000-0005-0000-0000-000013500000}"/>
    <cellStyle name="Comma 7 33 2 2 6" xfId="34812" xr:uid="{00000000-0005-0000-0000-000014500000}"/>
    <cellStyle name="Comma 7 33 2 3" xfId="4701" xr:uid="{00000000-0005-0000-0000-000015500000}"/>
    <cellStyle name="Comma 7 33 2 3 2" xfId="8572" xr:uid="{00000000-0005-0000-0000-000016500000}"/>
    <cellStyle name="Comma 7 33 2 3 2 2" xfId="16317" xr:uid="{00000000-0005-0000-0000-000017500000}"/>
    <cellStyle name="Comma 7 33 2 3 2 2 2" xfId="31909" xr:uid="{00000000-0005-0000-0000-000018500000}"/>
    <cellStyle name="Comma 7 33 2 3 2 2 3" xfId="47401" xr:uid="{00000000-0005-0000-0000-000019500000}"/>
    <cellStyle name="Comma 7 33 2 3 2 3" xfId="24169" xr:uid="{00000000-0005-0000-0000-00001A500000}"/>
    <cellStyle name="Comma 7 33 2 3 2 4" xfId="39661" xr:uid="{00000000-0005-0000-0000-00001B500000}"/>
    <cellStyle name="Comma 7 33 2 3 3" xfId="12447" xr:uid="{00000000-0005-0000-0000-00001C500000}"/>
    <cellStyle name="Comma 7 33 2 3 3 2" xfId="28039" xr:uid="{00000000-0005-0000-0000-00001D500000}"/>
    <cellStyle name="Comma 7 33 2 3 3 3" xfId="43531" xr:uid="{00000000-0005-0000-0000-00001E500000}"/>
    <cellStyle name="Comma 7 33 2 3 4" xfId="20299" xr:uid="{00000000-0005-0000-0000-00001F500000}"/>
    <cellStyle name="Comma 7 33 2 3 5" xfId="35791" xr:uid="{00000000-0005-0000-0000-000020500000}"/>
    <cellStyle name="Comma 7 33 2 4" xfId="6645" xr:uid="{00000000-0005-0000-0000-000021500000}"/>
    <cellStyle name="Comma 7 33 2 4 2" xfId="14390" xr:uid="{00000000-0005-0000-0000-000022500000}"/>
    <cellStyle name="Comma 7 33 2 4 2 2" xfId="29982" xr:uid="{00000000-0005-0000-0000-000023500000}"/>
    <cellStyle name="Comma 7 33 2 4 2 3" xfId="45474" xr:uid="{00000000-0005-0000-0000-000024500000}"/>
    <cellStyle name="Comma 7 33 2 4 3" xfId="22242" xr:uid="{00000000-0005-0000-0000-000025500000}"/>
    <cellStyle name="Comma 7 33 2 4 4" xfId="37734" xr:uid="{00000000-0005-0000-0000-000026500000}"/>
    <cellStyle name="Comma 7 33 2 5" xfId="10520" xr:uid="{00000000-0005-0000-0000-000027500000}"/>
    <cellStyle name="Comma 7 33 2 5 2" xfId="26112" xr:uid="{00000000-0005-0000-0000-000028500000}"/>
    <cellStyle name="Comma 7 33 2 5 3" xfId="41604" xr:uid="{00000000-0005-0000-0000-000029500000}"/>
    <cellStyle name="Comma 7 33 2 6" xfId="18372" xr:uid="{00000000-0005-0000-0000-00002A500000}"/>
    <cellStyle name="Comma 7 33 2 7" xfId="33864" xr:uid="{00000000-0005-0000-0000-00002B500000}"/>
    <cellStyle name="Comma 7 33 3" xfId="3401" xr:uid="{00000000-0005-0000-0000-00002C500000}"/>
    <cellStyle name="Comma 7 33 3 2" xfId="5340" xr:uid="{00000000-0005-0000-0000-00002D500000}"/>
    <cellStyle name="Comma 7 33 3 2 2" xfId="9211" xr:uid="{00000000-0005-0000-0000-00002E500000}"/>
    <cellStyle name="Comma 7 33 3 2 2 2" xfId="16956" xr:uid="{00000000-0005-0000-0000-00002F500000}"/>
    <cellStyle name="Comma 7 33 3 2 2 2 2" xfId="32548" xr:uid="{00000000-0005-0000-0000-000030500000}"/>
    <cellStyle name="Comma 7 33 3 2 2 2 3" xfId="48040" xr:uid="{00000000-0005-0000-0000-000031500000}"/>
    <cellStyle name="Comma 7 33 3 2 2 3" xfId="24808" xr:uid="{00000000-0005-0000-0000-000032500000}"/>
    <cellStyle name="Comma 7 33 3 2 2 4" xfId="40300" xr:uid="{00000000-0005-0000-0000-000033500000}"/>
    <cellStyle name="Comma 7 33 3 2 3" xfId="13086" xr:uid="{00000000-0005-0000-0000-000034500000}"/>
    <cellStyle name="Comma 7 33 3 2 3 2" xfId="28678" xr:uid="{00000000-0005-0000-0000-000035500000}"/>
    <cellStyle name="Comma 7 33 3 2 3 3" xfId="44170" xr:uid="{00000000-0005-0000-0000-000036500000}"/>
    <cellStyle name="Comma 7 33 3 2 4" xfId="20938" xr:uid="{00000000-0005-0000-0000-000037500000}"/>
    <cellStyle name="Comma 7 33 3 2 5" xfId="36430" xr:uid="{00000000-0005-0000-0000-000038500000}"/>
    <cellStyle name="Comma 7 33 3 3" xfId="7284" xr:uid="{00000000-0005-0000-0000-000039500000}"/>
    <cellStyle name="Comma 7 33 3 3 2" xfId="15029" xr:uid="{00000000-0005-0000-0000-00003A500000}"/>
    <cellStyle name="Comma 7 33 3 3 2 2" xfId="30621" xr:uid="{00000000-0005-0000-0000-00003B500000}"/>
    <cellStyle name="Comma 7 33 3 3 2 3" xfId="46113" xr:uid="{00000000-0005-0000-0000-00003C500000}"/>
    <cellStyle name="Comma 7 33 3 3 3" xfId="22881" xr:uid="{00000000-0005-0000-0000-00003D500000}"/>
    <cellStyle name="Comma 7 33 3 3 4" xfId="38373" xr:uid="{00000000-0005-0000-0000-00003E500000}"/>
    <cellStyle name="Comma 7 33 3 4" xfId="11159" xr:uid="{00000000-0005-0000-0000-00003F500000}"/>
    <cellStyle name="Comma 7 33 3 4 2" xfId="26751" xr:uid="{00000000-0005-0000-0000-000040500000}"/>
    <cellStyle name="Comma 7 33 3 4 3" xfId="42243" xr:uid="{00000000-0005-0000-0000-000041500000}"/>
    <cellStyle name="Comma 7 33 3 5" xfId="19011" xr:uid="{00000000-0005-0000-0000-000042500000}"/>
    <cellStyle name="Comma 7 33 3 6" xfId="34503" xr:uid="{00000000-0005-0000-0000-000043500000}"/>
    <cellStyle name="Comma 7 33 4" xfId="4392" xr:uid="{00000000-0005-0000-0000-000044500000}"/>
    <cellStyle name="Comma 7 33 4 2" xfId="8263" xr:uid="{00000000-0005-0000-0000-000045500000}"/>
    <cellStyle name="Comma 7 33 4 2 2" xfId="16008" xr:uid="{00000000-0005-0000-0000-000046500000}"/>
    <cellStyle name="Comma 7 33 4 2 2 2" xfId="31600" xr:uid="{00000000-0005-0000-0000-000047500000}"/>
    <cellStyle name="Comma 7 33 4 2 2 3" xfId="47092" xr:uid="{00000000-0005-0000-0000-000048500000}"/>
    <cellStyle name="Comma 7 33 4 2 3" xfId="23860" xr:uid="{00000000-0005-0000-0000-000049500000}"/>
    <cellStyle name="Comma 7 33 4 2 4" xfId="39352" xr:uid="{00000000-0005-0000-0000-00004A500000}"/>
    <cellStyle name="Comma 7 33 4 3" xfId="12138" xr:uid="{00000000-0005-0000-0000-00004B500000}"/>
    <cellStyle name="Comma 7 33 4 3 2" xfId="27730" xr:uid="{00000000-0005-0000-0000-00004C500000}"/>
    <cellStyle name="Comma 7 33 4 3 3" xfId="43222" xr:uid="{00000000-0005-0000-0000-00004D500000}"/>
    <cellStyle name="Comma 7 33 4 4" xfId="19990" xr:uid="{00000000-0005-0000-0000-00004E500000}"/>
    <cellStyle name="Comma 7 33 4 5" xfId="35482" xr:uid="{00000000-0005-0000-0000-00004F500000}"/>
    <cellStyle name="Comma 7 33 5" xfId="6336" xr:uid="{00000000-0005-0000-0000-000050500000}"/>
    <cellStyle name="Comma 7 33 5 2" xfId="14081" xr:uid="{00000000-0005-0000-0000-000051500000}"/>
    <cellStyle name="Comma 7 33 5 2 2" xfId="29673" xr:uid="{00000000-0005-0000-0000-000052500000}"/>
    <cellStyle name="Comma 7 33 5 2 3" xfId="45165" xr:uid="{00000000-0005-0000-0000-000053500000}"/>
    <cellStyle name="Comma 7 33 5 3" xfId="21933" xr:uid="{00000000-0005-0000-0000-000054500000}"/>
    <cellStyle name="Comma 7 33 5 4" xfId="37425" xr:uid="{00000000-0005-0000-0000-000055500000}"/>
    <cellStyle name="Comma 7 33 6" xfId="10211" xr:uid="{00000000-0005-0000-0000-000056500000}"/>
    <cellStyle name="Comma 7 33 6 2" xfId="25803" xr:uid="{00000000-0005-0000-0000-000057500000}"/>
    <cellStyle name="Comma 7 33 6 3" xfId="41295" xr:uid="{00000000-0005-0000-0000-000058500000}"/>
    <cellStyle name="Comma 7 33 7" xfId="18063" xr:uid="{00000000-0005-0000-0000-000059500000}"/>
    <cellStyle name="Comma 7 33 8" xfId="33555" xr:uid="{00000000-0005-0000-0000-00005A500000}"/>
    <cellStyle name="Comma 7 34" xfId="2428" xr:uid="{00000000-0005-0000-0000-00005B500000}"/>
    <cellStyle name="Comma 7 34 2" xfId="2738" xr:uid="{00000000-0005-0000-0000-00005C500000}"/>
    <cellStyle name="Comma 7 34 2 2" xfId="3746" xr:uid="{00000000-0005-0000-0000-00005D500000}"/>
    <cellStyle name="Comma 7 34 2 2 2" xfId="5685" xr:uid="{00000000-0005-0000-0000-00005E500000}"/>
    <cellStyle name="Comma 7 34 2 2 2 2" xfId="9556" xr:uid="{00000000-0005-0000-0000-00005F500000}"/>
    <cellStyle name="Comma 7 34 2 2 2 2 2" xfId="17301" xr:uid="{00000000-0005-0000-0000-000060500000}"/>
    <cellStyle name="Comma 7 34 2 2 2 2 2 2" xfId="32893" xr:uid="{00000000-0005-0000-0000-000061500000}"/>
    <cellStyle name="Comma 7 34 2 2 2 2 2 3" xfId="48385" xr:uid="{00000000-0005-0000-0000-000062500000}"/>
    <cellStyle name="Comma 7 34 2 2 2 2 3" xfId="25153" xr:uid="{00000000-0005-0000-0000-000063500000}"/>
    <cellStyle name="Comma 7 34 2 2 2 2 4" xfId="40645" xr:uid="{00000000-0005-0000-0000-000064500000}"/>
    <cellStyle name="Comma 7 34 2 2 2 3" xfId="13431" xr:uid="{00000000-0005-0000-0000-000065500000}"/>
    <cellStyle name="Comma 7 34 2 2 2 3 2" xfId="29023" xr:uid="{00000000-0005-0000-0000-000066500000}"/>
    <cellStyle name="Comma 7 34 2 2 2 3 3" xfId="44515" xr:uid="{00000000-0005-0000-0000-000067500000}"/>
    <cellStyle name="Comma 7 34 2 2 2 4" xfId="21283" xr:uid="{00000000-0005-0000-0000-000068500000}"/>
    <cellStyle name="Comma 7 34 2 2 2 5" xfId="36775" xr:uid="{00000000-0005-0000-0000-000069500000}"/>
    <cellStyle name="Comma 7 34 2 2 3" xfId="7629" xr:uid="{00000000-0005-0000-0000-00006A500000}"/>
    <cellStyle name="Comma 7 34 2 2 3 2" xfId="15374" xr:uid="{00000000-0005-0000-0000-00006B500000}"/>
    <cellStyle name="Comma 7 34 2 2 3 2 2" xfId="30966" xr:uid="{00000000-0005-0000-0000-00006C500000}"/>
    <cellStyle name="Comma 7 34 2 2 3 2 3" xfId="46458" xr:uid="{00000000-0005-0000-0000-00006D500000}"/>
    <cellStyle name="Comma 7 34 2 2 3 3" xfId="23226" xr:uid="{00000000-0005-0000-0000-00006E500000}"/>
    <cellStyle name="Comma 7 34 2 2 3 4" xfId="38718" xr:uid="{00000000-0005-0000-0000-00006F500000}"/>
    <cellStyle name="Comma 7 34 2 2 4" xfId="11504" xr:uid="{00000000-0005-0000-0000-000070500000}"/>
    <cellStyle name="Comma 7 34 2 2 4 2" xfId="27096" xr:uid="{00000000-0005-0000-0000-000071500000}"/>
    <cellStyle name="Comma 7 34 2 2 4 3" xfId="42588" xr:uid="{00000000-0005-0000-0000-000072500000}"/>
    <cellStyle name="Comma 7 34 2 2 5" xfId="19356" xr:uid="{00000000-0005-0000-0000-000073500000}"/>
    <cellStyle name="Comma 7 34 2 2 6" xfId="34848" xr:uid="{00000000-0005-0000-0000-000074500000}"/>
    <cellStyle name="Comma 7 34 2 3" xfId="4737" xr:uid="{00000000-0005-0000-0000-000075500000}"/>
    <cellStyle name="Comma 7 34 2 3 2" xfId="8608" xr:uid="{00000000-0005-0000-0000-000076500000}"/>
    <cellStyle name="Comma 7 34 2 3 2 2" xfId="16353" xr:uid="{00000000-0005-0000-0000-000077500000}"/>
    <cellStyle name="Comma 7 34 2 3 2 2 2" xfId="31945" xr:uid="{00000000-0005-0000-0000-000078500000}"/>
    <cellStyle name="Comma 7 34 2 3 2 2 3" xfId="47437" xr:uid="{00000000-0005-0000-0000-000079500000}"/>
    <cellStyle name="Comma 7 34 2 3 2 3" xfId="24205" xr:uid="{00000000-0005-0000-0000-00007A500000}"/>
    <cellStyle name="Comma 7 34 2 3 2 4" xfId="39697" xr:uid="{00000000-0005-0000-0000-00007B500000}"/>
    <cellStyle name="Comma 7 34 2 3 3" xfId="12483" xr:uid="{00000000-0005-0000-0000-00007C500000}"/>
    <cellStyle name="Comma 7 34 2 3 3 2" xfId="28075" xr:uid="{00000000-0005-0000-0000-00007D500000}"/>
    <cellStyle name="Comma 7 34 2 3 3 3" xfId="43567" xr:uid="{00000000-0005-0000-0000-00007E500000}"/>
    <cellStyle name="Comma 7 34 2 3 4" xfId="20335" xr:uid="{00000000-0005-0000-0000-00007F500000}"/>
    <cellStyle name="Comma 7 34 2 3 5" xfId="35827" xr:uid="{00000000-0005-0000-0000-000080500000}"/>
    <cellStyle name="Comma 7 34 2 4" xfId="6681" xr:uid="{00000000-0005-0000-0000-000081500000}"/>
    <cellStyle name="Comma 7 34 2 4 2" xfId="14426" xr:uid="{00000000-0005-0000-0000-000082500000}"/>
    <cellStyle name="Comma 7 34 2 4 2 2" xfId="30018" xr:uid="{00000000-0005-0000-0000-000083500000}"/>
    <cellStyle name="Comma 7 34 2 4 2 3" xfId="45510" xr:uid="{00000000-0005-0000-0000-000084500000}"/>
    <cellStyle name="Comma 7 34 2 4 3" xfId="22278" xr:uid="{00000000-0005-0000-0000-000085500000}"/>
    <cellStyle name="Comma 7 34 2 4 4" xfId="37770" xr:uid="{00000000-0005-0000-0000-000086500000}"/>
    <cellStyle name="Comma 7 34 2 5" xfId="10556" xr:uid="{00000000-0005-0000-0000-000087500000}"/>
    <cellStyle name="Comma 7 34 2 5 2" xfId="26148" xr:uid="{00000000-0005-0000-0000-000088500000}"/>
    <cellStyle name="Comma 7 34 2 5 3" xfId="41640" xr:uid="{00000000-0005-0000-0000-000089500000}"/>
    <cellStyle name="Comma 7 34 2 6" xfId="18408" xr:uid="{00000000-0005-0000-0000-00008A500000}"/>
    <cellStyle name="Comma 7 34 2 7" xfId="33900" xr:uid="{00000000-0005-0000-0000-00008B500000}"/>
    <cellStyle name="Comma 7 34 3" xfId="3437" xr:uid="{00000000-0005-0000-0000-00008C500000}"/>
    <cellStyle name="Comma 7 34 3 2" xfId="5376" xr:uid="{00000000-0005-0000-0000-00008D500000}"/>
    <cellStyle name="Comma 7 34 3 2 2" xfId="9247" xr:uid="{00000000-0005-0000-0000-00008E500000}"/>
    <cellStyle name="Comma 7 34 3 2 2 2" xfId="16992" xr:uid="{00000000-0005-0000-0000-00008F500000}"/>
    <cellStyle name="Comma 7 34 3 2 2 2 2" xfId="32584" xr:uid="{00000000-0005-0000-0000-000090500000}"/>
    <cellStyle name="Comma 7 34 3 2 2 2 3" xfId="48076" xr:uid="{00000000-0005-0000-0000-000091500000}"/>
    <cellStyle name="Comma 7 34 3 2 2 3" xfId="24844" xr:uid="{00000000-0005-0000-0000-000092500000}"/>
    <cellStyle name="Comma 7 34 3 2 2 4" xfId="40336" xr:uid="{00000000-0005-0000-0000-000093500000}"/>
    <cellStyle name="Comma 7 34 3 2 3" xfId="13122" xr:uid="{00000000-0005-0000-0000-000094500000}"/>
    <cellStyle name="Comma 7 34 3 2 3 2" xfId="28714" xr:uid="{00000000-0005-0000-0000-000095500000}"/>
    <cellStyle name="Comma 7 34 3 2 3 3" xfId="44206" xr:uid="{00000000-0005-0000-0000-000096500000}"/>
    <cellStyle name="Comma 7 34 3 2 4" xfId="20974" xr:uid="{00000000-0005-0000-0000-000097500000}"/>
    <cellStyle name="Comma 7 34 3 2 5" xfId="36466" xr:uid="{00000000-0005-0000-0000-000098500000}"/>
    <cellStyle name="Comma 7 34 3 3" xfId="7320" xr:uid="{00000000-0005-0000-0000-000099500000}"/>
    <cellStyle name="Comma 7 34 3 3 2" xfId="15065" xr:uid="{00000000-0005-0000-0000-00009A500000}"/>
    <cellStyle name="Comma 7 34 3 3 2 2" xfId="30657" xr:uid="{00000000-0005-0000-0000-00009B500000}"/>
    <cellStyle name="Comma 7 34 3 3 2 3" xfId="46149" xr:uid="{00000000-0005-0000-0000-00009C500000}"/>
    <cellStyle name="Comma 7 34 3 3 3" xfId="22917" xr:uid="{00000000-0005-0000-0000-00009D500000}"/>
    <cellStyle name="Comma 7 34 3 3 4" xfId="38409" xr:uid="{00000000-0005-0000-0000-00009E500000}"/>
    <cellStyle name="Comma 7 34 3 4" xfId="11195" xr:uid="{00000000-0005-0000-0000-00009F500000}"/>
    <cellStyle name="Comma 7 34 3 4 2" xfId="26787" xr:uid="{00000000-0005-0000-0000-0000A0500000}"/>
    <cellStyle name="Comma 7 34 3 4 3" xfId="42279" xr:uid="{00000000-0005-0000-0000-0000A1500000}"/>
    <cellStyle name="Comma 7 34 3 5" xfId="19047" xr:uid="{00000000-0005-0000-0000-0000A2500000}"/>
    <cellStyle name="Comma 7 34 3 6" xfId="34539" xr:uid="{00000000-0005-0000-0000-0000A3500000}"/>
    <cellStyle name="Comma 7 34 4" xfId="4428" xr:uid="{00000000-0005-0000-0000-0000A4500000}"/>
    <cellStyle name="Comma 7 34 4 2" xfId="8299" xr:uid="{00000000-0005-0000-0000-0000A5500000}"/>
    <cellStyle name="Comma 7 34 4 2 2" xfId="16044" xr:uid="{00000000-0005-0000-0000-0000A6500000}"/>
    <cellStyle name="Comma 7 34 4 2 2 2" xfId="31636" xr:uid="{00000000-0005-0000-0000-0000A7500000}"/>
    <cellStyle name="Comma 7 34 4 2 2 3" xfId="47128" xr:uid="{00000000-0005-0000-0000-0000A8500000}"/>
    <cellStyle name="Comma 7 34 4 2 3" xfId="23896" xr:uid="{00000000-0005-0000-0000-0000A9500000}"/>
    <cellStyle name="Comma 7 34 4 2 4" xfId="39388" xr:uid="{00000000-0005-0000-0000-0000AA500000}"/>
    <cellStyle name="Comma 7 34 4 3" xfId="12174" xr:uid="{00000000-0005-0000-0000-0000AB500000}"/>
    <cellStyle name="Comma 7 34 4 3 2" xfId="27766" xr:uid="{00000000-0005-0000-0000-0000AC500000}"/>
    <cellStyle name="Comma 7 34 4 3 3" xfId="43258" xr:uid="{00000000-0005-0000-0000-0000AD500000}"/>
    <cellStyle name="Comma 7 34 4 4" xfId="20026" xr:uid="{00000000-0005-0000-0000-0000AE500000}"/>
    <cellStyle name="Comma 7 34 4 5" xfId="35518" xr:uid="{00000000-0005-0000-0000-0000AF500000}"/>
    <cellStyle name="Comma 7 34 5" xfId="6372" xr:uid="{00000000-0005-0000-0000-0000B0500000}"/>
    <cellStyle name="Comma 7 34 5 2" xfId="14117" xr:uid="{00000000-0005-0000-0000-0000B1500000}"/>
    <cellStyle name="Comma 7 34 5 2 2" xfId="29709" xr:uid="{00000000-0005-0000-0000-0000B2500000}"/>
    <cellStyle name="Comma 7 34 5 2 3" xfId="45201" xr:uid="{00000000-0005-0000-0000-0000B3500000}"/>
    <cellStyle name="Comma 7 34 5 3" xfId="21969" xr:uid="{00000000-0005-0000-0000-0000B4500000}"/>
    <cellStyle name="Comma 7 34 5 4" xfId="37461" xr:uid="{00000000-0005-0000-0000-0000B5500000}"/>
    <cellStyle name="Comma 7 34 6" xfId="10247" xr:uid="{00000000-0005-0000-0000-0000B6500000}"/>
    <cellStyle name="Comma 7 34 6 2" xfId="25839" xr:uid="{00000000-0005-0000-0000-0000B7500000}"/>
    <cellStyle name="Comma 7 34 6 3" xfId="41331" xr:uid="{00000000-0005-0000-0000-0000B8500000}"/>
    <cellStyle name="Comma 7 34 7" xfId="18099" xr:uid="{00000000-0005-0000-0000-0000B9500000}"/>
    <cellStyle name="Comma 7 34 8" xfId="33591" xr:uid="{00000000-0005-0000-0000-0000BA500000}"/>
    <cellStyle name="Comma 7 35" xfId="2465" xr:uid="{00000000-0005-0000-0000-0000BB500000}"/>
    <cellStyle name="Comma 7 35 2" xfId="2774" xr:uid="{00000000-0005-0000-0000-0000BC500000}"/>
    <cellStyle name="Comma 7 35 2 2" xfId="3782" xr:uid="{00000000-0005-0000-0000-0000BD500000}"/>
    <cellStyle name="Comma 7 35 2 2 2" xfId="5721" xr:uid="{00000000-0005-0000-0000-0000BE500000}"/>
    <cellStyle name="Comma 7 35 2 2 2 2" xfId="9592" xr:uid="{00000000-0005-0000-0000-0000BF500000}"/>
    <cellStyle name="Comma 7 35 2 2 2 2 2" xfId="17337" xr:uid="{00000000-0005-0000-0000-0000C0500000}"/>
    <cellStyle name="Comma 7 35 2 2 2 2 2 2" xfId="32929" xr:uid="{00000000-0005-0000-0000-0000C1500000}"/>
    <cellStyle name="Comma 7 35 2 2 2 2 2 3" xfId="48421" xr:uid="{00000000-0005-0000-0000-0000C2500000}"/>
    <cellStyle name="Comma 7 35 2 2 2 2 3" xfId="25189" xr:uid="{00000000-0005-0000-0000-0000C3500000}"/>
    <cellStyle name="Comma 7 35 2 2 2 2 4" xfId="40681" xr:uid="{00000000-0005-0000-0000-0000C4500000}"/>
    <cellStyle name="Comma 7 35 2 2 2 3" xfId="13467" xr:uid="{00000000-0005-0000-0000-0000C5500000}"/>
    <cellStyle name="Comma 7 35 2 2 2 3 2" xfId="29059" xr:uid="{00000000-0005-0000-0000-0000C6500000}"/>
    <cellStyle name="Comma 7 35 2 2 2 3 3" xfId="44551" xr:uid="{00000000-0005-0000-0000-0000C7500000}"/>
    <cellStyle name="Comma 7 35 2 2 2 4" xfId="21319" xr:uid="{00000000-0005-0000-0000-0000C8500000}"/>
    <cellStyle name="Comma 7 35 2 2 2 5" xfId="36811" xr:uid="{00000000-0005-0000-0000-0000C9500000}"/>
    <cellStyle name="Comma 7 35 2 2 3" xfId="7665" xr:uid="{00000000-0005-0000-0000-0000CA500000}"/>
    <cellStyle name="Comma 7 35 2 2 3 2" xfId="15410" xr:uid="{00000000-0005-0000-0000-0000CB500000}"/>
    <cellStyle name="Comma 7 35 2 2 3 2 2" xfId="31002" xr:uid="{00000000-0005-0000-0000-0000CC500000}"/>
    <cellStyle name="Comma 7 35 2 2 3 2 3" xfId="46494" xr:uid="{00000000-0005-0000-0000-0000CD500000}"/>
    <cellStyle name="Comma 7 35 2 2 3 3" xfId="23262" xr:uid="{00000000-0005-0000-0000-0000CE500000}"/>
    <cellStyle name="Comma 7 35 2 2 3 4" xfId="38754" xr:uid="{00000000-0005-0000-0000-0000CF500000}"/>
    <cellStyle name="Comma 7 35 2 2 4" xfId="11540" xr:uid="{00000000-0005-0000-0000-0000D0500000}"/>
    <cellStyle name="Comma 7 35 2 2 4 2" xfId="27132" xr:uid="{00000000-0005-0000-0000-0000D1500000}"/>
    <cellStyle name="Comma 7 35 2 2 4 3" xfId="42624" xr:uid="{00000000-0005-0000-0000-0000D2500000}"/>
    <cellStyle name="Comma 7 35 2 2 5" xfId="19392" xr:uid="{00000000-0005-0000-0000-0000D3500000}"/>
    <cellStyle name="Comma 7 35 2 2 6" xfId="34884" xr:uid="{00000000-0005-0000-0000-0000D4500000}"/>
    <cellStyle name="Comma 7 35 2 3" xfId="4773" xr:uid="{00000000-0005-0000-0000-0000D5500000}"/>
    <cellStyle name="Comma 7 35 2 3 2" xfId="8644" xr:uid="{00000000-0005-0000-0000-0000D6500000}"/>
    <cellStyle name="Comma 7 35 2 3 2 2" xfId="16389" xr:uid="{00000000-0005-0000-0000-0000D7500000}"/>
    <cellStyle name="Comma 7 35 2 3 2 2 2" xfId="31981" xr:uid="{00000000-0005-0000-0000-0000D8500000}"/>
    <cellStyle name="Comma 7 35 2 3 2 2 3" xfId="47473" xr:uid="{00000000-0005-0000-0000-0000D9500000}"/>
    <cellStyle name="Comma 7 35 2 3 2 3" xfId="24241" xr:uid="{00000000-0005-0000-0000-0000DA500000}"/>
    <cellStyle name="Comma 7 35 2 3 2 4" xfId="39733" xr:uid="{00000000-0005-0000-0000-0000DB500000}"/>
    <cellStyle name="Comma 7 35 2 3 3" xfId="12519" xr:uid="{00000000-0005-0000-0000-0000DC500000}"/>
    <cellStyle name="Comma 7 35 2 3 3 2" xfId="28111" xr:uid="{00000000-0005-0000-0000-0000DD500000}"/>
    <cellStyle name="Comma 7 35 2 3 3 3" xfId="43603" xr:uid="{00000000-0005-0000-0000-0000DE500000}"/>
    <cellStyle name="Comma 7 35 2 3 4" xfId="20371" xr:uid="{00000000-0005-0000-0000-0000DF500000}"/>
    <cellStyle name="Comma 7 35 2 3 5" xfId="35863" xr:uid="{00000000-0005-0000-0000-0000E0500000}"/>
    <cellStyle name="Comma 7 35 2 4" xfId="6717" xr:uid="{00000000-0005-0000-0000-0000E1500000}"/>
    <cellStyle name="Comma 7 35 2 4 2" xfId="14462" xr:uid="{00000000-0005-0000-0000-0000E2500000}"/>
    <cellStyle name="Comma 7 35 2 4 2 2" xfId="30054" xr:uid="{00000000-0005-0000-0000-0000E3500000}"/>
    <cellStyle name="Comma 7 35 2 4 2 3" xfId="45546" xr:uid="{00000000-0005-0000-0000-0000E4500000}"/>
    <cellStyle name="Comma 7 35 2 4 3" xfId="22314" xr:uid="{00000000-0005-0000-0000-0000E5500000}"/>
    <cellStyle name="Comma 7 35 2 4 4" xfId="37806" xr:uid="{00000000-0005-0000-0000-0000E6500000}"/>
    <cellStyle name="Comma 7 35 2 5" xfId="10592" xr:uid="{00000000-0005-0000-0000-0000E7500000}"/>
    <cellStyle name="Comma 7 35 2 5 2" xfId="26184" xr:uid="{00000000-0005-0000-0000-0000E8500000}"/>
    <cellStyle name="Comma 7 35 2 5 3" xfId="41676" xr:uid="{00000000-0005-0000-0000-0000E9500000}"/>
    <cellStyle name="Comma 7 35 2 6" xfId="18444" xr:uid="{00000000-0005-0000-0000-0000EA500000}"/>
    <cellStyle name="Comma 7 35 2 7" xfId="33936" xr:uid="{00000000-0005-0000-0000-0000EB500000}"/>
    <cellStyle name="Comma 7 35 3" xfId="3473" xr:uid="{00000000-0005-0000-0000-0000EC500000}"/>
    <cellStyle name="Comma 7 35 3 2" xfId="5412" xr:uid="{00000000-0005-0000-0000-0000ED500000}"/>
    <cellStyle name="Comma 7 35 3 2 2" xfId="9283" xr:uid="{00000000-0005-0000-0000-0000EE500000}"/>
    <cellStyle name="Comma 7 35 3 2 2 2" xfId="17028" xr:uid="{00000000-0005-0000-0000-0000EF500000}"/>
    <cellStyle name="Comma 7 35 3 2 2 2 2" xfId="32620" xr:uid="{00000000-0005-0000-0000-0000F0500000}"/>
    <cellStyle name="Comma 7 35 3 2 2 2 3" xfId="48112" xr:uid="{00000000-0005-0000-0000-0000F1500000}"/>
    <cellStyle name="Comma 7 35 3 2 2 3" xfId="24880" xr:uid="{00000000-0005-0000-0000-0000F2500000}"/>
    <cellStyle name="Comma 7 35 3 2 2 4" xfId="40372" xr:uid="{00000000-0005-0000-0000-0000F3500000}"/>
    <cellStyle name="Comma 7 35 3 2 3" xfId="13158" xr:uid="{00000000-0005-0000-0000-0000F4500000}"/>
    <cellStyle name="Comma 7 35 3 2 3 2" xfId="28750" xr:uid="{00000000-0005-0000-0000-0000F5500000}"/>
    <cellStyle name="Comma 7 35 3 2 3 3" xfId="44242" xr:uid="{00000000-0005-0000-0000-0000F6500000}"/>
    <cellStyle name="Comma 7 35 3 2 4" xfId="21010" xr:uid="{00000000-0005-0000-0000-0000F7500000}"/>
    <cellStyle name="Comma 7 35 3 2 5" xfId="36502" xr:uid="{00000000-0005-0000-0000-0000F8500000}"/>
    <cellStyle name="Comma 7 35 3 3" xfId="7356" xr:uid="{00000000-0005-0000-0000-0000F9500000}"/>
    <cellStyle name="Comma 7 35 3 3 2" xfId="15101" xr:uid="{00000000-0005-0000-0000-0000FA500000}"/>
    <cellStyle name="Comma 7 35 3 3 2 2" xfId="30693" xr:uid="{00000000-0005-0000-0000-0000FB500000}"/>
    <cellStyle name="Comma 7 35 3 3 2 3" xfId="46185" xr:uid="{00000000-0005-0000-0000-0000FC500000}"/>
    <cellStyle name="Comma 7 35 3 3 3" xfId="22953" xr:uid="{00000000-0005-0000-0000-0000FD500000}"/>
    <cellStyle name="Comma 7 35 3 3 4" xfId="38445" xr:uid="{00000000-0005-0000-0000-0000FE500000}"/>
    <cellStyle name="Comma 7 35 3 4" xfId="11231" xr:uid="{00000000-0005-0000-0000-0000FF500000}"/>
    <cellStyle name="Comma 7 35 3 4 2" xfId="26823" xr:uid="{00000000-0005-0000-0000-000000510000}"/>
    <cellStyle name="Comma 7 35 3 4 3" xfId="42315" xr:uid="{00000000-0005-0000-0000-000001510000}"/>
    <cellStyle name="Comma 7 35 3 5" xfId="19083" xr:uid="{00000000-0005-0000-0000-000002510000}"/>
    <cellStyle name="Comma 7 35 3 6" xfId="34575" xr:uid="{00000000-0005-0000-0000-000003510000}"/>
    <cellStyle name="Comma 7 35 4" xfId="4464" xr:uid="{00000000-0005-0000-0000-000004510000}"/>
    <cellStyle name="Comma 7 35 4 2" xfId="8335" xr:uid="{00000000-0005-0000-0000-000005510000}"/>
    <cellStyle name="Comma 7 35 4 2 2" xfId="16080" xr:uid="{00000000-0005-0000-0000-000006510000}"/>
    <cellStyle name="Comma 7 35 4 2 2 2" xfId="31672" xr:uid="{00000000-0005-0000-0000-000007510000}"/>
    <cellStyle name="Comma 7 35 4 2 2 3" xfId="47164" xr:uid="{00000000-0005-0000-0000-000008510000}"/>
    <cellStyle name="Comma 7 35 4 2 3" xfId="23932" xr:uid="{00000000-0005-0000-0000-000009510000}"/>
    <cellStyle name="Comma 7 35 4 2 4" xfId="39424" xr:uid="{00000000-0005-0000-0000-00000A510000}"/>
    <cellStyle name="Comma 7 35 4 3" xfId="12210" xr:uid="{00000000-0005-0000-0000-00000B510000}"/>
    <cellStyle name="Comma 7 35 4 3 2" xfId="27802" xr:uid="{00000000-0005-0000-0000-00000C510000}"/>
    <cellStyle name="Comma 7 35 4 3 3" xfId="43294" xr:uid="{00000000-0005-0000-0000-00000D510000}"/>
    <cellStyle name="Comma 7 35 4 4" xfId="20062" xr:uid="{00000000-0005-0000-0000-00000E510000}"/>
    <cellStyle name="Comma 7 35 4 5" xfId="35554" xr:uid="{00000000-0005-0000-0000-00000F510000}"/>
    <cellStyle name="Comma 7 35 5" xfId="6408" xr:uid="{00000000-0005-0000-0000-000010510000}"/>
    <cellStyle name="Comma 7 35 5 2" xfId="14153" xr:uid="{00000000-0005-0000-0000-000011510000}"/>
    <cellStyle name="Comma 7 35 5 2 2" xfId="29745" xr:uid="{00000000-0005-0000-0000-000012510000}"/>
    <cellStyle name="Comma 7 35 5 2 3" xfId="45237" xr:uid="{00000000-0005-0000-0000-000013510000}"/>
    <cellStyle name="Comma 7 35 5 3" xfId="22005" xr:uid="{00000000-0005-0000-0000-000014510000}"/>
    <cellStyle name="Comma 7 35 5 4" xfId="37497" xr:uid="{00000000-0005-0000-0000-000015510000}"/>
    <cellStyle name="Comma 7 35 6" xfId="10283" xr:uid="{00000000-0005-0000-0000-000016510000}"/>
    <cellStyle name="Comma 7 35 6 2" xfId="25875" xr:uid="{00000000-0005-0000-0000-000017510000}"/>
    <cellStyle name="Comma 7 35 6 3" xfId="41367" xr:uid="{00000000-0005-0000-0000-000018510000}"/>
    <cellStyle name="Comma 7 35 7" xfId="18135" xr:uid="{00000000-0005-0000-0000-000019510000}"/>
    <cellStyle name="Comma 7 35 8" xfId="33627" xr:uid="{00000000-0005-0000-0000-00001A510000}"/>
    <cellStyle name="Comma 7 36" xfId="2811" xr:uid="{00000000-0005-0000-0000-00001B510000}"/>
    <cellStyle name="Comma 7 36 2" xfId="3818" xr:uid="{00000000-0005-0000-0000-00001C510000}"/>
    <cellStyle name="Comma 7 36 2 2" xfId="5757" xr:uid="{00000000-0005-0000-0000-00001D510000}"/>
    <cellStyle name="Comma 7 36 2 2 2" xfId="9628" xr:uid="{00000000-0005-0000-0000-00001E510000}"/>
    <cellStyle name="Comma 7 36 2 2 2 2" xfId="17373" xr:uid="{00000000-0005-0000-0000-00001F510000}"/>
    <cellStyle name="Comma 7 36 2 2 2 2 2" xfId="32965" xr:uid="{00000000-0005-0000-0000-000020510000}"/>
    <cellStyle name="Comma 7 36 2 2 2 2 3" xfId="48457" xr:uid="{00000000-0005-0000-0000-000021510000}"/>
    <cellStyle name="Comma 7 36 2 2 2 3" xfId="25225" xr:uid="{00000000-0005-0000-0000-000022510000}"/>
    <cellStyle name="Comma 7 36 2 2 2 4" xfId="40717" xr:uid="{00000000-0005-0000-0000-000023510000}"/>
    <cellStyle name="Comma 7 36 2 2 3" xfId="13503" xr:uid="{00000000-0005-0000-0000-000024510000}"/>
    <cellStyle name="Comma 7 36 2 2 3 2" xfId="29095" xr:uid="{00000000-0005-0000-0000-000025510000}"/>
    <cellStyle name="Comma 7 36 2 2 3 3" xfId="44587" xr:uid="{00000000-0005-0000-0000-000026510000}"/>
    <cellStyle name="Comma 7 36 2 2 4" xfId="21355" xr:uid="{00000000-0005-0000-0000-000027510000}"/>
    <cellStyle name="Comma 7 36 2 2 5" xfId="36847" xr:uid="{00000000-0005-0000-0000-000028510000}"/>
    <cellStyle name="Comma 7 36 2 3" xfId="7701" xr:uid="{00000000-0005-0000-0000-000029510000}"/>
    <cellStyle name="Comma 7 36 2 3 2" xfId="15446" xr:uid="{00000000-0005-0000-0000-00002A510000}"/>
    <cellStyle name="Comma 7 36 2 3 2 2" xfId="31038" xr:uid="{00000000-0005-0000-0000-00002B510000}"/>
    <cellStyle name="Comma 7 36 2 3 2 3" xfId="46530" xr:uid="{00000000-0005-0000-0000-00002C510000}"/>
    <cellStyle name="Comma 7 36 2 3 3" xfId="23298" xr:uid="{00000000-0005-0000-0000-00002D510000}"/>
    <cellStyle name="Comma 7 36 2 3 4" xfId="38790" xr:uid="{00000000-0005-0000-0000-00002E510000}"/>
    <cellStyle name="Comma 7 36 2 4" xfId="11576" xr:uid="{00000000-0005-0000-0000-00002F510000}"/>
    <cellStyle name="Comma 7 36 2 4 2" xfId="27168" xr:uid="{00000000-0005-0000-0000-000030510000}"/>
    <cellStyle name="Comma 7 36 2 4 3" xfId="42660" xr:uid="{00000000-0005-0000-0000-000031510000}"/>
    <cellStyle name="Comma 7 36 2 5" xfId="19428" xr:uid="{00000000-0005-0000-0000-000032510000}"/>
    <cellStyle name="Comma 7 36 2 6" xfId="34920" xr:uid="{00000000-0005-0000-0000-000033510000}"/>
    <cellStyle name="Comma 7 36 3" xfId="4809" xr:uid="{00000000-0005-0000-0000-000034510000}"/>
    <cellStyle name="Comma 7 36 3 2" xfId="8680" xr:uid="{00000000-0005-0000-0000-000035510000}"/>
    <cellStyle name="Comma 7 36 3 2 2" xfId="16425" xr:uid="{00000000-0005-0000-0000-000036510000}"/>
    <cellStyle name="Comma 7 36 3 2 2 2" xfId="32017" xr:uid="{00000000-0005-0000-0000-000037510000}"/>
    <cellStyle name="Comma 7 36 3 2 2 3" xfId="47509" xr:uid="{00000000-0005-0000-0000-000038510000}"/>
    <cellStyle name="Comma 7 36 3 2 3" xfId="24277" xr:uid="{00000000-0005-0000-0000-000039510000}"/>
    <cellStyle name="Comma 7 36 3 2 4" xfId="39769" xr:uid="{00000000-0005-0000-0000-00003A510000}"/>
    <cellStyle name="Comma 7 36 3 3" xfId="12555" xr:uid="{00000000-0005-0000-0000-00003B510000}"/>
    <cellStyle name="Comma 7 36 3 3 2" xfId="28147" xr:uid="{00000000-0005-0000-0000-00003C510000}"/>
    <cellStyle name="Comma 7 36 3 3 3" xfId="43639" xr:uid="{00000000-0005-0000-0000-00003D510000}"/>
    <cellStyle name="Comma 7 36 3 4" xfId="20407" xr:uid="{00000000-0005-0000-0000-00003E510000}"/>
    <cellStyle name="Comma 7 36 3 5" xfId="35899" xr:uid="{00000000-0005-0000-0000-00003F510000}"/>
    <cellStyle name="Comma 7 36 4" xfId="6753" xr:uid="{00000000-0005-0000-0000-000040510000}"/>
    <cellStyle name="Comma 7 36 4 2" xfId="14498" xr:uid="{00000000-0005-0000-0000-000041510000}"/>
    <cellStyle name="Comma 7 36 4 2 2" xfId="30090" xr:uid="{00000000-0005-0000-0000-000042510000}"/>
    <cellStyle name="Comma 7 36 4 2 3" xfId="45582" xr:uid="{00000000-0005-0000-0000-000043510000}"/>
    <cellStyle name="Comma 7 36 4 3" xfId="22350" xr:uid="{00000000-0005-0000-0000-000044510000}"/>
    <cellStyle name="Comma 7 36 4 4" xfId="37842" xr:uid="{00000000-0005-0000-0000-000045510000}"/>
    <cellStyle name="Comma 7 36 5" xfId="10628" xr:uid="{00000000-0005-0000-0000-000046510000}"/>
    <cellStyle name="Comma 7 36 5 2" xfId="26220" xr:uid="{00000000-0005-0000-0000-000047510000}"/>
    <cellStyle name="Comma 7 36 5 3" xfId="41712" xr:uid="{00000000-0005-0000-0000-000048510000}"/>
    <cellStyle name="Comma 7 36 6" xfId="18480" xr:uid="{00000000-0005-0000-0000-000049510000}"/>
    <cellStyle name="Comma 7 36 7" xfId="33972" xr:uid="{00000000-0005-0000-0000-00004A510000}"/>
    <cellStyle name="Comma 7 37" xfId="2850" xr:uid="{00000000-0005-0000-0000-00004B510000}"/>
    <cellStyle name="Comma 7 37 2" xfId="3856" xr:uid="{00000000-0005-0000-0000-00004C510000}"/>
    <cellStyle name="Comma 7 37 2 2" xfId="5795" xr:uid="{00000000-0005-0000-0000-00004D510000}"/>
    <cellStyle name="Comma 7 37 2 2 2" xfId="9666" xr:uid="{00000000-0005-0000-0000-00004E510000}"/>
    <cellStyle name="Comma 7 37 2 2 2 2" xfId="17411" xr:uid="{00000000-0005-0000-0000-00004F510000}"/>
    <cellStyle name="Comma 7 37 2 2 2 2 2" xfId="33003" xr:uid="{00000000-0005-0000-0000-000050510000}"/>
    <cellStyle name="Comma 7 37 2 2 2 2 3" xfId="48495" xr:uid="{00000000-0005-0000-0000-000051510000}"/>
    <cellStyle name="Comma 7 37 2 2 2 3" xfId="25263" xr:uid="{00000000-0005-0000-0000-000052510000}"/>
    <cellStyle name="Comma 7 37 2 2 2 4" xfId="40755" xr:uid="{00000000-0005-0000-0000-000053510000}"/>
    <cellStyle name="Comma 7 37 2 2 3" xfId="13541" xr:uid="{00000000-0005-0000-0000-000054510000}"/>
    <cellStyle name="Comma 7 37 2 2 3 2" xfId="29133" xr:uid="{00000000-0005-0000-0000-000055510000}"/>
    <cellStyle name="Comma 7 37 2 2 3 3" xfId="44625" xr:uid="{00000000-0005-0000-0000-000056510000}"/>
    <cellStyle name="Comma 7 37 2 2 4" xfId="21393" xr:uid="{00000000-0005-0000-0000-000057510000}"/>
    <cellStyle name="Comma 7 37 2 2 5" xfId="36885" xr:uid="{00000000-0005-0000-0000-000058510000}"/>
    <cellStyle name="Comma 7 37 2 3" xfId="7739" xr:uid="{00000000-0005-0000-0000-000059510000}"/>
    <cellStyle name="Comma 7 37 2 3 2" xfId="15484" xr:uid="{00000000-0005-0000-0000-00005A510000}"/>
    <cellStyle name="Comma 7 37 2 3 2 2" xfId="31076" xr:uid="{00000000-0005-0000-0000-00005B510000}"/>
    <cellStyle name="Comma 7 37 2 3 2 3" xfId="46568" xr:uid="{00000000-0005-0000-0000-00005C510000}"/>
    <cellStyle name="Comma 7 37 2 3 3" xfId="23336" xr:uid="{00000000-0005-0000-0000-00005D510000}"/>
    <cellStyle name="Comma 7 37 2 3 4" xfId="38828" xr:uid="{00000000-0005-0000-0000-00005E510000}"/>
    <cellStyle name="Comma 7 37 2 4" xfId="11614" xr:uid="{00000000-0005-0000-0000-00005F510000}"/>
    <cellStyle name="Comma 7 37 2 4 2" xfId="27206" xr:uid="{00000000-0005-0000-0000-000060510000}"/>
    <cellStyle name="Comma 7 37 2 4 3" xfId="42698" xr:uid="{00000000-0005-0000-0000-000061510000}"/>
    <cellStyle name="Comma 7 37 2 5" xfId="19466" xr:uid="{00000000-0005-0000-0000-000062510000}"/>
    <cellStyle name="Comma 7 37 2 6" xfId="34958" xr:uid="{00000000-0005-0000-0000-000063510000}"/>
    <cellStyle name="Comma 7 37 3" xfId="4847" xr:uid="{00000000-0005-0000-0000-000064510000}"/>
    <cellStyle name="Comma 7 37 3 2" xfId="8718" xr:uid="{00000000-0005-0000-0000-000065510000}"/>
    <cellStyle name="Comma 7 37 3 2 2" xfId="16463" xr:uid="{00000000-0005-0000-0000-000066510000}"/>
    <cellStyle name="Comma 7 37 3 2 2 2" xfId="32055" xr:uid="{00000000-0005-0000-0000-000067510000}"/>
    <cellStyle name="Comma 7 37 3 2 2 3" xfId="47547" xr:uid="{00000000-0005-0000-0000-000068510000}"/>
    <cellStyle name="Comma 7 37 3 2 3" xfId="24315" xr:uid="{00000000-0005-0000-0000-000069510000}"/>
    <cellStyle name="Comma 7 37 3 2 4" xfId="39807" xr:uid="{00000000-0005-0000-0000-00006A510000}"/>
    <cellStyle name="Comma 7 37 3 3" xfId="12593" xr:uid="{00000000-0005-0000-0000-00006B510000}"/>
    <cellStyle name="Comma 7 37 3 3 2" xfId="28185" xr:uid="{00000000-0005-0000-0000-00006C510000}"/>
    <cellStyle name="Comma 7 37 3 3 3" xfId="43677" xr:uid="{00000000-0005-0000-0000-00006D510000}"/>
    <cellStyle name="Comma 7 37 3 4" xfId="20445" xr:uid="{00000000-0005-0000-0000-00006E510000}"/>
    <cellStyle name="Comma 7 37 3 5" xfId="35937" xr:uid="{00000000-0005-0000-0000-00006F510000}"/>
    <cellStyle name="Comma 7 37 4" xfId="6791" xr:uid="{00000000-0005-0000-0000-000070510000}"/>
    <cellStyle name="Comma 7 37 4 2" xfId="14536" xr:uid="{00000000-0005-0000-0000-000071510000}"/>
    <cellStyle name="Comma 7 37 4 2 2" xfId="30128" xr:uid="{00000000-0005-0000-0000-000072510000}"/>
    <cellStyle name="Comma 7 37 4 2 3" xfId="45620" xr:uid="{00000000-0005-0000-0000-000073510000}"/>
    <cellStyle name="Comma 7 37 4 3" xfId="22388" xr:uid="{00000000-0005-0000-0000-000074510000}"/>
    <cellStyle name="Comma 7 37 4 4" xfId="37880" xr:uid="{00000000-0005-0000-0000-000075510000}"/>
    <cellStyle name="Comma 7 37 5" xfId="10666" xr:uid="{00000000-0005-0000-0000-000076510000}"/>
    <cellStyle name="Comma 7 37 5 2" xfId="26258" xr:uid="{00000000-0005-0000-0000-000077510000}"/>
    <cellStyle name="Comma 7 37 5 3" xfId="41750" xr:uid="{00000000-0005-0000-0000-000078510000}"/>
    <cellStyle name="Comma 7 37 6" xfId="18518" xr:uid="{00000000-0005-0000-0000-000079510000}"/>
    <cellStyle name="Comma 7 37 7" xfId="34010" xr:uid="{00000000-0005-0000-0000-00007A510000}"/>
    <cellStyle name="Comma 7 38" xfId="2887" xr:uid="{00000000-0005-0000-0000-00007B510000}"/>
    <cellStyle name="Comma 7 38 2" xfId="3892" xr:uid="{00000000-0005-0000-0000-00007C510000}"/>
    <cellStyle name="Comma 7 38 2 2" xfId="5831" xr:uid="{00000000-0005-0000-0000-00007D510000}"/>
    <cellStyle name="Comma 7 38 2 2 2" xfId="9702" xr:uid="{00000000-0005-0000-0000-00007E510000}"/>
    <cellStyle name="Comma 7 38 2 2 2 2" xfId="17447" xr:uid="{00000000-0005-0000-0000-00007F510000}"/>
    <cellStyle name="Comma 7 38 2 2 2 2 2" xfId="33039" xr:uid="{00000000-0005-0000-0000-000080510000}"/>
    <cellStyle name="Comma 7 38 2 2 2 2 3" xfId="48531" xr:uid="{00000000-0005-0000-0000-000081510000}"/>
    <cellStyle name="Comma 7 38 2 2 2 3" xfId="25299" xr:uid="{00000000-0005-0000-0000-000082510000}"/>
    <cellStyle name="Comma 7 38 2 2 2 4" xfId="40791" xr:uid="{00000000-0005-0000-0000-000083510000}"/>
    <cellStyle name="Comma 7 38 2 2 3" xfId="13577" xr:uid="{00000000-0005-0000-0000-000084510000}"/>
    <cellStyle name="Comma 7 38 2 2 3 2" xfId="29169" xr:uid="{00000000-0005-0000-0000-000085510000}"/>
    <cellStyle name="Comma 7 38 2 2 3 3" xfId="44661" xr:uid="{00000000-0005-0000-0000-000086510000}"/>
    <cellStyle name="Comma 7 38 2 2 4" xfId="21429" xr:uid="{00000000-0005-0000-0000-000087510000}"/>
    <cellStyle name="Comma 7 38 2 2 5" xfId="36921" xr:uid="{00000000-0005-0000-0000-000088510000}"/>
    <cellStyle name="Comma 7 38 2 3" xfId="7775" xr:uid="{00000000-0005-0000-0000-000089510000}"/>
    <cellStyle name="Comma 7 38 2 3 2" xfId="15520" xr:uid="{00000000-0005-0000-0000-00008A510000}"/>
    <cellStyle name="Comma 7 38 2 3 2 2" xfId="31112" xr:uid="{00000000-0005-0000-0000-00008B510000}"/>
    <cellStyle name="Comma 7 38 2 3 2 3" xfId="46604" xr:uid="{00000000-0005-0000-0000-00008C510000}"/>
    <cellStyle name="Comma 7 38 2 3 3" xfId="23372" xr:uid="{00000000-0005-0000-0000-00008D510000}"/>
    <cellStyle name="Comma 7 38 2 3 4" xfId="38864" xr:uid="{00000000-0005-0000-0000-00008E510000}"/>
    <cellStyle name="Comma 7 38 2 4" xfId="11650" xr:uid="{00000000-0005-0000-0000-00008F510000}"/>
    <cellStyle name="Comma 7 38 2 4 2" xfId="27242" xr:uid="{00000000-0005-0000-0000-000090510000}"/>
    <cellStyle name="Comma 7 38 2 4 3" xfId="42734" xr:uid="{00000000-0005-0000-0000-000091510000}"/>
    <cellStyle name="Comma 7 38 2 5" xfId="19502" xr:uid="{00000000-0005-0000-0000-000092510000}"/>
    <cellStyle name="Comma 7 38 2 6" xfId="34994" xr:uid="{00000000-0005-0000-0000-000093510000}"/>
    <cellStyle name="Comma 7 38 3" xfId="4883" xr:uid="{00000000-0005-0000-0000-000094510000}"/>
    <cellStyle name="Comma 7 38 3 2" xfId="8754" xr:uid="{00000000-0005-0000-0000-000095510000}"/>
    <cellStyle name="Comma 7 38 3 2 2" xfId="16499" xr:uid="{00000000-0005-0000-0000-000096510000}"/>
    <cellStyle name="Comma 7 38 3 2 2 2" xfId="32091" xr:uid="{00000000-0005-0000-0000-000097510000}"/>
    <cellStyle name="Comma 7 38 3 2 2 3" xfId="47583" xr:uid="{00000000-0005-0000-0000-000098510000}"/>
    <cellStyle name="Comma 7 38 3 2 3" xfId="24351" xr:uid="{00000000-0005-0000-0000-000099510000}"/>
    <cellStyle name="Comma 7 38 3 2 4" xfId="39843" xr:uid="{00000000-0005-0000-0000-00009A510000}"/>
    <cellStyle name="Comma 7 38 3 3" xfId="12629" xr:uid="{00000000-0005-0000-0000-00009B510000}"/>
    <cellStyle name="Comma 7 38 3 3 2" xfId="28221" xr:uid="{00000000-0005-0000-0000-00009C510000}"/>
    <cellStyle name="Comma 7 38 3 3 3" xfId="43713" xr:uid="{00000000-0005-0000-0000-00009D510000}"/>
    <cellStyle name="Comma 7 38 3 4" xfId="20481" xr:uid="{00000000-0005-0000-0000-00009E510000}"/>
    <cellStyle name="Comma 7 38 3 5" xfId="35973" xr:uid="{00000000-0005-0000-0000-00009F510000}"/>
    <cellStyle name="Comma 7 38 4" xfId="6827" xr:uid="{00000000-0005-0000-0000-0000A0510000}"/>
    <cellStyle name="Comma 7 38 4 2" xfId="14572" xr:uid="{00000000-0005-0000-0000-0000A1510000}"/>
    <cellStyle name="Comma 7 38 4 2 2" xfId="30164" xr:uid="{00000000-0005-0000-0000-0000A2510000}"/>
    <cellStyle name="Comma 7 38 4 2 3" xfId="45656" xr:uid="{00000000-0005-0000-0000-0000A3510000}"/>
    <cellStyle name="Comma 7 38 4 3" xfId="22424" xr:uid="{00000000-0005-0000-0000-0000A4510000}"/>
    <cellStyle name="Comma 7 38 4 4" xfId="37916" xr:uid="{00000000-0005-0000-0000-0000A5510000}"/>
    <cellStyle name="Comma 7 38 5" xfId="10702" xr:uid="{00000000-0005-0000-0000-0000A6510000}"/>
    <cellStyle name="Comma 7 38 5 2" xfId="26294" xr:uid="{00000000-0005-0000-0000-0000A7510000}"/>
    <cellStyle name="Comma 7 38 5 3" xfId="41786" xr:uid="{00000000-0005-0000-0000-0000A8510000}"/>
    <cellStyle name="Comma 7 38 6" xfId="18554" xr:uid="{00000000-0005-0000-0000-0000A9510000}"/>
    <cellStyle name="Comma 7 38 7" xfId="34046" xr:uid="{00000000-0005-0000-0000-0000AA510000}"/>
    <cellStyle name="Comma 7 39" xfId="2924" xr:uid="{00000000-0005-0000-0000-0000AB510000}"/>
    <cellStyle name="Comma 7 39 2" xfId="3928" xr:uid="{00000000-0005-0000-0000-0000AC510000}"/>
    <cellStyle name="Comma 7 39 2 2" xfId="5867" xr:uid="{00000000-0005-0000-0000-0000AD510000}"/>
    <cellStyle name="Comma 7 39 2 2 2" xfId="9738" xr:uid="{00000000-0005-0000-0000-0000AE510000}"/>
    <cellStyle name="Comma 7 39 2 2 2 2" xfId="17483" xr:uid="{00000000-0005-0000-0000-0000AF510000}"/>
    <cellStyle name="Comma 7 39 2 2 2 2 2" xfId="33075" xr:uid="{00000000-0005-0000-0000-0000B0510000}"/>
    <cellStyle name="Comma 7 39 2 2 2 2 3" xfId="48567" xr:uid="{00000000-0005-0000-0000-0000B1510000}"/>
    <cellStyle name="Comma 7 39 2 2 2 3" xfId="25335" xr:uid="{00000000-0005-0000-0000-0000B2510000}"/>
    <cellStyle name="Comma 7 39 2 2 2 4" xfId="40827" xr:uid="{00000000-0005-0000-0000-0000B3510000}"/>
    <cellStyle name="Comma 7 39 2 2 3" xfId="13613" xr:uid="{00000000-0005-0000-0000-0000B4510000}"/>
    <cellStyle name="Comma 7 39 2 2 3 2" xfId="29205" xr:uid="{00000000-0005-0000-0000-0000B5510000}"/>
    <cellStyle name="Comma 7 39 2 2 3 3" xfId="44697" xr:uid="{00000000-0005-0000-0000-0000B6510000}"/>
    <cellStyle name="Comma 7 39 2 2 4" xfId="21465" xr:uid="{00000000-0005-0000-0000-0000B7510000}"/>
    <cellStyle name="Comma 7 39 2 2 5" xfId="36957" xr:uid="{00000000-0005-0000-0000-0000B8510000}"/>
    <cellStyle name="Comma 7 39 2 3" xfId="7811" xr:uid="{00000000-0005-0000-0000-0000B9510000}"/>
    <cellStyle name="Comma 7 39 2 3 2" xfId="15556" xr:uid="{00000000-0005-0000-0000-0000BA510000}"/>
    <cellStyle name="Comma 7 39 2 3 2 2" xfId="31148" xr:uid="{00000000-0005-0000-0000-0000BB510000}"/>
    <cellStyle name="Comma 7 39 2 3 2 3" xfId="46640" xr:uid="{00000000-0005-0000-0000-0000BC510000}"/>
    <cellStyle name="Comma 7 39 2 3 3" xfId="23408" xr:uid="{00000000-0005-0000-0000-0000BD510000}"/>
    <cellStyle name="Comma 7 39 2 3 4" xfId="38900" xr:uid="{00000000-0005-0000-0000-0000BE510000}"/>
    <cellStyle name="Comma 7 39 2 4" xfId="11686" xr:uid="{00000000-0005-0000-0000-0000BF510000}"/>
    <cellStyle name="Comma 7 39 2 4 2" xfId="27278" xr:uid="{00000000-0005-0000-0000-0000C0510000}"/>
    <cellStyle name="Comma 7 39 2 4 3" xfId="42770" xr:uid="{00000000-0005-0000-0000-0000C1510000}"/>
    <cellStyle name="Comma 7 39 2 5" xfId="19538" xr:uid="{00000000-0005-0000-0000-0000C2510000}"/>
    <cellStyle name="Comma 7 39 2 6" xfId="35030" xr:uid="{00000000-0005-0000-0000-0000C3510000}"/>
    <cellStyle name="Comma 7 39 3" xfId="4919" xr:uid="{00000000-0005-0000-0000-0000C4510000}"/>
    <cellStyle name="Comma 7 39 3 2" xfId="8790" xr:uid="{00000000-0005-0000-0000-0000C5510000}"/>
    <cellStyle name="Comma 7 39 3 2 2" xfId="16535" xr:uid="{00000000-0005-0000-0000-0000C6510000}"/>
    <cellStyle name="Comma 7 39 3 2 2 2" xfId="32127" xr:uid="{00000000-0005-0000-0000-0000C7510000}"/>
    <cellStyle name="Comma 7 39 3 2 2 3" xfId="47619" xr:uid="{00000000-0005-0000-0000-0000C8510000}"/>
    <cellStyle name="Comma 7 39 3 2 3" xfId="24387" xr:uid="{00000000-0005-0000-0000-0000C9510000}"/>
    <cellStyle name="Comma 7 39 3 2 4" xfId="39879" xr:uid="{00000000-0005-0000-0000-0000CA510000}"/>
    <cellStyle name="Comma 7 39 3 3" xfId="12665" xr:uid="{00000000-0005-0000-0000-0000CB510000}"/>
    <cellStyle name="Comma 7 39 3 3 2" xfId="28257" xr:uid="{00000000-0005-0000-0000-0000CC510000}"/>
    <cellStyle name="Comma 7 39 3 3 3" xfId="43749" xr:uid="{00000000-0005-0000-0000-0000CD510000}"/>
    <cellStyle name="Comma 7 39 3 4" xfId="20517" xr:uid="{00000000-0005-0000-0000-0000CE510000}"/>
    <cellStyle name="Comma 7 39 3 5" xfId="36009" xr:uid="{00000000-0005-0000-0000-0000CF510000}"/>
    <cellStyle name="Comma 7 39 4" xfId="6863" xr:uid="{00000000-0005-0000-0000-0000D0510000}"/>
    <cellStyle name="Comma 7 39 4 2" xfId="14608" xr:uid="{00000000-0005-0000-0000-0000D1510000}"/>
    <cellStyle name="Comma 7 39 4 2 2" xfId="30200" xr:uid="{00000000-0005-0000-0000-0000D2510000}"/>
    <cellStyle name="Comma 7 39 4 2 3" xfId="45692" xr:uid="{00000000-0005-0000-0000-0000D3510000}"/>
    <cellStyle name="Comma 7 39 4 3" xfId="22460" xr:uid="{00000000-0005-0000-0000-0000D4510000}"/>
    <cellStyle name="Comma 7 39 4 4" xfId="37952" xr:uid="{00000000-0005-0000-0000-0000D5510000}"/>
    <cellStyle name="Comma 7 39 5" xfId="10738" xr:uid="{00000000-0005-0000-0000-0000D6510000}"/>
    <cellStyle name="Comma 7 39 5 2" xfId="26330" xr:uid="{00000000-0005-0000-0000-0000D7510000}"/>
    <cellStyle name="Comma 7 39 5 3" xfId="41822" xr:uid="{00000000-0005-0000-0000-0000D8510000}"/>
    <cellStyle name="Comma 7 39 6" xfId="18590" xr:uid="{00000000-0005-0000-0000-0000D9510000}"/>
    <cellStyle name="Comma 7 39 7" xfId="34082" xr:uid="{00000000-0005-0000-0000-0000DA510000}"/>
    <cellStyle name="Comma 7 4" xfId="1507" xr:uid="{00000000-0005-0000-0000-0000DB510000}"/>
    <cellStyle name="Comma 7 40" xfId="2963" xr:uid="{00000000-0005-0000-0000-0000DC510000}"/>
    <cellStyle name="Comma 7 40 2" xfId="3964" xr:uid="{00000000-0005-0000-0000-0000DD510000}"/>
    <cellStyle name="Comma 7 40 2 2" xfId="5903" xr:uid="{00000000-0005-0000-0000-0000DE510000}"/>
    <cellStyle name="Comma 7 40 2 2 2" xfId="9774" xr:uid="{00000000-0005-0000-0000-0000DF510000}"/>
    <cellStyle name="Comma 7 40 2 2 2 2" xfId="17519" xr:uid="{00000000-0005-0000-0000-0000E0510000}"/>
    <cellStyle name="Comma 7 40 2 2 2 2 2" xfId="33111" xr:uid="{00000000-0005-0000-0000-0000E1510000}"/>
    <cellStyle name="Comma 7 40 2 2 2 2 3" xfId="48603" xr:uid="{00000000-0005-0000-0000-0000E2510000}"/>
    <cellStyle name="Comma 7 40 2 2 2 3" xfId="25371" xr:uid="{00000000-0005-0000-0000-0000E3510000}"/>
    <cellStyle name="Comma 7 40 2 2 2 4" xfId="40863" xr:uid="{00000000-0005-0000-0000-0000E4510000}"/>
    <cellStyle name="Comma 7 40 2 2 3" xfId="13649" xr:uid="{00000000-0005-0000-0000-0000E5510000}"/>
    <cellStyle name="Comma 7 40 2 2 3 2" xfId="29241" xr:uid="{00000000-0005-0000-0000-0000E6510000}"/>
    <cellStyle name="Comma 7 40 2 2 3 3" xfId="44733" xr:uid="{00000000-0005-0000-0000-0000E7510000}"/>
    <cellStyle name="Comma 7 40 2 2 4" xfId="21501" xr:uid="{00000000-0005-0000-0000-0000E8510000}"/>
    <cellStyle name="Comma 7 40 2 2 5" xfId="36993" xr:uid="{00000000-0005-0000-0000-0000E9510000}"/>
    <cellStyle name="Comma 7 40 2 3" xfId="7847" xr:uid="{00000000-0005-0000-0000-0000EA510000}"/>
    <cellStyle name="Comma 7 40 2 3 2" xfId="15592" xr:uid="{00000000-0005-0000-0000-0000EB510000}"/>
    <cellStyle name="Comma 7 40 2 3 2 2" xfId="31184" xr:uid="{00000000-0005-0000-0000-0000EC510000}"/>
    <cellStyle name="Comma 7 40 2 3 2 3" xfId="46676" xr:uid="{00000000-0005-0000-0000-0000ED510000}"/>
    <cellStyle name="Comma 7 40 2 3 3" xfId="23444" xr:uid="{00000000-0005-0000-0000-0000EE510000}"/>
    <cellStyle name="Comma 7 40 2 3 4" xfId="38936" xr:uid="{00000000-0005-0000-0000-0000EF510000}"/>
    <cellStyle name="Comma 7 40 2 4" xfId="11722" xr:uid="{00000000-0005-0000-0000-0000F0510000}"/>
    <cellStyle name="Comma 7 40 2 4 2" xfId="27314" xr:uid="{00000000-0005-0000-0000-0000F1510000}"/>
    <cellStyle name="Comma 7 40 2 4 3" xfId="42806" xr:uid="{00000000-0005-0000-0000-0000F2510000}"/>
    <cellStyle name="Comma 7 40 2 5" xfId="19574" xr:uid="{00000000-0005-0000-0000-0000F3510000}"/>
    <cellStyle name="Comma 7 40 2 6" xfId="35066" xr:uid="{00000000-0005-0000-0000-0000F4510000}"/>
    <cellStyle name="Comma 7 40 3" xfId="4955" xr:uid="{00000000-0005-0000-0000-0000F5510000}"/>
    <cellStyle name="Comma 7 40 3 2" xfId="8826" xr:uid="{00000000-0005-0000-0000-0000F6510000}"/>
    <cellStyle name="Comma 7 40 3 2 2" xfId="16571" xr:uid="{00000000-0005-0000-0000-0000F7510000}"/>
    <cellStyle name="Comma 7 40 3 2 2 2" xfId="32163" xr:uid="{00000000-0005-0000-0000-0000F8510000}"/>
    <cellStyle name="Comma 7 40 3 2 2 3" xfId="47655" xr:uid="{00000000-0005-0000-0000-0000F9510000}"/>
    <cellStyle name="Comma 7 40 3 2 3" xfId="24423" xr:uid="{00000000-0005-0000-0000-0000FA510000}"/>
    <cellStyle name="Comma 7 40 3 2 4" xfId="39915" xr:uid="{00000000-0005-0000-0000-0000FB510000}"/>
    <cellStyle name="Comma 7 40 3 3" xfId="12701" xr:uid="{00000000-0005-0000-0000-0000FC510000}"/>
    <cellStyle name="Comma 7 40 3 3 2" xfId="28293" xr:uid="{00000000-0005-0000-0000-0000FD510000}"/>
    <cellStyle name="Comma 7 40 3 3 3" xfId="43785" xr:uid="{00000000-0005-0000-0000-0000FE510000}"/>
    <cellStyle name="Comma 7 40 3 4" xfId="20553" xr:uid="{00000000-0005-0000-0000-0000FF510000}"/>
    <cellStyle name="Comma 7 40 3 5" xfId="36045" xr:uid="{00000000-0005-0000-0000-000000520000}"/>
    <cellStyle name="Comma 7 40 4" xfId="6899" xr:uid="{00000000-0005-0000-0000-000001520000}"/>
    <cellStyle name="Comma 7 40 4 2" xfId="14644" xr:uid="{00000000-0005-0000-0000-000002520000}"/>
    <cellStyle name="Comma 7 40 4 2 2" xfId="30236" xr:uid="{00000000-0005-0000-0000-000003520000}"/>
    <cellStyle name="Comma 7 40 4 2 3" xfId="45728" xr:uid="{00000000-0005-0000-0000-000004520000}"/>
    <cellStyle name="Comma 7 40 4 3" xfId="22496" xr:uid="{00000000-0005-0000-0000-000005520000}"/>
    <cellStyle name="Comma 7 40 4 4" xfId="37988" xr:uid="{00000000-0005-0000-0000-000006520000}"/>
    <cellStyle name="Comma 7 40 5" xfId="10774" xr:uid="{00000000-0005-0000-0000-000007520000}"/>
    <cellStyle name="Comma 7 40 5 2" xfId="26366" xr:uid="{00000000-0005-0000-0000-000008520000}"/>
    <cellStyle name="Comma 7 40 5 3" xfId="41858" xr:uid="{00000000-0005-0000-0000-000009520000}"/>
    <cellStyle name="Comma 7 40 6" xfId="18626" xr:uid="{00000000-0005-0000-0000-00000A520000}"/>
    <cellStyle name="Comma 7 40 7" xfId="34118" xr:uid="{00000000-0005-0000-0000-00000B520000}"/>
    <cellStyle name="Comma 7 41" xfId="3003" xr:uid="{00000000-0005-0000-0000-00000C520000}"/>
    <cellStyle name="Comma 7 41 2" xfId="4000" xr:uid="{00000000-0005-0000-0000-00000D520000}"/>
    <cellStyle name="Comma 7 41 2 2" xfId="5939" xr:uid="{00000000-0005-0000-0000-00000E520000}"/>
    <cellStyle name="Comma 7 41 2 2 2" xfId="9810" xr:uid="{00000000-0005-0000-0000-00000F520000}"/>
    <cellStyle name="Comma 7 41 2 2 2 2" xfId="17555" xr:uid="{00000000-0005-0000-0000-000010520000}"/>
    <cellStyle name="Comma 7 41 2 2 2 2 2" xfId="33147" xr:uid="{00000000-0005-0000-0000-000011520000}"/>
    <cellStyle name="Comma 7 41 2 2 2 2 3" xfId="48639" xr:uid="{00000000-0005-0000-0000-000012520000}"/>
    <cellStyle name="Comma 7 41 2 2 2 3" xfId="25407" xr:uid="{00000000-0005-0000-0000-000013520000}"/>
    <cellStyle name="Comma 7 41 2 2 2 4" xfId="40899" xr:uid="{00000000-0005-0000-0000-000014520000}"/>
    <cellStyle name="Comma 7 41 2 2 3" xfId="13685" xr:uid="{00000000-0005-0000-0000-000015520000}"/>
    <cellStyle name="Comma 7 41 2 2 3 2" xfId="29277" xr:uid="{00000000-0005-0000-0000-000016520000}"/>
    <cellStyle name="Comma 7 41 2 2 3 3" xfId="44769" xr:uid="{00000000-0005-0000-0000-000017520000}"/>
    <cellStyle name="Comma 7 41 2 2 4" xfId="21537" xr:uid="{00000000-0005-0000-0000-000018520000}"/>
    <cellStyle name="Comma 7 41 2 2 5" xfId="37029" xr:uid="{00000000-0005-0000-0000-000019520000}"/>
    <cellStyle name="Comma 7 41 2 3" xfId="7883" xr:uid="{00000000-0005-0000-0000-00001A520000}"/>
    <cellStyle name="Comma 7 41 2 3 2" xfId="15628" xr:uid="{00000000-0005-0000-0000-00001B520000}"/>
    <cellStyle name="Comma 7 41 2 3 2 2" xfId="31220" xr:uid="{00000000-0005-0000-0000-00001C520000}"/>
    <cellStyle name="Comma 7 41 2 3 2 3" xfId="46712" xr:uid="{00000000-0005-0000-0000-00001D520000}"/>
    <cellStyle name="Comma 7 41 2 3 3" xfId="23480" xr:uid="{00000000-0005-0000-0000-00001E520000}"/>
    <cellStyle name="Comma 7 41 2 3 4" xfId="38972" xr:uid="{00000000-0005-0000-0000-00001F520000}"/>
    <cellStyle name="Comma 7 41 2 4" xfId="11758" xr:uid="{00000000-0005-0000-0000-000020520000}"/>
    <cellStyle name="Comma 7 41 2 4 2" xfId="27350" xr:uid="{00000000-0005-0000-0000-000021520000}"/>
    <cellStyle name="Comma 7 41 2 4 3" xfId="42842" xr:uid="{00000000-0005-0000-0000-000022520000}"/>
    <cellStyle name="Comma 7 41 2 5" xfId="19610" xr:uid="{00000000-0005-0000-0000-000023520000}"/>
    <cellStyle name="Comma 7 41 2 6" xfId="35102" xr:uid="{00000000-0005-0000-0000-000024520000}"/>
    <cellStyle name="Comma 7 41 3" xfId="4991" xr:uid="{00000000-0005-0000-0000-000025520000}"/>
    <cellStyle name="Comma 7 41 3 2" xfId="8862" xr:uid="{00000000-0005-0000-0000-000026520000}"/>
    <cellStyle name="Comma 7 41 3 2 2" xfId="16607" xr:uid="{00000000-0005-0000-0000-000027520000}"/>
    <cellStyle name="Comma 7 41 3 2 2 2" xfId="32199" xr:uid="{00000000-0005-0000-0000-000028520000}"/>
    <cellStyle name="Comma 7 41 3 2 2 3" xfId="47691" xr:uid="{00000000-0005-0000-0000-000029520000}"/>
    <cellStyle name="Comma 7 41 3 2 3" xfId="24459" xr:uid="{00000000-0005-0000-0000-00002A520000}"/>
    <cellStyle name="Comma 7 41 3 2 4" xfId="39951" xr:uid="{00000000-0005-0000-0000-00002B520000}"/>
    <cellStyle name="Comma 7 41 3 3" xfId="12737" xr:uid="{00000000-0005-0000-0000-00002C520000}"/>
    <cellStyle name="Comma 7 41 3 3 2" xfId="28329" xr:uid="{00000000-0005-0000-0000-00002D520000}"/>
    <cellStyle name="Comma 7 41 3 3 3" xfId="43821" xr:uid="{00000000-0005-0000-0000-00002E520000}"/>
    <cellStyle name="Comma 7 41 3 4" xfId="20589" xr:uid="{00000000-0005-0000-0000-00002F520000}"/>
    <cellStyle name="Comma 7 41 3 5" xfId="36081" xr:uid="{00000000-0005-0000-0000-000030520000}"/>
    <cellStyle name="Comma 7 41 4" xfId="6935" xr:uid="{00000000-0005-0000-0000-000031520000}"/>
    <cellStyle name="Comma 7 41 4 2" xfId="14680" xr:uid="{00000000-0005-0000-0000-000032520000}"/>
    <cellStyle name="Comma 7 41 4 2 2" xfId="30272" xr:uid="{00000000-0005-0000-0000-000033520000}"/>
    <cellStyle name="Comma 7 41 4 2 3" xfId="45764" xr:uid="{00000000-0005-0000-0000-000034520000}"/>
    <cellStyle name="Comma 7 41 4 3" xfId="22532" xr:uid="{00000000-0005-0000-0000-000035520000}"/>
    <cellStyle name="Comma 7 41 4 4" xfId="38024" xr:uid="{00000000-0005-0000-0000-000036520000}"/>
    <cellStyle name="Comma 7 41 5" xfId="10810" xr:uid="{00000000-0005-0000-0000-000037520000}"/>
    <cellStyle name="Comma 7 41 5 2" xfId="26402" xr:uid="{00000000-0005-0000-0000-000038520000}"/>
    <cellStyle name="Comma 7 41 5 3" xfId="41894" xr:uid="{00000000-0005-0000-0000-000039520000}"/>
    <cellStyle name="Comma 7 41 6" xfId="18662" xr:uid="{00000000-0005-0000-0000-00003A520000}"/>
    <cellStyle name="Comma 7 41 7" xfId="34154" xr:uid="{00000000-0005-0000-0000-00003B520000}"/>
    <cellStyle name="Comma 7 42" xfId="3041" xr:uid="{00000000-0005-0000-0000-00003C520000}"/>
    <cellStyle name="Comma 7 42 2" xfId="4036" xr:uid="{00000000-0005-0000-0000-00003D520000}"/>
    <cellStyle name="Comma 7 42 2 2" xfId="5975" xr:uid="{00000000-0005-0000-0000-00003E520000}"/>
    <cellStyle name="Comma 7 42 2 2 2" xfId="9846" xr:uid="{00000000-0005-0000-0000-00003F520000}"/>
    <cellStyle name="Comma 7 42 2 2 2 2" xfId="17591" xr:uid="{00000000-0005-0000-0000-000040520000}"/>
    <cellStyle name="Comma 7 42 2 2 2 2 2" xfId="33183" xr:uid="{00000000-0005-0000-0000-000041520000}"/>
    <cellStyle name="Comma 7 42 2 2 2 2 3" xfId="48675" xr:uid="{00000000-0005-0000-0000-000042520000}"/>
    <cellStyle name="Comma 7 42 2 2 2 3" xfId="25443" xr:uid="{00000000-0005-0000-0000-000043520000}"/>
    <cellStyle name="Comma 7 42 2 2 2 4" xfId="40935" xr:uid="{00000000-0005-0000-0000-000044520000}"/>
    <cellStyle name="Comma 7 42 2 2 3" xfId="13721" xr:uid="{00000000-0005-0000-0000-000045520000}"/>
    <cellStyle name="Comma 7 42 2 2 3 2" xfId="29313" xr:uid="{00000000-0005-0000-0000-000046520000}"/>
    <cellStyle name="Comma 7 42 2 2 3 3" xfId="44805" xr:uid="{00000000-0005-0000-0000-000047520000}"/>
    <cellStyle name="Comma 7 42 2 2 4" xfId="21573" xr:uid="{00000000-0005-0000-0000-000048520000}"/>
    <cellStyle name="Comma 7 42 2 2 5" xfId="37065" xr:uid="{00000000-0005-0000-0000-000049520000}"/>
    <cellStyle name="Comma 7 42 2 3" xfId="7919" xr:uid="{00000000-0005-0000-0000-00004A520000}"/>
    <cellStyle name="Comma 7 42 2 3 2" xfId="15664" xr:uid="{00000000-0005-0000-0000-00004B520000}"/>
    <cellStyle name="Comma 7 42 2 3 2 2" xfId="31256" xr:uid="{00000000-0005-0000-0000-00004C520000}"/>
    <cellStyle name="Comma 7 42 2 3 2 3" xfId="46748" xr:uid="{00000000-0005-0000-0000-00004D520000}"/>
    <cellStyle name="Comma 7 42 2 3 3" xfId="23516" xr:uid="{00000000-0005-0000-0000-00004E520000}"/>
    <cellStyle name="Comma 7 42 2 3 4" xfId="39008" xr:uid="{00000000-0005-0000-0000-00004F520000}"/>
    <cellStyle name="Comma 7 42 2 4" xfId="11794" xr:uid="{00000000-0005-0000-0000-000050520000}"/>
    <cellStyle name="Comma 7 42 2 4 2" xfId="27386" xr:uid="{00000000-0005-0000-0000-000051520000}"/>
    <cellStyle name="Comma 7 42 2 4 3" xfId="42878" xr:uid="{00000000-0005-0000-0000-000052520000}"/>
    <cellStyle name="Comma 7 42 2 5" xfId="19646" xr:uid="{00000000-0005-0000-0000-000053520000}"/>
    <cellStyle name="Comma 7 42 2 6" xfId="35138" xr:uid="{00000000-0005-0000-0000-000054520000}"/>
    <cellStyle name="Comma 7 42 3" xfId="5027" xr:uid="{00000000-0005-0000-0000-000055520000}"/>
    <cellStyle name="Comma 7 42 3 2" xfId="8898" xr:uid="{00000000-0005-0000-0000-000056520000}"/>
    <cellStyle name="Comma 7 42 3 2 2" xfId="16643" xr:uid="{00000000-0005-0000-0000-000057520000}"/>
    <cellStyle name="Comma 7 42 3 2 2 2" xfId="32235" xr:uid="{00000000-0005-0000-0000-000058520000}"/>
    <cellStyle name="Comma 7 42 3 2 2 3" xfId="47727" xr:uid="{00000000-0005-0000-0000-000059520000}"/>
    <cellStyle name="Comma 7 42 3 2 3" xfId="24495" xr:uid="{00000000-0005-0000-0000-00005A520000}"/>
    <cellStyle name="Comma 7 42 3 2 4" xfId="39987" xr:uid="{00000000-0005-0000-0000-00005B520000}"/>
    <cellStyle name="Comma 7 42 3 3" xfId="12773" xr:uid="{00000000-0005-0000-0000-00005C520000}"/>
    <cellStyle name="Comma 7 42 3 3 2" xfId="28365" xr:uid="{00000000-0005-0000-0000-00005D520000}"/>
    <cellStyle name="Comma 7 42 3 3 3" xfId="43857" xr:uid="{00000000-0005-0000-0000-00005E520000}"/>
    <cellStyle name="Comma 7 42 3 4" xfId="20625" xr:uid="{00000000-0005-0000-0000-00005F520000}"/>
    <cellStyle name="Comma 7 42 3 5" xfId="36117" xr:uid="{00000000-0005-0000-0000-000060520000}"/>
    <cellStyle name="Comma 7 42 4" xfId="6971" xr:uid="{00000000-0005-0000-0000-000061520000}"/>
    <cellStyle name="Comma 7 42 4 2" xfId="14716" xr:uid="{00000000-0005-0000-0000-000062520000}"/>
    <cellStyle name="Comma 7 42 4 2 2" xfId="30308" xr:uid="{00000000-0005-0000-0000-000063520000}"/>
    <cellStyle name="Comma 7 42 4 2 3" xfId="45800" xr:uid="{00000000-0005-0000-0000-000064520000}"/>
    <cellStyle name="Comma 7 42 4 3" xfId="22568" xr:uid="{00000000-0005-0000-0000-000065520000}"/>
    <cellStyle name="Comma 7 42 4 4" xfId="38060" xr:uid="{00000000-0005-0000-0000-000066520000}"/>
    <cellStyle name="Comma 7 42 5" xfId="10846" xr:uid="{00000000-0005-0000-0000-000067520000}"/>
    <cellStyle name="Comma 7 42 5 2" xfId="26438" xr:uid="{00000000-0005-0000-0000-000068520000}"/>
    <cellStyle name="Comma 7 42 5 3" xfId="41930" xr:uid="{00000000-0005-0000-0000-000069520000}"/>
    <cellStyle name="Comma 7 42 6" xfId="18698" xr:uid="{00000000-0005-0000-0000-00006A520000}"/>
    <cellStyle name="Comma 7 42 7" xfId="34190" xr:uid="{00000000-0005-0000-0000-00006B520000}"/>
    <cellStyle name="Comma 7 43" xfId="3078" xr:uid="{00000000-0005-0000-0000-00006C520000}"/>
    <cellStyle name="Comma 7 43 2" xfId="4072" xr:uid="{00000000-0005-0000-0000-00006D520000}"/>
    <cellStyle name="Comma 7 43 2 2" xfId="6011" xr:uid="{00000000-0005-0000-0000-00006E520000}"/>
    <cellStyle name="Comma 7 43 2 2 2" xfId="9882" xr:uid="{00000000-0005-0000-0000-00006F520000}"/>
    <cellStyle name="Comma 7 43 2 2 2 2" xfId="17627" xr:uid="{00000000-0005-0000-0000-000070520000}"/>
    <cellStyle name="Comma 7 43 2 2 2 2 2" xfId="33219" xr:uid="{00000000-0005-0000-0000-000071520000}"/>
    <cellStyle name="Comma 7 43 2 2 2 2 3" xfId="48711" xr:uid="{00000000-0005-0000-0000-000072520000}"/>
    <cellStyle name="Comma 7 43 2 2 2 3" xfId="25479" xr:uid="{00000000-0005-0000-0000-000073520000}"/>
    <cellStyle name="Comma 7 43 2 2 2 4" xfId="40971" xr:uid="{00000000-0005-0000-0000-000074520000}"/>
    <cellStyle name="Comma 7 43 2 2 3" xfId="13757" xr:uid="{00000000-0005-0000-0000-000075520000}"/>
    <cellStyle name="Comma 7 43 2 2 3 2" xfId="29349" xr:uid="{00000000-0005-0000-0000-000076520000}"/>
    <cellStyle name="Comma 7 43 2 2 3 3" xfId="44841" xr:uid="{00000000-0005-0000-0000-000077520000}"/>
    <cellStyle name="Comma 7 43 2 2 4" xfId="21609" xr:uid="{00000000-0005-0000-0000-000078520000}"/>
    <cellStyle name="Comma 7 43 2 2 5" xfId="37101" xr:uid="{00000000-0005-0000-0000-000079520000}"/>
    <cellStyle name="Comma 7 43 2 3" xfId="7955" xr:uid="{00000000-0005-0000-0000-00007A520000}"/>
    <cellStyle name="Comma 7 43 2 3 2" xfId="15700" xr:uid="{00000000-0005-0000-0000-00007B520000}"/>
    <cellStyle name="Comma 7 43 2 3 2 2" xfId="31292" xr:uid="{00000000-0005-0000-0000-00007C520000}"/>
    <cellStyle name="Comma 7 43 2 3 2 3" xfId="46784" xr:uid="{00000000-0005-0000-0000-00007D520000}"/>
    <cellStyle name="Comma 7 43 2 3 3" xfId="23552" xr:uid="{00000000-0005-0000-0000-00007E520000}"/>
    <cellStyle name="Comma 7 43 2 3 4" xfId="39044" xr:uid="{00000000-0005-0000-0000-00007F520000}"/>
    <cellStyle name="Comma 7 43 2 4" xfId="11830" xr:uid="{00000000-0005-0000-0000-000080520000}"/>
    <cellStyle name="Comma 7 43 2 4 2" xfId="27422" xr:uid="{00000000-0005-0000-0000-000081520000}"/>
    <cellStyle name="Comma 7 43 2 4 3" xfId="42914" xr:uid="{00000000-0005-0000-0000-000082520000}"/>
    <cellStyle name="Comma 7 43 2 5" xfId="19682" xr:uid="{00000000-0005-0000-0000-000083520000}"/>
    <cellStyle name="Comma 7 43 2 6" xfId="35174" xr:uid="{00000000-0005-0000-0000-000084520000}"/>
    <cellStyle name="Comma 7 43 3" xfId="5063" xr:uid="{00000000-0005-0000-0000-000085520000}"/>
    <cellStyle name="Comma 7 43 3 2" xfId="8934" xr:uid="{00000000-0005-0000-0000-000086520000}"/>
    <cellStyle name="Comma 7 43 3 2 2" xfId="16679" xr:uid="{00000000-0005-0000-0000-000087520000}"/>
    <cellStyle name="Comma 7 43 3 2 2 2" xfId="32271" xr:uid="{00000000-0005-0000-0000-000088520000}"/>
    <cellStyle name="Comma 7 43 3 2 2 3" xfId="47763" xr:uid="{00000000-0005-0000-0000-000089520000}"/>
    <cellStyle name="Comma 7 43 3 2 3" xfId="24531" xr:uid="{00000000-0005-0000-0000-00008A520000}"/>
    <cellStyle name="Comma 7 43 3 2 4" xfId="40023" xr:uid="{00000000-0005-0000-0000-00008B520000}"/>
    <cellStyle name="Comma 7 43 3 3" xfId="12809" xr:uid="{00000000-0005-0000-0000-00008C520000}"/>
    <cellStyle name="Comma 7 43 3 3 2" xfId="28401" xr:uid="{00000000-0005-0000-0000-00008D520000}"/>
    <cellStyle name="Comma 7 43 3 3 3" xfId="43893" xr:uid="{00000000-0005-0000-0000-00008E520000}"/>
    <cellStyle name="Comma 7 43 3 4" xfId="20661" xr:uid="{00000000-0005-0000-0000-00008F520000}"/>
    <cellStyle name="Comma 7 43 3 5" xfId="36153" xr:uid="{00000000-0005-0000-0000-000090520000}"/>
    <cellStyle name="Comma 7 43 4" xfId="7007" xr:uid="{00000000-0005-0000-0000-000091520000}"/>
    <cellStyle name="Comma 7 43 4 2" xfId="14752" xr:uid="{00000000-0005-0000-0000-000092520000}"/>
    <cellStyle name="Comma 7 43 4 2 2" xfId="30344" xr:uid="{00000000-0005-0000-0000-000093520000}"/>
    <cellStyle name="Comma 7 43 4 2 3" xfId="45836" xr:uid="{00000000-0005-0000-0000-000094520000}"/>
    <cellStyle name="Comma 7 43 4 3" xfId="22604" xr:uid="{00000000-0005-0000-0000-000095520000}"/>
    <cellStyle name="Comma 7 43 4 4" xfId="38096" xr:uid="{00000000-0005-0000-0000-000096520000}"/>
    <cellStyle name="Comma 7 43 5" xfId="10882" xr:uid="{00000000-0005-0000-0000-000097520000}"/>
    <cellStyle name="Comma 7 43 5 2" xfId="26474" xr:uid="{00000000-0005-0000-0000-000098520000}"/>
    <cellStyle name="Comma 7 43 5 3" xfId="41966" xr:uid="{00000000-0005-0000-0000-000099520000}"/>
    <cellStyle name="Comma 7 43 6" xfId="18734" xr:uid="{00000000-0005-0000-0000-00009A520000}"/>
    <cellStyle name="Comma 7 43 7" xfId="34226" xr:uid="{00000000-0005-0000-0000-00009B520000}"/>
    <cellStyle name="Comma 7 44" xfId="3125" xr:uid="{00000000-0005-0000-0000-00009C520000}"/>
    <cellStyle name="Comma 7 44 2" xfId="4108" xr:uid="{00000000-0005-0000-0000-00009D520000}"/>
    <cellStyle name="Comma 7 44 2 2" xfId="6047" xr:uid="{00000000-0005-0000-0000-00009E520000}"/>
    <cellStyle name="Comma 7 44 2 2 2" xfId="9918" xr:uid="{00000000-0005-0000-0000-00009F520000}"/>
    <cellStyle name="Comma 7 44 2 2 2 2" xfId="17663" xr:uid="{00000000-0005-0000-0000-0000A0520000}"/>
    <cellStyle name="Comma 7 44 2 2 2 2 2" xfId="33255" xr:uid="{00000000-0005-0000-0000-0000A1520000}"/>
    <cellStyle name="Comma 7 44 2 2 2 2 3" xfId="48747" xr:uid="{00000000-0005-0000-0000-0000A2520000}"/>
    <cellStyle name="Comma 7 44 2 2 2 3" xfId="25515" xr:uid="{00000000-0005-0000-0000-0000A3520000}"/>
    <cellStyle name="Comma 7 44 2 2 2 4" xfId="41007" xr:uid="{00000000-0005-0000-0000-0000A4520000}"/>
    <cellStyle name="Comma 7 44 2 2 3" xfId="13793" xr:uid="{00000000-0005-0000-0000-0000A5520000}"/>
    <cellStyle name="Comma 7 44 2 2 3 2" xfId="29385" xr:uid="{00000000-0005-0000-0000-0000A6520000}"/>
    <cellStyle name="Comma 7 44 2 2 3 3" xfId="44877" xr:uid="{00000000-0005-0000-0000-0000A7520000}"/>
    <cellStyle name="Comma 7 44 2 2 4" xfId="21645" xr:uid="{00000000-0005-0000-0000-0000A8520000}"/>
    <cellStyle name="Comma 7 44 2 2 5" xfId="37137" xr:uid="{00000000-0005-0000-0000-0000A9520000}"/>
    <cellStyle name="Comma 7 44 2 3" xfId="7991" xr:uid="{00000000-0005-0000-0000-0000AA520000}"/>
    <cellStyle name="Comma 7 44 2 3 2" xfId="15736" xr:uid="{00000000-0005-0000-0000-0000AB520000}"/>
    <cellStyle name="Comma 7 44 2 3 2 2" xfId="31328" xr:uid="{00000000-0005-0000-0000-0000AC520000}"/>
    <cellStyle name="Comma 7 44 2 3 2 3" xfId="46820" xr:uid="{00000000-0005-0000-0000-0000AD520000}"/>
    <cellStyle name="Comma 7 44 2 3 3" xfId="23588" xr:uid="{00000000-0005-0000-0000-0000AE520000}"/>
    <cellStyle name="Comma 7 44 2 3 4" xfId="39080" xr:uid="{00000000-0005-0000-0000-0000AF520000}"/>
    <cellStyle name="Comma 7 44 2 4" xfId="11866" xr:uid="{00000000-0005-0000-0000-0000B0520000}"/>
    <cellStyle name="Comma 7 44 2 4 2" xfId="27458" xr:uid="{00000000-0005-0000-0000-0000B1520000}"/>
    <cellStyle name="Comma 7 44 2 4 3" xfId="42950" xr:uid="{00000000-0005-0000-0000-0000B2520000}"/>
    <cellStyle name="Comma 7 44 2 5" xfId="19718" xr:uid="{00000000-0005-0000-0000-0000B3520000}"/>
    <cellStyle name="Comma 7 44 2 6" xfId="35210" xr:uid="{00000000-0005-0000-0000-0000B4520000}"/>
    <cellStyle name="Comma 7 44 3" xfId="5099" xr:uid="{00000000-0005-0000-0000-0000B5520000}"/>
    <cellStyle name="Comma 7 44 3 2" xfId="8970" xr:uid="{00000000-0005-0000-0000-0000B6520000}"/>
    <cellStyle name="Comma 7 44 3 2 2" xfId="16715" xr:uid="{00000000-0005-0000-0000-0000B7520000}"/>
    <cellStyle name="Comma 7 44 3 2 2 2" xfId="32307" xr:uid="{00000000-0005-0000-0000-0000B8520000}"/>
    <cellStyle name="Comma 7 44 3 2 2 3" xfId="47799" xr:uid="{00000000-0005-0000-0000-0000B9520000}"/>
    <cellStyle name="Comma 7 44 3 2 3" xfId="24567" xr:uid="{00000000-0005-0000-0000-0000BA520000}"/>
    <cellStyle name="Comma 7 44 3 2 4" xfId="40059" xr:uid="{00000000-0005-0000-0000-0000BB520000}"/>
    <cellStyle name="Comma 7 44 3 3" xfId="12845" xr:uid="{00000000-0005-0000-0000-0000BC520000}"/>
    <cellStyle name="Comma 7 44 3 3 2" xfId="28437" xr:uid="{00000000-0005-0000-0000-0000BD520000}"/>
    <cellStyle name="Comma 7 44 3 3 3" xfId="43929" xr:uid="{00000000-0005-0000-0000-0000BE520000}"/>
    <cellStyle name="Comma 7 44 3 4" xfId="20697" xr:uid="{00000000-0005-0000-0000-0000BF520000}"/>
    <cellStyle name="Comma 7 44 3 5" xfId="36189" xr:uid="{00000000-0005-0000-0000-0000C0520000}"/>
    <cellStyle name="Comma 7 44 4" xfId="7043" xr:uid="{00000000-0005-0000-0000-0000C1520000}"/>
    <cellStyle name="Comma 7 44 4 2" xfId="14788" xr:uid="{00000000-0005-0000-0000-0000C2520000}"/>
    <cellStyle name="Comma 7 44 4 2 2" xfId="30380" xr:uid="{00000000-0005-0000-0000-0000C3520000}"/>
    <cellStyle name="Comma 7 44 4 2 3" xfId="45872" xr:uid="{00000000-0005-0000-0000-0000C4520000}"/>
    <cellStyle name="Comma 7 44 4 3" xfId="22640" xr:uid="{00000000-0005-0000-0000-0000C5520000}"/>
    <cellStyle name="Comma 7 44 4 4" xfId="38132" xr:uid="{00000000-0005-0000-0000-0000C6520000}"/>
    <cellStyle name="Comma 7 44 5" xfId="10918" xr:uid="{00000000-0005-0000-0000-0000C7520000}"/>
    <cellStyle name="Comma 7 44 5 2" xfId="26510" xr:uid="{00000000-0005-0000-0000-0000C8520000}"/>
    <cellStyle name="Comma 7 44 5 3" xfId="42002" xr:uid="{00000000-0005-0000-0000-0000C9520000}"/>
    <cellStyle name="Comma 7 44 6" xfId="18770" xr:uid="{00000000-0005-0000-0000-0000CA520000}"/>
    <cellStyle name="Comma 7 44 7" xfId="34262" xr:uid="{00000000-0005-0000-0000-0000CB520000}"/>
    <cellStyle name="Comma 7 5" xfId="1508" xr:uid="{00000000-0005-0000-0000-0000CC520000}"/>
    <cellStyle name="Comma 7 5 2" xfId="48905" xr:uid="{00000000-0005-0000-0000-0000CD520000}"/>
    <cellStyle name="Comma 7 6" xfId="1509" xr:uid="{00000000-0005-0000-0000-0000CE520000}"/>
    <cellStyle name="Comma 7 6 10" xfId="1510" xr:uid="{00000000-0005-0000-0000-0000CF520000}"/>
    <cellStyle name="Comma 7 6 11" xfId="1511" xr:uid="{00000000-0005-0000-0000-0000D0520000}"/>
    <cellStyle name="Comma 7 6 12" xfId="1512" xr:uid="{00000000-0005-0000-0000-0000D1520000}"/>
    <cellStyle name="Comma 7 6 13" xfId="1513" xr:uid="{00000000-0005-0000-0000-0000D2520000}"/>
    <cellStyle name="Comma 7 6 2" xfId="1514" xr:uid="{00000000-0005-0000-0000-0000D3520000}"/>
    <cellStyle name="Comma 7 6 2 2" xfId="1515" xr:uid="{00000000-0005-0000-0000-0000D4520000}"/>
    <cellStyle name="Comma 7 6 3" xfId="1516" xr:uid="{00000000-0005-0000-0000-0000D5520000}"/>
    <cellStyle name="Comma 7 6 4" xfId="1517" xr:uid="{00000000-0005-0000-0000-0000D6520000}"/>
    <cellStyle name="Comma 7 6 5" xfId="1518" xr:uid="{00000000-0005-0000-0000-0000D7520000}"/>
    <cellStyle name="Comma 7 6 6" xfId="1519" xr:uid="{00000000-0005-0000-0000-0000D8520000}"/>
    <cellStyle name="Comma 7 6 7" xfId="1520" xr:uid="{00000000-0005-0000-0000-0000D9520000}"/>
    <cellStyle name="Comma 7 6 8" xfId="1521" xr:uid="{00000000-0005-0000-0000-0000DA520000}"/>
    <cellStyle name="Comma 7 6 9" xfId="1522" xr:uid="{00000000-0005-0000-0000-0000DB520000}"/>
    <cellStyle name="Comma 7 7" xfId="1523" xr:uid="{00000000-0005-0000-0000-0000DC520000}"/>
    <cellStyle name="Comma 7 8" xfId="1524" xr:uid="{00000000-0005-0000-0000-0000DD520000}"/>
    <cellStyle name="Comma 7 9" xfId="1525" xr:uid="{00000000-0005-0000-0000-0000DE520000}"/>
    <cellStyle name="Comma 70" xfId="1526" xr:uid="{00000000-0005-0000-0000-0000DF520000}"/>
    <cellStyle name="Comma 70 2" xfId="48934" xr:uid="{00000000-0005-0000-0000-0000E0520000}"/>
    <cellStyle name="Comma 71" xfId="2212" xr:uid="{00000000-0005-0000-0000-0000E1520000}"/>
    <cellStyle name="Comma 71 2" xfId="48937" xr:uid="{00000000-0005-0000-0000-0000E2520000}"/>
    <cellStyle name="Comma 72" xfId="2213" xr:uid="{00000000-0005-0000-0000-0000E3520000}"/>
    <cellStyle name="Comma 72 2" xfId="48945" xr:uid="{00000000-0005-0000-0000-0000E4520000}"/>
    <cellStyle name="Comma 73" xfId="2214" xr:uid="{00000000-0005-0000-0000-0000E5520000}"/>
    <cellStyle name="Comma 73 2" xfId="48843" xr:uid="{00000000-0005-0000-0000-0000E6520000}"/>
    <cellStyle name="Comma 74" xfId="2225" xr:uid="{00000000-0005-0000-0000-0000E7520000}"/>
    <cellStyle name="Comma 75" xfId="2262" xr:uid="{00000000-0005-0000-0000-0000E8520000}"/>
    <cellStyle name="Comma 76" xfId="2299" xr:uid="{00000000-0005-0000-0000-0000E9520000}"/>
    <cellStyle name="Comma 77" xfId="2324" xr:uid="{00000000-0005-0000-0000-0000EA520000}"/>
    <cellStyle name="Comma 78" xfId="2337" xr:uid="{00000000-0005-0000-0000-0000EB520000}"/>
    <cellStyle name="Comma 79" xfId="2374" xr:uid="{00000000-0005-0000-0000-0000EC520000}"/>
    <cellStyle name="Comma 8" xfId="1527" xr:uid="{00000000-0005-0000-0000-0000ED520000}"/>
    <cellStyle name="Comma 8 10" xfId="1528" xr:uid="{00000000-0005-0000-0000-0000EE520000}"/>
    <cellStyle name="Comma 8 11" xfId="1529" xr:uid="{00000000-0005-0000-0000-0000EF520000}"/>
    <cellStyle name="Comma 8 12" xfId="1530" xr:uid="{00000000-0005-0000-0000-0000F0520000}"/>
    <cellStyle name="Comma 8 13" xfId="1531" xr:uid="{00000000-0005-0000-0000-0000F1520000}"/>
    <cellStyle name="Comma 8 14" xfId="1532" xr:uid="{00000000-0005-0000-0000-0000F2520000}"/>
    <cellStyle name="Comma 8 15" xfId="1533" xr:uid="{00000000-0005-0000-0000-0000F3520000}"/>
    <cellStyle name="Comma 8 16" xfId="1534" xr:uid="{00000000-0005-0000-0000-0000F4520000}"/>
    <cellStyle name="Comma 8 17" xfId="1535" xr:uid="{00000000-0005-0000-0000-0000F5520000}"/>
    <cellStyle name="Comma 8 18" xfId="1536" xr:uid="{00000000-0005-0000-0000-0000F6520000}"/>
    <cellStyle name="Comma 8 19" xfId="1537" xr:uid="{00000000-0005-0000-0000-0000F7520000}"/>
    <cellStyle name="Comma 8 2" xfId="1538" xr:uid="{00000000-0005-0000-0000-0000F8520000}"/>
    <cellStyle name="Comma 8 2 2" xfId="48982" xr:uid="{00000000-0005-0000-0000-0000F9520000}"/>
    <cellStyle name="Comma 8 2 3" xfId="48983" xr:uid="{00000000-0005-0000-0000-0000FA520000}"/>
    <cellStyle name="Comma 8 20" xfId="1539" xr:uid="{00000000-0005-0000-0000-0000FB520000}"/>
    <cellStyle name="Comma 8 21" xfId="1540" xr:uid="{00000000-0005-0000-0000-0000FC520000}"/>
    <cellStyle name="Comma 8 22" xfId="1541" xr:uid="{00000000-0005-0000-0000-0000FD520000}"/>
    <cellStyle name="Comma 8 23" xfId="1542" xr:uid="{00000000-0005-0000-0000-0000FE520000}"/>
    <cellStyle name="Comma 8 24" xfId="1543" xr:uid="{00000000-0005-0000-0000-0000FF520000}"/>
    <cellStyle name="Comma 8 25" xfId="1544" xr:uid="{00000000-0005-0000-0000-000000530000}"/>
    <cellStyle name="Comma 8 26" xfId="2188" xr:uid="{00000000-0005-0000-0000-000001530000}"/>
    <cellStyle name="Comma 8 26 2" xfId="2521" xr:uid="{00000000-0005-0000-0000-000002530000}"/>
    <cellStyle name="Comma 8 26 2 2" xfId="3529" xr:uid="{00000000-0005-0000-0000-000003530000}"/>
    <cellStyle name="Comma 8 26 2 2 2" xfId="5468" xr:uid="{00000000-0005-0000-0000-000004530000}"/>
    <cellStyle name="Comma 8 26 2 2 2 2" xfId="9339" xr:uid="{00000000-0005-0000-0000-000005530000}"/>
    <cellStyle name="Comma 8 26 2 2 2 2 2" xfId="17084" xr:uid="{00000000-0005-0000-0000-000006530000}"/>
    <cellStyle name="Comma 8 26 2 2 2 2 2 2" xfId="32676" xr:uid="{00000000-0005-0000-0000-000007530000}"/>
    <cellStyle name="Comma 8 26 2 2 2 2 2 3" xfId="48168" xr:uid="{00000000-0005-0000-0000-000008530000}"/>
    <cellStyle name="Comma 8 26 2 2 2 2 3" xfId="24936" xr:uid="{00000000-0005-0000-0000-000009530000}"/>
    <cellStyle name="Comma 8 26 2 2 2 2 4" xfId="40428" xr:uid="{00000000-0005-0000-0000-00000A530000}"/>
    <cellStyle name="Comma 8 26 2 2 2 3" xfId="13214" xr:uid="{00000000-0005-0000-0000-00000B530000}"/>
    <cellStyle name="Comma 8 26 2 2 2 3 2" xfId="28806" xr:uid="{00000000-0005-0000-0000-00000C530000}"/>
    <cellStyle name="Comma 8 26 2 2 2 3 3" xfId="44298" xr:uid="{00000000-0005-0000-0000-00000D530000}"/>
    <cellStyle name="Comma 8 26 2 2 2 4" xfId="21066" xr:uid="{00000000-0005-0000-0000-00000E530000}"/>
    <cellStyle name="Comma 8 26 2 2 2 5" xfId="36558" xr:uid="{00000000-0005-0000-0000-00000F530000}"/>
    <cellStyle name="Comma 8 26 2 2 3" xfId="7412" xr:uid="{00000000-0005-0000-0000-000010530000}"/>
    <cellStyle name="Comma 8 26 2 2 3 2" xfId="15157" xr:uid="{00000000-0005-0000-0000-000011530000}"/>
    <cellStyle name="Comma 8 26 2 2 3 2 2" xfId="30749" xr:uid="{00000000-0005-0000-0000-000012530000}"/>
    <cellStyle name="Comma 8 26 2 2 3 2 3" xfId="46241" xr:uid="{00000000-0005-0000-0000-000013530000}"/>
    <cellStyle name="Comma 8 26 2 2 3 3" xfId="23009" xr:uid="{00000000-0005-0000-0000-000014530000}"/>
    <cellStyle name="Comma 8 26 2 2 3 4" xfId="38501" xr:uid="{00000000-0005-0000-0000-000015530000}"/>
    <cellStyle name="Comma 8 26 2 2 4" xfId="11287" xr:uid="{00000000-0005-0000-0000-000016530000}"/>
    <cellStyle name="Comma 8 26 2 2 4 2" xfId="26879" xr:uid="{00000000-0005-0000-0000-000017530000}"/>
    <cellStyle name="Comma 8 26 2 2 4 3" xfId="42371" xr:uid="{00000000-0005-0000-0000-000018530000}"/>
    <cellStyle name="Comma 8 26 2 2 5" xfId="19139" xr:uid="{00000000-0005-0000-0000-000019530000}"/>
    <cellStyle name="Comma 8 26 2 2 6" xfId="34631" xr:uid="{00000000-0005-0000-0000-00001A530000}"/>
    <cellStyle name="Comma 8 26 2 3" xfId="4520" xr:uid="{00000000-0005-0000-0000-00001B530000}"/>
    <cellStyle name="Comma 8 26 2 3 2" xfId="8391" xr:uid="{00000000-0005-0000-0000-00001C530000}"/>
    <cellStyle name="Comma 8 26 2 3 2 2" xfId="16136" xr:uid="{00000000-0005-0000-0000-00001D530000}"/>
    <cellStyle name="Comma 8 26 2 3 2 2 2" xfId="31728" xr:uid="{00000000-0005-0000-0000-00001E530000}"/>
    <cellStyle name="Comma 8 26 2 3 2 2 3" xfId="47220" xr:uid="{00000000-0005-0000-0000-00001F530000}"/>
    <cellStyle name="Comma 8 26 2 3 2 3" xfId="23988" xr:uid="{00000000-0005-0000-0000-000020530000}"/>
    <cellStyle name="Comma 8 26 2 3 2 4" xfId="39480" xr:uid="{00000000-0005-0000-0000-000021530000}"/>
    <cellStyle name="Comma 8 26 2 3 3" xfId="12266" xr:uid="{00000000-0005-0000-0000-000022530000}"/>
    <cellStyle name="Comma 8 26 2 3 3 2" xfId="27858" xr:uid="{00000000-0005-0000-0000-000023530000}"/>
    <cellStyle name="Comma 8 26 2 3 3 3" xfId="43350" xr:uid="{00000000-0005-0000-0000-000024530000}"/>
    <cellStyle name="Comma 8 26 2 3 4" xfId="20118" xr:uid="{00000000-0005-0000-0000-000025530000}"/>
    <cellStyle name="Comma 8 26 2 3 5" xfId="35610" xr:uid="{00000000-0005-0000-0000-000026530000}"/>
    <cellStyle name="Comma 8 26 2 4" xfId="6464" xr:uid="{00000000-0005-0000-0000-000027530000}"/>
    <cellStyle name="Comma 8 26 2 4 2" xfId="14209" xr:uid="{00000000-0005-0000-0000-000028530000}"/>
    <cellStyle name="Comma 8 26 2 4 2 2" xfId="29801" xr:uid="{00000000-0005-0000-0000-000029530000}"/>
    <cellStyle name="Comma 8 26 2 4 2 3" xfId="45293" xr:uid="{00000000-0005-0000-0000-00002A530000}"/>
    <cellStyle name="Comma 8 26 2 4 3" xfId="22061" xr:uid="{00000000-0005-0000-0000-00002B530000}"/>
    <cellStyle name="Comma 8 26 2 4 4" xfId="37553" xr:uid="{00000000-0005-0000-0000-00002C530000}"/>
    <cellStyle name="Comma 8 26 2 5" xfId="10339" xr:uid="{00000000-0005-0000-0000-00002D530000}"/>
    <cellStyle name="Comma 8 26 2 5 2" xfId="25931" xr:uid="{00000000-0005-0000-0000-00002E530000}"/>
    <cellStyle name="Comma 8 26 2 5 3" xfId="41423" xr:uid="{00000000-0005-0000-0000-00002F530000}"/>
    <cellStyle name="Comma 8 26 2 6" xfId="18191" xr:uid="{00000000-0005-0000-0000-000030530000}"/>
    <cellStyle name="Comma 8 26 2 7" xfId="33683" xr:uid="{00000000-0005-0000-0000-000031530000}"/>
    <cellStyle name="Comma 8 26 3" xfId="3220" xr:uid="{00000000-0005-0000-0000-000032530000}"/>
    <cellStyle name="Comma 8 26 3 2" xfId="5159" xr:uid="{00000000-0005-0000-0000-000033530000}"/>
    <cellStyle name="Comma 8 26 3 2 2" xfId="9030" xr:uid="{00000000-0005-0000-0000-000034530000}"/>
    <cellStyle name="Comma 8 26 3 2 2 2" xfId="16775" xr:uid="{00000000-0005-0000-0000-000035530000}"/>
    <cellStyle name="Comma 8 26 3 2 2 2 2" xfId="32367" xr:uid="{00000000-0005-0000-0000-000036530000}"/>
    <cellStyle name="Comma 8 26 3 2 2 2 3" xfId="47859" xr:uid="{00000000-0005-0000-0000-000037530000}"/>
    <cellStyle name="Comma 8 26 3 2 2 3" xfId="24627" xr:uid="{00000000-0005-0000-0000-000038530000}"/>
    <cellStyle name="Comma 8 26 3 2 2 4" xfId="40119" xr:uid="{00000000-0005-0000-0000-000039530000}"/>
    <cellStyle name="Comma 8 26 3 2 3" xfId="12905" xr:uid="{00000000-0005-0000-0000-00003A530000}"/>
    <cellStyle name="Comma 8 26 3 2 3 2" xfId="28497" xr:uid="{00000000-0005-0000-0000-00003B530000}"/>
    <cellStyle name="Comma 8 26 3 2 3 3" xfId="43989" xr:uid="{00000000-0005-0000-0000-00003C530000}"/>
    <cellStyle name="Comma 8 26 3 2 4" xfId="20757" xr:uid="{00000000-0005-0000-0000-00003D530000}"/>
    <cellStyle name="Comma 8 26 3 2 5" xfId="36249" xr:uid="{00000000-0005-0000-0000-00003E530000}"/>
    <cellStyle name="Comma 8 26 3 3" xfId="7103" xr:uid="{00000000-0005-0000-0000-00003F530000}"/>
    <cellStyle name="Comma 8 26 3 3 2" xfId="14848" xr:uid="{00000000-0005-0000-0000-000040530000}"/>
    <cellStyle name="Comma 8 26 3 3 2 2" xfId="30440" xr:uid="{00000000-0005-0000-0000-000041530000}"/>
    <cellStyle name="Comma 8 26 3 3 2 3" xfId="45932" xr:uid="{00000000-0005-0000-0000-000042530000}"/>
    <cellStyle name="Comma 8 26 3 3 3" xfId="22700" xr:uid="{00000000-0005-0000-0000-000043530000}"/>
    <cellStyle name="Comma 8 26 3 3 4" xfId="38192" xr:uid="{00000000-0005-0000-0000-000044530000}"/>
    <cellStyle name="Comma 8 26 3 4" xfId="10978" xr:uid="{00000000-0005-0000-0000-000045530000}"/>
    <cellStyle name="Comma 8 26 3 4 2" xfId="26570" xr:uid="{00000000-0005-0000-0000-000046530000}"/>
    <cellStyle name="Comma 8 26 3 4 3" xfId="42062" xr:uid="{00000000-0005-0000-0000-000047530000}"/>
    <cellStyle name="Comma 8 26 3 5" xfId="18830" xr:uid="{00000000-0005-0000-0000-000048530000}"/>
    <cellStyle name="Comma 8 26 3 6" xfId="34322" xr:uid="{00000000-0005-0000-0000-000049530000}"/>
    <cellStyle name="Comma 8 26 4" xfId="4211" xr:uid="{00000000-0005-0000-0000-00004A530000}"/>
    <cellStyle name="Comma 8 26 4 2" xfId="8082" xr:uid="{00000000-0005-0000-0000-00004B530000}"/>
    <cellStyle name="Comma 8 26 4 2 2" xfId="15827" xr:uid="{00000000-0005-0000-0000-00004C530000}"/>
    <cellStyle name="Comma 8 26 4 2 2 2" xfId="31419" xr:uid="{00000000-0005-0000-0000-00004D530000}"/>
    <cellStyle name="Comma 8 26 4 2 2 3" xfId="46911" xr:uid="{00000000-0005-0000-0000-00004E530000}"/>
    <cellStyle name="Comma 8 26 4 2 3" xfId="23679" xr:uid="{00000000-0005-0000-0000-00004F530000}"/>
    <cellStyle name="Comma 8 26 4 2 4" xfId="39171" xr:uid="{00000000-0005-0000-0000-000050530000}"/>
    <cellStyle name="Comma 8 26 4 3" xfId="11957" xr:uid="{00000000-0005-0000-0000-000051530000}"/>
    <cellStyle name="Comma 8 26 4 3 2" xfId="27549" xr:uid="{00000000-0005-0000-0000-000052530000}"/>
    <cellStyle name="Comma 8 26 4 3 3" xfId="43041" xr:uid="{00000000-0005-0000-0000-000053530000}"/>
    <cellStyle name="Comma 8 26 4 4" xfId="19809" xr:uid="{00000000-0005-0000-0000-000054530000}"/>
    <cellStyle name="Comma 8 26 4 5" xfId="35301" xr:uid="{00000000-0005-0000-0000-000055530000}"/>
    <cellStyle name="Comma 8 26 5" xfId="6155" xr:uid="{00000000-0005-0000-0000-000056530000}"/>
    <cellStyle name="Comma 8 26 5 2" xfId="13900" xr:uid="{00000000-0005-0000-0000-000057530000}"/>
    <cellStyle name="Comma 8 26 5 2 2" xfId="29492" xr:uid="{00000000-0005-0000-0000-000058530000}"/>
    <cellStyle name="Comma 8 26 5 2 3" xfId="44984" xr:uid="{00000000-0005-0000-0000-000059530000}"/>
    <cellStyle name="Comma 8 26 5 3" xfId="21752" xr:uid="{00000000-0005-0000-0000-00005A530000}"/>
    <cellStyle name="Comma 8 26 5 4" xfId="37244" xr:uid="{00000000-0005-0000-0000-00005B530000}"/>
    <cellStyle name="Comma 8 26 6" xfId="10030" xr:uid="{00000000-0005-0000-0000-00005C530000}"/>
    <cellStyle name="Comma 8 26 6 2" xfId="25622" xr:uid="{00000000-0005-0000-0000-00005D530000}"/>
    <cellStyle name="Comma 8 26 6 3" xfId="41114" xr:uid="{00000000-0005-0000-0000-00005E530000}"/>
    <cellStyle name="Comma 8 26 7" xfId="17882" xr:uid="{00000000-0005-0000-0000-00005F530000}"/>
    <cellStyle name="Comma 8 26 8" xfId="33374" xr:uid="{00000000-0005-0000-0000-000060530000}"/>
    <cellStyle name="Comma 8 27" xfId="2242" xr:uid="{00000000-0005-0000-0000-000061530000}"/>
    <cellStyle name="Comma 8 27 2" xfId="2559" xr:uid="{00000000-0005-0000-0000-000062530000}"/>
    <cellStyle name="Comma 8 27 2 2" xfId="3567" xr:uid="{00000000-0005-0000-0000-000063530000}"/>
    <cellStyle name="Comma 8 27 2 2 2" xfId="5506" xr:uid="{00000000-0005-0000-0000-000064530000}"/>
    <cellStyle name="Comma 8 27 2 2 2 2" xfId="9377" xr:uid="{00000000-0005-0000-0000-000065530000}"/>
    <cellStyle name="Comma 8 27 2 2 2 2 2" xfId="17122" xr:uid="{00000000-0005-0000-0000-000066530000}"/>
    <cellStyle name="Comma 8 27 2 2 2 2 2 2" xfId="32714" xr:uid="{00000000-0005-0000-0000-000067530000}"/>
    <cellStyle name="Comma 8 27 2 2 2 2 2 3" xfId="48206" xr:uid="{00000000-0005-0000-0000-000068530000}"/>
    <cellStyle name="Comma 8 27 2 2 2 2 3" xfId="24974" xr:uid="{00000000-0005-0000-0000-000069530000}"/>
    <cellStyle name="Comma 8 27 2 2 2 2 4" xfId="40466" xr:uid="{00000000-0005-0000-0000-00006A530000}"/>
    <cellStyle name="Comma 8 27 2 2 2 3" xfId="13252" xr:uid="{00000000-0005-0000-0000-00006B530000}"/>
    <cellStyle name="Comma 8 27 2 2 2 3 2" xfId="28844" xr:uid="{00000000-0005-0000-0000-00006C530000}"/>
    <cellStyle name="Comma 8 27 2 2 2 3 3" xfId="44336" xr:uid="{00000000-0005-0000-0000-00006D530000}"/>
    <cellStyle name="Comma 8 27 2 2 2 4" xfId="21104" xr:uid="{00000000-0005-0000-0000-00006E530000}"/>
    <cellStyle name="Comma 8 27 2 2 2 5" xfId="36596" xr:uid="{00000000-0005-0000-0000-00006F530000}"/>
    <cellStyle name="Comma 8 27 2 2 3" xfId="7450" xr:uid="{00000000-0005-0000-0000-000070530000}"/>
    <cellStyle name="Comma 8 27 2 2 3 2" xfId="15195" xr:uid="{00000000-0005-0000-0000-000071530000}"/>
    <cellStyle name="Comma 8 27 2 2 3 2 2" xfId="30787" xr:uid="{00000000-0005-0000-0000-000072530000}"/>
    <cellStyle name="Comma 8 27 2 2 3 2 3" xfId="46279" xr:uid="{00000000-0005-0000-0000-000073530000}"/>
    <cellStyle name="Comma 8 27 2 2 3 3" xfId="23047" xr:uid="{00000000-0005-0000-0000-000074530000}"/>
    <cellStyle name="Comma 8 27 2 2 3 4" xfId="38539" xr:uid="{00000000-0005-0000-0000-000075530000}"/>
    <cellStyle name="Comma 8 27 2 2 4" xfId="11325" xr:uid="{00000000-0005-0000-0000-000076530000}"/>
    <cellStyle name="Comma 8 27 2 2 4 2" xfId="26917" xr:uid="{00000000-0005-0000-0000-000077530000}"/>
    <cellStyle name="Comma 8 27 2 2 4 3" xfId="42409" xr:uid="{00000000-0005-0000-0000-000078530000}"/>
    <cellStyle name="Comma 8 27 2 2 5" xfId="19177" xr:uid="{00000000-0005-0000-0000-000079530000}"/>
    <cellStyle name="Comma 8 27 2 2 6" xfId="34669" xr:uid="{00000000-0005-0000-0000-00007A530000}"/>
    <cellStyle name="Comma 8 27 2 3" xfId="4558" xr:uid="{00000000-0005-0000-0000-00007B530000}"/>
    <cellStyle name="Comma 8 27 2 3 2" xfId="8429" xr:uid="{00000000-0005-0000-0000-00007C530000}"/>
    <cellStyle name="Comma 8 27 2 3 2 2" xfId="16174" xr:uid="{00000000-0005-0000-0000-00007D530000}"/>
    <cellStyle name="Comma 8 27 2 3 2 2 2" xfId="31766" xr:uid="{00000000-0005-0000-0000-00007E530000}"/>
    <cellStyle name="Comma 8 27 2 3 2 2 3" xfId="47258" xr:uid="{00000000-0005-0000-0000-00007F530000}"/>
    <cellStyle name="Comma 8 27 2 3 2 3" xfId="24026" xr:uid="{00000000-0005-0000-0000-000080530000}"/>
    <cellStyle name="Comma 8 27 2 3 2 4" xfId="39518" xr:uid="{00000000-0005-0000-0000-000081530000}"/>
    <cellStyle name="Comma 8 27 2 3 3" xfId="12304" xr:uid="{00000000-0005-0000-0000-000082530000}"/>
    <cellStyle name="Comma 8 27 2 3 3 2" xfId="27896" xr:uid="{00000000-0005-0000-0000-000083530000}"/>
    <cellStyle name="Comma 8 27 2 3 3 3" xfId="43388" xr:uid="{00000000-0005-0000-0000-000084530000}"/>
    <cellStyle name="Comma 8 27 2 3 4" xfId="20156" xr:uid="{00000000-0005-0000-0000-000085530000}"/>
    <cellStyle name="Comma 8 27 2 3 5" xfId="35648" xr:uid="{00000000-0005-0000-0000-000086530000}"/>
    <cellStyle name="Comma 8 27 2 4" xfId="6502" xr:uid="{00000000-0005-0000-0000-000087530000}"/>
    <cellStyle name="Comma 8 27 2 4 2" xfId="14247" xr:uid="{00000000-0005-0000-0000-000088530000}"/>
    <cellStyle name="Comma 8 27 2 4 2 2" xfId="29839" xr:uid="{00000000-0005-0000-0000-000089530000}"/>
    <cellStyle name="Comma 8 27 2 4 2 3" xfId="45331" xr:uid="{00000000-0005-0000-0000-00008A530000}"/>
    <cellStyle name="Comma 8 27 2 4 3" xfId="22099" xr:uid="{00000000-0005-0000-0000-00008B530000}"/>
    <cellStyle name="Comma 8 27 2 4 4" xfId="37591" xr:uid="{00000000-0005-0000-0000-00008C530000}"/>
    <cellStyle name="Comma 8 27 2 5" xfId="10377" xr:uid="{00000000-0005-0000-0000-00008D530000}"/>
    <cellStyle name="Comma 8 27 2 5 2" xfId="25969" xr:uid="{00000000-0005-0000-0000-00008E530000}"/>
    <cellStyle name="Comma 8 27 2 5 3" xfId="41461" xr:uid="{00000000-0005-0000-0000-00008F530000}"/>
    <cellStyle name="Comma 8 27 2 6" xfId="18229" xr:uid="{00000000-0005-0000-0000-000090530000}"/>
    <cellStyle name="Comma 8 27 2 7" xfId="33721" xr:uid="{00000000-0005-0000-0000-000091530000}"/>
    <cellStyle name="Comma 8 27 3" xfId="3258" xr:uid="{00000000-0005-0000-0000-000092530000}"/>
    <cellStyle name="Comma 8 27 3 2" xfId="5197" xr:uid="{00000000-0005-0000-0000-000093530000}"/>
    <cellStyle name="Comma 8 27 3 2 2" xfId="9068" xr:uid="{00000000-0005-0000-0000-000094530000}"/>
    <cellStyle name="Comma 8 27 3 2 2 2" xfId="16813" xr:uid="{00000000-0005-0000-0000-000095530000}"/>
    <cellStyle name="Comma 8 27 3 2 2 2 2" xfId="32405" xr:uid="{00000000-0005-0000-0000-000096530000}"/>
    <cellStyle name="Comma 8 27 3 2 2 2 3" xfId="47897" xr:uid="{00000000-0005-0000-0000-000097530000}"/>
    <cellStyle name="Comma 8 27 3 2 2 3" xfId="24665" xr:uid="{00000000-0005-0000-0000-000098530000}"/>
    <cellStyle name="Comma 8 27 3 2 2 4" xfId="40157" xr:uid="{00000000-0005-0000-0000-000099530000}"/>
    <cellStyle name="Comma 8 27 3 2 3" xfId="12943" xr:uid="{00000000-0005-0000-0000-00009A530000}"/>
    <cellStyle name="Comma 8 27 3 2 3 2" xfId="28535" xr:uid="{00000000-0005-0000-0000-00009B530000}"/>
    <cellStyle name="Comma 8 27 3 2 3 3" xfId="44027" xr:uid="{00000000-0005-0000-0000-00009C530000}"/>
    <cellStyle name="Comma 8 27 3 2 4" xfId="20795" xr:uid="{00000000-0005-0000-0000-00009D530000}"/>
    <cellStyle name="Comma 8 27 3 2 5" xfId="36287" xr:uid="{00000000-0005-0000-0000-00009E530000}"/>
    <cellStyle name="Comma 8 27 3 3" xfId="7141" xr:uid="{00000000-0005-0000-0000-00009F530000}"/>
    <cellStyle name="Comma 8 27 3 3 2" xfId="14886" xr:uid="{00000000-0005-0000-0000-0000A0530000}"/>
    <cellStyle name="Comma 8 27 3 3 2 2" xfId="30478" xr:uid="{00000000-0005-0000-0000-0000A1530000}"/>
    <cellStyle name="Comma 8 27 3 3 2 3" xfId="45970" xr:uid="{00000000-0005-0000-0000-0000A2530000}"/>
    <cellStyle name="Comma 8 27 3 3 3" xfId="22738" xr:uid="{00000000-0005-0000-0000-0000A3530000}"/>
    <cellStyle name="Comma 8 27 3 3 4" xfId="38230" xr:uid="{00000000-0005-0000-0000-0000A4530000}"/>
    <cellStyle name="Comma 8 27 3 4" xfId="11016" xr:uid="{00000000-0005-0000-0000-0000A5530000}"/>
    <cellStyle name="Comma 8 27 3 4 2" xfId="26608" xr:uid="{00000000-0005-0000-0000-0000A6530000}"/>
    <cellStyle name="Comma 8 27 3 4 3" xfId="42100" xr:uid="{00000000-0005-0000-0000-0000A7530000}"/>
    <cellStyle name="Comma 8 27 3 5" xfId="18868" xr:uid="{00000000-0005-0000-0000-0000A8530000}"/>
    <cellStyle name="Comma 8 27 3 6" xfId="34360" xr:uid="{00000000-0005-0000-0000-0000A9530000}"/>
    <cellStyle name="Comma 8 27 4" xfId="4249" xr:uid="{00000000-0005-0000-0000-0000AA530000}"/>
    <cellStyle name="Comma 8 27 4 2" xfId="8120" xr:uid="{00000000-0005-0000-0000-0000AB530000}"/>
    <cellStyle name="Comma 8 27 4 2 2" xfId="15865" xr:uid="{00000000-0005-0000-0000-0000AC530000}"/>
    <cellStyle name="Comma 8 27 4 2 2 2" xfId="31457" xr:uid="{00000000-0005-0000-0000-0000AD530000}"/>
    <cellStyle name="Comma 8 27 4 2 2 3" xfId="46949" xr:uid="{00000000-0005-0000-0000-0000AE530000}"/>
    <cellStyle name="Comma 8 27 4 2 3" xfId="23717" xr:uid="{00000000-0005-0000-0000-0000AF530000}"/>
    <cellStyle name="Comma 8 27 4 2 4" xfId="39209" xr:uid="{00000000-0005-0000-0000-0000B0530000}"/>
    <cellStyle name="Comma 8 27 4 3" xfId="11995" xr:uid="{00000000-0005-0000-0000-0000B1530000}"/>
    <cellStyle name="Comma 8 27 4 3 2" xfId="27587" xr:uid="{00000000-0005-0000-0000-0000B2530000}"/>
    <cellStyle name="Comma 8 27 4 3 3" xfId="43079" xr:uid="{00000000-0005-0000-0000-0000B3530000}"/>
    <cellStyle name="Comma 8 27 4 4" xfId="19847" xr:uid="{00000000-0005-0000-0000-0000B4530000}"/>
    <cellStyle name="Comma 8 27 4 5" xfId="35339" xr:uid="{00000000-0005-0000-0000-0000B5530000}"/>
    <cellStyle name="Comma 8 27 5" xfId="6193" xr:uid="{00000000-0005-0000-0000-0000B6530000}"/>
    <cellStyle name="Comma 8 27 5 2" xfId="13938" xr:uid="{00000000-0005-0000-0000-0000B7530000}"/>
    <cellStyle name="Comma 8 27 5 2 2" xfId="29530" xr:uid="{00000000-0005-0000-0000-0000B8530000}"/>
    <cellStyle name="Comma 8 27 5 2 3" xfId="45022" xr:uid="{00000000-0005-0000-0000-0000B9530000}"/>
    <cellStyle name="Comma 8 27 5 3" xfId="21790" xr:uid="{00000000-0005-0000-0000-0000BA530000}"/>
    <cellStyle name="Comma 8 27 5 4" xfId="37282" xr:uid="{00000000-0005-0000-0000-0000BB530000}"/>
    <cellStyle name="Comma 8 27 6" xfId="10068" xr:uid="{00000000-0005-0000-0000-0000BC530000}"/>
    <cellStyle name="Comma 8 27 6 2" xfId="25660" xr:uid="{00000000-0005-0000-0000-0000BD530000}"/>
    <cellStyle name="Comma 8 27 6 3" xfId="41152" xr:uid="{00000000-0005-0000-0000-0000BE530000}"/>
    <cellStyle name="Comma 8 27 7" xfId="17920" xr:uid="{00000000-0005-0000-0000-0000BF530000}"/>
    <cellStyle name="Comma 8 27 8" xfId="33412" xr:uid="{00000000-0005-0000-0000-0000C0530000}"/>
    <cellStyle name="Comma 8 28" xfId="2279" xr:uid="{00000000-0005-0000-0000-0000C1530000}"/>
    <cellStyle name="Comma 8 28 2" xfId="2595" xr:uid="{00000000-0005-0000-0000-0000C2530000}"/>
    <cellStyle name="Comma 8 28 2 2" xfId="3603" xr:uid="{00000000-0005-0000-0000-0000C3530000}"/>
    <cellStyle name="Comma 8 28 2 2 2" xfId="5542" xr:uid="{00000000-0005-0000-0000-0000C4530000}"/>
    <cellStyle name="Comma 8 28 2 2 2 2" xfId="9413" xr:uid="{00000000-0005-0000-0000-0000C5530000}"/>
    <cellStyle name="Comma 8 28 2 2 2 2 2" xfId="17158" xr:uid="{00000000-0005-0000-0000-0000C6530000}"/>
    <cellStyle name="Comma 8 28 2 2 2 2 2 2" xfId="32750" xr:uid="{00000000-0005-0000-0000-0000C7530000}"/>
    <cellStyle name="Comma 8 28 2 2 2 2 2 3" xfId="48242" xr:uid="{00000000-0005-0000-0000-0000C8530000}"/>
    <cellStyle name="Comma 8 28 2 2 2 2 3" xfId="25010" xr:uid="{00000000-0005-0000-0000-0000C9530000}"/>
    <cellStyle name="Comma 8 28 2 2 2 2 4" xfId="40502" xr:uid="{00000000-0005-0000-0000-0000CA530000}"/>
    <cellStyle name="Comma 8 28 2 2 2 3" xfId="13288" xr:uid="{00000000-0005-0000-0000-0000CB530000}"/>
    <cellStyle name="Comma 8 28 2 2 2 3 2" xfId="28880" xr:uid="{00000000-0005-0000-0000-0000CC530000}"/>
    <cellStyle name="Comma 8 28 2 2 2 3 3" xfId="44372" xr:uid="{00000000-0005-0000-0000-0000CD530000}"/>
    <cellStyle name="Comma 8 28 2 2 2 4" xfId="21140" xr:uid="{00000000-0005-0000-0000-0000CE530000}"/>
    <cellStyle name="Comma 8 28 2 2 2 5" xfId="36632" xr:uid="{00000000-0005-0000-0000-0000CF530000}"/>
    <cellStyle name="Comma 8 28 2 2 3" xfId="7486" xr:uid="{00000000-0005-0000-0000-0000D0530000}"/>
    <cellStyle name="Comma 8 28 2 2 3 2" xfId="15231" xr:uid="{00000000-0005-0000-0000-0000D1530000}"/>
    <cellStyle name="Comma 8 28 2 2 3 2 2" xfId="30823" xr:uid="{00000000-0005-0000-0000-0000D2530000}"/>
    <cellStyle name="Comma 8 28 2 2 3 2 3" xfId="46315" xr:uid="{00000000-0005-0000-0000-0000D3530000}"/>
    <cellStyle name="Comma 8 28 2 2 3 3" xfId="23083" xr:uid="{00000000-0005-0000-0000-0000D4530000}"/>
    <cellStyle name="Comma 8 28 2 2 3 4" xfId="38575" xr:uid="{00000000-0005-0000-0000-0000D5530000}"/>
    <cellStyle name="Comma 8 28 2 2 4" xfId="11361" xr:uid="{00000000-0005-0000-0000-0000D6530000}"/>
    <cellStyle name="Comma 8 28 2 2 4 2" xfId="26953" xr:uid="{00000000-0005-0000-0000-0000D7530000}"/>
    <cellStyle name="Comma 8 28 2 2 4 3" xfId="42445" xr:uid="{00000000-0005-0000-0000-0000D8530000}"/>
    <cellStyle name="Comma 8 28 2 2 5" xfId="19213" xr:uid="{00000000-0005-0000-0000-0000D9530000}"/>
    <cellStyle name="Comma 8 28 2 2 6" xfId="34705" xr:uid="{00000000-0005-0000-0000-0000DA530000}"/>
    <cellStyle name="Comma 8 28 2 3" xfId="4594" xr:uid="{00000000-0005-0000-0000-0000DB530000}"/>
    <cellStyle name="Comma 8 28 2 3 2" xfId="8465" xr:uid="{00000000-0005-0000-0000-0000DC530000}"/>
    <cellStyle name="Comma 8 28 2 3 2 2" xfId="16210" xr:uid="{00000000-0005-0000-0000-0000DD530000}"/>
    <cellStyle name="Comma 8 28 2 3 2 2 2" xfId="31802" xr:uid="{00000000-0005-0000-0000-0000DE530000}"/>
    <cellStyle name="Comma 8 28 2 3 2 2 3" xfId="47294" xr:uid="{00000000-0005-0000-0000-0000DF530000}"/>
    <cellStyle name="Comma 8 28 2 3 2 3" xfId="24062" xr:uid="{00000000-0005-0000-0000-0000E0530000}"/>
    <cellStyle name="Comma 8 28 2 3 2 4" xfId="39554" xr:uid="{00000000-0005-0000-0000-0000E1530000}"/>
    <cellStyle name="Comma 8 28 2 3 3" xfId="12340" xr:uid="{00000000-0005-0000-0000-0000E2530000}"/>
    <cellStyle name="Comma 8 28 2 3 3 2" xfId="27932" xr:uid="{00000000-0005-0000-0000-0000E3530000}"/>
    <cellStyle name="Comma 8 28 2 3 3 3" xfId="43424" xr:uid="{00000000-0005-0000-0000-0000E4530000}"/>
    <cellStyle name="Comma 8 28 2 3 4" xfId="20192" xr:uid="{00000000-0005-0000-0000-0000E5530000}"/>
    <cellStyle name="Comma 8 28 2 3 5" xfId="35684" xr:uid="{00000000-0005-0000-0000-0000E6530000}"/>
    <cellStyle name="Comma 8 28 2 4" xfId="6538" xr:uid="{00000000-0005-0000-0000-0000E7530000}"/>
    <cellStyle name="Comma 8 28 2 4 2" xfId="14283" xr:uid="{00000000-0005-0000-0000-0000E8530000}"/>
    <cellStyle name="Comma 8 28 2 4 2 2" xfId="29875" xr:uid="{00000000-0005-0000-0000-0000E9530000}"/>
    <cellStyle name="Comma 8 28 2 4 2 3" xfId="45367" xr:uid="{00000000-0005-0000-0000-0000EA530000}"/>
    <cellStyle name="Comma 8 28 2 4 3" xfId="22135" xr:uid="{00000000-0005-0000-0000-0000EB530000}"/>
    <cellStyle name="Comma 8 28 2 4 4" xfId="37627" xr:uid="{00000000-0005-0000-0000-0000EC530000}"/>
    <cellStyle name="Comma 8 28 2 5" xfId="10413" xr:uid="{00000000-0005-0000-0000-0000ED530000}"/>
    <cellStyle name="Comma 8 28 2 5 2" xfId="26005" xr:uid="{00000000-0005-0000-0000-0000EE530000}"/>
    <cellStyle name="Comma 8 28 2 5 3" xfId="41497" xr:uid="{00000000-0005-0000-0000-0000EF530000}"/>
    <cellStyle name="Comma 8 28 2 6" xfId="18265" xr:uid="{00000000-0005-0000-0000-0000F0530000}"/>
    <cellStyle name="Comma 8 28 2 7" xfId="33757" xr:uid="{00000000-0005-0000-0000-0000F1530000}"/>
    <cellStyle name="Comma 8 28 3" xfId="3294" xr:uid="{00000000-0005-0000-0000-0000F2530000}"/>
    <cellStyle name="Comma 8 28 3 2" xfId="5233" xr:uid="{00000000-0005-0000-0000-0000F3530000}"/>
    <cellStyle name="Comma 8 28 3 2 2" xfId="9104" xr:uid="{00000000-0005-0000-0000-0000F4530000}"/>
    <cellStyle name="Comma 8 28 3 2 2 2" xfId="16849" xr:uid="{00000000-0005-0000-0000-0000F5530000}"/>
    <cellStyle name="Comma 8 28 3 2 2 2 2" xfId="32441" xr:uid="{00000000-0005-0000-0000-0000F6530000}"/>
    <cellStyle name="Comma 8 28 3 2 2 2 3" xfId="47933" xr:uid="{00000000-0005-0000-0000-0000F7530000}"/>
    <cellStyle name="Comma 8 28 3 2 2 3" xfId="24701" xr:uid="{00000000-0005-0000-0000-0000F8530000}"/>
    <cellStyle name="Comma 8 28 3 2 2 4" xfId="40193" xr:uid="{00000000-0005-0000-0000-0000F9530000}"/>
    <cellStyle name="Comma 8 28 3 2 3" xfId="12979" xr:uid="{00000000-0005-0000-0000-0000FA530000}"/>
    <cellStyle name="Comma 8 28 3 2 3 2" xfId="28571" xr:uid="{00000000-0005-0000-0000-0000FB530000}"/>
    <cellStyle name="Comma 8 28 3 2 3 3" xfId="44063" xr:uid="{00000000-0005-0000-0000-0000FC530000}"/>
    <cellStyle name="Comma 8 28 3 2 4" xfId="20831" xr:uid="{00000000-0005-0000-0000-0000FD530000}"/>
    <cellStyle name="Comma 8 28 3 2 5" xfId="36323" xr:uid="{00000000-0005-0000-0000-0000FE530000}"/>
    <cellStyle name="Comma 8 28 3 3" xfId="7177" xr:uid="{00000000-0005-0000-0000-0000FF530000}"/>
    <cellStyle name="Comma 8 28 3 3 2" xfId="14922" xr:uid="{00000000-0005-0000-0000-000000540000}"/>
    <cellStyle name="Comma 8 28 3 3 2 2" xfId="30514" xr:uid="{00000000-0005-0000-0000-000001540000}"/>
    <cellStyle name="Comma 8 28 3 3 2 3" xfId="46006" xr:uid="{00000000-0005-0000-0000-000002540000}"/>
    <cellStyle name="Comma 8 28 3 3 3" xfId="22774" xr:uid="{00000000-0005-0000-0000-000003540000}"/>
    <cellStyle name="Comma 8 28 3 3 4" xfId="38266" xr:uid="{00000000-0005-0000-0000-000004540000}"/>
    <cellStyle name="Comma 8 28 3 4" xfId="11052" xr:uid="{00000000-0005-0000-0000-000005540000}"/>
    <cellStyle name="Comma 8 28 3 4 2" xfId="26644" xr:uid="{00000000-0005-0000-0000-000006540000}"/>
    <cellStyle name="Comma 8 28 3 4 3" xfId="42136" xr:uid="{00000000-0005-0000-0000-000007540000}"/>
    <cellStyle name="Comma 8 28 3 5" xfId="18904" xr:uid="{00000000-0005-0000-0000-000008540000}"/>
    <cellStyle name="Comma 8 28 3 6" xfId="34396" xr:uid="{00000000-0005-0000-0000-000009540000}"/>
    <cellStyle name="Comma 8 28 4" xfId="4285" xr:uid="{00000000-0005-0000-0000-00000A540000}"/>
    <cellStyle name="Comma 8 28 4 2" xfId="8156" xr:uid="{00000000-0005-0000-0000-00000B540000}"/>
    <cellStyle name="Comma 8 28 4 2 2" xfId="15901" xr:uid="{00000000-0005-0000-0000-00000C540000}"/>
    <cellStyle name="Comma 8 28 4 2 2 2" xfId="31493" xr:uid="{00000000-0005-0000-0000-00000D540000}"/>
    <cellStyle name="Comma 8 28 4 2 2 3" xfId="46985" xr:uid="{00000000-0005-0000-0000-00000E540000}"/>
    <cellStyle name="Comma 8 28 4 2 3" xfId="23753" xr:uid="{00000000-0005-0000-0000-00000F540000}"/>
    <cellStyle name="Comma 8 28 4 2 4" xfId="39245" xr:uid="{00000000-0005-0000-0000-000010540000}"/>
    <cellStyle name="Comma 8 28 4 3" xfId="12031" xr:uid="{00000000-0005-0000-0000-000011540000}"/>
    <cellStyle name="Comma 8 28 4 3 2" xfId="27623" xr:uid="{00000000-0005-0000-0000-000012540000}"/>
    <cellStyle name="Comma 8 28 4 3 3" xfId="43115" xr:uid="{00000000-0005-0000-0000-000013540000}"/>
    <cellStyle name="Comma 8 28 4 4" xfId="19883" xr:uid="{00000000-0005-0000-0000-000014540000}"/>
    <cellStyle name="Comma 8 28 4 5" xfId="35375" xr:uid="{00000000-0005-0000-0000-000015540000}"/>
    <cellStyle name="Comma 8 28 5" xfId="6229" xr:uid="{00000000-0005-0000-0000-000016540000}"/>
    <cellStyle name="Comma 8 28 5 2" xfId="13974" xr:uid="{00000000-0005-0000-0000-000017540000}"/>
    <cellStyle name="Comma 8 28 5 2 2" xfId="29566" xr:uid="{00000000-0005-0000-0000-000018540000}"/>
    <cellStyle name="Comma 8 28 5 2 3" xfId="45058" xr:uid="{00000000-0005-0000-0000-000019540000}"/>
    <cellStyle name="Comma 8 28 5 3" xfId="21826" xr:uid="{00000000-0005-0000-0000-00001A540000}"/>
    <cellStyle name="Comma 8 28 5 4" xfId="37318" xr:uid="{00000000-0005-0000-0000-00001B540000}"/>
    <cellStyle name="Comma 8 28 6" xfId="10104" xr:uid="{00000000-0005-0000-0000-00001C540000}"/>
    <cellStyle name="Comma 8 28 6 2" xfId="25696" xr:uid="{00000000-0005-0000-0000-00001D540000}"/>
    <cellStyle name="Comma 8 28 6 3" xfId="41188" xr:uid="{00000000-0005-0000-0000-00001E540000}"/>
    <cellStyle name="Comma 8 28 7" xfId="17956" xr:uid="{00000000-0005-0000-0000-00001F540000}"/>
    <cellStyle name="Comma 8 28 8" xfId="33448" xr:uid="{00000000-0005-0000-0000-000020540000}"/>
    <cellStyle name="Comma 8 29" xfId="2316" xr:uid="{00000000-0005-0000-0000-000021540000}"/>
    <cellStyle name="Comma 8 29 2" xfId="2631" xr:uid="{00000000-0005-0000-0000-000022540000}"/>
    <cellStyle name="Comma 8 29 2 2" xfId="3639" xr:uid="{00000000-0005-0000-0000-000023540000}"/>
    <cellStyle name="Comma 8 29 2 2 2" xfId="5578" xr:uid="{00000000-0005-0000-0000-000024540000}"/>
    <cellStyle name="Comma 8 29 2 2 2 2" xfId="9449" xr:uid="{00000000-0005-0000-0000-000025540000}"/>
    <cellStyle name="Comma 8 29 2 2 2 2 2" xfId="17194" xr:uid="{00000000-0005-0000-0000-000026540000}"/>
    <cellStyle name="Comma 8 29 2 2 2 2 2 2" xfId="32786" xr:uid="{00000000-0005-0000-0000-000027540000}"/>
    <cellStyle name="Comma 8 29 2 2 2 2 2 3" xfId="48278" xr:uid="{00000000-0005-0000-0000-000028540000}"/>
    <cellStyle name="Comma 8 29 2 2 2 2 3" xfId="25046" xr:uid="{00000000-0005-0000-0000-000029540000}"/>
    <cellStyle name="Comma 8 29 2 2 2 2 4" xfId="40538" xr:uid="{00000000-0005-0000-0000-00002A540000}"/>
    <cellStyle name="Comma 8 29 2 2 2 3" xfId="13324" xr:uid="{00000000-0005-0000-0000-00002B540000}"/>
    <cellStyle name="Comma 8 29 2 2 2 3 2" xfId="28916" xr:uid="{00000000-0005-0000-0000-00002C540000}"/>
    <cellStyle name="Comma 8 29 2 2 2 3 3" xfId="44408" xr:uid="{00000000-0005-0000-0000-00002D540000}"/>
    <cellStyle name="Comma 8 29 2 2 2 4" xfId="21176" xr:uid="{00000000-0005-0000-0000-00002E540000}"/>
    <cellStyle name="Comma 8 29 2 2 2 5" xfId="36668" xr:uid="{00000000-0005-0000-0000-00002F540000}"/>
    <cellStyle name="Comma 8 29 2 2 3" xfId="7522" xr:uid="{00000000-0005-0000-0000-000030540000}"/>
    <cellStyle name="Comma 8 29 2 2 3 2" xfId="15267" xr:uid="{00000000-0005-0000-0000-000031540000}"/>
    <cellStyle name="Comma 8 29 2 2 3 2 2" xfId="30859" xr:uid="{00000000-0005-0000-0000-000032540000}"/>
    <cellStyle name="Comma 8 29 2 2 3 2 3" xfId="46351" xr:uid="{00000000-0005-0000-0000-000033540000}"/>
    <cellStyle name="Comma 8 29 2 2 3 3" xfId="23119" xr:uid="{00000000-0005-0000-0000-000034540000}"/>
    <cellStyle name="Comma 8 29 2 2 3 4" xfId="38611" xr:uid="{00000000-0005-0000-0000-000035540000}"/>
    <cellStyle name="Comma 8 29 2 2 4" xfId="11397" xr:uid="{00000000-0005-0000-0000-000036540000}"/>
    <cellStyle name="Comma 8 29 2 2 4 2" xfId="26989" xr:uid="{00000000-0005-0000-0000-000037540000}"/>
    <cellStyle name="Comma 8 29 2 2 4 3" xfId="42481" xr:uid="{00000000-0005-0000-0000-000038540000}"/>
    <cellStyle name="Comma 8 29 2 2 5" xfId="19249" xr:uid="{00000000-0005-0000-0000-000039540000}"/>
    <cellStyle name="Comma 8 29 2 2 6" xfId="34741" xr:uid="{00000000-0005-0000-0000-00003A540000}"/>
    <cellStyle name="Comma 8 29 2 3" xfId="4630" xr:uid="{00000000-0005-0000-0000-00003B540000}"/>
    <cellStyle name="Comma 8 29 2 3 2" xfId="8501" xr:uid="{00000000-0005-0000-0000-00003C540000}"/>
    <cellStyle name="Comma 8 29 2 3 2 2" xfId="16246" xr:uid="{00000000-0005-0000-0000-00003D540000}"/>
    <cellStyle name="Comma 8 29 2 3 2 2 2" xfId="31838" xr:uid="{00000000-0005-0000-0000-00003E540000}"/>
    <cellStyle name="Comma 8 29 2 3 2 2 3" xfId="47330" xr:uid="{00000000-0005-0000-0000-00003F540000}"/>
    <cellStyle name="Comma 8 29 2 3 2 3" xfId="24098" xr:uid="{00000000-0005-0000-0000-000040540000}"/>
    <cellStyle name="Comma 8 29 2 3 2 4" xfId="39590" xr:uid="{00000000-0005-0000-0000-000041540000}"/>
    <cellStyle name="Comma 8 29 2 3 3" xfId="12376" xr:uid="{00000000-0005-0000-0000-000042540000}"/>
    <cellStyle name="Comma 8 29 2 3 3 2" xfId="27968" xr:uid="{00000000-0005-0000-0000-000043540000}"/>
    <cellStyle name="Comma 8 29 2 3 3 3" xfId="43460" xr:uid="{00000000-0005-0000-0000-000044540000}"/>
    <cellStyle name="Comma 8 29 2 3 4" xfId="20228" xr:uid="{00000000-0005-0000-0000-000045540000}"/>
    <cellStyle name="Comma 8 29 2 3 5" xfId="35720" xr:uid="{00000000-0005-0000-0000-000046540000}"/>
    <cellStyle name="Comma 8 29 2 4" xfId="6574" xr:uid="{00000000-0005-0000-0000-000047540000}"/>
    <cellStyle name="Comma 8 29 2 4 2" xfId="14319" xr:uid="{00000000-0005-0000-0000-000048540000}"/>
    <cellStyle name="Comma 8 29 2 4 2 2" xfId="29911" xr:uid="{00000000-0005-0000-0000-000049540000}"/>
    <cellStyle name="Comma 8 29 2 4 2 3" xfId="45403" xr:uid="{00000000-0005-0000-0000-00004A540000}"/>
    <cellStyle name="Comma 8 29 2 4 3" xfId="22171" xr:uid="{00000000-0005-0000-0000-00004B540000}"/>
    <cellStyle name="Comma 8 29 2 4 4" xfId="37663" xr:uid="{00000000-0005-0000-0000-00004C540000}"/>
    <cellStyle name="Comma 8 29 2 5" xfId="10449" xr:uid="{00000000-0005-0000-0000-00004D540000}"/>
    <cellStyle name="Comma 8 29 2 5 2" xfId="26041" xr:uid="{00000000-0005-0000-0000-00004E540000}"/>
    <cellStyle name="Comma 8 29 2 5 3" xfId="41533" xr:uid="{00000000-0005-0000-0000-00004F540000}"/>
    <cellStyle name="Comma 8 29 2 6" xfId="18301" xr:uid="{00000000-0005-0000-0000-000050540000}"/>
    <cellStyle name="Comma 8 29 2 7" xfId="33793" xr:uid="{00000000-0005-0000-0000-000051540000}"/>
    <cellStyle name="Comma 8 29 3" xfId="3330" xr:uid="{00000000-0005-0000-0000-000052540000}"/>
    <cellStyle name="Comma 8 29 3 2" xfId="5269" xr:uid="{00000000-0005-0000-0000-000053540000}"/>
    <cellStyle name="Comma 8 29 3 2 2" xfId="9140" xr:uid="{00000000-0005-0000-0000-000054540000}"/>
    <cellStyle name="Comma 8 29 3 2 2 2" xfId="16885" xr:uid="{00000000-0005-0000-0000-000055540000}"/>
    <cellStyle name="Comma 8 29 3 2 2 2 2" xfId="32477" xr:uid="{00000000-0005-0000-0000-000056540000}"/>
    <cellStyle name="Comma 8 29 3 2 2 2 3" xfId="47969" xr:uid="{00000000-0005-0000-0000-000057540000}"/>
    <cellStyle name="Comma 8 29 3 2 2 3" xfId="24737" xr:uid="{00000000-0005-0000-0000-000058540000}"/>
    <cellStyle name="Comma 8 29 3 2 2 4" xfId="40229" xr:uid="{00000000-0005-0000-0000-000059540000}"/>
    <cellStyle name="Comma 8 29 3 2 3" xfId="13015" xr:uid="{00000000-0005-0000-0000-00005A540000}"/>
    <cellStyle name="Comma 8 29 3 2 3 2" xfId="28607" xr:uid="{00000000-0005-0000-0000-00005B540000}"/>
    <cellStyle name="Comma 8 29 3 2 3 3" xfId="44099" xr:uid="{00000000-0005-0000-0000-00005C540000}"/>
    <cellStyle name="Comma 8 29 3 2 4" xfId="20867" xr:uid="{00000000-0005-0000-0000-00005D540000}"/>
    <cellStyle name="Comma 8 29 3 2 5" xfId="36359" xr:uid="{00000000-0005-0000-0000-00005E540000}"/>
    <cellStyle name="Comma 8 29 3 3" xfId="7213" xr:uid="{00000000-0005-0000-0000-00005F540000}"/>
    <cellStyle name="Comma 8 29 3 3 2" xfId="14958" xr:uid="{00000000-0005-0000-0000-000060540000}"/>
    <cellStyle name="Comma 8 29 3 3 2 2" xfId="30550" xr:uid="{00000000-0005-0000-0000-000061540000}"/>
    <cellStyle name="Comma 8 29 3 3 2 3" xfId="46042" xr:uid="{00000000-0005-0000-0000-000062540000}"/>
    <cellStyle name="Comma 8 29 3 3 3" xfId="22810" xr:uid="{00000000-0005-0000-0000-000063540000}"/>
    <cellStyle name="Comma 8 29 3 3 4" xfId="38302" xr:uid="{00000000-0005-0000-0000-000064540000}"/>
    <cellStyle name="Comma 8 29 3 4" xfId="11088" xr:uid="{00000000-0005-0000-0000-000065540000}"/>
    <cellStyle name="Comma 8 29 3 4 2" xfId="26680" xr:uid="{00000000-0005-0000-0000-000066540000}"/>
    <cellStyle name="Comma 8 29 3 4 3" xfId="42172" xr:uid="{00000000-0005-0000-0000-000067540000}"/>
    <cellStyle name="Comma 8 29 3 5" xfId="18940" xr:uid="{00000000-0005-0000-0000-000068540000}"/>
    <cellStyle name="Comma 8 29 3 6" xfId="34432" xr:uid="{00000000-0005-0000-0000-000069540000}"/>
    <cellStyle name="Comma 8 29 4" xfId="4321" xr:uid="{00000000-0005-0000-0000-00006A540000}"/>
    <cellStyle name="Comma 8 29 4 2" xfId="8192" xr:uid="{00000000-0005-0000-0000-00006B540000}"/>
    <cellStyle name="Comma 8 29 4 2 2" xfId="15937" xr:uid="{00000000-0005-0000-0000-00006C540000}"/>
    <cellStyle name="Comma 8 29 4 2 2 2" xfId="31529" xr:uid="{00000000-0005-0000-0000-00006D540000}"/>
    <cellStyle name="Comma 8 29 4 2 2 3" xfId="47021" xr:uid="{00000000-0005-0000-0000-00006E540000}"/>
    <cellStyle name="Comma 8 29 4 2 3" xfId="23789" xr:uid="{00000000-0005-0000-0000-00006F540000}"/>
    <cellStyle name="Comma 8 29 4 2 4" xfId="39281" xr:uid="{00000000-0005-0000-0000-000070540000}"/>
    <cellStyle name="Comma 8 29 4 3" xfId="12067" xr:uid="{00000000-0005-0000-0000-000071540000}"/>
    <cellStyle name="Comma 8 29 4 3 2" xfId="27659" xr:uid="{00000000-0005-0000-0000-000072540000}"/>
    <cellStyle name="Comma 8 29 4 3 3" xfId="43151" xr:uid="{00000000-0005-0000-0000-000073540000}"/>
    <cellStyle name="Comma 8 29 4 4" xfId="19919" xr:uid="{00000000-0005-0000-0000-000074540000}"/>
    <cellStyle name="Comma 8 29 4 5" xfId="35411" xr:uid="{00000000-0005-0000-0000-000075540000}"/>
    <cellStyle name="Comma 8 29 5" xfId="6265" xr:uid="{00000000-0005-0000-0000-000076540000}"/>
    <cellStyle name="Comma 8 29 5 2" xfId="14010" xr:uid="{00000000-0005-0000-0000-000077540000}"/>
    <cellStyle name="Comma 8 29 5 2 2" xfId="29602" xr:uid="{00000000-0005-0000-0000-000078540000}"/>
    <cellStyle name="Comma 8 29 5 2 3" xfId="45094" xr:uid="{00000000-0005-0000-0000-000079540000}"/>
    <cellStyle name="Comma 8 29 5 3" xfId="21862" xr:uid="{00000000-0005-0000-0000-00007A540000}"/>
    <cellStyle name="Comma 8 29 5 4" xfId="37354" xr:uid="{00000000-0005-0000-0000-00007B540000}"/>
    <cellStyle name="Comma 8 29 6" xfId="10140" xr:uid="{00000000-0005-0000-0000-00007C540000}"/>
    <cellStyle name="Comma 8 29 6 2" xfId="25732" xr:uid="{00000000-0005-0000-0000-00007D540000}"/>
    <cellStyle name="Comma 8 29 6 3" xfId="41224" xr:uid="{00000000-0005-0000-0000-00007E540000}"/>
    <cellStyle name="Comma 8 29 7" xfId="17992" xr:uid="{00000000-0005-0000-0000-00007F540000}"/>
    <cellStyle name="Comma 8 29 8" xfId="33484" xr:uid="{00000000-0005-0000-0000-000080540000}"/>
    <cellStyle name="Comma 8 3" xfId="1545" xr:uid="{00000000-0005-0000-0000-000081540000}"/>
    <cellStyle name="Comma 8 30" xfId="2354" xr:uid="{00000000-0005-0000-0000-000082540000}"/>
    <cellStyle name="Comma 8 30 2" xfId="2667" xr:uid="{00000000-0005-0000-0000-000083540000}"/>
    <cellStyle name="Comma 8 30 2 2" xfId="3675" xr:uid="{00000000-0005-0000-0000-000084540000}"/>
    <cellStyle name="Comma 8 30 2 2 2" xfId="5614" xr:uid="{00000000-0005-0000-0000-000085540000}"/>
    <cellStyle name="Comma 8 30 2 2 2 2" xfId="9485" xr:uid="{00000000-0005-0000-0000-000086540000}"/>
    <cellStyle name="Comma 8 30 2 2 2 2 2" xfId="17230" xr:uid="{00000000-0005-0000-0000-000087540000}"/>
    <cellStyle name="Comma 8 30 2 2 2 2 2 2" xfId="32822" xr:uid="{00000000-0005-0000-0000-000088540000}"/>
    <cellStyle name="Comma 8 30 2 2 2 2 2 3" xfId="48314" xr:uid="{00000000-0005-0000-0000-000089540000}"/>
    <cellStyle name="Comma 8 30 2 2 2 2 3" xfId="25082" xr:uid="{00000000-0005-0000-0000-00008A540000}"/>
    <cellStyle name="Comma 8 30 2 2 2 2 4" xfId="40574" xr:uid="{00000000-0005-0000-0000-00008B540000}"/>
    <cellStyle name="Comma 8 30 2 2 2 3" xfId="13360" xr:uid="{00000000-0005-0000-0000-00008C540000}"/>
    <cellStyle name="Comma 8 30 2 2 2 3 2" xfId="28952" xr:uid="{00000000-0005-0000-0000-00008D540000}"/>
    <cellStyle name="Comma 8 30 2 2 2 3 3" xfId="44444" xr:uid="{00000000-0005-0000-0000-00008E540000}"/>
    <cellStyle name="Comma 8 30 2 2 2 4" xfId="21212" xr:uid="{00000000-0005-0000-0000-00008F540000}"/>
    <cellStyle name="Comma 8 30 2 2 2 5" xfId="36704" xr:uid="{00000000-0005-0000-0000-000090540000}"/>
    <cellStyle name="Comma 8 30 2 2 3" xfId="7558" xr:uid="{00000000-0005-0000-0000-000091540000}"/>
    <cellStyle name="Comma 8 30 2 2 3 2" xfId="15303" xr:uid="{00000000-0005-0000-0000-000092540000}"/>
    <cellStyle name="Comma 8 30 2 2 3 2 2" xfId="30895" xr:uid="{00000000-0005-0000-0000-000093540000}"/>
    <cellStyle name="Comma 8 30 2 2 3 2 3" xfId="46387" xr:uid="{00000000-0005-0000-0000-000094540000}"/>
    <cellStyle name="Comma 8 30 2 2 3 3" xfId="23155" xr:uid="{00000000-0005-0000-0000-000095540000}"/>
    <cellStyle name="Comma 8 30 2 2 3 4" xfId="38647" xr:uid="{00000000-0005-0000-0000-000096540000}"/>
    <cellStyle name="Comma 8 30 2 2 4" xfId="11433" xr:uid="{00000000-0005-0000-0000-000097540000}"/>
    <cellStyle name="Comma 8 30 2 2 4 2" xfId="27025" xr:uid="{00000000-0005-0000-0000-000098540000}"/>
    <cellStyle name="Comma 8 30 2 2 4 3" xfId="42517" xr:uid="{00000000-0005-0000-0000-000099540000}"/>
    <cellStyle name="Comma 8 30 2 2 5" xfId="19285" xr:uid="{00000000-0005-0000-0000-00009A540000}"/>
    <cellStyle name="Comma 8 30 2 2 6" xfId="34777" xr:uid="{00000000-0005-0000-0000-00009B540000}"/>
    <cellStyle name="Comma 8 30 2 3" xfId="4666" xr:uid="{00000000-0005-0000-0000-00009C540000}"/>
    <cellStyle name="Comma 8 30 2 3 2" xfId="8537" xr:uid="{00000000-0005-0000-0000-00009D540000}"/>
    <cellStyle name="Comma 8 30 2 3 2 2" xfId="16282" xr:uid="{00000000-0005-0000-0000-00009E540000}"/>
    <cellStyle name="Comma 8 30 2 3 2 2 2" xfId="31874" xr:uid="{00000000-0005-0000-0000-00009F540000}"/>
    <cellStyle name="Comma 8 30 2 3 2 2 3" xfId="47366" xr:uid="{00000000-0005-0000-0000-0000A0540000}"/>
    <cellStyle name="Comma 8 30 2 3 2 3" xfId="24134" xr:uid="{00000000-0005-0000-0000-0000A1540000}"/>
    <cellStyle name="Comma 8 30 2 3 2 4" xfId="39626" xr:uid="{00000000-0005-0000-0000-0000A2540000}"/>
    <cellStyle name="Comma 8 30 2 3 3" xfId="12412" xr:uid="{00000000-0005-0000-0000-0000A3540000}"/>
    <cellStyle name="Comma 8 30 2 3 3 2" xfId="28004" xr:uid="{00000000-0005-0000-0000-0000A4540000}"/>
    <cellStyle name="Comma 8 30 2 3 3 3" xfId="43496" xr:uid="{00000000-0005-0000-0000-0000A5540000}"/>
    <cellStyle name="Comma 8 30 2 3 4" xfId="20264" xr:uid="{00000000-0005-0000-0000-0000A6540000}"/>
    <cellStyle name="Comma 8 30 2 3 5" xfId="35756" xr:uid="{00000000-0005-0000-0000-0000A7540000}"/>
    <cellStyle name="Comma 8 30 2 4" xfId="6610" xr:uid="{00000000-0005-0000-0000-0000A8540000}"/>
    <cellStyle name="Comma 8 30 2 4 2" xfId="14355" xr:uid="{00000000-0005-0000-0000-0000A9540000}"/>
    <cellStyle name="Comma 8 30 2 4 2 2" xfId="29947" xr:uid="{00000000-0005-0000-0000-0000AA540000}"/>
    <cellStyle name="Comma 8 30 2 4 2 3" xfId="45439" xr:uid="{00000000-0005-0000-0000-0000AB540000}"/>
    <cellStyle name="Comma 8 30 2 4 3" xfId="22207" xr:uid="{00000000-0005-0000-0000-0000AC540000}"/>
    <cellStyle name="Comma 8 30 2 4 4" xfId="37699" xr:uid="{00000000-0005-0000-0000-0000AD540000}"/>
    <cellStyle name="Comma 8 30 2 5" xfId="10485" xr:uid="{00000000-0005-0000-0000-0000AE540000}"/>
    <cellStyle name="Comma 8 30 2 5 2" xfId="26077" xr:uid="{00000000-0005-0000-0000-0000AF540000}"/>
    <cellStyle name="Comma 8 30 2 5 3" xfId="41569" xr:uid="{00000000-0005-0000-0000-0000B0540000}"/>
    <cellStyle name="Comma 8 30 2 6" xfId="18337" xr:uid="{00000000-0005-0000-0000-0000B1540000}"/>
    <cellStyle name="Comma 8 30 2 7" xfId="33829" xr:uid="{00000000-0005-0000-0000-0000B2540000}"/>
    <cellStyle name="Comma 8 30 3" xfId="3366" xr:uid="{00000000-0005-0000-0000-0000B3540000}"/>
    <cellStyle name="Comma 8 30 3 2" xfId="5305" xr:uid="{00000000-0005-0000-0000-0000B4540000}"/>
    <cellStyle name="Comma 8 30 3 2 2" xfId="9176" xr:uid="{00000000-0005-0000-0000-0000B5540000}"/>
    <cellStyle name="Comma 8 30 3 2 2 2" xfId="16921" xr:uid="{00000000-0005-0000-0000-0000B6540000}"/>
    <cellStyle name="Comma 8 30 3 2 2 2 2" xfId="32513" xr:uid="{00000000-0005-0000-0000-0000B7540000}"/>
    <cellStyle name="Comma 8 30 3 2 2 2 3" xfId="48005" xr:uid="{00000000-0005-0000-0000-0000B8540000}"/>
    <cellStyle name="Comma 8 30 3 2 2 3" xfId="24773" xr:uid="{00000000-0005-0000-0000-0000B9540000}"/>
    <cellStyle name="Comma 8 30 3 2 2 4" xfId="40265" xr:uid="{00000000-0005-0000-0000-0000BA540000}"/>
    <cellStyle name="Comma 8 30 3 2 3" xfId="13051" xr:uid="{00000000-0005-0000-0000-0000BB540000}"/>
    <cellStyle name="Comma 8 30 3 2 3 2" xfId="28643" xr:uid="{00000000-0005-0000-0000-0000BC540000}"/>
    <cellStyle name="Comma 8 30 3 2 3 3" xfId="44135" xr:uid="{00000000-0005-0000-0000-0000BD540000}"/>
    <cellStyle name="Comma 8 30 3 2 4" xfId="20903" xr:uid="{00000000-0005-0000-0000-0000BE540000}"/>
    <cellStyle name="Comma 8 30 3 2 5" xfId="36395" xr:uid="{00000000-0005-0000-0000-0000BF540000}"/>
    <cellStyle name="Comma 8 30 3 3" xfId="7249" xr:uid="{00000000-0005-0000-0000-0000C0540000}"/>
    <cellStyle name="Comma 8 30 3 3 2" xfId="14994" xr:uid="{00000000-0005-0000-0000-0000C1540000}"/>
    <cellStyle name="Comma 8 30 3 3 2 2" xfId="30586" xr:uid="{00000000-0005-0000-0000-0000C2540000}"/>
    <cellStyle name="Comma 8 30 3 3 2 3" xfId="46078" xr:uid="{00000000-0005-0000-0000-0000C3540000}"/>
    <cellStyle name="Comma 8 30 3 3 3" xfId="22846" xr:uid="{00000000-0005-0000-0000-0000C4540000}"/>
    <cellStyle name="Comma 8 30 3 3 4" xfId="38338" xr:uid="{00000000-0005-0000-0000-0000C5540000}"/>
    <cellStyle name="Comma 8 30 3 4" xfId="11124" xr:uid="{00000000-0005-0000-0000-0000C6540000}"/>
    <cellStyle name="Comma 8 30 3 4 2" xfId="26716" xr:uid="{00000000-0005-0000-0000-0000C7540000}"/>
    <cellStyle name="Comma 8 30 3 4 3" xfId="42208" xr:uid="{00000000-0005-0000-0000-0000C8540000}"/>
    <cellStyle name="Comma 8 30 3 5" xfId="18976" xr:uid="{00000000-0005-0000-0000-0000C9540000}"/>
    <cellStyle name="Comma 8 30 3 6" xfId="34468" xr:uid="{00000000-0005-0000-0000-0000CA540000}"/>
    <cellStyle name="Comma 8 30 4" xfId="4357" xr:uid="{00000000-0005-0000-0000-0000CB540000}"/>
    <cellStyle name="Comma 8 30 4 2" xfId="8228" xr:uid="{00000000-0005-0000-0000-0000CC540000}"/>
    <cellStyle name="Comma 8 30 4 2 2" xfId="15973" xr:uid="{00000000-0005-0000-0000-0000CD540000}"/>
    <cellStyle name="Comma 8 30 4 2 2 2" xfId="31565" xr:uid="{00000000-0005-0000-0000-0000CE540000}"/>
    <cellStyle name="Comma 8 30 4 2 2 3" xfId="47057" xr:uid="{00000000-0005-0000-0000-0000CF540000}"/>
    <cellStyle name="Comma 8 30 4 2 3" xfId="23825" xr:uid="{00000000-0005-0000-0000-0000D0540000}"/>
    <cellStyle name="Comma 8 30 4 2 4" xfId="39317" xr:uid="{00000000-0005-0000-0000-0000D1540000}"/>
    <cellStyle name="Comma 8 30 4 3" xfId="12103" xr:uid="{00000000-0005-0000-0000-0000D2540000}"/>
    <cellStyle name="Comma 8 30 4 3 2" xfId="27695" xr:uid="{00000000-0005-0000-0000-0000D3540000}"/>
    <cellStyle name="Comma 8 30 4 3 3" xfId="43187" xr:uid="{00000000-0005-0000-0000-0000D4540000}"/>
    <cellStyle name="Comma 8 30 4 4" xfId="19955" xr:uid="{00000000-0005-0000-0000-0000D5540000}"/>
    <cellStyle name="Comma 8 30 4 5" xfId="35447" xr:uid="{00000000-0005-0000-0000-0000D6540000}"/>
    <cellStyle name="Comma 8 30 5" xfId="6301" xr:uid="{00000000-0005-0000-0000-0000D7540000}"/>
    <cellStyle name="Comma 8 30 5 2" xfId="14046" xr:uid="{00000000-0005-0000-0000-0000D8540000}"/>
    <cellStyle name="Comma 8 30 5 2 2" xfId="29638" xr:uid="{00000000-0005-0000-0000-0000D9540000}"/>
    <cellStyle name="Comma 8 30 5 2 3" xfId="45130" xr:uid="{00000000-0005-0000-0000-0000DA540000}"/>
    <cellStyle name="Comma 8 30 5 3" xfId="21898" xr:uid="{00000000-0005-0000-0000-0000DB540000}"/>
    <cellStyle name="Comma 8 30 5 4" xfId="37390" xr:uid="{00000000-0005-0000-0000-0000DC540000}"/>
    <cellStyle name="Comma 8 30 6" xfId="10176" xr:uid="{00000000-0005-0000-0000-0000DD540000}"/>
    <cellStyle name="Comma 8 30 6 2" xfId="25768" xr:uid="{00000000-0005-0000-0000-0000DE540000}"/>
    <cellStyle name="Comma 8 30 6 3" xfId="41260" xr:uid="{00000000-0005-0000-0000-0000DF540000}"/>
    <cellStyle name="Comma 8 30 7" xfId="18028" xr:uid="{00000000-0005-0000-0000-0000E0540000}"/>
    <cellStyle name="Comma 8 30 8" xfId="33520" xr:uid="{00000000-0005-0000-0000-0000E1540000}"/>
    <cellStyle name="Comma 8 31" xfId="2391" xr:uid="{00000000-0005-0000-0000-0000E2540000}"/>
    <cellStyle name="Comma 8 31 2" xfId="2703" xr:uid="{00000000-0005-0000-0000-0000E3540000}"/>
    <cellStyle name="Comma 8 31 2 2" xfId="3711" xr:uid="{00000000-0005-0000-0000-0000E4540000}"/>
    <cellStyle name="Comma 8 31 2 2 2" xfId="5650" xr:uid="{00000000-0005-0000-0000-0000E5540000}"/>
    <cellStyle name="Comma 8 31 2 2 2 2" xfId="9521" xr:uid="{00000000-0005-0000-0000-0000E6540000}"/>
    <cellStyle name="Comma 8 31 2 2 2 2 2" xfId="17266" xr:uid="{00000000-0005-0000-0000-0000E7540000}"/>
    <cellStyle name="Comma 8 31 2 2 2 2 2 2" xfId="32858" xr:uid="{00000000-0005-0000-0000-0000E8540000}"/>
    <cellStyle name="Comma 8 31 2 2 2 2 2 3" xfId="48350" xr:uid="{00000000-0005-0000-0000-0000E9540000}"/>
    <cellStyle name="Comma 8 31 2 2 2 2 3" xfId="25118" xr:uid="{00000000-0005-0000-0000-0000EA540000}"/>
    <cellStyle name="Comma 8 31 2 2 2 2 4" xfId="40610" xr:uid="{00000000-0005-0000-0000-0000EB540000}"/>
    <cellStyle name="Comma 8 31 2 2 2 3" xfId="13396" xr:uid="{00000000-0005-0000-0000-0000EC540000}"/>
    <cellStyle name="Comma 8 31 2 2 2 3 2" xfId="28988" xr:uid="{00000000-0005-0000-0000-0000ED540000}"/>
    <cellStyle name="Comma 8 31 2 2 2 3 3" xfId="44480" xr:uid="{00000000-0005-0000-0000-0000EE540000}"/>
    <cellStyle name="Comma 8 31 2 2 2 4" xfId="21248" xr:uid="{00000000-0005-0000-0000-0000EF540000}"/>
    <cellStyle name="Comma 8 31 2 2 2 5" xfId="36740" xr:uid="{00000000-0005-0000-0000-0000F0540000}"/>
    <cellStyle name="Comma 8 31 2 2 3" xfId="7594" xr:uid="{00000000-0005-0000-0000-0000F1540000}"/>
    <cellStyle name="Comma 8 31 2 2 3 2" xfId="15339" xr:uid="{00000000-0005-0000-0000-0000F2540000}"/>
    <cellStyle name="Comma 8 31 2 2 3 2 2" xfId="30931" xr:uid="{00000000-0005-0000-0000-0000F3540000}"/>
    <cellStyle name="Comma 8 31 2 2 3 2 3" xfId="46423" xr:uid="{00000000-0005-0000-0000-0000F4540000}"/>
    <cellStyle name="Comma 8 31 2 2 3 3" xfId="23191" xr:uid="{00000000-0005-0000-0000-0000F5540000}"/>
    <cellStyle name="Comma 8 31 2 2 3 4" xfId="38683" xr:uid="{00000000-0005-0000-0000-0000F6540000}"/>
    <cellStyle name="Comma 8 31 2 2 4" xfId="11469" xr:uid="{00000000-0005-0000-0000-0000F7540000}"/>
    <cellStyle name="Comma 8 31 2 2 4 2" xfId="27061" xr:uid="{00000000-0005-0000-0000-0000F8540000}"/>
    <cellStyle name="Comma 8 31 2 2 4 3" xfId="42553" xr:uid="{00000000-0005-0000-0000-0000F9540000}"/>
    <cellStyle name="Comma 8 31 2 2 5" xfId="19321" xr:uid="{00000000-0005-0000-0000-0000FA540000}"/>
    <cellStyle name="Comma 8 31 2 2 6" xfId="34813" xr:uid="{00000000-0005-0000-0000-0000FB540000}"/>
    <cellStyle name="Comma 8 31 2 3" xfId="4702" xr:uid="{00000000-0005-0000-0000-0000FC540000}"/>
    <cellStyle name="Comma 8 31 2 3 2" xfId="8573" xr:uid="{00000000-0005-0000-0000-0000FD540000}"/>
    <cellStyle name="Comma 8 31 2 3 2 2" xfId="16318" xr:uid="{00000000-0005-0000-0000-0000FE540000}"/>
    <cellStyle name="Comma 8 31 2 3 2 2 2" xfId="31910" xr:uid="{00000000-0005-0000-0000-0000FF540000}"/>
    <cellStyle name="Comma 8 31 2 3 2 2 3" xfId="47402" xr:uid="{00000000-0005-0000-0000-000000550000}"/>
    <cellStyle name="Comma 8 31 2 3 2 3" xfId="24170" xr:uid="{00000000-0005-0000-0000-000001550000}"/>
    <cellStyle name="Comma 8 31 2 3 2 4" xfId="39662" xr:uid="{00000000-0005-0000-0000-000002550000}"/>
    <cellStyle name="Comma 8 31 2 3 3" xfId="12448" xr:uid="{00000000-0005-0000-0000-000003550000}"/>
    <cellStyle name="Comma 8 31 2 3 3 2" xfId="28040" xr:uid="{00000000-0005-0000-0000-000004550000}"/>
    <cellStyle name="Comma 8 31 2 3 3 3" xfId="43532" xr:uid="{00000000-0005-0000-0000-000005550000}"/>
    <cellStyle name="Comma 8 31 2 3 4" xfId="20300" xr:uid="{00000000-0005-0000-0000-000006550000}"/>
    <cellStyle name="Comma 8 31 2 3 5" xfId="35792" xr:uid="{00000000-0005-0000-0000-000007550000}"/>
    <cellStyle name="Comma 8 31 2 4" xfId="6646" xr:uid="{00000000-0005-0000-0000-000008550000}"/>
    <cellStyle name="Comma 8 31 2 4 2" xfId="14391" xr:uid="{00000000-0005-0000-0000-000009550000}"/>
    <cellStyle name="Comma 8 31 2 4 2 2" xfId="29983" xr:uid="{00000000-0005-0000-0000-00000A550000}"/>
    <cellStyle name="Comma 8 31 2 4 2 3" xfId="45475" xr:uid="{00000000-0005-0000-0000-00000B550000}"/>
    <cellStyle name="Comma 8 31 2 4 3" xfId="22243" xr:uid="{00000000-0005-0000-0000-00000C550000}"/>
    <cellStyle name="Comma 8 31 2 4 4" xfId="37735" xr:uid="{00000000-0005-0000-0000-00000D550000}"/>
    <cellStyle name="Comma 8 31 2 5" xfId="10521" xr:uid="{00000000-0005-0000-0000-00000E550000}"/>
    <cellStyle name="Comma 8 31 2 5 2" xfId="26113" xr:uid="{00000000-0005-0000-0000-00000F550000}"/>
    <cellStyle name="Comma 8 31 2 5 3" xfId="41605" xr:uid="{00000000-0005-0000-0000-000010550000}"/>
    <cellStyle name="Comma 8 31 2 6" xfId="18373" xr:uid="{00000000-0005-0000-0000-000011550000}"/>
    <cellStyle name="Comma 8 31 2 7" xfId="33865" xr:uid="{00000000-0005-0000-0000-000012550000}"/>
    <cellStyle name="Comma 8 31 3" xfId="3402" xr:uid="{00000000-0005-0000-0000-000013550000}"/>
    <cellStyle name="Comma 8 31 3 2" xfId="5341" xr:uid="{00000000-0005-0000-0000-000014550000}"/>
    <cellStyle name="Comma 8 31 3 2 2" xfId="9212" xr:uid="{00000000-0005-0000-0000-000015550000}"/>
    <cellStyle name="Comma 8 31 3 2 2 2" xfId="16957" xr:uid="{00000000-0005-0000-0000-000016550000}"/>
    <cellStyle name="Comma 8 31 3 2 2 2 2" xfId="32549" xr:uid="{00000000-0005-0000-0000-000017550000}"/>
    <cellStyle name="Comma 8 31 3 2 2 2 3" xfId="48041" xr:uid="{00000000-0005-0000-0000-000018550000}"/>
    <cellStyle name="Comma 8 31 3 2 2 3" xfId="24809" xr:uid="{00000000-0005-0000-0000-000019550000}"/>
    <cellStyle name="Comma 8 31 3 2 2 4" xfId="40301" xr:uid="{00000000-0005-0000-0000-00001A550000}"/>
    <cellStyle name="Comma 8 31 3 2 3" xfId="13087" xr:uid="{00000000-0005-0000-0000-00001B550000}"/>
    <cellStyle name="Comma 8 31 3 2 3 2" xfId="28679" xr:uid="{00000000-0005-0000-0000-00001C550000}"/>
    <cellStyle name="Comma 8 31 3 2 3 3" xfId="44171" xr:uid="{00000000-0005-0000-0000-00001D550000}"/>
    <cellStyle name="Comma 8 31 3 2 4" xfId="20939" xr:uid="{00000000-0005-0000-0000-00001E550000}"/>
    <cellStyle name="Comma 8 31 3 2 5" xfId="36431" xr:uid="{00000000-0005-0000-0000-00001F550000}"/>
    <cellStyle name="Comma 8 31 3 3" xfId="7285" xr:uid="{00000000-0005-0000-0000-000020550000}"/>
    <cellStyle name="Comma 8 31 3 3 2" xfId="15030" xr:uid="{00000000-0005-0000-0000-000021550000}"/>
    <cellStyle name="Comma 8 31 3 3 2 2" xfId="30622" xr:uid="{00000000-0005-0000-0000-000022550000}"/>
    <cellStyle name="Comma 8 31 3 3 2 3" xfId="46114" xr:uid="{00000000-0005-0000-0000-000023550000}"/>
    <cellStyle name="Comma 8 31 3 3 3" xfId="22882" xr:uid="{00000000-0005-0000-0000-000024550000}"/>
    <cellStyle name="Comma 8 31 3 3 4" xfId="38374" xr:uid="{00000000-0005-0000-0000-000025550000}"/>
    <cellStyle name="Comma 8 31 3 4" xfId="11160" xr:uid="{00000000-0005-0000-0000-000026550000}"/>
    <cellStyle name="Comma 8 31 3 4 2" xfId="26752" xr:uid="{00000000-0005-0000-0000-000027550000}"/>
    <cellStyle name="Comma 8 31 3 4 3" xfId="42244" xr:uid="{00000000-0005-0000-0000-000028550000}"/>
    <cellStyle name="Comma 8 31 3 5" xfId="19012" xr:uid="{00000000-0005-0000-0000-000029550000}"/>
    <cellStyle name="Comma 8 31 3 6" xfId="34504" xr:uid="{00000000-0005-0000-0000-00002A550000}"/>
    <cellStyle name="Comma 8 31 4" xfId="4393" xr:uid="{00000000-0005-0000-0000-00002B550000}"/>
    <cellStyle name="Comma 8 31 4 2" xfId="8264" xr:uid="{00000000-0005-0000-0000-00002C550000}"/>
    <cellStyle name="Comma 8 31 4 2 2" xfId="16009" xr:uid="{00000000-0005-0000-0000-00002D550000}"/>
    <cellStyle name="Comma 8 31 4 2 2 2" xfId="31601" xr:uid="{00000000-0005-0000-0000-00002E550000}"/>
    <cellStyle name="Comma 8 31 4 2 2 3" xfId="47093" xr:uid="{00000000-0005-0000-0000-00002F550000}"/>
    <cellStyle name="Comma 8 31 4 2 3" xfId="23861" xr:uid="{00000000-0005-0000-0000-000030550000}"/>
    <cellStyle name="Comma 8 31 4 2 4" xfId="39353" xr:uid="{00000000-0005-0000-0000-000031550000}"/>
    <cellStyle name="Comma 8 31 4 3" xfId="12139" xr:uid="{00000000-0005-0000-0000-000032550000}"/>
    <cellStyle name="Comma 8 31 4 3 2" xfId="27731" xr:uid="{00000000-0005-0000-0000-000033550000}"/>
    <cellStyle name="Comma 8 31 4 3 3" xfId="43223" xr:uid="{00000000-0005-0000-0000-000034550000}"/>
    <cellStyle name="Comma 8 31 4 4" xfId="19991" xr:uid="{00000000-0005-0000-0000-000035550000}"/>
    <cellStyle name="Comma 8 31 4 5" xfId="35483" xr:uid="{00000000-0005-0000-0000-000036550000}"/>
    <cellStyle name="Comma 8 31 5" xfId="6337" xr:uid="{00000000-0005-0000-0000-000037550000}"/>
    <cellStyle name="Comma 8 31 5 2" xfId="14082" xr:uid="{00000000-0005-0000-0000-000038550000}"/>
    <cellStyle name="Comma 8 31 5 2 2" xfId="29674" xr:uid="{00000000-0005-0000-0000-000039550000}"/>
    <cellStyle name="Comma 8 31 5 2 3" xfId="45166" xr:uid="{00000000-0005-0000-0000-00003A550000}"/>
    <cellStyle name="Comma 8 31 5 3" xfId="21934" xr:uid="{00000000-0005-0000-0000-00003B550000}"/>
    <cellStyle name="Comma 8 31 5 4" xfId="37426" xr:uid="{00000000-0005-0000-0000-00003C550000}"/>
    <cellStyle name="Comma 8 31 6" xfId="10212" xr:uid="{00000000-0005-0000-0000-00003D550000}"/>
    <cellStyle name="Comma 8 31 6 2" xfId="25804" xr:uid="{00000000-0005-0000-0000-00003E550000}"/>
    <cellStyle name="Comma 8 31 6 3" xfId="41296" xr:uid="{00000000-0005-0000-0000-00003F550000}"/>
    <cellStyle name="Comma 8 31 7" xfId="18064" xr:uid="{00000000-0005-0000-0000-000040550000}"/>
    <cellStyle name="Comma 8 31 8" xfId="33556" xr:uid="{00000000-0005-0000-0000-000041550000}"/>
    <cellStyle name="Comma 8 32" xfId="2429" xr:uid="{00000000-0005-0000-0000-000042550000}"/>
    <cellStyle name="Comma 8 32 2" xfId="2739" xr:uid="{00000000-0005-0000-0000-000043550000}"/>
    <cellStyle name="Comma 8 32 2 2" xfId="3747" xr:uid="{00000000-0005-0000-0000-000044550000}"/>
    <cellStyle name="Comma 8 32 2 2 2" xfId="5686" xr:uid="{00000000-0005-0000-0000-000045550000}"/>
    <cellStyle name="Comma 8 32 2 2 2 2" xfId="9557" xr:uid="{00000000-0005-0000-0000-000046550000}"/>
    <cellStyle name="Comma 8 32 2 2 2 2 2" xfId="17302" xr:uid="{00000000-0005-0000-0000-000047550000}"/>
    <cellStyle name="Comma 8 32 2 2 2 2 2 2" xfId="32894" xr:uid="{00000000-0005-0000-0000-000048550000}"/>
    <cellStyle name="Comma 8 32 2 2 2 2 2 3" xfId="48386" xr:uid="{00000000-0005-0000-0000-000049550000}"/>
    <cellStyle name="Comma 8 32 2 2 2 2 3" xfId="25154" xr:uid="{00000000-0005-0000-0000-00004A550000}"/>
    <cellStyle name="Comma 8 32 2 2 2 2 4" xfId="40646" xr:uid="{00000000-0005-0000-0000-00004B550000}"/>
    <cellStyle name="Comma 8 32 2 2 2 3" xfId="13432" xr:uid="{00000000-0005-0000-0000-00004C550000}"/>
    <cellStyle name="Comma 8 32 2 2 2 3 2" xfId="29024" xr:uid="{00000000-0005-0000-0000-00004D550000}"/>
    <cellStyle name="Comma 8 32 2 2 2 3 3" xfId="44516" xr:uid="{00000000-0005-0000-0000-00004E550000}"/>
    <cellStyle name="Comma 8 32 2 2 2 4" xfId="21284" xr:uid="{00000000-0005-0000-0000-00004F550000}"/>
    <cellStyle name="Comma 8 32 2 2 2 5" xfId="36776" xr:uid="{00000000-0005-0000-0000-000050550000}"/>
    <cellStyle name="Comma 8 32 2 2 3" xfId="7630" xr:uid="{00000000-0005-0000-0000-000051550000}"/>
    <cellStyle name="Comma 8 32 2 2 3 2" xfId="15375" xr:uid="{00000000-0005-0000-0000-000052550000}"/>
    <cellStyle name="Comma 8 32 2 2 3 2 2" xfId="30967" xr:uid="{00000000-0005-0000-0000-000053550000}"/>
    <cellStyle name="Comma 8 32 2 2 3 2 3" xfId="46459" xr:uid="{00000000-0005-0000-0000-000054550000}"/>
    <cellStyle name="Comma 8 32 2 2 3 3" xfId="23227" xr:uid="{00000000-0005-0000-0000-000055550000}"/>
    <cellStyle name="Comma 8 32 2 2 3 4" xfId="38719" xr:uid="{00000000-0005-0000-0000-000056550000}"/>
    <cellStyle name="Comma 8 32 2 2 4" xfId="11505" xr:uid="{00000000-0005-0000-0000-000057550000}"/>
    <cellStyle name="Comma 8 32 2 2 4 2" xfId="27097" xr:uid="{00000000-0005-0000-0000-000058550000}"/>
    <cellStyle name="Comma 8 32 2 2 4 3" xfId="42589" xr:uid="{00000000-0005-0000-0000-000059550000}"/>
    <cellStyle name="Comma 8 32 2 2 5" xfId="19357" xr:uid="{00000000-0005-0000-0000-00005A550000}"/>
    <cellStyle name="Comma 8 32 2 2 6" xfId="34849" xr:uid="{00000000-0005-0000-0000-00005B550000}"/>
    <cellStyle name="Comma 8 32 2 3" xfId="4738" xr:uid="{00000000-0005-0000-0000-00005C550000}"/>
    <cellStyle name="Comma 8 32 2 3 2" xfId="8609" xr:uid="{00000000-0005-0000-0000-00005D550000}"/>
    <cellStyle name="Comma 8 32 2 3 2 2" xfId="16354" xr:uid="{00000000-0005-0000-0000-00005E550000}"/>
    <cellStyle name="Comma 8 32 2 3 2 2 2" xfId="31946" xr:uid="{00000000-0005-0000-0000-00005F550000}"/>
    <cellStyle name="Comma 8 32 2 3 2 2 3" xfId="47438" xr:uid="{00000000-0005-0000-0000-000060550000}"/>
    <cellStyle name="Comma 8 32 2 3 2 3" xfId="24206" xr:uid="{00000000-0005-0000-0000-000061550000}"/>
    <cellStyle name="Comma 8 32 2 3 2 4" xfId="39698" xr:uid="{00000000-0005-0000-0000-000062550000}"/>
    <cellStyle name="Comma 8 32 2 3 3" xfId="12484" xr:uid="{00000000-0005-0000-0000-000063550000}"/>
    <cellStyle name="Comma 8 32 2 3 3 2" xfId="28076" xr:uid="{00000000-0005-0000-0000-000064550000}"/>
    <cellStyle name="Comma 8 32 2 3 3 3" xfId="43568" xr:uid="{00000000-0005-0000-0000-000065550000}"/>
    <cellStyle name="Comma 8 32 2 3 4" xfId="20336" xr:uid="{00000000-0005-0000-0000-000066550000}"/>
    <cellStyle name="Comma 8 32 2 3 5" xfId="35828" xr:uid="{00000000-0005-0000-0000-000067550000}"/>
    <cellStyle name="Comma 8 32 2 4" xfId="6682" xr:uid="{00000000-0005-0000-0000-000068550000}"/>
    <cellStyle name="Comma 8 32 2 4 2" xfId="14427" xr:uid="{00000000-0005-0000-0000-000069550000}"/>
    <cellStyle name="Comma 8 32 2 4 2 2" xfId="30019" xr:uid="{00000000-0005-0000-0000-00006A550000}"/>
    <cellStyle name="Comma 8 32 2 4 2 3" xfId="45511" xr:uid="{00000000-0005-0000-0000-00006B550000}"/>
    <cellStyle name="Comma 8 32 2 4 3" xfId="22279" xr:uid="{00000000-0005-0000-0000-00006C550000}"/>
    <cellStyle name="Comma 8 32 2 4 4" xfId="37771" xr:uid="{00000000-0005-0000-0000-00006D550000}"/>
    <cellStyle name="Comma 8 32 2 5" xfId="10557" xr:uid="{00000000-0005-0000-0000-00006E550000}"/>
    <cellStyle name="Comma 8 32 2 5 2" xfId="26149" xr:uid="{00000000-0005-0000-0000-00006F550000}"/>
    <cellStyle name="Comma 8 32 2 5 3" xfId="41641" xr:uid="{00000000-0005-0000-0000-000070550000}"/>
    <cellStyle name="Comma 8 32 2 6" xfId="18409" xr:uid="{00000000-0005-0000-0000-000071550000}"/>
    <cellStyle name="Comma 8 32 2 7" xfId="33901" xr:uid="{00000000-0005-0000-0000-000072550000}"/>
    <cellStyle name="Comma 8 32 3" xfId="3438" xr:uid="{00000000-0005-0000-0000-000073550000}"/>
    <cellStyle name="Comma 8 32 3 2" xfId="5377" xr:uid="{00000000-0005-0000-0000-000074550000}"/>
    <cellStyle name="Comma 8 32 3 2 2" xfId="9248" xr:uid="{00000000-0005-0000-0000-000075550000}"/>
    <cellStyle name="Comma 8 32 3 2 2 2" xfId="16993" xr:uid="{00000000-0005-0000-0000-000076550000}"/>
    <cellStyle name="Comma 8 32 3 2 2 2 2" xfId="32585" xr:uid="{00000000-0005-0000-0000-000077550000}"/>
    <cellStyle name="Comma 8 32 3 2 2 2 3" xfId="48077" xr:uid="{00000000-0005-0000-0000-000078550000}"/>
    <cellStyle name="Comma 8 32 3 2 2 3" xfId="24845" xr:uid="{00000000-0005-0000-0000-000079550000}"/>
    <cellStyle name="Comma 8 32 3 2 2 4" xfId="40337" xr:uid="{00000000-0005-0000-0000-00007A550000}"/>
    <cellStyle name="Comma 8 32 3 2 3" xfId="13123" xr:uid="{00000000-0005-0000-0000-00007B550000}"/>
    <cellStyle name="Comma 8 32 3 2 3 2" xfId="28715" xr:uid="{00000000-0005-0000-0000-00007C550000}"/>
    <cellStyle name="Comma 8 32 3 2 3 3" xfId="44207" xr:uid="{00000000-0005-0000-0000-00007D550000}"/>
    <cellStyle name="Comma 8 32 3 2 4" xfId="20975" xr:uid="{00000000-0005-0000-0000-00007E550000}"/>
    <cellStyle name="Comma 8 32 3 2 5" xfId="36467" xr:uid="{00000000-0005-0000-0000-00007F550000}"/>
    <cellStyle name="Comma 8 32 3 3" xfId="7321" xr:uid="{00000000-0005-0000-0000-000080550000}"/>
    <cellStyle name="Comma 8 32 3 3 2" xfId="15066" xr:uid="{00000000-0005-0000-0000-000081550000}"/>
    <cellStyle name="Comma 8 32 3 3 2 2" xfId="30658" xr:uid="{00000000-0005-0000-0000-000082550000}"/>
    <cellStyle name="Comma 8 32 3 3 2 3" xfId="46150" xr:uid="{00000000-0005-0000-0000-000083550000}"/>
    <cellStyle name="Comma 8 32 3 3 3" xfId="22918" xr:uid="{00000000-0005-0000-0000-000084550000}"/>
    <cellStyle name="Comma 8 32 3 3 4" xfId="38410" xr:uid="{00000000-0005-0000-0000-000085550000}"/>
    <cellStyle name="Comma 8 32 3 4" xfId="11196" xr:uid="{00000000-0005-0000-0000-000086550000}"/>
    <cellStyle name="Comma 8 32 3 4 2" xfId="26788" xr:uid="{00000000-0005-0000-0000-000087550000}"/>
    <cellStyle name="Comma 8 32 3 4 3" xfId="42280" xr:uid="{00000000-0005-0000-0000-000088550000}"/>
    <cellStyle name="Comma 8 32 3 5" xfId="19048" xr:uid="{00000000-0005-0000-0000-000089550000}"/>
    <cellStyle name="Comma 8 32 3 6" xfId="34540" xr:uid="{00000000-0005-0000-0000-00008A550000}"/>
    <cellStyle name="Comma 8 32 4" xfId="4429" xr:uid="{00000000-0005-0000-0000-00008B550000}"/>
    <cellStyle name="Comma 8 32 4 2" xfId="8300" xr:uid="{00000000-0005-0000-0000-00008C550000}"/>
    <cellStyle name="Comma 8 32 4 2 2" xfId="16045" xr:uid="{00000000-0005-0000-0000-00008D550000}"/>
    <cellStyle name="Comma 8 32 4 2 2 2" xfId="31637" xr:uid="{00000000-0005-0000-0000-00008E550000}"/>
    <cellStyle name="Comma 8 32 4 2 2 3" xfId="47129" xr:uid="{00000000-0005-0000-0000-00008F550000}"/>
    <cellStyle name="Comma 8 32 4 2 3" xfId="23897" xr:uid="{00000000-0005-0000-0000-000090550000}"/>
    <cellStyle name="Comma 8 32 4 2 4" xfId="39389" xr:uid="{00000000-0005-0000-0000-000091550000}"/>
    <cellStyle name="Comma 8 32 4 3" xfId="12175" xr:uid="{00000000-0005-0000-0000-000092550000}"/>
    <cellStyle name="Comma 8 32 4 3 2" xfId="27767" xr:uid="{00000000-0005-0000-0000-000093550000}"/>
    <cellStyle name="Comma 8 32 4 3 3" xfId="43259" xr:uid="{00000000-0005-0000-0000-000094550000}"/>
    <cellStyle name="Comma 8 32 4 4" xfId="20027" xr:uid="{00000000-0005-0000-0000-000095550000}"/>
    <cellStyle name="Comma 8 32 4 5" xfId="35519" xr:uid="{00000000-0005-0000-0000-000096550000}"/>
    <cellStyle name="Comma 8 32 5" xfId="6373" xr:uid="{00000000-0005-0000-0000-000097550000}"/>
    <cellStyle name="Comma 8 32 5 2" xfId="14118" xr:uid="{00000000-0005-0000-0000-000098550000}"/>
    <cellStyle name="Comma 8 32 5 2 2" xfId="29710" xr:uid="{00000000-0005-0000-0000-000099550000}"/>
    <cellStyle name="Comma 8 32 5 2 3" xfId="45202" xr:uid="{00000000-0005-0000-0000-00009A550000}"/>
    <cellStyle name="Comma 8 32 5 3" xfId="21970" xr:uid="{00000000-0005-0000-0000-00009B550000}"/>
    <cellStyle name="Comma 8 32 5 4" xfId="37462" xr:uid="{00000000-0005-0000-0000-00009C550000}"/>
    <cellStyle name="Comma 8 32 6" xfId="10248" xr:uid="{00000000-0005-0000-0000-00009D550000}"/>
    <cellStyle name="Comma 8 32 6 2" xfId="25840" xr:uid="{00000000-0005-0000-0000-00009E550000}"/>
    <cellStyle name="Comma 8 32 6 3" xfId="41332" xr:uid="{00000000-0005-0000-0000-00009F550000}"/>
    <cellStyle name="Comma 8 32 7" xfId="18100" xr:uid="{00000000-0005-0000-0000-0000A0550000}"/>
    <cellStyle name="Comma 8 32 8" xfId="33592" xr:uid="{00000000-0005-0000-0000-0000A1550000}"/>
    <cellStyle name="Comma 8 33" xfId="2466" xr:uid="{00000000-0005-0000-0000-0000A2550000}"/>
    <cellStyle name="Comma 8 33 2" xfId="2775" xr:uid="{00000000-0005-0000-0000-0000A3550000}"/>
    <cellStyle name="Comma 8 33 2 2" xfId="3783" xr:uid="{00000000-0005-0000-0000-0000A4550000}"/>
    <cellStyle name="Comma 8 33 2 2 2" xfId="5722" xr:uid="{00000000-0005-0000-0000-0000A5550000}"/>
    <cellStyle name="Comma 8 33 2 2 2 2" xfId="9593" xr:uid="{00000000-0005-0000-0000-0000A6550000}"/>
    <cellStyle name="Comma 8 33 2 2 2 2 2" xfId="17338" xr:uid="{00000000-0005-0000-0000-0000A7550000}"/>
    <cellStyle name="Comma 8 33 2 2 2 2 2 2" xfId="32930" xr:uid="{00000000-0005-0000-0000-0000A8550000}"/>
    <cellStyle name="Comma 8 33 2 2 2 2 2 3" xfId="48422" xr:uid="{00000000-0005-0000-0000-0000A9550000}"/>
    <cellStyle name="Comma 8 33 2 2 2 2 3" xfId="25190" xr:uid="{00000000-0005-0000-0000-0000AA550000}"/>
    <cellStyle name="Comma 8 33 2 2 2 2 4" xfId="40682" xr:uid="{00000000-0005-0000-0000-0000AB550000}"/>
    <cellStyle name="Comma 8 33 2 2 2 3" xfId="13468" xr:uid="{00000000-0005-0000-0000-0000AC550000}"/>
    <cellStyle name="Comma 8 33 2 2 2 3 2" xfId="29060" xr:uid="{00000000-0005-0000-0000-0000AD550000}"/>
    <cellStyle name="Comma 8 33 2 2 2 3 3" xfId="44552" xr:uid="{00000000-0005-0000-0000-0000AE550000}"/>
    <cellStyle name="Comma 8 33 2 2 2 4" xfId="21320" xr:uid="{00000000-0005-0000-0000-0000AF550000}"/>
    <cellStyle name="Comma 8 33 2 2 2 5" xfId="36812" xr:uid="{00000000-0005-0000-0000-0000B0550000}"/>
    <cellStyle name="Comma 8 33 2 2 3" xfId="7666" xr:uid="{00000000-0005-0000-0000-0000B1550000}"/>
    <cellStyle name="Comma 8 33 2 2 3 2" xfId="15411" xr:uid="{00000000-0005-0000-0000-0000B2550000}"/>
    <cellStyle name="Comma 8 33 2 2 3 2 2" xfId="31003" xr:uid="{00000000-0005-0000-0000-0000B3550000}"/>
    <cellStyle name="Comma 8 33 2 2 3 2 3" xfId="46495" xr:uid="{00000000-0005-0000-0000-0000B4550000}"/>
    <cellStyle name="Comma 8 33 2 2 3 3" xfId="23263" xr:uid="{00000000-0005-0000-0000-0000B5550000}"/>
    <cellStyle name="Comma 8 33 2 2 3 4" xfId="38755" xr:uid="{00000000-0005-0000-0000-0000B6550000}"/>
    <cellStyle name="Comma 8 33 2 2 4" xfId="11541" xr:uid="{00000000-0005-0000-0000-0000B7550000}"/>
    <cellStyle name="Comma 8 33 2 2 4 2" xfId="27133" xr:uid="{00000000-0005-0000-0000-0000B8550000}"/>
    <cellStyle name="Comma 8 33 2 2 4 3" xfId="42625" xr:uid="{00000000-0005-0000-0000-0000B9550000}"/>
    <cellStyle name="Comma 8 33 2 2 5" xfId="19393" xr:uid="{00000000-0005-0000-0000-0000BA550000}"/>
    <cellStyle name="Comma 8 33 2 2 6" xfId="34885" xr:uid="{00000000-0005-0000-0000-0000BB550000}"/>
    <cellStyle name="Comma 8 33 2 3" xfId="4774" xr:uid="{00000000-0005-0000-0000-0000BC550000}"/>
    <cellStyle name="Comma 8 33 2 3 2" xfId="8645" xr:uid="{00000000-0005-0000-0000-0000BD550000}"/>
    <cellStyle name="Comma 8 33 2 3 2 2" xfId="16390" xr:uid="{00000000-0005-0000-0000-0000BE550000}"/>
    <cellStyle name="Comma 8 33 2 3 2 2 2" xfId="31982" xr:uid="{00000000-0005-0000-0000-0000BF550000}"/>
    <cellStyle name="Comma 8 33 2 3 2 2 3" xfId="47474" xr:uid="{00000000-0005-0000-0000-0000C0550000}"/>
    <cellStyle name="Comma 8 33 2 3 2 3" xfId="24242" xr:uid="{00000000-0005-0000-0000-0000C1550000}"/>
    <cellStyle name="Comma 8 33 2 3 2 4" xfId="39734" xr:uid="{00000000-0005-0000-0000-0000C2550000}"/>
    <cellStyle name="Comma 8 33 2 3 3" xfId="12520" xr:uid="{00000000-0005-0000-0000-0000C3550000}"/>
    <cellStyle name="Comma 8 33 2 3 3 2" xfId="28112" xr:uid="{00000000-0005-0000-0000-0000C4550000}"/>
    <cellStyle name="Comma 8 33 2 3 3 3" xfId="43604" xr:uid="{00000000-0005-0000-0000-0000C5550000}"/>
    <cellStyle name="Comma 8 33 2 3 4" xfId="20372" xr:uid="{00000000-0005-0000-0000-0000C6550000}"/>
    <cellStyle name="Comma 8 33 2 3 5" xfId="35864" xr:uid="{00000000-0005-0000-0000-0000C7550000}"/>
    <cellStyle name="Comma 8 33 2 4" xfId="6718" xr:uid="{00000000-0005-0000-0000-0000C8550000}"/>
    <cellStyle name="Comma 8 33 2 4 2" xfId="14463" xr:uid="{00000000-0005-0000-0000-0000C9550000}"/>
    <cellStyle name="Comma 8 33 2 4 2 2" xfId="30055" xr:uid="{00000000-0005-0000-0000-0000CA550000}"/>
    <cellStyle name="Comma 8 33 2 4 2 3" xfId="45547" xr:uid="{00000000-0005-0000-0000-0000CB550000}"/>
    <cellStyle name="Comma 8 33 2 4 3" xfId="22315" xr:uid="{00000000-0005-0000-0000-0000CC550000}"/>
    <cellStyle name="Comma 8 33 2 4 4" xfId="37807" xr:uid="{00000000-0005-0000-0000-0000CD550000}"/>
    <cellStyle name="Comma 8 33 2 5" xfId="10593" xr:uid="{00000000-0005-0000-0000-0000CE550000}"/>
    <cellStyle name="Comma 8 33 2 5 2" xfId="26185" xr:uid="{00000000-0005-0000-0000-0000CF550000}"/>
    <cellStyle name="Comma 8 33 2 5 3" xfId="41677" xr:uid="{00000000-0005-0000-0000-0000D0550000}"/>
    <cellStyle name="Comma 8 33 2 6" xfId="18445" xr:uid="{00000000-0005-0000-0000-0000D1550000}"/>
    <cellStyle name="Comma 8 33 2 7" xfId="33937" xr:uid="{00000000-0005-0000-0000-0000D2550000}"/>
    <cellStyle name="Comma 8 33 3" xfId="3474" xr:uid="{00000000-0005-0000-0000-0000D3550000}"/>
    <cellStyle name="Comma 8 33 3 2" xfId="5413" xr:uid="{00000000-0005-0000-0000-0000D4550000}"/>
    <cellStyle name="Comma 8 33 3 2 2" xfId="9284" xr:uid="{00000000-0005-0000-0000-0000D5550000}"/>
    <cellStyle name="Comma 8 33 3 2 2 2" xfId="17029" xr:uid="{00000000-0005-0000-0000-0000D6550000}"/>
    <cellStyle name="Comma 8 33 3 2 2 2 2" xfId="32621" xr:uid="{00000000-0005-0000-0000-0000D7550000}"/>
    <cellStyle name="Comma 8 33 3 2 2 2 3" xfId="48113" xr:uid="{00000000-0005-0000-0000-0000D8550000}"/>
    <cellStyle name="Comma 8 33 3 2 2 3" xfId="24881" xr:uid="{00000000-0005-0000-0000-0000D9550000}"/>
    <cellStyle name="Comma 8 33 3 2 2 4" xfId="40373" xr:uid="{00000000-0005-0000-0000-0000DA550000}"/>
    <cellStyle name="Comma 8 33 3 2 3" xfId="13159" xr:uid="{00000000-0005-0000-0000-0000DB550000}"/>
    <cellStyle name="Comma 8 33 3 2 3 2" xfId="28751" xr:uid="{00000000-0005-0000-0000-0000DC550000}"/>
    <cellStyle name="Comma 8 33 3 2 3 3" xfId="44243" xr:uid="{00000000-0005-0000-0000-0000DD550000}"/>
    <cellStyle name="Comma 8 33 3 2 4" xfId="21011" xr:uid="{00000000-0005-0000-0000-0000DE550000}"/>
    <cellStyle name="Comma 8 33 3 2 5" xfId="36503" xr:uid="{00000000-0005-0000-0000-0000DF550000}"/>
    <cellStyle name="Comma 8 33 3 3" xfId="7357" xr:uid="{00000000-0005-0000-0000-0000E0550000}"/>
    <cellStyle name="Comma 8 33 3 3 2" xfId="15102" xr:uid="{00000000-0005-0000-0000-0000E1550000}"/>
    <cellStyle name="Comma 8 33 3 3 2 2" xfId="30694" xr:uid="{00000000-0005-0000-0000-0000E2550000}"/>
    <cellStyle name="Comma 8 33 3 3 2 3" xfId="46186" xr:uid="{00000000-0005-0000-0000-0000E3550000}"/>
    <cellStyle name="Comma 8 33 3 3 3" xfId="22954" xr:uid="{00000000-0005-0000-0000-0000E4550000}"/>
    <cellStyle name="Comma 8 33 3 3 4" xfId="38446" xr:uid="{00000000-0005-0000-0000-0000E5550000}"/>
    <cellStyle name="Comma 8 33 3 4" xfId="11232" xr:uid="{00000000-0005-0000-0000-0000E6550000}"/>
    <cellStyle name="Comma 8 33 3 4 2" xfId="26824" xr:uid="{00000000-0005-0000-0000-0000E7550000}"/>
    <cellStyle name="Comma 8 33 3 4 3" xfId="42316" xr:uid="{00000000-0005-0000-0000-0000E8550000}"/>
    <cellStyle name="Comma 8 33 3 5" xfId="19084" xr:uid="{00000000-0005-0000-0000-0000E9550000}"/>
    <cellStyle name="Comma 8 33 3 6" xfId="34576" xr:uid="{00000000-0005-0000-0000-0000EA550000}"/>
    <cellStyle name="Comma 8 33 4" xfId="4465" xr:uid="{00000000-0005-0000-0000-0000EB550000}"/>
    <cellStyle name="Comma 8 33 4 2" xfId="8336" xr:uid="{00000000-0005-0000-0000-0000EC550000}"/>
    <cellStyle name="Comma 8 33 4 2 2" xfId="16081" xr:uid="{00000000-0005-0000-0000-0000ED550000}"/>
    <cellStyle name="Comma 8 33 4 2 2 2" xfId="31673" xr:uid="{00000000-0005-0000-0000-0000EE550000}"/>
    <cellStyle name="Comma 8 33 4 2 2 3" xfId="47165" xr:uid="{00000000-0005-0000-0000-0000EF550000}"/>
    <cellStyle name="Comma 8 33 4 2 3" xfId="23933" xr:uid="{00000000-0005-0000-0000-0000F0550000}"/>
    <cellStyle name="Comma 8 33 4 2 4" xfId="39425" xr:uid="{00000000-0005-0000-0000-0000F1550000}"/>
    <cellStyle name="Comma 8 33 4 3" xfId="12211" xr:uid="{00000000-0005-0000-0000-0000F2550000}"/>
    <cellStyle name="Comma 8 33 4 3 2" xfId="27803" xr:uid="{00000000-0005-0000-0000-0000F3550000}"/>
    <cellStyle name="Comma 8 33 4 3 3" xfId="43295" xr:uid="{00000000-0005-0000-0000-0000F4550000}"/>
    <cellStyle name="Comma 8 33 4 4" xfId="20063" xr:uid="{00000000-0005-0000-0000-0000F5550000}"/>
    <cellStyle name="Comma 8 33 4 5" xfId="35555" xr:uid="{00000000-0005-0000-0000-0000F6550000}"/>
    <cellStyle name="Comma 8 33 5" xfId="6409" xr:uid="{00000000-0005-0000-0000-0000F7550000}"/>
    <cellStyle name="Comma 8 33 5 2" xfId="14154" xr:uid="{00000000-0005-0000-0000-0000F8550000}"/>
    <cellStyle name="Comma 8 33 5 2 2" xfId="29746" xr:uid="{00000000-0005-0000-0000-0000F9550000}"/>
    <cellStyle name="Comma 8 33 5 2 3" xfId="45238" xr:uid="{00000000-0005-0000-0000-0000FA550000}"/>
    <cellStyle name="Comma 8 33 5 3" xfId="22006" xr:uid="{00000000-0005-0000-0000-0000FB550000}"/>
    <cellStyle name="Comma 8 33 5 4" xfId="37498" xr:uid="{00000000-0005-0000-0000-0000FC550000}"/>
    <cellStyle name="Comma 8 33 6" xfId="10284" xr:uid="{00000000-0005-0000-0000-0000FD550000}"/>
    <cellStyle name="Comma 8 33 6 2" xfId="25876" xr:uid="{00000000-0005-0000-0000-0000FE550000}"/>
    <cellStyle name="Comma 8 33 6 3" xfId="41368" xr:uid="{00000000-0005-0000-0000-0000FF550000}"/>
    <cellStyle name="Comma 8 33 7" xfId="18136" xr:uid="{00000000-0005-0000-0000-000000560000}"/>
    <cellStyle name="Comma 8 33 8" xfId="33628" xr:uid="{00000000-0005-0000-0000-000001560000}"/>
    <cellStyle name="Comma 8 34" xfId="2812" xr:uid="{00000000-0005-0000-0000-000002560000}"/>
    <cellStyle name="Comma 8 34 2" xfId="3819" xr:uid="{00000000-0005-0000-0000-000003560000}"/>
    <cellStyle name="Comma 8 34 2 2" xfId="5758" xr:uid="{00000000-0005-0000-0000-000004560000}"/>
    <cellStyle name="Comma 8 34 2 2 2" xfId="9629" xr:uid="{00000000-0005-0000-0000-000005560000}"/>
    <cellStyle name="Comma 8 34 2 2 2 2" xfId="17374" xr:uid="{00000000-0005-0000-0000-000006560000}"/>
    <cellStyle name="Comma 8 34 2 2 2 2 2" xfId="32966" xr:uid="{00000000-0005-0000-0000-000007560000}"/>
    <cellStyle name="Comma 8 34 2 2 2 2 3" xfId="48458" xr:uid="{00000000-0005-0000-0000-000008560000}"/>
    <cellStyle name="Comma 8 34 2 2 2 3" xfId="25226" xr:uid="{00000000-0005-0000-0000-000009560000}"/>
    <cellStyle name="Comma 8 34 2 2 2 4" xfId="40718" xr:uid="{00000000-0005-0000-0000-00000A560000}"/>
    <cellStyle name="Comma 8 34 2 2 3" xfId="13504" xr:uid="{00000000-0005-0000-0000-00000B560000}"/>
    <cellStyle name="Comma 8 34 2 2 3 2" xfId="29096" xr:uid="{00000000-0005-0000-0000-00000C560000}"/>
    <cellStyle name="Comma 8 34 2 2 3 3" xfId="44588" xr:uid="{00000000-0005-0000-0000-00000D560000}"/>
    <cellStyle name="Comma 8 34 2 2 4" xfId="21356" xr:uid="{00000000-0005-0000-0000-00000E560000}"/>
    <cellStyle name="Comma 8 34 2 2 5" xfId="36848" xr:uid="{00000000-0005-0000-0000-00000F560000}"/>
    <cellStyle name="Comma 8 34 2 3" xfId="7702" xr:uid="{00000000-0005-0000-0000-000010560000}"/>
    <cellStyle name="Comma 8 34 2 3 2" xfId="15447" xr:uid="{00000000-0005-0000-0000-000011560000}"/>
    <cellStyle name="Comma 8 34 2 3 2 2" xfId="31039" xr:uid="{00000000-0005-0000-0000-000012560000}"/>
    <cellStyle name="Comma 8 34 2 3 2 3" xfId="46531" xr:uid="{00000000-0005-0000-0000-000013560000}"/>
    <cellStyle name="Comma 8 34 2 3 3" xfId="23299" xr:uid="{00000000-0005-0000-0000-000014560000}"/>
    <cellStyle name="Comma 8 34 2 3 4" xfId="38791" xr:uid="{00000000-0005-0000-0000-000015560000}"/>
    <cellStyle name="Comma 8 34 2 4" xfId="11577" xr:uid="{00000000-0005-0000-0000-000016560000}"/>
    <cellStyle name="Comma 8 34 2 4 2" xfId="27169" xr:uid="{00000000-0005-0000-0000-000017560000}"/>
    <cellStyle name="Comma 8 34 2 4 3" xfId="42661" xr:uid="{00000000-0005-0000-0000-000018560000}"/>
    <cellStyle name="Comma 8 34 2 5" xfId="19429" xr:uid="{00000000-0005-0000-0000-000019560000}"/>
    <cellStyle name="Comma 8 34 2 6" xfId="34921" xr:uid="{00000000-0005-0000-0000-00001A560000}"/>
    <cellStyle name="Comma 8 34 3" xfId="4810" xr:uid="{00000000-0005-0000-0000-00001B560000}"/>
    <cellStyle name="Comma 8 34 3 2" xfId="8681" xr:uid="{00000000-0005-0000-0000-00001C560000}"/>
    <cellStyle name="Comma 8 34 3 2 2" xfId="16426" xr:uid="{00000000-0005-0000-0000-00001D560000}"/>
    <cellStyle name="Comma 8 34 3 2 2 2" xfId="32018" xr:uid="{00000000-0005-0000-0000-00001E560000}"/>
    <cellStyle name="Comma 8 34 3 2 2 3" xfId="47510" xr:uid="{00000000-0005-0000-0000-00001F560000}"/>
    <cellStyle name="Comma 8 34 3 2 3" xfId="24278" xr:uid="{00000000-0005-0000-0000-000020560000}"/>
    <cellStyle name="Comma 8 34 3 2 4" xfId="39770" xr:uid="{00000000-0005-0000-0000-000021560000}"/>
    <cellStyle name="Comma 8 34 3 3" xfId="12556" xr:uid="{00000000-0005-0000-0000-000022560000}"/>
    <cellStyle name="Comma 8 34 3 3 2" xfId="28148" xr:uid="{00000000-0005-0000-0000-000023560000}"/>
    <cellStyle name="Comma 8 34 3 3 3" xfId="43640" xr:uid="{00000000-0005-0000-0000-000024560000}"/>
    <cellStyle name="Comma 8 34 3 4" xfId="20408" xr:uid="{00000000-0005-0000-0000-000025560000}"/>
    <cellStyle name="Comma 8 34 3 5" xfId="35900" xr:uid="{00000000-0005-0000-0000-000026560000}"/>
    <cellStyle name="Comma 8 34 4" xfId="6754" xr:uid="{00000000-0005-0000-0000-000027560000}"/>
    <cellStyle name="Comma 8 34 4 2" xfId="14499" xr:uid="{00000000-0005-0000-0000-000028560000}"/>
    <cellStyle name="Comma 8 34 4 2 2" xfId="30091" xr:uid="{00000000-0005-0000-0000-000029560000}"/>
    <cellStyle name="Comma 8 34 4 2 3" xfId="45583" xr:uid="{00000000-0005-0000-0000-00002A560000}"/>
    <cellStyle name="Comma 8 34 4 3" xfId="22351" xr:uid="{00000000-0005-0000-0000-00002B560000}"/>
    <cellStyle name="Comma 8 34 4 4" xfId="37843" xr:uid="{00000000-0005-0000-0000-00002C560000}"/>
    <cellStyle name="Comma 8 34 5" xfId="10629" xr:uid="{00000000-0005-0000-0000-00002D560000}"/>
    <cellStyle name="Comma 8 34 5 2" xfId="26221" xr:uid="{00000000-0005-0000-0000-00002E560000}"/>
    <cellStyle name="Comma 8 34 5 3" xfId="41713" xr:uid="{00000000-0005-0000-0000-00002F560000}"/>
    <cellStyle name="Comma 8 34 6" xfId="18481" xr:uid="{00000000-0005-0000-0000-000030560000}"/>
    <cellStyle name="Comma 8 34 7" xfId="33973" xr:uid="{00000000-0005-0000-0000-000031560000}"/>
    <cellStyle name="Comma 8 35" xfId="2851" xr:uid="{00000000-0005-0000-0000-000032560000}"/>
    <cellStyle name="Comma 8 35 2" xfId="3857" xr:uid="{00000000-0005-0000-0000-000033560000}"/>
    <cellStyle name="Comma 8 35 2 2" xfId="5796" xr:uid="{00000000-0005-0000-0000-000034560000}"/>
    <cellStyle name="Comma 8 35 2 2 2" xfId="9667" xr:uid="{00000000-0005-0000-0000-000035560000}"/>
    <cellStyle name="Comma 8 35 2 2 2 2" xfId="17412" xr:uid="{00000000-0005-0000-0000-000036560000}"/>
    <cellStyle name="Comma 8 35 2 2 2 2 2" xfId="33004" xr:uid="{00000000-0005-0000-0000-000037560000}"/>
    <cellStyle name="Comma 8 35 2 2 2 2 3" xfId="48496" xr:uid="{00000000-0005-0000-0000-000038560000}"/>
    <cellStyle name="Comma 8 35 2 2 2 3" xfId="25264" xr:uid="{00000000-0005-0000-0000-000039560000}"/>
    <cellStyle name="Comma 8 35 2 2 2 4" xfId="40756" xr:uid="{00000000-0005-0000-0000-00003A560000}"/>
    <cellStyle name="Comma 8 35 2 2 3" xfId="13542" xr:uid="{00000000-0005-0000-0000-00003B560000}"/>
    <cellStyle name="Comma 8 35 2 2 3 2" xfId="29134" xr:uid="{00000000-0005-0000-0000-00003C560000}"/>
    <cellStyle name="Comma 8 35 2 2 3 3" xfId="44626" xr:uid="{00000000-0005-0000-0000-00003D560000}"/>
    <cellStyle name="Comma 8 35 2 2 4" xfId="21394" xr:uid="{00000000-0005-0000-0000-00003E560000}"/>
    <cellStyle name="Comma 8 35 2 2 5" xfId="36886" xr:uid="{00000000-0005-0000-0000-00003F560000}"/>
    <cellStyle name="Comma 8 35 2 3" xfId="7740" xr:uid="{00000000-0005-0000-0000-000040560000}"/>
    <cellStyle name="Comma 8 35 2 3 2" xfId="15485" xr:uid="{00000000-0005-0000-0000-000041560000}"/>
    <cellStyle name="Comma 8 35 2 3 2 2" xfId="31077" xr:uid="{00000000-0005-0000-0000-000042560000}"/>
    <cellStyle name="Comma 8 35 2 3 2 3" xfId="46569" xr:uid="{00000000-0005-0000-0000-000043560000}"/>
    <cellStyle name="Comma 8 35 2 3 3" xfId="23337" xr:uid="{00000000-0005-0000-0000-000044560000}"/>
    <cellStyle name="Comma 8 35 2 3 4" xfId="38829" xr:uid="{00000000-0005-0000-0000-000045560000}"/>
    <cellStyle name="Comma 8 35 2 4" xfId="11615" xr:uid="{00000000-0005-0000-0000-000046560000}"/>
    <cellStyle name="Comma 8 35 2 4 2" xfId="27207" xr:uid="{00000000-0005-0000-0000-000047560000}"/>
    <cellStyle name="Comma 8 35 2 4 3" xfId="42699" xr:uid="{00000000-0005-0000-0000-000048560000}"/>
    <cellStyle name="Comma 8 35 2 5" xfId="19467" xr:uid="{00000000-0005-0000-0000-000049560000}"/>
    <cellStyle name="Comma 8 35 2 6" xfId="34959" xr:uid="{00000000-0005-0000-0000-00004A560000}"/>
    <cellStyle name="Comma 8 35 3" xfId="4848" xr:uid="{00000000-0005-0000-0000-00004B560000}"/>
    <cellStyle name="Comma 8 35 3 2" xfId="8719" xr:uid="{00000000-0005-0000-0000-00004C560000}"/>
    <cellStyle name="Comma 8 35 3 2 2" xfId="16464" xr:uid="{00000000-0005-0000-0000-00004D560000}"/>
    <cellStyle name="Comma 8 35 3 2 2 2" xfId="32056" xr:uid="{00000000-0005-0000-0000-00004E560000}"/>
    <cellStyle name="Comma 8 35 3 2 2 3" xfId="47548" xr:uid="{00000000-0005-0000-0000-00004F560000}"/>
    <cellStyle name="Comma 8 35 3 2 3" xfId="24316" xr:uid="{00000000-0005-0000-0000-000050560000}"/>
    <cellStyle name="Comma 8 35 3 2 4" xfId="39808" xr:uid="{00000000-0005-0000-0000-000051560000}"/>
    <cellStyle name="Comma 8 35 3 3" xfId="12594" xr:uid="{00000000-0005-0000-0000-000052560000}"/>
    <cellStyle name="Comma 8 35 3 3 2" xfId="28186" xr:uid="{00000000-0005-0000-0000-000053560000}"/>
    <cellStyle name="Comma 8 35 3 3 3" xfId="43678" xr:uid="{00000000-0005-0000-0000-000054560000}"/>
    <cellStyle name="Comma 8 35 3 4" xfId="20446" xr:uid="{00000000-0005-0000-0000-000055560000}"/>
    <cellStyle name="Comma 8 35 3 5" xfId="35938" xr:uid="{00000000-0005-0000-0000-000056560000}"/>
    <cellStyle name="Comma 8 35 4" xfId="6792" xr:uid="{00000000-0005-0000-0000-000057560000}"/>
    <cellStyle name="Comma 8 35 4 2" xfId="14537" xr:uid="{00000000-0005-0000-0000-000058560000}"/>
    <cellStyle name="Comma 8 35 4 2 2" xfId="30129" xr:uid="{00000000-0005-0000-0000-000059560000}"/>
    <cellStyle name="Comma 8 35 4 2 3" xfId="45621" xr:uid="{00000000-0005-0000-0000-00005A560000}"/>
    <cellStyle name="Comma 8 35 4 3" xfId="22389" xr:uid="{00000000-0005-0000-0000-00005B560000}"/>
    <cellStyle name="Comma 8 35 4 4" xfId="37881" xr:uid="{00000000-0005-0000-0000-00005C560000}"/>
    <cellStyle name="Comma 8 35 5" xfId="10667" xr:uid="{00000000-0005-0000-0000-00005D560000}"/>
    <cellStyle name="Comma 8 35 5 2" xfId="26259" xr:uid="{00000000-0005-0000-0000-00005E560000}"/>
    <cellStyle name="Comma 8 35 5 3" xfId="41751" xr:uid="{00000000-0005-0000-0000-00005F560000}"/>
    <cellStyle name="Comma 8 35 6" xfId="18519" xr:uid="{00000000-0005-0000-0000-000060560000}"/>
    <cellStyle name="Comma 8 35 7" xfId="34011" xr:uid="{00000000-0005-0000-0000-000061560000}"/>
    <cellStyle name="Comma 8 36" xfId="2888" xr:uid="{00000000-0005-0000-0000-000062560000}"/>
    <cellStyle name="Comma 8 36 2" xfId="3893" xr:uid="{00000000-0005-0000-0000-000063560000}"/>
    <cellStyle name="Comma 8 36 2 2" xfId="5832" xr:uid="{00000000-0005-0000-0000-000064560000}"/>
    <cellStyle name="Comma 8 36 2 2 2" xfId="9703" xr:uid="{00000000-0005-0000-0000-000065560000}"/>
    <cellStyle name="Comma 8 36 2 2 2 2" xfId="17448" xr:uid="{00000000-0005-0000-0000-000066560000}"/>
    <cellStyle name="Comma 8 36 2 2 2 2 2" xfId="33040" xr:uid="{00000000-0005-0000-0000-000067560000}"/>
    <cellStyle name="Comma 8 36 2 2 2 2 3" xfId="48532" xr:uid="{00000000-0005-0000-0000-000068560000}"/>
    <cellStyle name="Comma 8 36 2 2 2 3" xfId="25300" xr:uid="{00000000-0005-0000-0000-000069560000}"/>
    <cellStyle name="Comma 8 36 2 2 2 4" xfId="40792" xr:uid="{00000000-0005-0000-0000-00006A560000}"/>
    <cellStyle name="Comma 8 36 2 2 3" xfId="13578" xr:uid="{00000000-0005-0000-0000-00006B560000}"/>
    <cellStyle name="Comma 8 36 2 2 3 2" xfId="29170" xr:uid="{00000000-0005-0000-0000-00006C560000}"/>
    <cellStyle name="Comma 8 36 2 2 3 3" xfId="44662" xr:uid="{00000000-0005-0000-0000-00006D560000}"/>
    <cellStyle name="Comma 8 36 2 2 4" xfId="21430" xr:uid="{00000000-0005-0000-0000-00006E560000}"/>
    <cellStyle name="Comma 8 36 2 2 5" xfId="36922" xr:uid="{00000000-0005-0000-0000-00006F560000}"/>
    <cellStyle name="Comma 8 36 2 3" xfId="7776" xr:uid="{00000000-0005-0000-0000-000070560000}"/>
    <cellStyle name="Comma 8 36 2 3 2" xfId="15521" xr:uid="{00000000-0005-0000-0000-000071560000}"/>
    <cellStyle name="Comma 8 36 2 3 2 2" xfId="31113" xr:uid="{00000000-0005-0000-0000-000072560000}"/>
    <cellStyle name="Comma 8 36 2 3 2 3" xfId="46605" xr:uid="{00000000-0005-0000-0000-000073560000}"/>
    <cellStyle name="Comma 8 36 2 3 3" xfId="23373" xr:uid="{00000000-0005-0000-0000-000074560000}"/>
    <cellStyle name="Comma 8 36 2 3 4" xfId="38865" xr:uid="{00000000-0005-0000-0000-000075560000}"/>
    <cellStyle name="Comma 8 36 2 4" xfId="11651" xr:uid="{00000000-0005-0000-0000-000076560000}"/>
    <cellStyle name="Comma 8 36 2 4 2" xfId="27243" xr:uid="{00000000-0005-0000-0000-000077560000}"/>
    <cellStyle name="Comma 8 36 2 4 3" xfId="42735" xr:uid="{00000000-0005-0000-0000-000078560000}"/>
    <cellStyle name="Comma 8 36 2 5" xfId="19503" xr:uid="{00000000-0005-0000-0000-000079560000}"/>
    <cellStyle name="Comma 8 36 2 6" xfId="34995" xr:uid="{00000000-0005-0000-0000-00007A560000}"/>
    <cellStyle name="Comma 8 36 3" xfId="4884" xr:uid="{00000000-0005-0000-0000-00007B560000}"/>
    <cellStyle name="Comma 8 36 3 2" xfId="8755" xr:uid="{00000000-0005-0000-0000-00007C560000}"/>
    <cellStyle name="Comma 8 36 3 2 2" xfId="16500" xr:uid="{00000000-0005-0000-0000-00007D560000}"/>
    <cellStyle name="Comma 8 36 3 2 2 2" xfId="32092" xr:uid="{00000000-0005-0000-0000-00007E560000}"/>
    <cellStyle name="Comma 8 36 3 2 2 3" xfId="47584" xr:uid="{00000000-0005-0000-0000-00007F560000}"/>
    <cellStyle name="Comma 8 36 3 2 3" xfId="24352" xr:uid="{00000000-0005-0000-0000-000080560000}"/>
    <cellStyle name="Comma 8 36 3 2 4" xfId="39844" xr:uid="{00000000-0005-0000-0000-000081560000}"/>
    <cellStyle name="Comma 8 36 3 3" xfId="12630" xr:uid="{00000000-0005-0000-0000-000082560000}"/>
    <cellStyle name="Comma 8 36 3 3 2" xfId="28222" xr:uid="{00000000-0005-0000-0000-000083560000}"/>
    <cellStyle name="Comma 8 36 3 3 3" xfId="43714" xr:uid="{00000000-0005-0000-0000-000084560000}"/>
    <cellStyle name="Comma 8 36 3 4" xfId="20482" xr:uid="{00000000-0005-0000-0000-000085560000}"/>
    <cellStyle name="Comma 8 36 3 5" xfId="35974" xr:uid="{00000000-0005-0000-0000-000086560000}"/>
    <cellStyle name="Comma 8 36 4" xfId="6828" xr:uid="{00000000-0005-0000-0000-000087560000}"/>
    <cellStyle name="Comma 8 36 4 2" xfId="14573" xr:uid="{00000000-0005-0000-0000-000088560000}"/>
    <cellStyle name="Comma 8 36 4 2 2" xfId="30165" xr:uid="{00000000-0005-0000-0000-000089560000}"/>
    <cellStyle name="Comma 8 36 4 2 3" xfId="45657" xr:uid="{00000000-0005-0000-0000-00008A560000}"/>
    <cellStyle name="Comma 8 36 4 3" xfId="22425" xr:uid="{00000000-0005-0000-0000-00008B560000}"/>
    <cellStyle name="Comma 8 36 4 4" xfId="37917" xr:uid="{00000000-0005-0000-0000-00008C560000}"/>
    <cellStyle name="Comma 8 36 5" xfId="10703" xr:uid="{00000000-0005-0000-0000-00008D560000}"/>
    <cellStyle name="Comma 8 36 5 2" xfId="26295" xr:uid="{00000000-0005-0000-0000-00008E560000}"/>
    <cellStyle name="Comma 8 36 5 3" xfId="41787" xr:uid="{00000000-0005-0000-0000-00008F560000}"/>
    <cellStyle name="Comma 8 36 6" xfId="18555" xr:uid="{00000000-0005-0000-0000-000090560000}"/>
    <cellStyle name="Comma 8 36 7" xfId="34047" xr:uid="{00000000-0005-0000-0000-000091560000}"/>
    <cellStyle name="Comma 8 37" xfId="2925" xr:uid="{00000000-0005-0000-0000-000092560000}"/>
    <cellStyle name="Comma 8 37 2" xfId="3929" xr:uid="{00000000-0005-0000-0000-000093560000}"/>
    <cellStyle name="Comma 8 37 2 2" xfId="5868" xr:uid="{00000000-0005-0000-0000-000094560000}"/>
    <cellStyle name="Comma 8 37 2 2 2" xfId="9739" xr:uid="{00000000-0005-0000-0000-000095560000}"/>
    <cellStyle name="Comma 8 37 2 2 2 2" xfId="17484" xr:uid="{00000000-0005-0000-0000-000096560000}"/>
    <cellStyle name="Comma 8 37 2 2 2 2 2" xfId="33076" xr:uid="{00000000-0005-0000-0000-000097560000}"/>
    <cellStyle name="Comma 8 37 2 2 2 2 3" xfId="48568" xr:uid="{00000000-0005-0000-0000-000098560000}"/>
    <cellStyle name="Comma 8 37 2 2 2 3" xfId="25336" xr:uid="{00000000-0005-0000-0000-000099560000}"/>
    <cellStyle name="Comma 8 37 2 2 2 4" xfId="40828" xr:uid="{00000000-0005-0000-0000-00009A560000}"/>
    <cellStyle name="Comma 8 37 2 2 3" xfId="13614" xr:uid="{00000000-0005-0000-0000-00009B560000}"/>
    <cellStyle name="Comma 8 37 2 2 3 2" xfId="29206" xr:uid="{00000000-0005-0000-0000-00009C560000}"/>
    <cellStyle name="Comma 8 37 2 2 3 3" xfId="44698" xr:uid="{00000000-0005-0000-0000-00009D560000}"/>
    <cellStyle name="Comma 8 37 2 2 4" xfId="21466" xr:uid="{00000000-0005-0000-0000-00009E560000}"/>
    <cellStyle name="Comma 8 37 2 2 5" xfId="36958" xr:uid="{00000000-0005-0000-0000-00009F560000}"/>
    <cellStyle name="Comma 8 37 2 3" xfId="7812" xr:uid="{00000000-0005-0000-0000-0000A0560000}"/>
    <cellStyle name="Comma 8 37 2 3 2" xfId="15557" xr:uid="{00000000-0005-0000-0000-0000A1560000}"/>
    <cellStyle name="Comma 8 37 2 3 2 2" xfId="31149" xr:uid="{00000000-0005-0000-0000-0000A2560000}"/>
    <cellStyle name="Comma 8 37 2 3 2 3" xfId="46641" xr:uid="{00000000-0005-0000-0000-0000A3560000}"/>
    <cellStyle name="Comma 8 37 2 3 3" xfId="23409" xr:uid="{00000000-0005-0000-0000-0000A4560000}"/>
    <cellStyle name="Comma 8 37 2 3 4" xfId="38901" xr:uid="{00000000-0005-0000-0000-0000A5560000}"/>
    <cellStyle name="Comma 8 37 2 4" xfId="11687" xr:uid="{00000000-0005-0000-0000-0000A6560000}"/>
    <cellStyle name="Comma 8 37 2 4 2" xfId="27279" xr:uid="{00000000-0005-0000-0000-0000A7560000}"/>
    <cellStyle name="Comma 8 37 2 4 3" xfId="42771" xr:uid="{00000000-0005-0000-0000-0000A8560000}"/>
    <cellStyle name="Comma 8 37 2 5" xfId="19539" xr:uid="{00000000-0005-0000-0000-0000A9560000}"/>
    <cellStyle name="Comma 8 37 2 6" xfId="35031" xr:uid="{00000000-0005-0000-0000-0000AA560000}"/>
    <cellStyle name="Comma 8 37 3" xfId="4920" xr:uid="{00000000-0005-0000-0000-0000AB560000}"/>
    <cellStyle name="Comma 8 37 3 2" xfId="8791" xr:uid="{00000000-0005-0000-0000-0000AC560000}"/>
    <cellStyle name="Comma 8 37 3 2 2" xfId="16536" xr:uid="{00000000-0005-0000-0000-0000AD560000}"/>
    <cellStyle name="Comma 8 37 3 2 2 2" xfId="32128" xr:uid="{00000000-0005-0000-0000-0000AE560000}"/>
    <cellStyle name="Comma 8 37 3 2 2 3" xfId="47620" xr:uid="{00000000-0005-0000-0000-0000AF560000}"/>
    <cellStyle name="Comma 8 37 3 2 3" xfId="24388" xr:uid="{00000000-0005-0000-0000-0000B0560000}"/>
    <cellStyle name="Comma 8 37 3 2 4" xfId="39880" xr:uid="{00000000-0005-0000-0000-0000B1560000}"/>
    <cellStyle name="Comma 8 37 3 3" xfId="12666" xr:uid="{00000000-0005-0000-0000-0000B2560000}"/>
    <cellStyle name="Comma 8 37 3 3 2" xfId="28258" xr:uid="{00000000-0005-0000-0000-0000B3560000}"/>
    <cellStyle name="Comma 8 37 3 3 3" xfId="43750" xr:uid="{00000000-0005-0000-0000-0000B4560000}"/>
    <cellStyle name="Comma 8 37 3 4" xfId="20518" xr:uid="{00000000-0005-0000-0000-0000B5560000}"/>
    <cellStyle name="Comma 8 37 3 5" xfId="36010" xr:uid="{00000000-0005-0000-0000-0000B6560000}"/>
    <cellStyle name="Comma 8 37 4" xfId="6864" xr:uid="{00000000-0005-0000-0000-0000B7560000}"/>
    <cellStyle name="Comma 8 37 4 2" xfId="14609" xr:uid="{00000000-0005-0000-0000-0000B8560000}"/>
    <cellStyle name="Comma 8 37 4 2 2" xfId="30201" xr:uid="{00000000-0005-0000-0000-0000B9560000}"/>
    <cellStyle name="Comma 8 37 4 2 3" xfId="45693" xr:uid="{00000000-0005-0000-0000-0000BA560000}"/>
    <cellStyle name="Comma 8 37 4 3" xfId="22461" xr:uid="{00000000-0005-0000-0000-0000BB560000}"/>
    <cellStyle name="Comma 8 37 4 4" xfId="37953" xr:uid="{00000000-0005-0000-0000-0000BC560000}"/>
    <cellStyle name="Comma 8 37 5" xfId="10739" xr:uid="{00000000-0005-0000-0000-0000BD560000}"/>
    <cellStyle name="Comma 8 37 5 2" xfId="26331" xr:uid="{00000000-0005-0000-0000-0000BE560000}"/>
    <cellStyle name="Comma 8 37 5 3" xfId="41823" xr:uid="{00000000-0005-0000-0000-0000BF560000}"/>
    <cellStyle name="Comma 8 37 6" xfId="18591" xr:uid="{00000000-0005-0000-0000-0000C0560000}"/>
    <cellStyle name="Comma 8 37 7" xfId="34083" xr:uid="{00000000-0005-0000-0000-0000C1560000}"/>
    <cellStyle name="Comma 8 38" xfId="2964" xr:uid="{00000000-0005-0000-0000-0000C2560000}"/>
    <cellStyle name="Comma 8 38 2" xfId="3965" xr:uid="{00000000-0005-0000-0000-0000C3560000}"/>
    <cellStyle name="Comma 8 38 2 2" xfId="5904" xr:uid="{00000000-0005-0000-0000-0000C4560000}"/>
    <cellStyle name="Comma 8 38 2 2 2" xfId="9775" xr:uid="{00000000-0005-0000-0000-0000C5560000}"/>
    <cellStyle name="Comma 8 38 2 2 2 2" xfId="17520" xr:uid="{00000000-0005-0000-0000-0000C6560000}"/>
    <cellStyle name="Comma 8 38 2 2 2 2 2" xfId="33112" xr:uid="{00000000-0005-0000-0000-0000C7560000}"/>
    <cellStyle name="Comma 8 38 2 2 2 2 3" xfId="48604" xr:uid="{00000000-0005-0000-0000-0000C8560000}"/>
    <cellStyle name="Comma 8 38 2 2 2 3" xfId="25372" xr:uid="{00000000-0005-0000-0000-0000C9560000}"/>
    <cellStyle name="Comma 8 38 2 2 2 4" xfId="40864" xr:uid="{00000000-0005-0000-0000-0000CA560000}"/>
    <cellStyle name="Comma 8 38 2 2 3" xfId="13650" xr:uid="{00000000-0005-0000-0000-0000CB560000}"/>
    <cellStyle name="Comma 8 38 2 2 3 2" xfId="29242" xr:uid="{00000000-0005-0000-0000-0000CC560000}"/>
    <cellStyle name="Comma 8 38 2 2 3 3" xfId="44734" xr:uid="{00000000-0005-0000-0000-0000CD560000}"/>
    <cellStyle name="Comma 8 38 2 2 4" xfId="21502" xr:uid="{00000000-0005-0000-0000-0000CE560000}"/>
    <cellStyle name="Comma 8 38 2 2 5" xfId="36994" xr:uid="{00000000-0005-0000-0000-0000CF560000}"/>
    <cellStyle name="Comma 8 38 2 3" xfId="7848" xr:uid="{00000000-0005-0000-0000-0000D0560000}"/>
    <cellStyle name="Comma 8 38 2 3 2" xfId="15593" xr:uid="{00000000-0005-0000-0000-0000D1560000}"/>
    <cellStyle name="Comma 8 38 2 3 2 2" xfId="31185" xr:uid="{00000000-0005-0000-0000-0000D2560000}"/>
    <cellStyle name="Comma 8 38 2 3 2 3" xfId="46677" xr:uid="{00000000-0005-0000-0000-0000D3560000}"/>
    <cellStyle name="Comma 8 38 2 3 3" xfId="23445" xr:uid="{00000000-0005-0000-0000-0000D4560000}"/>
    <cellStyle name="Comma 8 38 2 3 4" xfId="38937" xr:uid="{00000000-0005-0000-0000-0000D5560000}"/>
    <cellStyle name="Comma 8 38 2 4" xfId="11723" xr:uid="{00000000-0005-0000-0000-0000D6560000}"/>
    <cellStyle name="Comma 8 38 2 4 2" xfId="27315" xr:uid="{00000000-0005-0000-0000-0000D7560000}"/>
    <cellStyle name="Comma 8 38 2 4 3" xfId="42807" xr:uid="{00000000-0005-0000-0000-0000D8560000}"/>
    <cellStyle name="Comma 8 38 2 5" xfId="19575" xr:uid="{00000000-0005-0000-0000-0000D9560000}"/>
    <cellStyle name="Comma 8 38 2 6" xfId="35067" xr:uid="{00000000-0005-0000-0000-0000DA560000}"/>
    <cellStyle name="Comma 8 38 3" xfId="4956" xr:uid="{00000000-0005-0000-0000-0000DB560000}"/>
    <cellStyle name="Comma 8 38 3 2" xfId="8827" xr:uid="{00000000-0005-0000-0000-0000DC560000}"/>
    <cellStyle name="Comma 8 38 3 2 2" xfId="16572" xr:uid="{00000000-0005-0000-0000-0000DD560000}"/>
    <cellStyle name="Comma 8 38 3 2 2 2" xfId="32164" xr:uid="{00000000-0005-0000-0000-0000DE560000}"/>
    <cellStyle name="Comma 8 38 3 2 2 3" xfId="47656" xr:uid="{00000000-0005-0000-0000-0000DF560000}"/>
    <cellStyle name="Comma 8 38 3 2 3" xfId="24424" xr:uid="{00000000-0005-0000-0000-0000E0560000}"/>
    <cellStyle name="Comma 8 38 3 2 4" xfId="39916" xr:uid="{00000000-0005-0000-0000-0000E1560000}"/>
    <cellStyle name="Comma 8 38 3 3" xfId="12702" xr:uid="{00000000-0005-0000-0000-0000E2560000}"/>
    <cellStyle name="Comma 8 38 3 3 2" xfId="28294" xr:uid="{00000000-0005-0000-0000-0000E3560000}"/>
    <cellStyle name="Comma 8 38 3 3 3" xfId="43786" xr:uid="{00000000-0005-0000-0000-0000E4560000}"/>
    <cellStyle name="Comma 8 38 3 4" xfId="20554" xr:uid="{00000000-0005-0000-0000-0000E5560000}"/>
    <cellStyle name="Comma 8 38 3 5" xfId="36046" xr:uid="{00000000-0005-0000-0000-0000E6560000}"/>
    <cellStyle name="Comma 8 38 4" xfId="6900" xr:uid="{00000000-0005-0000-0000-0000E7560000}"/>
    <cellStyle name="Comma 8 38 4 2" xfId="14645" xr:uid="{00000000-0005-0000-0000-0000E8560000}"/>
    <cellStyle name="Comma 8 38 4 2 2" xfId="30237" xr:uid="{00000000-0005-0000-0000-0000E9560000}"/>
    <cellStyle name="Comma 8 38 4 2 3" xfId="45729" xr:uid="{00000000-0005-0000-0000-0000EA560000}"/>
    <cellStyle name="Comma 8 38 4 3" xfId="22497" xr:uid="{00000000-0005-0000-0000-0000EB560000}"/>
    <cellStyle name="Comma 8 38 4 4" xfId="37989" xr:uid="{00000000-0005-0000-0000-0000EC560000}"/>
    <cellStyle name="Comma 8 38 5" xfId="10775" xr:uid="{00000000-0005-0000-0000-0000ED560000}"/>
    <cellStyle name="Comma 8 38 5 2" xfId="26367" xr:uid="{00000000-0005-0000-0000-0000EE560000}"/>
    <cellStyle name="Comma 8 38 5 3" xfId="41859" xr:uid="{00000000-0005-0000-0000-0000EF560000}"/>
    <cellStyle name="Comma 8 38 6" xfId="18627" xr:uid="{00000000-0005-0000-0000-0000F0560000}"/>
    <cellStyle name="Comma 8 38 7" xfId="34119" xr:uid="{00000000-0005-0000-0000-0000F1560000}"/>
    <cellStyle name="Comma 8 39" xfId="3004" xr:uid="{00000000-0005-0000-0000-0000F2560000}"/>
    <cellStyle name="Comma 8 39 2" xfId="4001" xr:uid="{00000000-0005-0000-0000-0000F3560000}"/>
    <cellStyle name="Comma 8 39 2 2" xfId="5940" xr:uid="{00000000-0005-0000-0000-0000F4560000}"/>
    <cellStyle name="Comma 8 39 2 2 2" xfId="9811" xr:uid="{00000000-0005-0000-0000-0000F5560000}"/>
    <cellStyle name="Comma 8 39 2 2 2 2" xfId="17556" xr:uid="{00000000-0005-0000-0000-0000F6560000}"/>
    <cellStyle name="Comma 8 39 2 2 2 2 2" xfId="33148" xr:uid="{00000000-0005-0000-0000-0000F7560000}"/>
    <cellStyle name="Comma 8 39 2 2 2 2 3" xfId="48640" xr:uid="{00000000-0005-0000-0000-0000F8560000}"/>
    <cellStyle name="Comma 8 39 2 2 2 3" xfId="25408" xr:uid="{00000000-0005-0000-0000-0000F9560000}"/>
    <cellStyle name="Comma 8 39 2 2 2 4" xfId="40900" xr:uid="{00000000-0005-0000-0000-0000FA560000}"/>
    <cellStyle name="Comma 8 39 2 2 3" xfId="13686" xr:uid="{00000000-0005-0000-0000-0000FB560000}"/>
    <cellStyle name="Comma 8 39 2 2 3 2" xfId="29278" xr:uid="{00000000-0005-0000-0000-0000FC560000}"/>
    <cellStyle name="Comma 8 39 2 2 3 3" xfId="44770" xr:uid="{00000000-0005-0000-0000-0000FD560000}"/>
    <cellStyle name="Comma 8 39 2 2 4" xfId="21538" xr:uid="{00000000-0005-0000-0000-0000FE560000}"/>
    <cellStyle name="Comma 8 39 2 2 5" xfId="37030" xr:uid="{00000000-0005-0000-0000-0000FF560000}"/>
    <cellStyle name="Comma 8 39 2 3" xfId="7884" xr:uid="{00000000-0005-0000-0000-000000570000}"/>
    <cellStyle name="Comma 8 39 2 3 2" xfId="15629" xr:uid="{00000000-0005-0000-0000-000001570000}"/>
    <cellStyle name="Comma 8 39 2 3 2 2" xfId="31221" xr:uid="{00000000-0005-0000-0000-000002570000}"/>
    <cellStyle name="Comma 8 39 2 3 2 3" xfId="46713" xr:uid="{00000000-0005-0000-0000-000003570000}"/>
    <cellStyle name="Comma 8 39 2 3 3" xfId="23481" xr:uid="{00000000-0005-0000-0000-000004570000}"/>
    <cellStyle name="Comma 8 39 2 3 4" xfId="38973" xr:uid="{00000000-0005-0000-0000-000005570000}"/>
    <cellStyle name="Comma 8 39 2 4" xfId="11759" xr:uid="{00000000-0005-0000-0000-000006570000}"/>
    <cellStyle name="Comma 8 39 2 4 2" xfId="27351" xr:uid="{00000000-0005-0000-0000-000007570000}"/>
    <cellStyle name="Comma 8 39 2 4 3" xfId="42843" xr:uid="{00000000-0005-0000-0000-000008570000}"/>
    <cellStyle name="Comma 8 39 2 5" xfId="19611" xr:uid="{00000000-0005-0000-0000-000009570000}"/>
    <cellStyle name="Comma 8 39 2 6" xfId="35103" xr:uid="{00000000-0005-0000-0000-00000A570000}"/>
    <cellStyle name="Comma 8 39 3" xfId="4992" xr:uid="{00000000-0005-0000-0000-00000B570000}"/>
    <cellStyle name="Comma 8 39 3 2" xfId="8863" xr:uid="{00000000-0005-0000-0000-00000C570000}"/>
    <cellStyle name="Comma 8 39 3 2 2" xfId="16608" xr:uid="{00000000-0005-0000-0000-00000D570000}"/>
    <cellStyle name="Comma 8 39 3 2 2 2" xfId="32200" xr:uid="{00000000-0005-0000-0000-00000E570000}"/>
    <cellStyle name="Comma 8 39 3 2 2 3" xfId="47692" xr:uid="{00000000-0005-0000-0000-00000F570000}"/>
    <cellStyle name="Comma 8 39 3 2 3" xfId="24460" xr:uid="{00000000-0005-0000-0000-000010570000}"/>
    <cellStyle name="Comma 8 39 3 2 4" xfId="39952" xr:uid="{00000000-0005-0000-0000-000011570000}"/>
    <cellStyle name="Comma 8 39 3 3" xfId="12738" xr:uid="{00000000-0005-0000-0000-000012570000}"/>
    <cellStyle name="Comma 8 39 3 3 2" xfId="28330" xr:uid="{00000000-0005-0000-0000-000013570000}"/>
    <cellStyle name="Comma 8 39 3 3 3" xfId="43822" xr:uid="{00000000-0005-0000-0000-000014570000}"/>
    <cellStyle name="Comma 8 39 3 4" xfId="20590" xr:uid="{00000000-0005-0000-0000-000015570000}"/>
    <cellStyle name="Comma 8 39 3 5" xfId="36082" xr:uid="{00000000-0005-0000-0000-000016570000}"/>
    <cellStyle name="Comma 8 39 4" xfId="6936" xr:uid="{00000000-0005-0000-0000-000017570000}"/>
    <cellStyle name="Comma 8 39 4 2" xfId="14681" xr:uid="{00000000-0005-0000-0000-000018570000}"/>
    <cellStyle name="Comma 8 39 4 2 2" xfId="30273" xr:uid="{00000000-0005-0000-0000-000019570000}"/>
    <cellStyle name="Comma 8 39 4 2 3" xfId="45765" xr:uid="{00000000-0005-0000-0000-00001A570000}"/>
    <cellStyle name="Comma 8 39 4 3" xfId="22533" xr:uid="{00000000-0005-0000-0000-00001B570000}"/>
    <cellStyle name="Comma 8 39 4 4" xfId="38025" xr:uid="{00000000-0005-0000-0000-00001C570000}"/>
    <cellStyle name="Comma 8 39 5" xfId="10811" xr:uid="{00000000-0005-0000-0000-00001D570000}"/>
    <cellStyle name="Comma 8 39 5 2" xfId="26403" xr:uid="{00000000-0005-0000-0000-00001E570000}"/>
    <cellStyle name="Comma 8 39 5 3" xfId="41895" xr:uid="{00000000-0005-0000-0000-00001F570000}"/>
    <cellStyle name="Comma 8 39 6" xfId="18663" xr:uid="{00000000-0005-0000-0000-000020570000}"/>
    <cellStyle name="Comma 8 39 7" xfId="34155" xr:uid="{00000000-0005-0000-0000-000021570000}"/>
    <cellStyle name="Comma 8 4" xfId="1546" xr:uid="{00000000-0005-0000-0000-000022570000}"/>
    <cellStyle name="Comma 8 40" xfId="3042" xr:uid="{00000000-0005-0000-0000-000023570000}"/>
    <cellStyle name="Comma 8 40 2" xfId="4037" xr:uid="{00000000-0005-0000-0000-000024570000}"/>
    <cellStyle name="Comma 8 40 2 2" xfId="5976" xr:uid="{00000000-0005-0000-0000-000025570000}"/>
    <cellStyle name="Comma 8 40 2 2 2" xfId="9847" xr:uid="{00000000-0005-0000-0000-000026570000}"/>
    <cellStyle name="Comma 8 40 2 2 2 2" xfId="17592" xr:uid="{00000000-0005-0000-0000-000027570000}"/>
    <cellStyle name="Comma 8 40 2 2 2 2 2" xfId="33184" xr:uid="{00000000-0005-0000-0000-000028570000}"/>
    <cellStyle name="Comma 8 40 2 2 2 2 3" xfId="48676" xr:uid="{00000000-0005-0000-0000-000029570000}"/>
    <cellStyle name="Comma 8 40 2 2 2 3" xfId="25444" xr:uid="{00000000-0005-0000-0000-00002A570000}"/>
    <cellStyle name="Comma 8 40 2 2 2 4" xfId="40936" xr:uid="{00000000-0005-0000-0000-00002B570000}"/>
    <cellStyle name="Comma 8 40 2 2 3" xfId="13722" xr:uid="{00000000-0005-0000-0000-00002C570000}"/>
    <cellStyle name="Comma 8 40 2 2 3 2" xfId="29314" xr:uid="{00000000-0005-0000-0000-00002D570000}"/>
    <cellStyle name="Comma 8 40 2 2 3 3" xfId="44806" xr:uid="{00000000-0005-0000-0000-00002E570000}"/>
    <cellStyle name="Comma 8 40 2 2 4" xfId="21574" xr:uid="{00000000-0005-0000-0000-00002F570000}"/>
    <cellStyle name="Comma 8 40 2 2 5" xfId="37066" xr:uid="{00000000-0005-0000-0000-000030570000}"/>
    <cellStyle name="Comma 8 40 2 3" xfId="7920" xr:uid="{00000000-0005-0000-0000-000031570000}"/>
    <cellStyle name="Comma 8 40 2 3 2" xfId="15665" xr:uid="{00000000-0005-0000-0000-000032570000}"/>
    <cellStyle name="Comma 8 40 2 3 2 2" xfId="31257" xr:uid="{00000000-0005-0000-0000-000033570000}"/>
    <cellStyle name="Comma 8 40 2 3 2 3" xfId="46749" xr:uid="{00000000-0005-0000-0000-000034570000}"/>
    <cellStyle name="Comma 8 40 2 3 3" xfId="23517" xr:uid="{00000000-0005-0000-0000-000035570000}"/>
    <cellStyle name="Comma 8 40 2 3 4" xfId="39009" xr:uid="{00000000-0005-0000-0000-000036570000}"/>
    <cellStyle name="Comma 8 40 2 4" xfId="11795" xr:uid="{00000000-0005-0000-0000-000037570000}"/>
    <cellStyle name="Comma 8 40 2 4 2" xfId="27387" xr:uid="{00000000-0005-0000-0000-000038570000}"/>
    <cellStyle name="Comma 8 40 2 4 3" xfId="42879" xr:uid="{00000000-0005-0000-0000-000039570000}"/>
    <cellStyle name="Comma 8 40 2 5" xfId="19647" xr:uid="{00000000-0005-0000-0000-00003A570000}"/>
    <cellStyle name="Comma 8 40 2 6" xfId="35139" xr:uid="{00000000-0005-0000-0000-00003B570000}"/>
    <cellStyle name="Comma 8 40 3" xfId="5028" xr:uid="{00000000-0005-0000-0000-00003C570000}"/>
    <cellStyle name="Comma 8 40 3 2" xfId="8899" xr:uid="{00000000-0005-0000-0000-00003D570000}"/>
    <cellStyle name="Comma 8 40 3 2 2" xfId="16644" xr:uid="{00000000-0005-0000-0000-00003E570000}"/>
    <cellStyle name="Comma 8 40 3 2 2 2" xfId="32236" xr:uid="{00000000-0005-0000-0000-00003F570000}"/>
    <cellStyle name="Comma 8 40 3 2 2 3" xfId="47728" xr:uid="{00000000-0005-0000-0000-000040570000}"/>
    <cellStyle name="Comma 8 40 3 2 3" xfId="24496" xr:uid="{00000000-0005-0000-0000-000041570000}"/>
    <cellStyle name="Comma 8 40 3 2 4" xfId="39988" xr:uid="{00000000-0005-0000-0000-000042570000}"/>
    <cellStyle name="Comma 8 40 3 3" xfId="12774" xr:uid="{00000000-0005-0000-0000-000043570000}"/>
    <cellStyle name="Comma 8 40 3 3 2" xfId="28366" xr:uid="{00000000-0005-0000-0000-000044570000}"/>
    <cellStyle name="Comma 8 40 3 3 3" xfId="43858" xr:uid="{00000000-0005-0000-0000-000045570000}"/>
    <cellStyle name="Comma 8 40 3 4" xfId="20626" xr:uid="{00000000-0005-0000-0000-000046570000}"/>
    <cellStyle name="Comma 8 40 3 5" xfId="36118" xr:uid="{00000000-0005-0000-0000-000047570000}"/>
    <cellStyle name="Comma 8 40 4" xfId="6972" xr:uid="{00000000-0005-0000-0000-000048570000}"/>
    <cellStyle name="Comma 8 40 4 2" xfId="14717" xr:uid="{00000000-0005-0000-0000-000049570000}"/>
    <cellStyle name="Comma 8 40 4 2 2" xfId="30309" xr:uid="{00000000-0005-0000-0000-00004A570000}"/>
    <cellStyle name="Comma 8 40 4 2 3" xfId="45801" xr:uid="{00000000-0005-0000-0000-00004B570000}"/>
    <cellStyle name="Comma 8 40 4 3" xfId="22569" xr:uid="{00000000-0005-0000-0000-00004C570000}"/>
    <cellStyle name="Comma 8 40 4 4" xfId="38061" xr:uid="{00000000-0005-0000-0000-00004D570000}"/>
    <cellStyle name="Comma 8 40 5" xfId="10847" xr:uid="{00000000-0005-0000-0000-00004E570000}"/>
    <cellStyle name="Comma 8 40 5 2" xfId="26439" xr:uid="{00000000-0005-0000-0000-00004F570000}"/>
    <cellStyle name="Comma 8 40 5 3" xfId="41931" xr:uid="{00000000-0005-0000-0000-000050570000}"/>
    <cellStyle name="Comma 8 40 6" xfId="18699" xr:uid="{00000000-0005-0000-0000-000051570000}"/>
    <cellStyle name="Comma 8 40 7" xfId="34191" xr:uid="{00000000-0005-0000-0000-000052570000}"/>
    <cellStyle name="Comma 8 41" xfId="3079" xr:uid="{00000000-0005-0000-0000-000053570000}"/>
    <cellStyle name="Comma 8 41 2" xfId="4073" xr:uid="{00000000-0005-0000-0000-000054570000}"/>
    <cellStyle name="Comma 8 41 2 2" xfId="6012" xr:uid="{00000000-0005-0000-0000-000055570000}"/>
    <cellStyle name="Comma 8 41 2 2 2" xfId="9883" xr:uid="{00000000-0005-0000-0000-000056570000}"/>
    <cellStyle name="Comma 8 41 2 2 2 2" xfId="17628" xr:uid="{00000000-0005-0000-0000-000057570000}"/>
    <cellStyle name="Comma 8 41 2 2 2 2 2" xfId="33220" xr:uid="{00000000-0005-0000-0000-000058570000}"/>
    <cellStyle name="Comma 8 41 2 2 2 2 3" xfId="48712" xr:uid="{00000000-0005-0000-0000-000059570000}"/>
    <cellStyle name="Comma 8 41 2 2 2 3" xfId="25480" xr:uid="{00000000-0005-0000-0000-00005A570000}"/>
    <cellStyle name="Comma 8 41 2 2 2 4" xfId="40972" xr:uid="{00000000-0005-0000-0000-00005B570000}"/>
    <cellStyle name="Comma 8 41 2 2 3" xfId="13758" xr:uid="{00000000-0005-0000-0000-00005C570000}"/>
    <cellStyle name="Comma 8 41 2 2 3 2" xfId="29350" xr:uid="{00000000-0005-0000-0000-00005D570000}"/>
    <cellStyle name="Comma 8 41 2 2 3 3" xfId="44842" xr:uid="{00000000-0005-0000-0000-00005E570000}"/>
    <cellStyle name="Comma 8 41 2 2 4" xfId="21610" xr:uid="{00000000-0005-0000-0000-00005F570000}"/>
    <cellStyle name="Comma 8 41 2 2 5" xfId="37102" xr:uid="{00000000-0005-0000-0000-000060570000}"/>
    <cellStyle name="Comma 8 41 2 3" xfId="7956" xr:uid="{00000000-0005-0000-0000-000061570000}"/>
    <cellStyle name="Comma 8 41 2 3 2" xfId="15701" xr:uid="{00000000-0005-0000-0000-000062570000}"/>
    <cellStyle name="Comma 8 41 2 3 2 2" xfId="31293" xr:uid="{00000000-0005-0000-0000-000063570000}"/>
    <cellStyle name="Comma 8 41 2 3 2 3" xfId="46785" xr:uid="{00000000-0005-0000-0000-000064570000}"/>
    <cellStyle name="Comma 8 41 2 3 3" xfId="23553" xr:uid="{00000000-0005-0000-0000-000065570000}"/>
    <cellStyle name="Comma 8 41 2 3 4" xfId="39045" xr:uid="{00000000-0005-0000-0000-000066570000}"/>
    <cellStyle name="Comma 8 41 2 4" xfId="11831" xr:uid="{00000000-0005-0000-0000-000067570000}"/>
    <cellStyle name="Comma 8 41 2 4 2" xfId="27423" xr:uid="{00000000-0005-0000-0000-000068570000}"/>
    <cellStyle name="Comma 8 41 2 4 3" xfId="42915" xr:uid="{00000000-0005-0000-0000-000069570000}"/>
    <cellStyle name="Comma 8 41 2 5" xfId="19683" xr:uid="{00000000-0005-0000-0000-00006A570000}"/>
    <cellStyle name="Comma 8 41 2 6" xfId="35175" xr:uid="{00000000-0005-0000-0000-00006B570000}"/>
    <cellStyle name="Comma 8 41 3" xfId="5064" xr:uid="{00000000-0005-0000-0000-00006C570000}"/>
    <cellStyle name="Comma 8 41 3 2" xfId="8935" xr:uid="{00000000-0005-0000-0000-00006D570000}"/>
    <cellStyle name="Comma 8 41 3 2 2" xfId="16680" xr:uid="{00000000-0005-0000-0000-00006E570000}"/>
    <cellStyle name="Comma 8 41 3 2 2 2" xfId="32272" xr:uid="{00000000-0005-0000-0000-00006F570000}"/>
    <cellStyle name="Comma 8 41 3 2 2 3" xfId="47764" xr:uid="{00000000-0005-0000-0000-000070570000}"/>
    <cellStyle name="Comma 8 41 3 2 3" xfId="24532" xr:uid="{00000000-0005-0000-0000-000071570000}"/>
    <cellStyle name="Comma 8 41 3 2 4" xfId="40024" xr:uid="{00000000-0005-0000-0000-000072570000}"/>
    <cellStyle name="Comma 8 41 3 3" xfId="12810" xr:uid="{00000000-0005-0000-0000-000073570000}"/>
    <cellStyle name="Comma 8 41 3 3 2" xfId="28402" xr:uid="{00000000-0005-0000-0000-000074570000}"/>
    <cellStyle name="Comma 8 41 3 3 3" xfId="43894" xr:uid="{00000000-0005-0000-0000-000075570000}"/>
    <cellStyle name="Comma 8 41 3 4" xfId="20662" xr:uid="{00000000-0005-0000-0000-000076570000}"/>
    <cellStyle name="Comma 8 41 3 5" xfId="36154" xr:uid="{00000000-0005-0000-0000-000077570000}"/>
    <cellStyle name="Comma 8 41 4" xfId="7008" xr:uid="{00000000-0005-0000-0000-000078570000}"/>
    <cellStyle name="Comma 8 41 4 2" xfId="14753" xr:uid="{00000000-0005-0000-0000-000079570000}"/>
    <cellStyle name="Comma 8 41 4 2 2" xfId="30345" xr:uid="{00000000-0005-0000-0000-00007A570000}"/>
    <cellStyle name="Comma 8 41 4 2 3" xfId="45837" xr:uid="{00000000-0005-0000-0000-00007B570000}"/>
    <cellStyle name="Comma 8 41 4 3" xfId="22605" xr:uid="{00000000-0005-0000-0000-00007C570000}"/>
    <cellStyle name="Comma 8 41 4 4" xfId="38097" xr:uid="{00000000-0005-0000-0000-00007D570000}"/>
    <cellStyle name="Comma 8 41 5" xfId="10883" xr:uid="{00000000-0005-0000-0000-00007E570000}"/>
    <cellStyle name="Comma 8 41 5 2" xfId="26475" xr:uid="{00000000-0005-0000-0000-00007F570000}"/>
    <cellStyle name="Comma 8 41 5 3" xfId="41967" xr:uid="{00000000-0005-0000-0000-000080570000}"/>
    <cellStyle name="Comma 8 41 6" xfId="18735" xr:uid="{00000000-0005-0000-0000-000081570000}"/>
    <cellStyle name="Comma 8 41 7" xfId="34227" xr:uid="{00000000-0005-0000-0000-000082570000}"/>
    <cellStyle name="Comma 8 42" xfId="3126" xr:uid="{00000000-0005-0000-0000-000083570000}"/>
    <cellStyle name="Comma 8 42 2" xfId="4109" xr:uid="{00000000-0005-0000-0000-000084570000}"/>
    <cellStyle name="Comma 8 42 2 2" xfId="6048" xr:uid="{00000000-0005-0000-0000-000085570000}"/>
    <cellStyle name="Comma 8 42 2 2 2" xfId="9919" xr:uid="{00000000-0005-0000-0000-000086570000}"/>
    <cellStyle name="Comma 8 42 2 2 2 2" xfId="17664" xr:uid="{00000000-0005-0000-0000-000087570000}"/>
    <cellStyle name="Comma 8 42 2 2 2 2 2" xfId="33256" xr:uid="{00000000-0005-0000-0000-000088570000}"/>
    <cellStyle name="Comma 8 42 2 2 2 2 3" xfId="48748" xr:uid="{00000000-0005-0000-0000-000089570000}"/>
    <cellStyle name="Comma 8 42 2 2 2 3" xfId="25516" xr:uid="{00000000-0005-0000-0000-00008A570000}"/>
    <cellStyle name="Comma 8 42 2 2 2 4" xfId="41008" xr:uid="{00000000-0005-0000-0000-00008B570000}"/>
    <cellStyle name="Comma 8 42 2 2 3" xfId="13794" xr:uid="{00000000-0005-0000-0000-00008C570000}"/>
    <cellStyle name="Comma 8 42 2 2 3 2" xfId="29386" xr:uid="{00000000-0005-0000-0000-00008D570000}"/>
    <cellStyle name="Comma 8 42 2 2 3 3" xfId="44878" xr:uid="{00000000-0005-0000-0000-00008E570000}"/>
    <cellStyle name="Comma 8 42 2 2 4" xfId="21646" xr:uid="{00000000-0005-0000-0000-00008F570000}"/>
    <cellStyle name="Comma 8 42 2 2 5" xfId="37138" xr:uid="{00000000-0005-0000-0000-000090570000}"/>
    <cellStyle name="Comma 8 42 2 3" xfId="7992" xr:uid="{00000000-0005-0000-0000-000091570000}"/>
    <cellStyle name="Comma 8 42 2 3 2" xfId="15737" xr:uid="{00000000-0005-0000-0000-000092570000}"/>
    <cellStyle name="Comma 8 42 2 3 2 2" xfId="31329" xr:uid="{00000000-0005-0000-0000-000093570000}"/>
    <cellStyle name="Comma 8 42 2 3 2 3" xfId="46821" xr:uid="{00000000-0005-0000-0000-000094570000}"/>
    <cellStyle name="Comma 8 42 2 3 3" xfId="23589" xr:uid="{00000000-0005-0000-0000-000095570000}"/>
    <cellStyle name="Comma 8 42 2 3 4" xfId="39081" xr:uid="{00000000-0005-0000-0000-000096570000}"/>
    <cellStyle name="Comma 8 42 2 4" xfId="11867" xr:uid="{00000000-0005-0000-0000-000097570000}"/>
    <cellStyle name="Comma 8 42 2 4 2" xfId="27459" xr:uid="{00000000-0005-0000-0000-000098570000}"/>
    <cellStyle name="Comma 8 42 2 4 3" xfId="42951" xr:uid="{00000000-0005-0000-0000-000099570000}"/>
    <cellStyle name="Comma 8 42 2 5" xfId="19719" xr:uid="{00000000-0005-0000-0000-00009A570000}"/>
    <cellStyle name="Comma 8 42 2 6" xfId="35211" xr:uid="{00000000-0005-0000-0000-00009B570000}"/>
    <cellStyle name="Comma 8 42 3" xfId="5100" xr:uid="{00000000-0005-0000-0000-00009C570000}"/>
    <cellStyle name="Comma 8 42 3 2" xfId="8971" xr:uid="{00000000-0005-0000-0000-00009D570000}"/>
    <cellStyle name="Comma 8 42 3 2 2" xfId="16716" xr:uid="{00000000-0005-0000-0000-00009E570000}"/>
    <cellStyle name="Comma 8 42 3 2 2 2" xfId="32308" xr:uid="{00000000-0005-0000-0000-00009F570000}"/>
    <cellStyle name="Comma 8 42 3 2 2 3" xfId="47800" xr:uid="{00000000-0005-0000-0000-0000A0570000}"/>
    <cellStyle name="Comma 8 42 3 2 3" xfId="24568" xr:uid="{00000000-0005-0000-0000-0000A1570000}"/>
    <cellStyle name="Comma 8 42 3 2 4" xfId="40060" xr:uid="{00000000-0005-0000-0000-0000A2570000}"/>
    <cellStyle name="Comma 8 42 3 3" xfId="12846" xr:uid="{00000000-0005-0000-0000-0000A3570000}"/>
    <cellStyle name="Comma 8 42 3 3 2" xfId="28438" xr:uid="{00000000-0005-0000-0000-0000A4570000}"/>
    <cellStyle name="Comma 8 42 3 3 3" xfId="43930" xr:uid="{00000000-0005-0000-0000-0000A5570000}"/>
    <cellStyle name="Comma 8 42 3 4" xfId="20698" xr:uid="{00000000-0005-0000-0000-0000A6570000}"/>
    <cellStyle name="Comma 8 42 3 5" xfId="36190" xr:uid="{00000000-0005-0000-0000-0000A7570000}"/>
    <cellStyle name="Comma 8 42 4" xfId="7044" xr:uid="{00000000-0005-0000-0000-0000A8570000}"/>
    <cellStyle name="Comma 8 42 4 2" xfId="14789" xr:uid="{00000000-0005-0000-0000-0000A9570000}"/>
    <cellStyle name="Comma 8 42 4 2 2" xfId="30381" xr:uid="{00000000-0005-0000-0000-0000AA570000}"/>
    <cellStyle name="Comma 8 42 4 2 3" xfId="45873" xr:uid="{00000000-0005-0000-0000-0000AB570000}"/>
    <cellStyle name="Comma 8 42 4 3" xfId="22641" xr:uid="{00000000-0005-0000-0000-0000AC570000}"/>
    <cellStyle name="Comma 8 42 4 4" xfId="38133" xr:uid="{00000000-0005-0000-0000-0000AD570000}"/>
    <cellStyle name="Comma 8 42 5" xfId="10919" xr:uid="{00000000-0005-0000-0000-0000AE570000}"/>
    <cellStyle name="Comma 8 42 5 2" xfId="26511" xr:uid="{00000000-0005-0000-0000-0000AF570000}"/>
    <cellStyle name="Comma 8 42 5 3" xfId="42003" xr:uid="{00000000-0005-0000-0000-0000B0570000}"/>
    <cellStyle name="Comma 8 42 6" xfId="18771" xr:uid="{00000000-0005-0000-0000-0000B1570000}"/>
    <cellStyle name="Comma 8 42 7" xfId="34263" xr:uid="{00000000-0005-0000-0000-0000B2570000}"/>
    <cellStyle name="Comma 8 43" xfId="3151" xr:uid="{00000000-0005-0000-0000-0000B3570000}"/>
    <cellStyle name="Comma 8 43 2" xfId="4130" xr:uid="{00000000-0005-0000-0000-0000B4570000}"/>
    <cellStyle name="Comma 8 43 2 2" xfId="6069" xr:uid="{00000000-0005-0000-0000-0000B5570000}"/>
    <cellStyle name="Comma 8 43 2 2 2" xfId="9940" xr:uid="{00000000-0005-0000-0000-0000B6570000}"/>
    <cellStyle name="Comma 8 43 2 2 2 2" xfId="17685" xr:uid="{00000000-0005-0000-0000-0000B7570000}"/>
    <cellStyle name="Comma 8 43 2 2 2 2 2" xfId="33277" xr:uid="{00000000-0005-0000-0000-0000B8570000}"/>
    <cellStyle name="Comma 8 43 2 2 2 2 3" xfId="48769" xr:uid="{00000000-0005-0000-0000-0000B9570000}"/>
    <cellStyle name="Comma 8 43 2 2 2 3" xfId="25537" xr:uid="{00000000-0005-0000-0000-0000BA570000}"/>
    <cellStyle name="Comma 8 43 2 2 2 4" xfId="41029" xr:uid="{00000000-0005-0000-0000-0000BB570000}"/>
    <cellStyle name="Comma 8 43 2 2 3" xfId="13815" xr:uid="{00000000-0005-0000-0000-0000BC570000}"/>
    <cellStyle name="Comma 8 43 2 2 3 2" xfId="29407" xr:uid="{00000000-0005-0000-0000-0000BD570000}"/>
    <cellStyle name="Comma 8 43 2 2 3 3" xfId="44899" xr:uid="{00000000-0005-0000-0000-0000BE570000}"/>
    <cellStyle name="Comma 8 43 2 2 4" xfId="21667" xr:uid="{00000000-0005-0000-0000-0000BF570000}"/>
    <cellStyle name="Comma 8 43 2 2 5" xfId="37159" xr:uid="{00000000-0005-0000-0000-0000C0570000}"/>
    <cellStyle name="Comma 8 43 2 3" xfId="8013" xr:uid="{00000000-0005-0000-0000-0000C1570000}"/>
    <cellStyle name="Comma 8 43 2 3 2" xfId="15758" xr:uid="{00000000-0005-0000-0000-0000C2570000}"/>
    <cellStyle name="Comma 8 43 2 3 2 2" xfId="31350" xr:uid="{00000000-0005-0000-0000-0000C3570000}"/>
    <cellStyle name="Comma 8 43 2 3 2 3" xfId="46842" xr:uid="{00000000-0005-0000-0000-0000C4570000}"/>
    <cellStyle name="Comma 8 43 2 3 3" xfId="23610" xr:uid="{00000000-0005-0000-0000-0000C5570000}"/>
    <cellStyle name="Comma 8 43 2 3 4" xfId="39102" xr:uid="{00000000-0005-0000-0000-0000C6570000}"/>
    <cellStyle name="Comma 8 43 2 4" xfId="11888" xr:uid="{00000000-0005-0000-0000-0000C7570000}"/>
    <cellStyle name="Comma 8 43 2 4 2" xfId="27480" xr:uid="{00000000-0005-0000-0000-0000C8570000}"/>
    <cellStyle name="Comma 8 43 2 4 3" xfId="42972" xr:uid="{00000000-0005-0000-0000-0000C9570000}"/>
    <cellStyle name="Comma 8 43 2 5" xfId="19740" xr:uid="{00000000-0005-0000-0000-0000CA570000}"/>
    <cellStyle name="Comma 8 43 2 6" xfId="35232" xr:uid="{00000000-0005-0000-0000-0000CB570000}"/>
    <cellStyle name="Comma 8 43 3" xfId="5121" xr:uid="{00000000-0005-0000-0000-0000CC570000}"/>
    <cellStyle name="Comma 8 43 3 2" xfId="8992" xr:uid="{00000000-0005-0000-0000-0000CD570000}"/>
    <cellStyle name="Comma 8 43 3 2 2" xfId="16737" xr:uid="{00000000-0005-0000-0000-0000CE570000}"/>
    <cellStyle name="Comma 8 43 3 2 2 2" xfId="32329" xr:uid="{00000000-0005-0000-0000-0000CF570000}"/>
    <cellStyle name="Comma 8 43 3 2 2 3" xfId="47821" xr:uid="{00000000-0005-0000-0000-0000D0570000}"/>
    <cellStyle name="Comma 8 43 3 2 3" xfId="24589" xr:uid="{00000000-0005-0000-0000-0000D1570000}"/>
    <cellStyle name="Comma 8 43 3 2 4" xfId="40081" xr:uid="{00000000-0005-0000-0000-0000D2570000}"/>
    <cellStyle name="Comma 8 43 3 3" xfId="12867" xr:uid="{00000000-0005-0000-0000-0000D3570000}"/>
    <cellStyle name="Comma 8 43 3 3 2" xfId="28459" xr:uid="{00000000-0005-0000-0000-0000D4570000}"/>
    <cellStyle name="Comma 8 43 3 3 3" xfId="43951" xr:uid="{00000000-0005-0000-0000-0000D5570000}"/>
    <cellStyle name="Comma 8 43 3 4" xfId="20719" xr:uid="{00000000-0005-0000-0000-0000D6570000}"/>
    <cellStyle name="Comma 8 43 3 5" xfId="36211" xr:uid="{00000000-0005-0000-0000-0000D7570000}"/>
    <cellStyle name="Comma 8 43 4" xfId="7065" xr:uid="{00000000-0005-0000-0000-0000D8570000}"/>
    <cellStyle name="Comma 8 43 4 2" xfId="14810" xr:uid="{00000000-0005-0000-0000-0000D9570000}"/>
    <cellStyle name="Comma 8 43 4 2 2" xfId="30402" xr:uid="{00000000-0005-0000-0000-0000DA570000}"/>
    <cellStyle name="Comma 8 43 4 2 3" xfId="45894" xr:uid="{00000000-0005-0000-0000-0000DB570000}"/>
    <cellStyle name="Comma 8 43 4 3" xfId="22662" xr:uid="{00000000-0005-0000-0000-0000DC570000}"/>
    <cellStyle name="Comma 8 43 4 4" xfId="38154" xr:uid="{00000000-0005-0000-0000-0000DD570000}"/>
    <cellStyle name="Comma 8 43 5" xfId="10940" xr:uid="{00000000-0005-0000-0000-0000DE570000}"/>
    <cellStyle name="Comma 8 43 5 2" xfId="26532" xr:uid="{00000000-0005-0000-0000-0000DF570000}"/>
    <cellStyle name="Comma 8 43 5 3" xfId="42024" xr:uid="{00000000-0005-0000-0000-0000E0570000}"/>
    <cellStyle name="Comma 8 43 6" xfId="18792" xr:uid="{00000000-0005-0000-0000-0000E1570000}"/>
    <cellStyle name="Comma 8 43 7" xfId="34284" xr:uid="{00000000-0005-0000-0000-0000E2570000}"/>
    <cellStyle name="Comma 8 43 8" xfId="49072" xr:uid="{77EA70D2-8727-4585-B6FF-21358805089D}"/>
    <cellStyle name="Comma 8 5" xfId="1547" xr:uid="{00000000-0005-0000-0000-0000E3570000}"/>
    <cellStyle name="Comma 8 6" xfId="1548" xr:uid="{00000000-0005-0000-0000-0000E4570000}"/>
    <cellStyle name="Comma 8 7" xfId="1549" xr:uid="{00000000-0005-0000-0000-0000E5570000}"/>
    <cellStyle name="Comma 8 8" xfId="1550" xr:uid="{00000000-0005-0000-0000-0000E6570000}"/>
    <cellStyle name="Comma 8 9" xfId="1551" xr:uid="{00000000-0005-0000-0000-0000E7570000}"/>
    <cellStyle name="Comma 80" xfId="2399" xr:uid="{00000000-0005-0000-0000-0000E8570000}"/>
    <cellStyle name="Comma 81" xfId="2412" xr:uid="{00000000-0005-0000-0000-0000E9570000}"/>
    <cellStyle name="Comma 82" xfId="2449" xr:uid="{00000000-0005-0000-0000-0000EA570000}"/>
    <cellStyle name="Comma 83" xfId="2795" xr:uid="{00000000-0005-0000-0000-0000EB570000}"/>
    <cellStyle name="Comma 84" xfId="2834" xr:uid="{00000000-0005-0000-0000-0000EC570000}"/>
    <cellStyle name="Comma 85" xfId="2871" xr:uid="{00000000-0005-0000-0000-0000ED570000}"/>
    <cellStyle name="Comma 86" xfId="2908" xr:uid="{00000000-0005-0000-0000-0000EE570000}"/>
    <cellStyle name="Comma 87" xfId="2945" xr:uid="{00000000-0005-0000-0000-0000EF570000}"/>
    <cellStyle name="Comma 88" xfId="2947" xr:uid="{00000000-0005-0000-0000-0000F0570000}"/>
    <cellStyle name="Comma 89" xfId="2987" xr:uid="{00000000-0005-0000-0000-0000F1570000}"/>
    <cellStyle name="Comma 9" xfId="1552" xr:uid="{00000000-0005-0000-0000-0000F2570000}"/>
    <cellStyle name="Comma 9 10" xfId="1553" xr:uid="{00000000-0005-0000-0000-0000F3570000}"/>
    <cellStyle name="Comma 9 11" xfId="1554" xr:uid="{00000000-0005-0000-0000-0000F4570000}"/>
    <cellStyle name="Comma 9 12" xfId="1555" xr:uid="{00000000-0005-0000-0000-0000F5570000}"/>
    <cellStyle name="Comma 9 13" xfId="1556" xr:uid="{00000000-0005-0000-0000-0000F6570000}"/>
    <cellStyle name="Comma 9 14" xfId="1557" xr:uid="{00000000-0005-0000-0000-0000F7570000}"/>
    <cellStyle name="Comma 9 15" xfId="1558" xr:uid="{00000000-0005-0000-0000-0000F8570000}"/>
    <cellStyle name="Comma 9 16" xfId="1559" xr:uid="{00000000-0005-0000-0000-0000F9570000}"/>
    <cellStyle name="Comma 9 17" xfId="1560" xr:uid="{00000000-0005-0000-0000-0000FA570000}"/>
    <cellStyle name="Comma 9 18" xfId="1561" xr:uid="{00000000-0005-0000-0000-0000FB570000}"/>
    <cellStyle name="Comma 9 19" xfId="1562" xr:uid="{00000000-0005-0000-0000-0000FC570000}"/>
    <cellStyle name="Comma 9 2" xfId="1563" xr:uid="{00000000-0005-0000-0000-0000FD570000}"/>
    <cellStyle name="Comma 9 2 2" xfId="48984" xr:uid="{00000000-0005-0000-0000-0000FE570000}"/>
    <cellStyle name="Comma 9 2 3" xfId="48985" xr:uid="{00000000-0005-0000-0000-0000FF570000}"/>
    <cellStyle name="Comma 9 20" xfId="1564" xr:uid="{00000000-0005-0000-0000-000000580000}"/>
    <cellStyle name="Comma 9 21" xfId="1565" xr:uid="{00000000-0005-0000-0000-000001580000}"/>
    <cellStyle name="Comma 9 22" xfId="1566" xr:uid="{00000000-0005-0000-0000-000002580000}"/>
    <cellStyle name="Comma 9 23" xfId="1567" xr:uid="{00000000-0005-0000-0000-000003580000}"/>
    <cellStyle name="Comma 9 24" xfId="1568" xr:uid="{00000000-0005-0000-0000-000004580000}"/>
    <cellStyle name="Comma 9 25" xfId="1569" xr:uid="{00000000-0005-0000-0000-000005580000}"/>
    <cellStyle name="Comma 9 26" xfId="2189" xr:uid="{00000000-0005-0000-0000-000006580000}"/>
    <cellStyle name="Comma 9 26 2" xfId="2522" xr:uid="{00000000-0005-0000-0000-000007580000}"/>
    <cellStyle name="Comma 9 26 2 2" xfId="3530" xr:uid="{00000000-0005-0000-0000-000008580000}"/>
    <cellStyle name="Comma 9 26 2 2 2" xfId="5469" xr:uid="{00000000-0005-0000-0000-000009580000}"/>
    <cellStyle name="Comma 9 26 2 2 2 2" xfId="9340" xr:uid="{00000000-0005-0000-0000-00000A580000}"/>
    <cellStyle name="Comma 9 26 2 2 2 2 2" xfId="17085" xr:uid="{00000000-0005-0000-0000-00000B580000}"/>
    <cellStyle name="Comma 9 26 2 2 2 2 2 2" xfId="32677" xr:uid="{00000000-0005-0000-0000-00000C580000}"/>
    <cellStyle name="Comma 9 26 2 2 2 2 2 3" xfId="48169" xr:uid="{00000000-0005-0000-0000-00000D580000}"/>
    <cellStyle name="Comma 9 26 2 2 2 2 3" xfId="24937" xr:uid="{00000000-0005-0000-0000-00000E580000}"/>
    <cellStyle name="Comma 9 26 2 2 2 2 4" xfId="40429" xr:uid="{00000000-0005-0000-0000-00000F580000}"/>
    <cellStyle name="Comma 9 26 2 2 2 3" xfId="13215" xr:uid="{00000000-0005-0000-0000-000010580000}"/>
    <cellStyle name="Comma 9 26 2 2 2 3 2" xfId="28807" xr:uid="{00000000-0005-0000-0000-000011580000}"/>
    <cellStyle name="Comma 9 26 2 2 2 3 3" xfId="44299" xr:uid="{00000000-0005-0000-0000-000012580000}"/>
    <cellStyle name="Comma 9 26 2 2 2 4" xfId="21067" xr:uid="{00000000-0005-0000-0000-000013580000}"/>
    <cellStyle name="Comma 9 26 2 2 2 5" xfId="36559" xr:uid="{00000000-0005-0000-0000-000014580000}"/>
    <cellStyle name="Comma 9 26 2 2 3" xfId="7413" xr:uid="{00000000-0005-0000-0000-000015580000}"/>
    <cellStyle name="Comma 9 26 2 2 3 2" xfId="15158" xr:uid="{00000000-0005-0000-0000-000016580000}"/>
    <cellStyle name="Comma 9 26 2 2 3 2 2" xfId="30750" xr:uid="{00000000-0005-0000-0000-000017580000}"/>
    <cellStyle name="Comma 9 26 2 2 3 2 3" xfId="46242" xr:uid="{00000000-0005-0000-0000-000018580000}"/>
    <cellStyle name="Comma 9 26 2 2 3 3" xfId="23010" xr:uid="{00000000-0005-0000-0000-000019580000}"/>
    <cellStyle name="Comma 9 26 2 2 3 4" xfId="38502" xr:uid="{00000000-0005-0000-0000-00001A580000}"/>
    <cellStyle name="Comma 9 26 2 2 4" xfId="11288" xr:uid="{00000000-0005-0000-0000-00001B580000}"/>
    <cellStyle name="Comma 9 26 2 2 4 2" xfId="26880" xr:uid="{00000000-0005-0000-0000-00001C580000}"/>
    <cellStyle name="Comma 9 26 2 2 4 3" xfId="42372" xr:uid="{00000000-0005-0000-0000-00001D580000}"/>
    <cellStyle name="Comma 9 26 2 2 5" xfId="19140" xr:uid="{00000000-0005-0000-0000-00001E580000}"/>
    <cellStyle name="Comma 9 26 2 2 6" xfId="34632" xr:uid="{00000000-0005-0000-0000-00001F580000}"/>
    <cellStyle name="Comma 9 26 2 3" xfId="4521" xr:uid="{00000000-0005-0000-0000-000020580000}"/>
    <cellStyle name="Comma 9 26 2 3 2" xfId="8392" xr:uid="{00000000-0005-0000-0000-000021580000}"/>
    <cellStyle name="Comma 9 26 2 3 2 2" xfId="16137" xr:uid="{00000000-0005-0000-0000-000022580000}"/>
    <cellStyle name="Comma 9 26 2 3 2 2 2" xfId="31729" xr:uid="{00000000-0005-0000-0000-000023580000}"/>
    <cellStyle name="Comma 9 26 2 3 2 2 3" xfId="47221" xr:uid="{00000000-0005-0000-0000-000024580000}"/>
    <cellStyle name="Comma 9 26 2 3 2 3" xfId="23989" xr:uid="{00000000-0005-0000-0000-000025580000}"/>
    <cellStyle name="Comma 9 26 2 3 2 4" xfId="39481" xr:uid="{00000000-0005-0000-0000-000026580000}"/>
    <cellStyle name="Comma 9 26 2 3 3" xfId="12267" xr:uid="{00000000-0005-0000-0000-000027580000}"/>
    <cellStyle name="Comma 9 26 2 3 3 2" xfId="27859" xr:uid="{00000000-0005-0000-0000-000028580000}"/>
    <cellStyle name="Comma 9 26 2 3 3 3" xfId="43351" xr:uid="{00000000-0005-0000-0000-000029580000}"/>
    <cellStyle name="Comma 9 26 2 3 4" xfId="20119" xr:uid="{00000000-0005-0000-0000-00002A580000}"/>
    <cellStyle name="Comma 9 26 2 3 5" xfId="35611" xr:uid="{00000000-0005-0000-0000-00002B580000}"/>
    <cellStyle name="Comma 9 26 2 4" xfId="6465" xr:uid="{00000000-0005-0000-0000-00002C580000}"/>
    <cellStyle name="Comma 9 26 2 4 2" xfId="14210" xr:uid="{00000000-0005-0000-0000-00002D580000}"/>
    <cellStyle name="Comma 9 26 2 4 2 2" xfId="29802" xr:uid="{00000000-0005-0000-0000-00002E580000}"/>
    <cellStyle name="Comma 9 26 2 4 2 3" xfId="45294" xr:uid="{00000000-0005-0000-0000-00002F580000}"/>
    <cellStyle name="Comma 9 26 2 4 3" xfId="22062" xr:uid="{00000000-0005-0000-0000-000030580000}"/>
    <cellStyle name="Comma 9 26 2 4 4" xfId="37554" xr:uid="{00000000-0005-0000-0000-000031580000}"/>
    <cellStyle name="Comma 9 26 2 5" xfId="10340" xr:uid="{00000000-0005-0000-0000-000032580000}"/>
    <cellStyle name="Comma 9 26 2 5 2" xfId="25932" xr:uid="{00000000-0005-0000-0000-000033580000}"/>
    <cellStyle name="Comma 9 26 2 5 3" xfId="41424" xr:uid="{00000000-0005-0000-0000-000034580000}"/>
    <cellStyle name="Comma 9 26 2 6" xfId="18192" xr:uid="{00000000-0005-0000-0000-000035580000}"/>
    <cellStyle name="Comma 9 26 2 7" xfId="33684" xr:uid="{00000000-0005-0000-0000-000036580000}"/>
    <cellStyle name="Comma 9 26 3" xfId="3221" xr:uid="{00000000-0005-0000-0000-000037580000}"/>
    <cellStyle name="Comma 9 26 3 2" xfId="5160" xr:uid="{00000000-0005-0000-0000-000038580000}"/>
    <cellStyle name="Comma 9 26 3 2 2" xfId="9031" xr:uid="{00000000-0005-0000-0000-000039580000}"/>
    <cellStyle name="Comma 9 26 3 2 2 2" xfId="16776" xr:uid="{00000000-0005-0000-0000-00003A580000}"/>
    <cellStyle name="Comma 9 26 3 2 2 2 2" xfId="32368" xr:uid="{00000000-0005-0000-0000-00003B580000}"/>
    <cellStyle name="Comma 9 26 3 2 2 2 3" xfId="47860" xr:uid="{00000000-0005-0000-0000-00003C580000}"/>
    <cellStyle name="Comma 9 26 3 2 2 3" xfId="24628" xr:uid="{00000000-0005-0000-0000-00003D580000}"/>
    <cellStyle name="Comma 9 26 3 2 2 4" xfId="40120" xr:uid="{00000000-0005-0000-0000-00003E580000}"/>
    <cellStyle name="Comma 9 26 3 2 3" xfId="12906" xr:uid="{00000000-0005-0000-0000-00003F580000}"/>
    <cellStyle name="Comma 9 26 3 2 3 2" xfId="28498" xr:uid="{00000000-0005-0000-0000-000040580000}"/>
    <cellStyle name="Comma 9 26 3 2 3 3" xfId="43990" xr:uid="{00000000-0005-0000-0000-000041580000}"/>
    <cellStyle name="Comma 9 26 3 2 4" xfId="20758" xr:uid="{00000000-0005-0000-0000-000042580000}"/>
    <cellStyle name="Comma 9 26 3 2 5" xfId="36250" xr:uid="{00000000-0005-0000-0000-000043580000}"/>
    <cellStyle name="Comma 9 26 3 3" xfId="7104" xr:uid="{00000000-0005-0000-0000-000044580000}"/>
    <cellStyle name="Comma 9 26 3 3 2" xfId="14849" xr:uid="{00000000-0005-0000-0000-000045580000}"/>
    <cellStyle name="Comma 9 26 3 3 2 2" xfId="30441" xr:uid="{00000000-0005-0000-0000-000046580000}"/>
    <cellStyle name="Comma 9 26 3 3 2 3" xfId="45933" xr:uid="{00000000-0005-0000-0000-000047580000}"/>
    <cellStyle name="Comma 9 26 3 3 3" xfId="22701" xr:uid="{00000000-0005-0000-0000-000048580000}"/>
    <cellStyle name="Comma 9 26 3 3 4" xfId="38193" xr:uid="{00000000-0005-0000-0000-000049580000}"/>
    <cellStyle name="Comma 9 26 3 4" xfId="10979" xr:uid="{00000000-0005-0000-0000-00004A580000}"/>
    <cellStyle name="Comma 9 26 3 4 2" xfId="26571" xr:uid="{00000000-0005-0000-0000-00004B580000}"/>
    <cellStyle name="Comma 9 26 3 4 3" xfId="42063" xr:uid="{00000000-0005-0000-0000-00004C580000}"/>
    <cellStyle name="Comma 9 26 3 5" xfId="18831" xr:uid="{00000000-0005-0000-0000-00004D580000}"/>
    <cellStyle name="Comma 9 26 3 6" xfId="34323" xr:uid="{00000000-0005-0000-0000-00004E580000}"/>
    <cellStyle name="Comma 9 26 4" xfId="4212" xr:uid="{00000000-0005-0000-0000-00004F580000}"/>
    <cellStyle name="Comma 9 26 4 2" xfId="8083" xr:uid="{00000000-0005-0000-0000-000050580000}"/>
    <cellStyle name="Comma 9 26 4 2 2" xfId="15828" xr:uid="{00000000-0005-0000-0000-000051580000}"/>
    <cellStyle name="Comma 9 26 4 2 2 2" xfId="31420" xr:uid="{00000000-0005-0000-0000-000052580000}"/>
    <cellStyle name="Comma 9 26 4 2 2 3" xfId="46912" xr:uid="{00000000-0005-0000-0000-000053580000}"/>
    <cellStyle name="Comma 9 26 4 2 3" xfId="23680" xr:uid="{00000000-0005-0000-0000-000054580000}"/>
    <cellStyle name="Comma 9 26 4 2 4" xfId="39172" xr:uid="{00000000-0005-0000-0000-000055580000}"/>
    <cellStyle name="Comma 9 26 4 3" xfId="11958" xr:uid="{00000000-0005-0000-0000-000056580000}"/>
    <cellStyle name="Comma 9 26 4 3 2" xfId="27550" xr:uid="{00000000-0005-0000-0000-000057580000}"/>
    <cellStyle name="Comma 9 26 4 3 3" xfId="43042" xr:uid="{00000000-0005-0000-0000-000058580000}"/>
    <cellStyle name="Comma 9 26 4 4" xfId="19810" xr:uid="{00000000-0005-0000-0000-000059580000}"/>
    <cellStyle name="Comma 9 26 4 5" xfId="35302" xr:uid="{00000000-0005-0000-0000-00005A580000}"/>
    <cellStyle name="Comma 9 26 5" xfId="6156" xr:uid="{00000000-0005-0000-0000-00005B580000}"/>
    <cellStyle name="Comma 9 26 5 2" xfId="13901" xr:uid="{00000000-0005-0000-0000-00005C580000}"/>
    <cellStyle name="Comma 9 26 5 2 2" xfId="29493" xr:uid="{00000000-0005-0000-0000-00005D580000}"/>
    <cellStyle name="Comma 9 26 5 2 3" xfId="44985" xr:uid="{00000000-0005-0000-0000-00005E580000}"/>
    <cellStyle name="Comma 9 26 5 3" xfId="21753" xr:uid="{00000000-0005-0000-0000-00005F580000}"/>
    <cellStyle name="Comma 9 26 5 4" xfId="37245" xr:uid="{00000000-0005-0000-0000-000060580000}"/>
    <cellStyle name="Comma 9 26 6" xfId="10031" xr:uid="{00000000-0005-0000-0000-000061580000}"/>
    <cellStyle name="Comma 9 26 6 2" xfId="25623" xr:uid="{00000000-0005-0000-0000-000062580000}"/>
    <cellStyle name="Comma 9 26 6 3" xfId="41115" xr:uid="{00000000-0005-0000-0000-000063580000}"/>
    <cellStyle name="Comma 9 26 7" xfId="17883" xr:uid="{00000000-0005-0000-0000-000064580000}"/>
    <cellStyle name="Comma 9 26 8" xfId="33375" xr:uid="{00000000-0005-0000-0000-000065580000}"/>
    <cellStyle name="Comma 9 27" xfId="2243" xr:uid="{00000000-0005-0000-0000-000066580000}"/>
    <cellStyle name="Comma 9 27 2" xfId="2560" xr:uid="{00000000-0005-0000-0000-000067580000}"/>
    <cellStyle name="Comma 9 27 2 2" xfId="3568" xr:uid="{00000000-0005-0000-0000-000068580000}"/>
    <cellStyle name="Comma 9 27 2 2 2" xfId="5507" xr:uid="{00000000-0005-0000-0000-000069580000}"/>
    <cellStyle name="Comma 9 27 2 2 2 2" xfId="9378" xr:uid="{00000000-0005-0000-0000-00006A580000}"/>
    <cellStyle name="Comma 9 27 2 2 2 2 2" xfId="17123" xr:uid="{00000000-0005-0000-0000-00006B580000}"/>
    <cellStyle name="Comma 9 27 2 2 2 2 2 2" xfId="32715" xr:uid="{00000000-0005-0000-0000-00006C580000}"/>
    <cellStyle name="Comma 9 27 2 2 2 2 2 3" xfId="48207" xr:uid="{00000000-0005-0000-0000-00006D580000}"/>
    <cellStyle name="Comma 9 27 2 2 2 2 3" xfId="24975" xr:uid="{00000000-0005-0000-0000-00006E580000}"/>
    <cellStyle name="Comma 9 27 2 2 2 2 4" xfId="40467" xr:uid="{00000000-0005-0000-0000-00006F580000}"/>
    <cellStyle name="Comma 9 27 2 2 2 3" xfId="13253" xr:uid="{00000000-0005-0000-0000-000070580000}"/>
    <cellStyle name="Comma 9 27 2 2 2 3 2" xfId="28845" xr:uid="{00000000-0005-0000-0000-000071580000}"/>
    <cellStyle name="Comma 9 27 2 2 2 3 3" xfId="44337" xr:uid="{00000000-0005-0000-0000-000072580000}"/>
    <cellStyle name="Comma 9 27 2 2 2 4" xfId="21105" xr:uid="{00000000-0005-0000-0000-000073580000}"/>
    <cellStyle name="Comma 9 27 2 2 2 5" xfId="36597" xr:uid="{00000000-0005-0000-0000-000074580000}"/>
    <cellStyle name="Comma 9 27 2 2 3" xfId="7451" xr:uid="{00000000-0005-0000-0000-000075580000}"/>
    <cellStyle name="Comma 9 27 2 2 3 2" xfId="15196" xr:uid="{00000000-0005-0000-0000-000076580000}"/>
    <cellStyle name="Comma 9 27 2 2 3 2 2" xfId="30788" xr:uid="{00000000-0005-0000-0000-000077580000}"/>
    <cellStyle name="Comma 9 27 2 2 3 2 3" xfId="46280" xr:uid="{00000000-0005-0000-0000-000078580000}"/>
    <cellStyle name="Comma 9 27 2 2 3 3" xfId="23048" xr:uid="{00000000-0005-0000-0000-000079580000}"/>
    <cellStyle name="Comma 9 27 2 2 3 4" xfId="38540" xr:uid="{00000000-0005-0000-0000-00007A580000}"/>
    <cellStyle name="Comma 9 27 2 2 4" xfId="11326" xr:uid="{00000000-0005-0000-0000-00007B580000}"/>
    <cellStyle name="Comma 9 27 2 2 4 2" xfId="26918" xr:uid="{00000000-0005-0000-0000-00007C580000}"/>
    <cellStyle name="Comma 9 27 2 2 4 3" xfId="42410" xr:uid="{00000000-0005-0000-0000-00007D580000}"/>
    <cellStyle name="Comma 9 27 2 2 5" xfId="19178" xr:uid="{00000000-0005-0000-0000-00007E580000}"/>
    <cellStyle name="Comma 9 27 2 2 6" xfId="34670" xr:uid="{00000000-0005-0000-0000-00007F580000}"/>
    <cellStyle name="Comma 9 27 2 3" xfId="4559" xr:uid="{00000000-0005-0000-0000-000080580000}"/>
    <cellStyle name="Comma 9 27 2 3 2" xfId="8430" xr:uid="{00000000-0005-0000-0000-000081580000}"/>
    <cellStyle name="Comma 9 27 2 3 2 2" xfId="16175" xr:uid="{00000000-0005-0000-0000-000082580000}"/>
    <cellStyle name="Comma 9 27 2 3 2 2 2" xfId="31767" xr:uid="{00000000-0005-0000-0000-000083580000}"/>
    <cellStyle name="Comma 9 27 2 3 2 2 3" xfId="47259" xr:uid="{00000000-0005-0000-0000-000084580000}"/>
    <cellStyle name="Comma 9 27 2 3 2 3" xfId="24027" xr:uid="{00000000-0005-0000-0000-000085580000}"/>
    <cellStyle name="Comma 9 27 2 3 2 4" xfId="39519" xr:uid="{00000000-0005-0000-0000-000086580000}"/>
    <cellStyle name="Comma 9 27 2 3 3" xfId="12305" xr:uid="{00000000-0005-0000-0000-000087580000}"/>
    <cellStyle name="Comma 9 27 2 3 3 2" xfId="27897" xr:uid="{00000000-0005-0000-0000-000088580000}"/>
    <cellStyle name="Comma 9 27 2 3 3 3" xfId="43389" xr:uid="{00000000-0005-0000-0000-000089580000}"/>
    <cellStyle name="Comma 9 27 2 3 4" xfId="20157" xr:uid="{00000000-0005-0000-0000-00008A580000}"/>
    <cellStyle name="Comma 9 27 2 3 5" xfId="35649" xr:uid="{00000000-0005-0000-0000-00008B580000}"/>
    <cellStyle name="Comma 9 27 2 4" xfId="6503" xr:uid="{00000000-0005-0000-0000-00008C580000}"/>
    <cellStyle name="Comma 9 27 2 4 2" xfId="14248" xr:uid="{00000000-0005-0000-0000-00008D580000}"/>
    <cellStyle name="Comma 9 27 2 4 2 2" xfId="29840" xr:uid="{00000000-0005-0000-0000-00008E580000}"/>
    <cellStyle name="Comma 9 27 2 4 2 3" xfId="45332" xr:uid="{00000000-0005-0000-0000-00008F580000}"/>
    <cellStyle name="Comma 9 27 2 4 3" xfId="22100" xr:uid="{00000000-0005-0000-0000-000090580000}"/>
    <cellStyle name="Comma 9 27 2 4 4" xfId="37592" xr:uid="{00000000-0005-0000-0000-000091580000}"/>
    <cellStyle name="Comma 9 27 2 5" xfId="10378" xr:uid="{00000000-0005-0000-0000-000092580000}"/>
    <cellStyle name="Comma 9 27 2 5 2" xfId="25970" xr:uid="{00000000-0005-0000-0000-000093580000}"/>
    <cellStyle name="Comma 9 27 2 5 3" xfId="41462" xr:uid="{00000000-0005-0000-0000-000094580000}"/>
    <cellStyle name="Comma 9 27 2 6" xfId="18230" xr:uid="{00000000-0005-0000-0000-000095580000}"/>
    <cellStyle name="Comma 9 27 2 7" xfId="33722" xr:uid="{00000000-0005-0000-0000-000096580000}"/>
    <cellStyle name="Comma 9 27 3" xfId="3259" xr:uid="{00000000-0005-0000-0000-000097580000}"/>
    <cellStyle name="Comma 9 27 3 2" xfId="5198" xr:uid="{00000000-0005-0000-0000-000098580000}"/>
    <cellStyle name="Comma 9 27 3 2 2" xfId="9069" xr:uid="{00000000-0005-0000-0000-000099580000}"/>
    <cellStyle name="Comma 9 27 3 2 2 2" xfId="16814" xr:uid="{00000000-0005-0000-0000-00009A580000}"/>
    <cellStyle name="Comma 9 27 3 2 2 2 2" xfId="32406" xr:uid="{00000000-0005-0000-0000-00009B580000}"/>
    <cellStyle name="Comma 9 27 3 2 2 2 3" xfId="47898" xr:uid="{00000000-0005-0000-0000-00009C580000}"/>
    <cellStyle name="Comma 9 27 3 2 2 3" xfId="24666" xr:uid="{00000000-0005-0000-0000-00009D580000}"/>
    <cellStyle name="Comma 9 27 3 2 2 4" xfId="40158" xr:uid="{00000000-0005-0000-0000-00009E580000}"/>
    <cellStyle name="Comma 9 27 3 2 3" xfId="12944" xr:uid="{00000000-0005-0000-0000-00009F580000}"/>
    <cellStyle name="Comma 9 27 3 2 3 2" xfId="28536" xr:uid="{00000000-0005-0000-0000-0000A0580000}"/>
    <cellStyle name="Comma 9 27 3 2 3 3" xfId="44028" xr:uid="{00000000-0005-0000-0000-0000A1580000}"/>
    <cellStyle name="Comma 9 27 3 2 4" xfId="20796" xr:uid="{00000000-0005-0000-0000-0000A2580000}"/>
    <cellStyle name="Comma 9 27 3 2 5" xfId="36288" xr:uid="{00000000-0005-0000-0000-0000A3580000}"/>
    <cellStyle name="Comma 9 27 3 3" xfId="7142" xr:uid="{00000000-0005-0000-0000-0000A4580000}"/>
    <cellStyle name="Comma 9 27 3 3 2" xfId="14887" xr:uid="{00000000-0005-0000-0000-0000A5580000}"/>
    <cellStyle name="Comma 9 27 3 3 2 2" xfId="30479" xr:uid="{00000000-0005-0000-0000-0000A6580000}"/>
    <cellStyle name="Comma 9 27 3 3 2 3" xfId="45971" xr:uid="{00000000-0005-0000-0000-0000A7580000}"/>
    <cellStyle name="Comma 9 27 3 3 3" xfId="22739" xr:uid="{00000000-0005-0000-0000-0000A8580000}"/>
    <cellStyle name="Comma 9 27 3 3 4" xfId="38231" xr:uid="{00000000-0005-0000-0000-0000A9580000}"/>
    <cellStyle name="Comma 9 27 3 4" xfId="11017" xr:uid="{00000000-0005-0000-0000-0000AA580000}"/>
    <cellStyle name="Comma 9 27 3 4 2" xfId="26609" xr:uid="{00000000-0005-0000-0000-0000AB580000}"/>
    <cellStyle name="Comma 9 27 3 4 3" xfId="42101" xr:uid="{00000000-0005-0000-0000-0000AC580000}"/>
    <cellStyle name="Comma 9 27 3 5" xfId="18869" xr:uid="{00000000-0005-0000-0000-0000AD580000}"/>
    <cellStyle name="Comma 9 27 3 6" xfId="34361" xr:uid="{00000000-0005-0000-0000-0000AE580000}"/>
    <cellStyle name="Comma 9 27 4" xfId="4250" xr:uid="{00000000-0005-0000-0000-0000AF580000}"/>
    <cellStyle name="Comma 9 27 4 2" xfId="8121" xr:uid="{00000000-0005-0000-0000-0000B0580000}"/>
    <cellStyle name="Comma 9 27 4 2 2" xfId="15866" xr:uid="{00000000-0005-0000-0000-0000B1580000}"/>
    <cellStyle name="Comma 9 27 4 2 2 2" xfId="31458" xr:uid="{00000000-0005-0000-0000-0000B2580000}"/>
    <cellStyle name="Comma 9 27 4 2 2 3" xfId="46950" xr:uid="{00000000-0005-0000-0000-0000B3580000}"/>
    <cellStyle name="Comma 9 27 4 2 3" xfId="23718" xr:uid="{00000000-0005-0000-0000-0000B4580000}"/>
    <cellStyle name="Comma 9 27 4 2 4" xfId="39210" xr:uid="{00000000-0005-0000-0000-0000B5580000}"/>
    <cellStyle name="Comma 9 27 4 3" xfId="11996" xr:uid="{00000000-0005-0000-0000-0000B6580000}"/>
    <cellStyle name="Comma 9 27 4 3 2" xfId="27588" xr:uid="{00000000-0005-0000-0000-0000B7580000}"/>
    <cellStyle name="Comma 9 27 4 3 3" xfId="43080" xr:uid="{00000000-0005-0000-0000-0000B8580000}"/>
    <cellStyle name="Comma 9 27 4 4" xfId="19848" xr:uid="{00000000-0005-0000-0000-0000B9580000}"/>
    <cellStyle name="Comma 9 27 4 5" xfId="35340" xr:uid="{00000000-0005-0000-0000-0000BA580000}"/>
    <cellStyle name="Comma 9 27 5" xfId="6194" xr:uid="{00000000-0005-0000-0000-0000BB580000}"/>
    <cellStyle name="Comma 9 27 5 2" xfId="13939" xr:uid="{00000000-0005-0000-0000-0000BC580000}"/>
    <cellStyle name="Comma 9 27 5 2 2" xfId="29531" xr:uid="{00000000-0005-0000-0000-0000BD580000}"/>
    <cellStyle name="Comma 9 27 5 2 3" xfId="45023" xr:uid="{00000000-0005-0000-0000-0000BE580000}"/>
    <cellStyle name="Comma 9 27 5 3" xfId="21791" xr:uid="{00000000-0005-0000-0000-0000BF580000}"/>
    <cellStyle name="Comma 9 27 5 4" xfId="37283" xr:uid="{00000000-0005-0000-0000-0000C0580000}"/>
    <cellStyle name="Comma 9 27 6" xfId="10069" xr:uid="{00000000-0005-0000-0000-0000C1580000}"/>
    <cellStyle name="Comma 9 27 6 2" xfId="25661" xr:uid="{00000000-0005-0000-0000-0000C2580000}"/>
    <cellStyle name="Comma 9 27 6 3" xfId="41153" xr:uid="{00000000-0005-0000-0000-0000C3580000}"/>
    <cellStyle name="Comma 9 27 7" xfId="17921" xr:uid="{00000000-0005-0000-0000-0000C4580000}"/>
    <cellStyle name="Comma 9 27 8" xfId="33413" xr:uid="{00000000-0005-0000-0000-0000C5580000}"/>
    <cellStyle name="Comma 9 28" xfId="2280" xr:uid="{00000000-0005-0000-0000-0000C6580000}"/>
    <cellStyle name="Comma 9 28 2" xfId="2596" xr:uid="{00000000-0005-0000-0000-0000C7580000}"/>
    <cellStyle name="Comma 9 28 2 2" xfId="3604" xr:uid="{00000000-0005-0000-0000-0000C8580000}"/>
    <cellStyle name="Comma 9 28 2 2 2" xfId="5543" xr:uid="{00000000-0005-0000-0000-0000C9580000}"/>
    <cellStyle name="Comma 9 28 2 2 2 2" xfId="9414" xr:uid="{00000000-0005-0000-0000-0000CA580000}"/>
    <cellStyle name="Comma 9 28 2 2 2 2 2" xfId="17159" xr:uid="{00000000-0005-0000-0000-0000CB580000}"/>
    <cellStyle name="Comma 9 28 2 2 2 2 2 2" xfId="32751" xr:uid="{00000000-0005-0000-0000-0000CC580000}"/>
    <cellStyle name="Comma 9 28 2 2 2 2 2 3" xfId="48243" xr:uid="{00000000-0005-0000-0000-0000CD580000}"/>
    <cellStyle name="Comma 9 28 2 2 2 2 3" xfId="25011" xr:uid="{00000000-0005-0000-0000-0000CE580000}"/>
    <cellStyle name="Comma 9 28 2 2 2 2 4" xfId="40503" xr:uid="{00000000-0005-0000-0000-0000CF580000}"/>
    <cellStyle name="Comma 9 28 2 2 2 3" xfId="13289" xr:uid="{00000000-0005-0000-0000-0000D0580000}"/>
    <cellStyle name="Comma 9 28 2 2 2 3 2" xfId="28881" xr:uid="{00000000-0005-0000-0000-0000D1580000}"/>
    <cellStyle name="Comma 9 28 2 2 2 3 3" xfId="44373" xr:uid="{00000000-0005-0000-0000-0000D2580000}"/>
    <cellStyle name="Comma 9 28 2 2 2 4" xfId="21141" xr:uid="{00000000-0005-0000-0000-0000D3580000}"/>
    <cellStyle name="Comma 9 28 2 2 2 5" xfId="36633" xr:uid="{00000000-0005-0000-0000-0000D4580000}"/>
    <cellStyle name="Comma 9 28 2 2 3" xfId="7487" xr:uid="{00000000-0005-0000-0000-0000D5580000}"/>
    <cellStyle name="Comma 9 28 2 2 3 2" xfId="15232" xr:uid="{00000000-0005-0000-0000-0000D6580000}"/>
    <cellStyle name="Comma 9 28 2 2 3 2 2" xfId="30824" xr:uid="{00000000-0005-0000-0000-0000D7580000}"/>
    <cellStyle name="Comma 9 28 2 2 3 2 3" xfId="46316" xr:uid="{00000000-0005-0000-0000-0000D8580000}"/>
    <cellStyle name="Comma 9 28 2 2 3 3" xfId="23084" xr:uid="{00000000-0005-0000-0000-0000D9580000}"/>
    <cellStyle name="Comma 9 28 2 2 3 4" xfId="38576" xr:uid="{00000000-0005-0000-0000-0000DA580000}"/>
    <cellStyle name="Comma 9 28 2 2 4" xfId="11362" xr:uid="{00000000-0005-0000-0000-0000DB580000}"/>
    <cellStyle name="Comma 9 28 2 2 4 2" xfId="26954" xr:uid="{00000000-0005-0000-0000-0000DC580000}"/>
    <cellStyle name="Comma 9 28 2 2 4 3" xfId="42446" xr:uid="{00000000-0005-0000-0000-0000DD580000}"/>
    <cellStyle name="Comma 9 28 2 2 5" xfId="19214" xr:uid="{00000000-0005-0000-0000-0000DE580000}"/>
    <cellStyle name="Comma 9 28 2 2 6" xfId="34706" xr:uid="{00000000-0005-0000-0000-0000DF580000}"/>
    <cellStyle name="Comma 9 28 2 3" xfId="4595" xr:uid="{00000000-0005-0000-0000-0000E0580000}"/>
    <cellStyle name="Comma 9 28 2 3 2" xfId="8466" xr:uid="{00000000-0005-0000-0000-0000E1580000}"/>
    <cellStyle name="Comma 9 28 2 3 2 2" xfId="16211" xr:uid="{00000000-0005-0000-0000-0000E2580000}"/>
    <cellStyle name="Comma 9 28 2 3 2 2 2" xfId="31803" xr:uid="{00000000-0005-0000-0000-0000E3580000}"/>
    <cellStyle name="Comma 9 28 2 3 2 2 3" xfId="47295" xr:uid="{00000000-0005-0000-0000-0000E4580000}"/>
    <cellStyle name="Comma 9 28 2 3 2 3" xfId="24063" xr:uid="{00000000-0005-0000-0000-0000E5580000}"/>
    <cellStyle name="Comma 9 28 2 3 2 4" xfId="39555" xr:uid="{00000000-0005-0000-0000-0000E6580000}"/>
    <cellStyle name="Comma 9 28 2 3 3" xfId="12341" xr:uid="{00000000-0005-0000-0000-0000E7580000}"/>
    <cellStyle name="Comma 9 28 2 3 3 2" xfId="27933" xr:uid="{00000000-0005-0000-0000-0000E8580000}"/>
    <cellStyle name="Comma 9 28 2 3 3 3" xfId="43425" xr:uid="{00000000-0005-0000-0000-0000E9580000}"/>
    <cellStyle name="Comma 9 28 2 3 4" xfId="20193" xr:uid="{00000000-0005-0000-0000-0000EA580000}"/>
    <cellStyle name="Comma 9 28 2 3 5" xfId="35685" xr:uid="{00000000-0005-0000-0000-0000EB580000}"/>
    <cellStyle name="Comma 9 28 2 4" xfId="6539" xr:uid="{00000000-0005-0000-0000-0000EC580000}"/>
    <cellStyle name="Comma 9 28 2 4 2" xfId="14284" xr:uid="{00000000-0005-0000-0000-0000ED580000}"/>
    <cellStyle name="Comma 9 28 2 4 2 2" xfId="29876" xr:uid="{00000000-0005-0000-0000-0000EE580000}"/>
    <cellStyle name="Comma 9 28 2 4 2 3" xfId="45368" xr:uid="{00000000-0005-0000-0000-0000EF580000}"/>
    <cellStyle name="Comma 9 28 2 4 3" xfId="22136" xr:uid="{00000000-0005-0000-0000-0000F0580000}"/>
    <cellStyle name="Comma 9 28 2 4 4" xfId="37628" xr:uid="{00000000-0005-0000-0000-0000F1580000}"/>
    <cellStyle name="Comma 9 28 2 5" xfId="10414" xr:uid="{00000000-0005-0000-0000-0000F2580000}"/>
    <cellStyle name="Comma 9 28 2 5 2" xfId="26006" xr:uid="{00000000-0005-0000-0000-0000F3580000}"/>
    <cellStyle name="Comma 9 28 2 5 3" xfId="41498" xr:uid="{00000000-0005-0000-0000-0000F4580000}"/>
    <cellStyle name="Comma 9 28 2 6" xfId="18266" xr:uid="{00000000-0005-0000-0000-0000F5580000}"/>
    <cellStyle name="Comma 9 28 2 7" xfId="33758" xr:uid="{00000000-0005-0000-0000-0000F6580000}"/>
    <cellStyle name="Comma 9 28 3" xfId="3295" xr:uid="{00000000-0005-0000-0000-0000F7580000}"/>
    <cellStyle name="Comma 9 28 3 2" xfId="5234" xr:uid="{00000000-0005-0000-0000-0000F8580000}"/>
    <cellStyle name="Comma 9 28 3 2 2" xfId="9105" xr:uid="{00000000-0005-0000-0000-0000F9580000}"/>
    <cellStyle name="Comma 9 28 3 2 2 2" xfId="16850" xr:uid="{00000000-0005-0000-0000-0000FA580000}"/>
    <cellStyle name="Comma 9 28 3 2 2 2 2" xfId="32442" xr:uid="{00000000-0005-0000-0000-0000FB580000}"/>
    <cellStyle name="Comma 9 28 3 2 2 2 3" xfId="47934" xr:uid="{00000000-0005-0000-0000-0000FC580000}"/>
    <cellStyle name="Comma 9 28 3 2 2 3" xfId="24702" xr:uid="{00000000-0005-0000-0000-0000FD580000}"/>
    <cellStyle name="Comma 9 28 3 2 2 4" xfId="40194" xr:uid="{00000000-0005-0000-0000-0000FE580000}"/>
    <cellStyle name="Comma 9 28 3 2 3" xfId="12980" xr:uid="{00000000-0005-0000-0000-0000FF580000}"/>
    <cellStyle name="Comma 9 28 3 2 3 2" xfId="28572" xr:uid="{00000000-0005-0000-0000-000000590000}"/>
    <cellStyle name="Comma 9 28 3 2 3 3" xfId="44064" xr:uid="{00000000-0005-0000-0000-000001590000}"/>
    <cellStyle name="Comma 9 28 3 2 4" xfId="20832" xr:uid="{00000000-0005-0000-0000-000002590000}"/>
    <cellStyle name="Comma 9 28 3 2 5" xfId="36324" xr:uid="{00000000-0005-0000-0000-000003590000}"/>
    <cellStyle name="Comma 9 28 3 3" xfId="7178" xr:uid="{00000000-0005-0000-0000-000004590000}"/>
    <cellStyle name="Comma 9 28 3 3 2" xfId="14923" xr:uid="{00000000-0005-0000-0000-000005590000}"/>
    <cellStyle name="Comma 9 28 3 3 2 2" xfId="30515" xr:uid="{00000000-0005-0000-0000-000006590000}"/>
    <cellStyle name="Comma 9 28 3 3 2 3" xfId="46007" xr:uid="{00000000-0005-0000-0000-000007590000}"/>
    <cellStyle name="Comma 9 28 3 3 3" xfId="22775" xr:uid="{00000000-0005-0000-0000-000008590000}"/>
    <cellStyle name="Comma 9 28 3 3 4" xfId="38267" xr:uid="{00000000-0005-0000-0000-000009590000}"/>
    <cellStyle name="Comma 9 28 3 4" xfId="11053" xr:uid="{00000000-0005-0000-0000-00000A590000}"/>
    <cellStyle name="Comma 9 28 3 4 2" xfId="26645" xr:uid="{00000000-0005-0000-0000-00000B590000}"/>
    <cellStyle name="Comma 9 28 3 4 3" xfId="42137" xr:uid="{00000000-0005-0000-0000-00000C590000}"/>
    <cellStyle name="Comma 9 28 3 5" xfId="18905" xr:uid="{00000000-0005-0000-0000-00000D590000}"/>
    <cellStyle name="Comma 9 28 3 6" xfId="34397" xr:uid="{00000000-0005-0000-0000-00000E590000}"/>
    <cellStyle name="Comma 9 28 4" xfId="4286" xr:uid="{00000000-0005-0000-0000-00000F590000}"/>
    <cellStyle name="Comma 9 28 4 2" xfId="8157" xr:uid="{00000000-0005-0000-0000-000010590000}"/>
    <cellStyle name="Comma 9 28 4 2 2" xfId="15902" xr:uid="{00000000-0005-0000-0000-000011590000}"/>
    <cellStyle name="Comma 9 28 4 2 2 2" xfId="31494" xr:uid="{00000000-0005-0000-0000-000012590000}"/>
    <cellStyle name="Comma 9 28 4 2 2 3" xfId="46986" xr:uid="{00000000-0005-0000-0000-000013590000}"/>
    <cellStyle name="Comma 9 28 4 2 3" xfId="23754" xr:uid="{00000000-0005-0000-0000-000014590000}"/>
    <cellStyle name="Comma 9 28 4 2 4" xfId="39246" xr:uid="{00000000-0005-0000-0000-000015590000}"/>
    <cellStyle name="Comma 9 28 4 3" xfId="12032" xr:uid="{00000000-0005-0000-0000-000016590000}"/>
    <cellStyle name="Comma 9 28 4 3 2" xfId="27624" xr:uid="{00000000-0005-0000-0000-000017590000}"/>
    <cellStyle name="Comma 9 28 4 3 3" xfId="43116" xr:uid="{00000000-0005-0000-0000-000018590000}"/>
    <cellStyle name="Comma 9 28 4 4" xfId="19884" xr:uid="{00000000-0005-0000-0000-000019590000}"/>
    <cellStyle name="Comma 9 28 4 5" xfId="35376" xr:uid="{00000000-0005-0000-0000-00001A590000}"/>
    <cellStyle name="Comma 9 28 5" xfId="6230" xr:uid="{00000000-0005-0000-0000-00001B590000}"/>
    <cellStyle name="Comma 9 28 5 2" xfId="13975" xr:uid="{00000000-0005-0000-0000-00001C590000}"/>
    <cellStyle name="Comma 9 28 5 2 2" xfId="29567" xr:uid="{00000000-0005-0000-0000-00001D590000}"/>
    <cellStyle name="Comma 9 28 5 2 3" xfId="45059" xr:uid="{00000000-0005-0000-0000-00001E590000}"/>
    <cellStyle name="Comma 9 28 5 3" xfId="21827" xr:uid="{00000000-0005-0000-0000-00001F590000}"/>
    <cellStyle name="Comma 9 28 5 4" xfId="37319" xr:uid="{00000000-0005-0000-0000-000020590000}"/>
    <cellStyle name="Comma 9 28 6" xfId="10105" xr:uid="{00000000-0005-0000-0000-000021590000}"/>
    <cellStyle name="Comma 9 28 6 2" xfId="25697" xr:uid="{00000000-0005-0000-0000-000022590000}"/>
    <cellStyle name="Comma 9 28 6 3" xfId="41189" xr:uid="{00000000-0005-0000-0000-000023590000}"/>
    <cellStyle name="Comma 9 28 7" xfId="17957" xr:uid="{00000000-0005-0000-0000-000024590000}"/>
    <cellStyle name="Comma 9 28 8" xfId="33449" xr:uid="{00000000-0005-0000-0000-000025590000}"/>
    <cellStyle name="Comma 9 29" xfId="2317" xr:uid="{00000000-0005-0000-0000-000026590000}"/>
    <cellStyle name="Comma 9 29 2" xfId="2632" xr:uid="{00000000-0005-0000-0000-000027590000}"/>
    <cellStyle name="Comma 9 29 2 2" xfId="3640" xr:uid="{00000000-0005-0000-0000-000028590000}"/>
    <cellStyle name="Comma 9 29 2 2 2" xfId="5579" xr:uid="{00000000-0005-0000-0000-000029590000}"/>
    <cellStyle name="Comma 9 29 2 2 2 2" xfId="9450" xr:uid="{00000000-0005-0000-0000-00002A590000}"/>
    <cellStyle name="Comma 9 29 2 2 2 2 2" xfId="17195" xr:uid="{00000000-0005-0000-0000-00002B590000}"/>
    <cellStyle name="Comma 9 29 2 2 2 2 2 2" xfId="32787" xr:uid="{00000000-0005-0000-0000-00002C590000}"/>
    <cellStyle name="Comma 9 29 2 2 2 2 2 3" xfId="48279" xr:uid="{00000000-0005-0000-0000-00002D590000}"/>
    <cellStyle name="Comma 9 29 2 2 2 2 3" xfId="25047" xr:uid="{00000000-0005-0000-0000-00002E590000}"/>
    <cellStyle name="Comma 9 29 2 2 2 2 4" xfId="40539" xr:uid="{00000000-0005-0000-0000-00002F590000}"/>
    <cellStyle name="Comma 9 29 2 2 2 3" xfId="13325" xr:uid="{00000000-0005-0000-0000-000030590000}"/>
    <cellStyle name="Comma 9 29 2 2 2 3 2" xfId="28917" xr:uid="{00000000-0005-0000-0000-000031590000}"/>
    <cellStyle name="Comma 9 29 2 2 2 3 3" xfId="44409" xr:uid="{00000000-0005-0000-0000-000032590000}"/>
    <cellStyle name="Comma 9 29 2 2 2 4" xfId="21177" xr:uid="{00000000-0005-0000-0000-000033590000}"/>
    <cellStyle name="Comma 9 29 2 2 2 5" xfId="36669" xr:uid="{00000000-0005-0000-0000-000034590000}"/>
    <cellStyle name="Comma 9 29 2 2 3" xfId="7523" xr:uid="{00000000-0005-0000-0000-000035590000}"/>
    <cellStyle name="Comma 9 29 2 2 3 2" xfId="15268" xr:uid="{00000000-0005-0000-0000-000036590000}"/>
    <cellStyle name="Comma 9 29 2 2 3 2 2" xfId="30860" xr:uid="{00000000-0005-0000-0000-000037590000}"/>
    <cellStyle name="Comma 9 29 2 2 3 2 3" xfId="46352" xr:uid="{00000000-0005-0000-0000-000038590000}"/>
    <cellStyle name="Comma 9 29 2 2 3 3" xfId="23120" xr:uid="{00000000-0005-0000-0000-000039590000}"/>
    <cellStyle name="Comma 9 29 2 2 3 4" xfId="38612" xr:uid="{00000000-0005-0000-0000-00003A590000}"/>
    <cellStyle name="Comma 9 29 2 2 4" xfId="11398" xr:uid="{00000000-0005-0000-0000-00003B590000}"/>
    <cellStyle name="Comma 9 29 2 2 4 2" xfId="26990" xr:uid="{00000000-0005-0000-0000-00003C590000}"/>
    <cellStyle name="Comma 9 29 2 2 4 3" xfId="42482" xr:uid="{00000000-0005-0000-0000-00003D590000}"/>
    <cellStyle name="Comma 9 29 2 2 5" xfId="19250" xr:uid="{00000000-0005-0000-0000-00003E590000}"/>
    <cellStyle name="Comma 9 29 2 2 6" xfId="34742" xr:uid="{00000000-0005-0000-0000-00003F590000}"/>
    <cellStyle name="Comma 9 29 2 3" xfId="4631" xr:uid="{00000000-0005-0000-0000-000040590000}"/>
    <cellStyle name="Comma 9 29 2 3 2" xfId="8502" xr:uid="{00000000-0005-0000-0000-000041590000}"/>
    <cellStyle name="Comma 9 29 2 3 2 2" xfId="16247" xr:uid="{00000000-0005-0000-0000-000042590000}"/>
    <cellStyle name="Comma 9 29 2 3 2 2 2" xfId="31839" xr:uid="{00000000-0005-0000-0000-000043590000}"/>
    <cellStyle name="Comma 9 29 2 3 2 2 3" xfId="47331" xr:uid="{00000000-0005-0000-0000-000044590000}"/>
    <cellStyle name="Comma 9 29 2 3 2 3" xfId="24099" xr:uid="{00000000-0005-0000-0000-000045590000}"/>
    <cellStyle name="Comma 9 29 2 3 2 4" xfId="39591" xr:uid="{00000000-0005-0000-0000-000046590000}"/>
    <cellStyle name="Comma 9 29 2 3 3" xfId="12377" xr:uid="{00000000-0005-0000-0000-000047590000}"/>
    <cellStyle name="Comma 9 29 2 3 3 2" xfId="27969" xr:uid="{00000000-0005-0000-0000-000048590000}"/>
    <cellStyle name="Comma 9 29 2 3 3 3" xfId="43461" xr:uid="{00000000-0005-0000-0000-000049590000}"/>
    <cellStyle name="Comma 9 29 2 3 4" xfId="20229" xr:uid="{00000000-0005-0000-0000-00004A590000}"/>
    <cellStyle name="Comma 9 29 2 3 5" xfId="35721" xr:uid="{00000000-0005-0000-0000-00004B590000}"/>
    <cellStyle name="Comma 9 29 2 4" xfId="6575" xr:uid="{00000000-0005-0000-0000-00004C590000}"/>
    <cellStyle name="Comma 9 29 2 4 2" xfId="14320" xr:uid="{00000000-0005-0000-0000-00004D590000}"/>
    <cellStyle name="Comma 9 29 2 4 2 2" xfId="29912" xr:uid="{00000000-0005-0000-0000-00004E590000}"/>
    <cellStyle name="Comma 9 29 2 4 2 3" xfId="45404" xr:uid="{00000000-0005-0000-0000-00004F590000}"/>
    <cellStyle name="Comma 9 29 2 4 3" xfId="22172" xr:uid="{00000000-0005-0000-0000-000050590000}"/>
    <cellStyle name="Comma 9 29 2 4 4" xfId="37664" xr:uid="{00000000-0005-0000-0000-000051590000}"/>
    <cellStyle name="Comma 9 29 2 5" xfId="10450" xr:uid="{00000000-0005-0000-0000-000052590000}"/>
    <cellStyle name="Comma 9 29 2 5 2" xfId="26042" xr:uid="{00000000-0005-0000-0000-000053590000}"/>
    <cellStyle name="Comma 9 29 2 5 3" xfId="41534" xr:uid="{00000000-0005-0000-0000-000054590000}"/>
    <cellStyle name="Comma 9 29 2 6" xfId="18302" xr:uid="{00000000-0005-0000-0000-000055590000}"/>
    <cellStyle name="Comma 9 29 2 7" xfId="33794" xr:uid="{00000000-0005-0000-0000-000056590000}"/>
    <cellStyle name="Comma 9 29 3" xfId="3331" xr:uid="{00000000-0005-0000-0000-000057590000}"/>
    <cellStyle name="Comma 9 29 3 2" xfId="5270" xr:uid="{00000000-0005-0000-0000-000058590000}"/>
    <cellStyle name="Comma 9 29 3 2 2" xfId="9141" xr:uid="{00000000-0005-0000-0000-000059590000}"/>
    <cellStyle name="Comma 9 29 3 2 2 2" xfId="16886" xr:uid="{00000000-0005-0000-0000-00005A590000}"/>
    <cellStyle name="Comma 9 29 3 2 2 2 2" xfId="32478" xr:uid="{00000000-0005-0000-0000-00005B590000}"/>
    <cellStyle name="Comma 9 29 3 2 2 2 3" xfId="47970" xr:uid="{00000000-0005-0000-0000-00005C590000}"/>
    <cellStyle name="Comma 9 29 3 2 2 3" xfId="24738" xr:uid="{00000000-0005-0000-0000-00005D590000}"/>
    <cellStyle name="Comma 9 29 3 2 2 4" xfId="40230" xr:uid="{00000000-0005-0000-0000-00005E590000}"/>
    <cellStyle name="Comma 9 29 3 2 3" xfId="13016" xr:uid="{00000000-0005-0000-0000-00005F590000}"/>
    <cellStyle name="Comma 9 29 3 2 3 2" xfId="28608" xr:uid="{00000000-0005-0000-0000-000060590000}"/>
    <cellStyle name="Comma 9 29 3 2 3 3" xfId="44100" xr:uid="{00000000-0005-0000-0000-000061590000}"/>
    <cellStyle name="Comma 9 29 3 2 4" xfId="20868" xr:uid="{00000000-0005-0000-0000-000062590000}"/>
    <cellStyle name="Comma 9 29 3 2 5" xfId="36360" xr:uid="{00000000-0005-0000-0000-000063590000}"/>
    <cellStyle name="Comma 9 29 3 3" xfId="7214" xr:uid="{00000000-0005-0000-0000-000064590000}"/>
    <cellStyle name="Comma 9 29 3 3 2" xfId="14959" xr:uid="{00000000-0005-0000-0000-000065590000}"/>
    <cellStyle name="Comma 9 29 3 3 2 2" xfId="30551" xr:uid="{00000000-0005-0000-0000-000066590000}"/>
    <cellStyle name="Comma 9 29 3 3 2 3" xfId="46043" xr:uid="{00000000-0005-0000-0000-000067590000}"/>
    <cellStyle name="Comma 9 29 3 3 3" xfId="22811" xr:uid="{00000000-0005-0000-0000-000068590000}"/>
    <cellStyle name="Comma 9 29 3 3 4" xfId="38303" xr:uid="{00000000-0005-0000-0000-000069590000}"/>
    <cellStyle name="Comma 9 29 3 4" xfId="11089" xr:uid="{00000000-0005-0000-0000-00006A590000}"/>
    <cellStyle name="Comma 9 29 3 4 2" xfId="26681" xr:uid="{00000000-0005-0000-0000-00006B590000}"/>
    <cellStyle name="Comma 9 29 3 4 3" xfId="42173" xr:uid="{00000000-0005-0000-0000-00006C590000}"/>
    <cellStyle name="Comma 9 29 3 5" xfId="18941" xr:uid="{00000000-0005-0000-0000-00006D590000}"/>
    <cellStyle name="Comma 9 29 3 6" xfId="34433" xr:uid="{00000000-0005-0000-0000-00006E590000}"/>
    <cellStyle name="Comma 9 29 4" xfId="4322" xr:uid="{00000000-0005-0000-0000-00006F590000}"/>
    <cellStyle name="Comma 9 29 4 2" xfId="8193" xr:uid="{00000000-0005-0000-0000-000070590000}"/>
    <cellStyle name="Comma 9 29 4 2 2" xfId="15938" xr:uid="{00000000-0005-0000-0000-000071590000}"/>
    <cellStyle name="Comma 9 29 4 2 2 2" xfId="31530" xr:uid="{00000000-0005-0000-0000-000072590000}"/>
    <cellStyle name="Comma 9 29 4 2 2 3" xfId="47022" xr:uid="{00000000-0005-0000-0000-000073590000}"/>
    <cellStyle name="Comma 9 29 4 2 3" xfId="23790" xr:uid="{00000000-0005-0000-0000-000074590000}"/>
    <cellStyle name="Comma 9 29 4 2 4" xfId="39282" xr:uid="{00000000-0005-0000-0000-000075590000}"/>
    <cellStyle name="Comma 9 29 4 3" xfId="12068" xr:uid="{00000000-0005-0000-0000-000076590000}"/>
    <cellStyle name="Comma 9 29 4 3 2" xfId="27660" xr:uid="{00000000-0005-0000-0000-000077590000}"/>
    <cellStyle name="Comma 9 29 4 3 3" xfId="43152" xr:uid="{00000000-0005-0000-0000-000078590000}"/>
    <cellStyle name="Comma 9 29 4 4" xfId="19920" xr:uid="{00000000-0005-0000-0000-000079590000}"/>
    <cellStyle name="Comma 9 29 4 5" xfId="35412" xr:uid="{00000000-0005-0000-0000-00007A590000}"/>
    <cellStyle name="Comma 9 29 5" xfId="6266" xr:uid="{00000000-0005-0000-0000-00007B590000}"/>
    <cellStyle name="Comma 9 29 5 2" xfId="14011" xr:uid="{00000000-0005-0000-0000-00007C590000}"/>
    <cellStyle name="Comma 9 29 5 2 2" xfId="29603" xr:uid="{00000000-0005-0000-0000-00007D590000}"/>
    <cellStyle name="Comma 9 29 5 2 3" xfId="45095" xr:uid="{00000000-0005-0000-0000-00007E590000}"/>
    <cellStyle name="Comma 9 29 5 3" xfId="21863" xr:uid="{00000000-0005-0000-0000-00007F590000}"/>
    <cellStyle name="Comma 9 29 5 4" xfId="37355" xr:uid="{00000000-0005-0000-0000-000080590000}"/>
    <cellStyle name="Comma 9 29 6" xfId="10141" xr:uid="{00000000-0005-0000-0000-000081590000}"/>
    <cellStyle name="Comma 9 29 6 2" xfId="25733" xr:uid="{00000000-0005-0000-0000-000082590000}"/>
    <cellStyle name="Comma 9 29 6 3" xfId="41225" xr:uid="{00000000-0005-0000-0000-000083590000}"/>
    <cellStyle name="Comma 9 29 7" xfId="17993" xr:uid="{00000000-0005-0000-0000-000084590000}"/>
    <cellStyle name="Comma 9 29 8" xfId="33485" xr:uid="{00000000-0005-0000-0000-000085590000}"/>
    <cellStyle name="Comma 9 3" xfId="1570" xr:uid="{00000000-0005-0000-0000-000086590000}"/>
    <cellStyle name="Comma 9 30" xfId="2355" xr:uid="{00000000-0005-0000-0000-000087590000}"/>
    <cellStyle name="Comma 9 30 2" xfId="2668" xr:uid="{00000000-0005-0000-0000-000088590000}"/>
    <cellStyle name="Comma 9 30 2 2" xfId="3676" xr:uid="{00000000-0005-0000-0000-000089590000}"/>
    <cellStyle name="Comma 9 30 2 2 2" xfId="5615" xr:uid="{00000000-0005-0000-0000-00008A590000}"/>
    <cellStyle name="Comma 9 30 2 2 2 2" xfId="9486" xr:uid="{00000000-0005-0000-0000-00008B590000}"/>
    <cellStyle name="Comma 9 30 2 2 2 2 2" xfId="17231" xr:uid="{00000000-0005-0000-0000-00008C590000}"/>
    <cellStyle name="Comma 9 30 2 2 2 2 2 2" xfId="32823" xr:uid="{00000000-0005-0000-0000-00008D590000}"/>
    <cellStyle name="Comma 9 30 2 2 2 2 2 3" xfId="48315" xr:uid="{00000000-0005-0000-0000-00008E590000}"/>
    <cellStyle name="Comma 9 30 2 2 2 2 3" xfId="25083" xr:uid="{00000000-0005-0000-0000-00008F590000}"/>
    <cellStyle name="Comma 9 30 2 2 2 2 4" xfId="40575" xr:uid="{00000000-0005-0000-0000-000090590000}"/>
    <cellStyle name="Comma 9 30 2 2 2 3" xfId="13361" xr:uid="{00000000-0005-0000-0000-000091590000}"/>
    <cellStyle name="Comma 9 30 2 2 2 3 2" xfId="28953" xr:uid="{00000000-0005-0000-0000-000092590000}"/>
    <cellStyle name="Comma 9 30 2 2 2 3 3" xfId="44445" xr:uid="{00000000-0005-0000-0000-000093590000}"/>
    <cellStyle name="Comma 9 30 2 2 2 4" xfId="21213" xr:uid="{00000000-0005-0000-0000-000094590000}"/>
    <cellStyle name="Comma 9 30 2 2 2 5" xfId="36705" xr:uid="{00000000-0005-0000-0000-000095590000}"/>
    <cellStyle name="Comma 9 30 2 2 3" xfId="7559" xr:uid="{00000000-0005-0000-0000-000096590000}"/>
    <cellStyle name="Comma 9 30 2 2 3 2" xfId="15304" xr:uid="{00000000-0005-0000-0000-000097590000}"/>
    <cellStyle name="Comma 9 30 2 2 3 2 2" xfId="30896" xr:uid="{00000000-0005-0000-0000-000098590000}"/>
    <cellStyle name="Comma 9 30 2 2 3 2 3" xfId="46388" xr:uid="{00000000-0005-0000-0000-000099590000}"/>
    <cellStyle name="Comma 9 30 2 2 3 3" xfId="23156" xr:uid="{00000000-0005-0000-0000-00009A590000}"/>
    <cellStyle name="Comma 9 30 2 2 3 4" xfId="38648" xr:uid="{00000000-0005-0000-0000-00009B590000}"/>
    <cellStyle name="Comma 9 30 2 2 4" xfId="11434" xr:uid="{00000000-0005-0000-0000-00009C590000}"/>
    <cellStyle name="Comma 9 30 2 2 4 2" xfId="27026" xr:uid="{00000000-0005-0000-0000-00009D590000}"/>
    <cellStyle name="Comma 9 30 2 2 4 3" xfId="42518" xr:uid="{00000000-0005-0000-0000-00009E590000}"/>
    <cellStyle name="Comma 9 30 2 2 5" xfId="19286" xr:uid="{00000000-0005-0000-0000-00009F590000}"/>
    <cellStyle name="Comma 9 30 2 2 6" xfId="34778" xr:uid="{00000000-0005-0000-0000-0000A0590000}"/>
    <cellStyle name="Comma 9 30 2 3" xfId="4667" xr:uid="{00000000-0005-0000-0000-0000A1590000}"/>
    <cellStyle name="Comma 9 30 2 3 2" xfId="8538" xr:uid="{00000000-0005-0000-0000-0000A2590000}"/>
    <cellStyle name="Comma 9 30 2 3 2 2" xfId="16283" xr:uid="{00000000-0005-0000-0000-0000A3590000}"/>
    <cellStyle name="Comma 9 30 2 3 2 2 2" xfId="31875" xr:uid="{00000000-0005-0000-0000-0000A4590000}"/>
    <cellStyle name="Comma 9 30 2 3 2 2 3" xfId="47367" xr:uid="{00000000-0005-0000-0000-0000A5590000}"/>
    <cellStyle name="Comma 9 30 2 3 2 3" xfId="24135" xr:uid="{00000000-0005-0000-0000-0000A6590000}"/>
    <cellStyle name="Comma 9 30 2 3 2 4" xfId="39627" xr:uid="{00000000-0005-0000-0000-0000A7590000}"/>
    <cellStyle name="Comma 9 30 2 3 3" xfId="12413" xr:uid="{00000000-0005-0000-0000-0000A8590000}"/>
    <cellStyle name="Comma 9 30 2 3 3 2" xfId="28005" xr:uid="{00000000-0005-0000-0000-0000A9590000}"/>
    <cellStyle name="Comma 9 30 2 3 3 3" xfId="43497" xr:uid="{00000000-0005-0000-0000-0000AA590000}"/>
    <cellStyle name="Comma 9 30 2 3 4" xfId="20265" xr:uid="{00000000-0005-0000-0000-0000AB590000}"/>
    <cellStyle name="Comma 9 30 2 3 5" xfId="35757" xr:uid="{00000000-0005-0000-0000-0000AC590000}"/>
    <cellStyle name="Comma 9 30 2 4" xfId="6611" xr:uid="{00000000-0005-0000-0000-0000AD590000}"/>
    <cellStyle name="Comma 9 30 2 4 2" xfId="14356" xr:uid="{00000000-0005-0000-0000-0000AE590000}"/>
    <cellStyle name="Comma 9 30 2 4 2 2" xfId="29948" xr:uid="{00000000-0005-0000-0000-0000AF590000}"/>
    <cellStyle name="Comma 9 30 2 4 2 3" xfId="45440" xr:uid="{00000000-0005-0000-0000-0000B0590000}"/>
    <cellStyle name="Comma 9 30 2 4 3" xfId="22208" xr:uid="{00000000-0005-0000-0000-0000B1590000}"/>
    <cellStyle name="Comma 9 30 2 4 4" xfId="37700" xr:uid="{00000000-0005-0000-0000-0000B2590000}"/>
    <cellStyle name="Comma 9 30 2 5" xfId="10486" xr:uid="{00000000-0005-0000-0000-0000B3590000}"/>
    <cellStyle name="Comma 9 30 2 5 2" xfId="26078" xr:uid="{00000000-0005-0000-0000-0000B4590000}"/>
    <cellStyle name="Comma 9 30 2 5 3" xfId="41570" xr:uid="{00000000-0005-0000-0000-0000B5590000}"/>
    <cellStyle name="Comma 9 30 2 6" xfId="18338" xr:uid="{00000000-0005-0000-0000-0000B6590000}"/>
    <cellStyle name="Comma 9 30 2 7" xfId="33830" xr:uid="{00000000-0005-0000-0000-0000B7590000}"/>
    <cellStyle name="Comma 9 30 3" xfId="3367" xr:uid="{00000000-0005-0000-0000-0000B8590000}"/>
    <cellStyle name="Comma 9 30 3 2" xfId="5306" xr:uid="{00000000-0005-0000-0000-0000B9590000}"/>
    <cellStyle name="Comma 9 30 3 2 2" xfId="9177" xr:uid="{00000000-0005-0000-0000-0000BA590000}"/>
    <cellStyle name="Comma 9 30 3 2 2 2" xfId="16922" xr:uid="{00000000-0005-0000-0000-0000BB590000}"/>
    <cellStyle name="Comma 9 30 3 2 2 2 2" xfId="32514" xr:uid="{00000000-0005-0000-0000-0000BC590000}"/>
    <cellStyle name="Comma 9 30 3 2 2 2 3" xfId="48006" xr:uid="{00000000-0005-0000-0000-0000BD590000}"/>
    <cellStyle name="Comma 9 30 3 2 2 3" xfId="24774" xr:uid="{00000000-0005-0000-0000-0000BE590000}"/>
    <cellStyle name="Comma 9 30 3 2 2 4" xfId="40266" xr:uid="{00000000-0005-0000-0000-0000BF590000}"/>
    <cellStyle name="Comma 9 30 3 2 3" xfId="13052" xr:uid="{00000000-0005-0000-0000-0000C0590000}"/>
    <cellStyle name="Comma 9 30 3 2 3 2" xfId="28644" xr:uid="{00000000-0005-0000-0000-0000C1590000}"/>
    <cellStyle name="Comma 9 30 3 2 3 3" xfId="44136" xr:uid="{00000000-0005-0000-0000-0000C2590000}"/>
    <cellStyle name="Comma 9 30 3 2 4" xfId="20904" xr:uid="{00000000-0005-0000-0000-0000C3590000}"/>
    <cellStyle name="Comma 9 30 3 2 5" xfId="36396" xr:uid="{00000000-0005-0000-0000-0000C4590000}"/>
    <cellStyle name="Comma 9 30 3 3" xfId="7250" xr:uid="{00000000-0005-0000-0000-0000C5590000}"/>
    <cellStyle name="Comma 9 30 3 3 2" xfId="14995" xr:uid="{00000000-0005-0000-0000-0000C6590000}"/>
    <cellStyle name="Comma 9 30 3 3 2 2" xfId="30587" xr:uid="{00000000-0005-0000-0000-0000C7590000}"/>
    <cellStyle name="Comma 9 30 3 3 2 3" xfId="46079" xr:uid="{00000000-0005-0000-0000-0000C8590000}"/>
    <cellStyle name="Comma 9 30 3 3 3" xfId="22847" xr:uid="{00000000-0005-0000-0000-0000C9590000}"/>
    <cellStyle name="Comma 9 30 3 3 4" xfId="38339" xr:uid="{00000000-0005-0000-0000-0000CA590000}"/>
    <cellStyle name="Comma 9 30 3 4" xfId="11125" xr:uid="{00000000-0005-0000-0000-0000CB590000}"/>
    <cellStyle name="Comma 9 30 3 4 2" xfId="26717" xr:uid="{00000000-0005-0000-0000-0000CC590000}"/>
    <cellStyle name="Comma 9 30 3 4 3" xfId="42209" xr:uid="{00000000-0005-0000-0000-0000CD590000}"/>
    <cellStyle name="Comma 9 30 3 5" xfId="18977" xr:uid="{00000000-0005-0000-0000-0000CE590000}"/>
    <cellStyle name="Comma 9 30 3 6" xfId="34469" xr:uid="{00000000-0005-0000-0000-0000CF590000}"/>
    <cellStyle name="Comma 9 30 4" xfId="4358" xr:uid="{00000000-0005-0000-0000-0000D0590000}"/>
    <cellStyle name="Comma 9 30 4 2" xfId="8229" xr:uid="{00000000-0005-0000-0000-0000D1590000}"/>
    <cellStyle name="Comma 9 30 4 2 2" xfId="15974" xr:uid="{00000000-0005-0000-0000-0000D2590000}"/>
    <cellStyle name="Comma 9 30 4 2 2 2" xfId="31566" xr:uid="{00000000-0005-0000-0000-0000D3590000}"/>
    <cellStyle name="Comma 9 30 4 2 2 3" xfId="47058" xr:uid="{00000000-0005-0000-0000-0000D4590000}"/>
    <cellStyle name="Comma 9 30 4 2 3" xfId="23826" xr:uid="{00000000-0005-0000-0000-0000D5590000}"/>
    <cellStyle name="Comma 9 30 4 2 4" xfId="39318" xr:uid="{00000000-0005-0000-0000-0000D6590000}"/>
    <cellStyle name="Comma 9 30 4 3" xfId="12104" xr:uid="{00000000-0005-0000-0000-0000D7590000}"/>
    <cellStyle name="Comma 9 30 4 3 2" xfId="27696" xr:uid="{00000000-0005-0000-0000-0000D8590000}"/>
    <cellStyle name="Comma 9 30 4 3 3" xfId="43188" xr:uid="{00000000-0005-0000-0000-0000D9590000}"/>
    <cellStyle name="Comma 9 30 4 4" xfId="19956" xr:uid="{00000000-0005-0000-0000-0000DA590000}"/>
    <cellStyle name="Comma 9 30 4 5" xfId="35448" xr:uid="{00000000-0005-0000-0000-0000DB590000}"/>
    <cellStyle name="Comma 9 30 5" xfId="6302" xr:uid="{00000000-0005-0000-0000-0000DC590000}"/>
    <cellStyle name="Comma 9 30 5 2" xfId="14047" xr:uid="{00000000-0005-0000-0000-0000DD590000}"/>
    <cellStyle name="Comma 9 30 5 2 2" xfId="29639" xr:uid="{00000000-0005-0000-0000-0000DE590000}"/>
    <cellStyle name="Comma 9 30 5 2 3" xfId="45131" xr:uid="{00000000-0005-0000-0000-0000DF590000}"/>
    <cellStyle name="Comma 9 30 5 3" xfId="21899" xr:uid="{00000000-0005-0000-0000-0000E0590000}"/>
    <cellStyle name="Comma 9 30 5 4" xfId="37391" xr:uid="{00000000-0005-0000-0000-0000E1590000}"/>
    <cellStyle name="Comma 9 30 6" xfId="10177" xr:uid="{00000000-0005-0000-0000-0000E2590000}"/>
    <cellStyle name="Comma 9 30 6 2" xfId="25769" xr:uid="{00000000-0005-0000-0000-0000E3590000}"/>
    <cellStyle name="Comma 9 30 6 3" xfId="41261" xr:uid="{00000000-0005-0000-0000-0000E4590000}"/>
    <cellStyle name="Comma 9 30 7" xfId="18029" xr:uid="{00000000-0005-0000-0000-0000E5590000}"/>
    <cellStyle name="Comma 9 30 8" xfId="33521" xr:uid="{00000000-0005-0000-0000-0000E6590000}"/>
    <cellStyle name="Comma 9 31" xfId="2392" xr:uid="{00000000-0005-0000-0000-0000E7590000}"/>
    <cellStyle name="Comma 9 31 2" xfId="2704" xr:uid="{00000000-0005-0000-0000-0000E8590000}"/>
    <cellStyle name="Comma 9 31 2 2" xfId="3712" xr:uid="{00000000-0005-0000-0000-0000E9590000}"/>
    <cellStyle name="Comma 9 31 2 2 2" xfId="5651" xr:uid="{00000000-0005-0000-0000-0000EA590000}"/>
    <cellStyle name="Comma 9 31 2 2 2 2" xfId="9522" xr:uid="{00000000-0005-0000-0000-0000EB590000}"/>
    <cellStyle name="Comma 9 31 2 2 2 2 2" xfId="17267" xr:uid="{00000000-0005-0000-0000-0000EC590000}"/>
    <cellStyle name="Comma 9 31 2 2 2 2 2 2" xfId="32859" xr:uid="{00000000-0005-0000-0000-0000ED590000}"/>
    <cellStyle name="Comma 9 31 2 2 2 2 2 3" xfId="48351" xr:uid="{00000000-0005-0000-0000-0000EE590000}"/>
    <cellStyle name="Comma 9 31 2 2 2 2 3" xfId="25119" xr:uid="{00000000-0005-0000-0000-0000EF590000}"/>
    <cellStyle name="Comma 9 31 2 2 2 2 4" xfId="40611" xr:uid="{00000000-0005-0000-0000-0000F0590000}"/>
    <cellStyle name="Comma 9 31 2 2 2 3" xfId="13397" xr:uid="{00000000-0005-0000-0000-0000F1590000}"/>
    <cellStyle name="Comma 9 31 2 2 2 3 2" xfId="28989" xr:uid="{00000000-0005-0000-0000-0000F2590000}"/>
    <cellStyle name="Comma 9 31 2 2 2 3 3" xfId="44481" xr:uid="{00000000-0005-0000-0000-0000F3590000}"/>
    <cellStyle name="Comma 9 31 2 2 2 4" xfId="21249" xr:uid="{00000000-0005-0000-0000-0000F4590000}"/>
    <cellStyle name="Comma 9 31 2 2 2 5" xfId="36741" xr:uid="{00000000-0005-0000-0000-0000F5590000}"/>
    <cellStyle name="Comma 9 31 2 2 3" xfId="7595" xr:uid="{00000000-0005-0000-0000-0000F6590000}"/>
    <cellStyle name="Comma 9 31 2 2 3 2" xfId="15340" xr:uid="{00000000-0005-0000-0000-0000F7590000}"/>
    <cellStyle name="Comma 9 31 2 2 3 2 2" xfId="30932" xr:uid="{00000000-0005-0000-0000-0000F8590000}"/>
    <cellStyle name="Comma 9 31 2 2 3 2 3" xfId="46424" xr:uid="{00000000-0005-0000-0000-0000F9590000}"/>
    <cellStyle name="Comma 9 31 2 2 3 3" xfId="23192" xr:uid="{00000000-0005-0000-0000-0000FA590000}"/>
    <cellStyle name="Comma 9 31 2 2 3 4" xfId="38684" xr:uid="{00000000-0005-0000-0000-0000FB590000}"/>
    <cellStyle name="Comma 9 31 2 2 4" xfId="11470" xr:uid="{00000000-0005-0000-0000-0000FC590000}"/>
    <cellStyle name="Comma 9 31 2 2 4 2" xfId="27062" xr:uid="{00000000-0005-0000-0000-0000FD590000}"/>
    <cellStyle name="Comma 9 31 2 2 4 3" xfId="42554" xr:uid="{00000000-0005-0000-0000-0000FE590000}"/>
    <cellStyle name="Comma 9 31 2 2 5" xfId="19322" xr:uid="{00000000-0005-0000-0000-0000FF590000}"/>
    <cellStyle name="Comma 9 31 2 2 6" xfId="34814" xr:uid="{00000000-0005-0000-0000-0000005A0000}"/>
    <cellStyle name="Comma 9 31 2 3" xfId="4703" xr:uid="{00000000-0005-0000-0000-0000015A0000}"/>
    <cellStyle name="Comma 9 31 2 3 2" xfId="8574" xr:uid="{00000000-0005-0000-0000-0000025A0000}"/>
    <cellStyle name="Comma 9 31 2 3 2 2" xfId="16319" xr:uid="{00000000-0005-0000-0000-0000035A0000}"/>
    <cellStyle name="Comma 9 31 2 3 2 2 2" xfId="31911" xr:uid="{00000000-0005-0000-0000-0000045A0000}"/>
    <cellStyle name="Comma 9 31 2 3 2 2 3" xfId="47403" xr:uid="{00000000-0005-0000-0000-0000055A0000}"/>
    <cellStyle name="Comma 9 31 2 3 2 3" xfId="24171" xr:uid="{00000000-0005-0000-0000-0000065A0000}"/>
    <cellStyle name="Comma 9 31 2 3 2 4" xfId="39663" xr:uid="{00000000-0005-0000-0000-0000075A0000}"/>
    <cellStyle name="Comma 9 31 2 3 3" xfId="12449" xr:uid="{00000000-0005-0000-0000-0000085A0000}"/>
    <cellStyle name="Comma 9 31 2 3 3 2" xfId="28041" xr:uid="{00000000-0005-0000-0000-0000095A0000}"/>
    <cellStyle name="Comma 9 31 2 3 3 3" xfId="43533" xr:uid="{00000000-0005-0000-0000-00000A5A0000}"/>
    <cellStyle name="Comma 9 31 2 3 4" xfId="20301" xr:uid="{00000000-0005-0000-0000-00000B5A0000}"/>
    <cellStyle name="Comma 9 31 2 3 5" xfId="35793" xr:uid="{00000000-0005-0000-0000-00000C5A0000}"/>
    <cellStyle name="Comma 9 31 2 4" xfId="6647" xr:uid="{00000000-0005-0000-0000-00000D5A0000}"/>
    <cellStyle name="Comma 9 31 2 4 2" xfId="14392" xr:uid="{00000000-0005-0000-0000-00000E5A0000}"/>
    <cellStyle name="Comma 9 31 2 4 2 2" xfId="29984" xr:uid="{00000000-0005-0000-0000-00000F5A0000}"/>
    <cellStyle name="Comma 9 31 2 4 2 3" xfId="45476" xr:uid="{00000000-0005-0000-0000-0000105A0000}"/>
    <cellStyle name="Comma 9 31 2 4 3" xfId="22244" xr:uid="{00000000-0005-0000-0000-0000115A0000}"/>
    <cellStyle name="Comma 9 31 2 4 4" xfId="37736" xr:uid="{00000000-0005-0000-0000-0000125A0000}"/>
    <cellStyle name="Comma 9 31 2 5" xfId="10522" xr:uid="{00000000-0005-0000-0000-0000135A0000}"/>
    <cellStyle name="Comma 9 31 2 5 2" xfId="26114" xr:uid="{00000000-0005-0000-0000-0000145A0000}"/>
    <cellStyle name="Comma 9 31 2 5 3" xfId="41606" xr:uid="{00000000-0005-0000-0000-0000155A0000}"/>
    <cellStyle name="Comma 9 31 2 6" xfId="18374" xr:uid="{00000000-0005-0000-0000-0000165A0000}"/>
    <cellStyle name="Comma 9 31 2 7" xfId="33866" xr:uid="{00000000-0005-0000-0000-0000175A0000}"/>
    <cellStyle name="Comma 9 31 3" xfId="3403" xr:uid="{00000000-0005-0000-0000-0000185A0000}"/>
    <cellStyle name="Comma 9 31 3 2" xfId="5342" xr:uid="{00000000-0005-0000-0000-0000195A0000}"/>
    <cellStyle name="Comma 9 31 3 2 2" xfId="9213" xr:uid="{00000000-0005-0000-0000-00001A5A0000}"/>
    <cellStyle name="Comma 9 31 3 2 2 2" xfId="16958" xr:uid="{00000000-0005-0000-0000-00001B5A0000}"/>
    <cellStyle name="Comma 9 31 3 2 2 2 2" xfId="32550" xr:uid="{00000000-0005-0000-0000-00001C5A0000}"/>
    <cellStyle name="Comma 9 31 3 2 2 2 3" xfId="48042" xr:uid="{00000000-0005-0000-0000-00001D5A0000}"/>
    <cellStyle name="Comma 9 31 3 2 2 3" xfId="24810" xr:uid="{00000000-0005-0000-0000-00001E5A0000}"/>
    <cellStyle name="Comma 9 31 3 2 2 4" xfId="40302" xr:uid="{00000000-0005-0000-0000-00001F5A0000}"/>
    <cellStyle name="Comma 9 31 3 2 3" xfId="13088" xr:uid="{00000000-0005-0000-0000-0000205A0000}"/>
    <cellStyle name="Comma 9 31 3 2 3 2" xfId="28680" xr:uid="{00000000-0005-0000-0000-0000215A0000}"/>
    <cellStyle name="Comma 9 31 3 2 3 3" xfId="44172" xr:uid="{00000000-0005-0000-0000-0000225A0000}"/>
    <cellStyle name="Comma 9 31 3 2 4" xfId="20940" xr:uid="{00000000-0005-0000-0000-0000235A0000}"/>
    <cellStyle name="Comma 9 31 3 2 5" xfId="36432" xr:uid="{00000000-0005-0000-0000-0000245A0000}"/>
    <cellStyle name="Comma 9 31 3 3" xfId="7286" xr:uid="{00000000-0005-0000-0000-0000255A0000}"/>
    <cellStyle name="Comma 9 31 3 3 2" xfId="15031" xr:uid="{00000000-0005-0000-0000-0000265A0000}"/>
    <cellStyle name="Comma 9 31 3 3 2 2" xfId="30623" xr:uid="{00000000-0005-0000-0000-0000275A0000}"/>
    <cellStyle name="Comma 9 31 3 3 2 3" xfId="46115" xr:uid="{00000000-0005-0000-0000-0000285A0000}"/>
    <cellStyle name="Comma 9 31 3 3 3" xfId="22883" xr:uid="{00000000-0005-0000-0000-0000295A0000}"/>
    <cellStyle name="Comma 9 31 3 3 4" xfId="38375" xr:uid="{00000000-0005-0000-0000-00002A5A0000}"/>
    <cellStyle name="Comma 9 31 3 4" xfId="11161" xr:uid="{00000000-0005-0000-0000-00002B5A0000}"/>
    <cellStyle name="Comma 9 31 3 4 2" xfId="26753" xr:uid="{00000000-0005-0000-0000-00002C5A0000}"/>
    <cellStyle name="Comma 9 31 3 4 3" xfId="42245" xr:uid="{00000000-0005-0000-0000-00002D5A0000}"/>
    <cellStyle name="Comma 9 31 3 5" xfId="19013" xr:uid="{00000000-0005-0000-0000-00002E5A0000}"/>
    <cellStyle name="Comma 9 31 3 6" xfId="34505" xr:uid="{00000000-0005-0000-0000-00002F5A0000}"/>
    <cellStyle name="Comma 9 31 4" xfId="4394" xr:uid="{00000000-0005-0000-0000-0000305A0000}"/>
    <cellStyle name="Comma 9 31 4 2" xfId="8265" xr:uid="{00000000-0005-0000-0000-0000315A0000}"/>
    <cellStyle name="Comma 9 31 4 2 2" xfId="16010" xr:uid="{00000000-0005-0000-0000-0000325A0000}"/>
    <cellStyle name="Comma 9 31 4 2 2 2" xfId="31602" xr:uid="{00000000-0005-0000-0000-0000335A0000}"/>
    <cellStyle name="Comma 9 31 4 2 2 3" xfId="47094" xr:uid="{00000000-0005-0000-0000-0000345A0000}"/>
    <cellStyle name="Comma 9 31 4 2 3" xfId="23862" xr:uid="{00000000-0005-0000-0000-0000355A0000}"/>
    <cellStyle name="Comma 9 31 4 2 4" xfId="39354" xr:uid="{00000000-0005-0000-0000-0000365A0000}"/>
    <cellStyle name="Comma 9 31 4 3" xfId="12140" xr:uid="{00000000-0005-0000-0000-0000375A0000}"/>
    <cellStyle name="Comma 9 31 4 3 2" xfId="27732" xr:uid="{00000000-0005-0000-0000-0000385A0000}"/>
    <cellStyle name="Comma 9 31 4 3 3" xfId="43224" xr:uid="{00000000-0005-0000-0000-0000395A0000}"/>
    <cellStyle name="Comma 9 31 4 4" xfId="19992" xr:uid="{00000000-0005-0000-0000-00003A5A0000}"/>
    <cellStyle name="Comma 9 31 4 5" xfId="35484" xr:uid="{00000000-0005-0000-0000-00003B5A0000}"/>
    <cellStyle name="Comma 9 31 5" xfId="6338" xr:uid="{00000000-0005-0000-0000-00003C5A0000}"/>
    <cellStyle name="Comma 9 31 5 2" xfId="14083" xr:uid="{00000000-0005-0000-0000-00003D5A0000}"/>
    <cellStyle name="Comma 9 31 5 2 2" xfId="29675" xr:uid="{00000000-0005-0000-0000-00003E5A0000}"/>
    <cellStyle name="Comma 9 31 5 2 3" xfId="45167" xr:uid="{00000000-0005-0000-0000-00003F5A0000}"/>
    <cellStyle name="Comma 9 31 5 3" xfId="21935" xr:uid="{00000000-0005-0000-0000-0000405A0000}"/>
    <cellStyle name="Comma 9 31 5 4" xfId="37427" xr:uid="{00000000-0005-0000-0000-0000415A0000}"/>
    <cellStyle name="Comma 9 31 6" xfId="10213" xr:uid="{00000000-0005-0000-0000-0000425A0000}"/>
    <cellStyle name="Comma 9 31 6 2" xfId="25805" xr:uid="{00000000-0005-0000-0000-0000435A0000}"/>
    <cellStyle name="Comma 9 31 6 3" xfId="41297" xr:uid="{00000000-0005-0000-0000-0000445A0000}"/>
    <cellStyle name="Comma 9 31 7" xfId="18065" xr:uid="{00000000-0005-0000-0000-0000455A0000}"/>
    <cellStyle name="Comma 9 31 8" xfId="33557" xr:uid="{00000000-0005-0000-0000-0000465A0000}"/>
    <cellStyle name="Comma 9 32" xfId="2430" xr:uid="{00000000-0005-0000-0000-0000475A0000}"/>
    <cellStyle name="Comma 9 32 2" xfId="2740" xr:uid="{00000000-0005-0000-0000-0000485A0000}"/>
    <cellStyle name="Comma 9 32 2 2" xfId="3748" xr:uid="{00000000-0005-0000-0000-0000495A0000}"/>
    <cellStyle name="Comma 9 32 2 2 2" xfId="5687" xr:uid="{00000000-0005-0000-0000-00004A5A0000}"/>
    <cellStyle name="Comma 9 32 2 2 2 2" xfId="9558" xr:uid="{00000000-0005-0000-0000-00004B5A0000}"/>
    <cellStyle name="Comma 9 32 2 2 2 2 2" xfId="17303" xr:uid="{00000000-0005-0000-0000-00004C5A0000}"/>
    <cellStyle name="Comma 9 32 2 2 2 2 2 2" xfId="32895" xr:uid="{00000000-0005-0000-0000-00004D5A0000}"/>
    <cellStyle name="Comma 9 32 2 2 2 2 2 3" xfId="48387" xr:uid="{00000000-0005-0000-0000-00004E5A0000}"/>
    <cellStyle name="Comma 9 32 2 2 2 2 3" xfId="25155" xr:uid="{00000000-0005-0000-0000-00004F5A0000}"/>
    <cellStyle name="Comma 9 32 2 2 2 2 4" xfId="40647" xr:uid="{00000000-0005-0000-0000-0000505A0000}"/>
    <cellStyle name="Comma 9 32 2 2 2 3" xfId="13433" xr:uid="{00000000-0005-0000-0000-0000515A0000}"/>
    <cellStyle name="Comma 9 32 2 2 2 3 2" xfId="29025" xr:uid="{00000000-0005-0000-0000-0000525A0000}"/>
    <cellStyle name="Comma 9 32 2 2 2 3 3" xfId="44517" xr:uid="{00000000-0005-0000-0000-0000535A0000}"/>
    <cellStyle name="Comma 9 32 2 2 2 4" xfId="21285" xr:uid="{00000000-0005-0000-0000-0000545A0000}"/>
    <cellStyle name="Comma 9 32 2 2 2 5" xfId="36777" xr:uid="{00000000-0005-0000-0000-0000555A0000}"/>
    <cellStyle name="Comma 9 32 2 2 3" xfId="7631" xr:uid="{00000000-0005-0000-0000-0000565A0000}"/>
    <cellStyle name="Comma 9 32 2 2 3 2" xfId="15376" xr:uid="{00000000-0005-0000-0000-0000575A0000}"/>
    <cellStyle name="Comma 9 32 2 2 3 2 2" xfId="30968" xr:uid="{00000000-0005-0000-0000-0000585A0000}"/>
    <cellStyle name="Comma 9 32 2 2 3 2 3" xfId="46460" xr:uid="{00000000-0005-0000-0000-0000595A0000}"/>
    <cellStyle name="Comma 9 32 2 2 3 3" xfId="23228" xr:uid="{00000000-0005-0000-0000-00005A5A0000}"/>
    <cellStyle name="Comma 9 32 2 2 3 4" xfId="38720" xr:uid="{00000000-0005-0000-0000-00005B5A0000}"/>
    <cellStyle name="Comma 9 32 2 2 4" xfId="11506" xr:uid="{00000000-0005-0000-0000-00005C5A0000}"/>
    <cellStyle name="Comma 9 32 2 2 4 2" xfId="27098" xr:uid="{00000000-0005-0000-0000-00005D5A0000}"/>
    <cellStyle name="Comma 9 32 2 2 4 3" xfId="42590" xr:uid="{00000000-0005-0000-0000-00005E5A0000}"/>
    <cellStyle name="Comma 9 32 2 2 5" xfId="19358" xr:uid="{00000000-0005-0000-0000-00005F5A0000}"/>
    <cellStyle name="Comma 9 32 2 2 6" xfId="34850" xr:uid="{00000000-0005-0000-0000-0000605A0000}"/>
    <cellStyle name="Comma 9 32 2 3" xfId="4739" xr:uid="{00000000-0005-0000-0000-0000615A0000}"/>
    <cellStyle name="Comma 9 32 2 3 2" xfId="8610" xr:uid="{00000000-0005-0000-0000-0000625A0000}"/>
    <cellStyle name="Comma 9 32 2 3 2 2" xfId="16355" xr:uid="{00000000-0005-0000-0000-0000635A0000}"/>
    <cellStyle name="Comma 9 32 2 3 2 2 2" xfId="31947" xr:uid="{00000000-0005-0000-0000-0000645A0000}"/>
    <cellStyle name="Comma 9 32 2 3 2 2 3" xfId="47439" xr:uid="{00000000-0005-0000-0000-0000655A0000}"/>
    <cellStyle name="Comma 9 32 2 3 2 3" xfId="24207" xr:uid="{00000000-0005-0000-0000-0000665A0000}"/>
    <cellStyle name="Comma 9 32 2 3 2 4" xfId="39699" xr:uid="{00000000-0005-0000-0000-0000675A0000}"/>
    <cellStyle name="Comma 9 32 2 3 3" xfId="12485" xr:uid="{00000000-0005-0000-0000-0000685A0000}"/>
    <cellStyle name="Comma 9 32 2 3 3 2" xfId="28077" xr:uid="{00000000-0005-0000-0000-0000695A0000}"/>
    <cellStyle name="Comma 9 32 2 3 3 3" xfId="43569" xr:uid="{00000000-0005-0000-0000-00006A5A0000}"/>
    <cellStyle name="Comma 9 32 2 3 4" xfId="20337" xr:uid="{00000000-0005-0000-0000-00006B5A0000}"/>
    <cellStyle name="Comma 9 32 2 3 5" xfId="35829" xr:uid="{00000000-0005-0000-0000-00006C5A0000}"/>
    <cellStyle name="Comma 9 32 2 4" xfId="6683" xr:uid="{00000000-0005-0000-0000-00006D5A0000}"/>
    <cellStyle name="Comma 9 32 2 4 2" xfId="14428" xr:uid="{00000000-0005-0000-0000-00006E5A0000}"/>
    <cellStyle name="Comma 9 32 2 4 2 2" xfId="30020" xr:uid="{00000000-0005-0000-0000-00006F5A0000}"/>
    <cellStyle name="Comma 9 32 2 4 2 3" xfId="45512" xr:uid="{00000000-0005-0000-0000-0000705A0000}"/>
    <cellStyle name="Comma 9 32 2 4 3" xfId="22280" xr:uid="{00000000-0005-0000-0000-0000715A0000}"/>
    <cellStyle name="Comma 9 32 2 4 4" xfId="37772" xr:uid="{00000000-0005-0000-0000-0000725A0000}"/>
    <cellStyle name="Comma 9 32 2 5" xfId="10558" xr:uid="{00000000-0005-0000-0000-0000735A0000}"/>
    <cellStyle name="Comma 9 32 2 5 2" xfId="26150" xr:uid="{00000000-0005-0000-0000-0000745A0000}"/>
    <cellStyle name="Comma 9 32 2 5 3" xfId="41642" xr:uid="{00000000-0005-0000-0000-0000755A0000}"/>
    <cellStyle name="Comma 9 32 2 6" xfId="18410" xr:uid="{00000000-0005-0000-0000-0000765A0000}"/>
    <cellStyle name="Comma 9 32 2 7" xfId="33902" xr:uid="{00000000-0005-0000-0000-0000775A0000}"/>
    <cellStyle name="Comma 9 32 3" xfId="3439" xr:uid="{00000000-0005-0000-0000-0000785A0000}"/>
    <cellStyle name="Comma 9 32 3 2" xfId="5378" xr:uid="{00000000-0005-0000-0000-0000795A0000}"/>
    <cellStyle name="Comma 9 32 3 2 2" xfId="9249" xr:uid="{00000000-0005-0000-0000-00007A5A0000}"/>
    <cellStyle name="Comma 9 32 3 2 2 2" xfId="16994" xr:uid="{00000000-0005-0000-0000-00007B5A0000}"/>
    <cellStyle name="Comma 9 32 3 2 2 2 2" xfId="32586" xr:uid="{00000000-0005-0000-0000-00007C5A0000}"/>
    <cellStyle name="Comma 9 32 3 2 2 2 3" xfId="48078" xr:uid="{00000000-0005-0000-0000-00007D5A0000}"/>
    <cellStyle name="Comma 9 32 3 2 2 3" xfId="24846" xr:uid="{00000000-0005-0000-0000-00007E5A0000}"/>
    <cellStyle name="Comma 9 32 3 2 2 4" xfId="40338" xr:uid="{00000000-0005-0000-0000-00007F5A0000}"/>
    <cellStyle name="Comma 9 32 3 2 3" xfId="13124" xr:uid="{00000000-0005-0000-0000-0000805A0000}"/>
    <cellStyle name="Comma 9 32 3 2 3 2" xfId="28716" xr:uid="{00000000-0005-0000-0000-0000815A0000}"/>
    <cellStyle name="Comma 9 32 3 2 3 3" xfId="44208" xr:uid="{00000000-0005-0000-0000-0000825A0000}"/>
    <cellStyle name="Comma 9 32 3 2 4" xfId="20976" xr:uid="{00000000-0005-0000-0000-0000835A0000}"/>
    <cellStyle name="Comma 9 32 3 2 5" xfId="36468" xr:uid="{00000000-0005-0000-0000-0000845A0000}"/>
    <cellStyle name="Comma 9 32 3 3" xfId="7322" xr:uid="{00000000-0005-0000-0000-0000855A0000}"/>
    <cellStyle name="Comma 9 32 3 3 2" xfId="15067" xr:uid="{00000000-0005-0000-0000-0000865A0000}"/>
    <cellStyle name="Comma 9 32 3 3 2 2" xfId="30659" xr:uid="{00000000-0005-0000-0000-0000875A0000}"/>
    <cellStyle name="Comma 9 32 3 3 2 3" xfId="46151" xr:uid="{00000000-0005-0000-0000-0000885A0000}"/>
    <cellStyle name="Comma 9 32 3 3 3" xfId="22919" xr:uid="{00000000-0005-0000-0000-0000895A0000}"/>
    <cellStyle name="Comma 9 32 3 3 4" xfId="38411" xr:uid="{00000000-0005-0000-0000-00008A5A0000}"/>
    <cellStyle name="Comma 9 32 3 4" xfId="11197" xr:uid="{00000000-0005-0000-0000-00008B5A0000}"/>
    <cellStyle name="Comma 9 32 3 4 2" xfId="26789" xr:uid="{00000000-0005-0000-0000-00008C5A0000}"/>
    <cellStyle name="Comma 9 32 3 4 3" xfId="42281" xr:uid="{00000000-0005-0000-0000-00008D5A0000}"/>
    <cellStyle name="Comma 9 32 3 5" xfId="19049" xr:uid="{00000000-0005-0000-0000-00008E5A0000}"/>
    <cellStyle name="Comma 9 32 3 6" xfId="34541" xr:uid="{00000000-0005-0000-0000-00008F5A0000}"/>
    <cellStyle name="Comma 9 32 4" xfId="4430" xr:uid="{00000000-0005-0000-0000-0000905A0000}"/>
    <cellStyle name="Comma 9 32 4 2" xfId="8301" xr:uid="{00000000-0005-0000-0000-0000915A0000}"/>
    <cellStyle name="Comma 9 32 4 2 2" xfId="16046" xr:uid="{00000000-0005-0000-0000-0000925A0000}"/>
    <cellStyle name="Comma 9 32 4 2 2 2" xfId="31638" xr:uid="{00000000-0005-0000-0000-0000935A0000}"/>
    <cellStyle name="Comma 9 32 4 2 2 3" xfId="47130" xr:uid="{00000000-0005-0000-0000-0000945A0000}"/>
    <cellStyle name="Comma 9 32 4 2 3" xfId="23898" xr:uid="{00000000-0005-0000-0000-0000955A0000}"/>
    <cellStyle name="Comma 9 32 4 2 4" xfId="39390" xr:uid="{00000000-0005-0000-0000-0000965A0000}"/>
    <cellStyle name="Comma 9 32 4 3" xfId="12176" xr:uid="{00000000-0005-0000-0000-0000975A0000}"/>
    <cellStyle name="Comma 9 32 4 3 2" xfId="27768" xr:uid="{00000000-0005-0000-0000-0000985A0000}"/>
    <cellStyle name="Comma 9 32 4 3 3" xfId="43260" xr:uid="{00000000-0005-0000-0000-0000995A0000}"/>
    <cellStyle name="Comma 9 32 4 4" xfId="20028" xr:uid="{00000000-0005-0000-0000-00009A5A0000}"/>
    <cellStyle name="Comma 9 32 4 5" xfId="35520" xr:uid="{00000000-0005-0000-0000-00009B5A0000}"/>
    <cellStyle name="Comma 9 32 5" xfId="6374" xr:uid="{00000000-0005-0000-0000-00009C5A0000}"/>
    <cellStyle name="Comma 9 32 5 2" xfId="14119" xr:uid="{00000000-0005-0000-0000-00009D5A0000}"/>
    <cellStyle name="Comma 9 32 5 2 2" xfId="29711" xr:uid="{00000000-0005-0000-0000-00009E5A0000}"/>
    <cellStyle name="Comma 9 32 5 2 3" xfId="45203" xr:uid="{00000000-0005-0000-0000-00009F5A0000}"/>
    <cellStyle name="Comma 9 32 5 3" xfId="21971" xr:uid="{00000000-0005-0000-0000-0000A05A0000}"/>
    <cellStyle name="Comma 9 32 5 4" xfId="37463" xr:uid="{00000000-0005-0000-0000-0000A15A0000}"/>
    <cellStyle name="Comma 9 32 6" xfId="10249" xr:uid="{00000000-0005-0000-0000-0000A25A0000}"/>
    <cellStyle name="Comma 9 32 6 2" xfId="25841" xr:uid="{00000000-0005-0000-0000-0000A35A0000}"/>
    <cellStyle name="Comma 9 32 6 3" xfId="41333" xr:uid="{00000000-0005-0000-0000-0000A45A0000}"/>
    <cellStyle name="Comma 9 32 7" xfId="18101" xr:uid="{00000000-0005-0000-0000-0000A55A0000}"/>
    <cellStyle name="Comma 9 32 8" xfId="33593" xr:uid="{00000000-0005-0000-0000-0000A65A0000}"/>
    <cellStyle name="Comma 9 33" xfId="2467" xr:uid="{00000000-0005-0000-0000-0000A75A0000}"/>
    <cellStyle name="Comma 9 33 2" xfId="2776" xr:uid="{00000000-0005-0000-0000-0000A85A0000}"/>
    <cellStyle name="Comma 9 33 2 2" xfId="3784" xr:uid="{00000000-0005-0000-0000-0000A95A0000}"/>
    <cellStyle name="Comma 9 33 2 2 2" xfId="5723" xr:uid="{00000000-0005-0000-0000-0000AA5A0000}"/>
    <cellStyle name="Comma 9 33 2 2 2 2" xfId="9594" xr:uid="{00000000-0005-0000-0000-0000AB5A0000}"/>
    <cellStyle name="Comma 9 33 2 2 2 2 2" xfId="17339" xr:uid="{00000000-0005-0000-0000-0000AC5A0000}"/>
    <cellStyle name="Comma 9 33 2 2 2 2 2 2" xfId="32931" xr:uid="{00000000-0005-0000-0000-0000AD5A0000}"/>
    <cellStyle name="Comma 9 33 2 2 2 2 2 3" xfId="48423" xr:uid="{00000000-0005-0000-0000-0000AE5A0000}"/>
    <cellStyle name="Comma 9 33 2 2 2 2 3" xfId="25191" xr:uid="{00000000-0005-0000-0000-0000AF5A0000}"/>
    <cellStyle name="Comma 9 33 2 2 2 2 4" xfId="40683" xr:uid="{00000000-0005-0000-0000-0000B05A0000}"/>
    <cellStyle name="Comma 9 33 2 2 2 3" xfId="13469" xr:uid="{00000000-0005-0000-0000-0000B15A0000}"/>
    <cellStyle name="Comma 9 33 2 2 2 3 2" xfId="29061" xr:uid="{00000000-0005-0000-0000-0000B25A0000}"/>
    <cellStyle name="Comma 9 33 2 2 2 3 3" xfId="44553" xr:uid="{00000000-0005-0000-0000-0000B35A0000}"/>
    <cellStyle name="Comma 9 33 2 2 2 4" xfId="21321" xr:uid="{00000000-0005-0000-0000-0000B45A0000}"/>
    <cellStyle name="Comma 9 33 2 2 2 5" xfId="36813" xr:uid="{00000000-0005-0000-0000-0000B55A0000}"/>
    <cellStyle name="Comma 9 33 2 2 3" xfId="7667" xr:uid="{00000000-0005-0000-0000-0000B65A0000}"/>
    <cellStyle name="Comma 9 33 2 2 3 2" xfId="15412" xr:uid="{00000000-0005-0000-0000-0000B75A0000}"/>
    <cellStyle name="Comma 9 33 2 2 3 2 2" xfId="31004" xr:uid="{00000000-0005-0000-0000-0000B85A0000}"/>
    <cellStyle name="Comma 9 33 2 2 3 2 3" xfId="46496" xr:uid="{00000000-0005-0000-0000-0000B95A0000}"/>
    <cellStyle name="Comma 9 33 2 2 3 3" xfId="23264" xr:uid="{00000000-0005-0000-0000-0000BA5A0000}"/>
    <cellStyle name="Comma 9 33 2 2 3 4" xfId="38756" xr:uid="{00000000-0005-0000-0000-0000BB5A0000}"/>
    <cellStyle name="Comma 9 33 2 2 4" xfId="11542" xr:uid="{00000000-0005-0000-0000-0000BC5A0000}"/>
    <cellStyle name="Comma 9 33 2 2 4 2" xfId="27134" xr:uid="{00000000-0005-0000-0000-0000BD5A0000}"/>
    <cellStyle name="Comma 9 33 2 2 4 3" xfId="42626" xr:uid="{00000000-0005-0000-0000-0000BE5A0000}"/>
    <cellStyle name="Comma 9 33 2 2 5" xfId="19394" xr:uid="{00000000-0005-0000-0000-0000BF5A0000}"/>
    <cellStyle name="Comma 9 33 2 2 6" xfId="34886" xr:uid="{00000000-0005-0000-0000-0000C05A0000}"/>
    <cellStyle name="Comma 9 33 2 3" xfId="4775" xr:uid="{00000000-0005-0000-0000-0000C15A0000}"/>
    <cellStyle name="Comma 9 33 2 3 2" xfId="8646" xr:uid="{00000000-0005-0000-0000-0000C25A0000}"/>
    <cellStyle name="Comma 9 33 2 3 2 2" xfId="16391" xr:uid="{00000000-0005-0000-0000-0000C35A0000}"/>
    <cellStyle name="Comma 9 33 2 3 2 2 2" xfId="31983" xr:uid="{00000000-0005-0000-0000-0000C45A0000}"/>
    <cellStyle name="Comma 9 33 2 3 2 2 3" xfId="47475" xr:uid="{00000000-0005-0000-0000-0000C55A0000}"/>
    <cellStyle name="Comma 9 33 2 3 2 3" xfId="24243" xr:uid="{00000000-0005-0000-0000-0000C65A0000}"/>
    <cellStyle name="Comma 9 33 2 3 2 4" xfId="39735" xr:uid="{00000000-0005-0000-0000-0000C75A0000}"/>
    <cellStyle name="Comma 9 33 2 3 3" xfId="12521" xr:uid="{00000000-0005-0000-0000-0000C85A0000}"/>
    <cellStyle name="Comma 9 33 2 3 3 2" xfId="28113" xr:uid="{00000000-0005-0000-0000-0000C95A0000}"/>
    <cellStyle name="Comma 9 33 2 3 3 3" xfId="43605" xr:uid="{00000000-0005-0000-0000-0000CA5A0000}"/>
    <cellStyle name="Comma 9 33 2 3 4" xfId="20373" xr:uid="{00000000-0005-0000-0000-0000CB5A0000}"/>
    <cellStyle name="Comma 9 33 2 3 5" xfId="35865" xr:uid="{00000000-0005-0000-0000-0000CC5A0000}"/>
    <cellStyle name="Comma 9 33 2 4" xfId="6719" xr:uid="{00000000-0005-0000-0000-0000CD5A0000}"/>
    <cellStyle name="Comma 9 33 2 4 2" xfId="14464" xr:uid="{00000000-0005-0000-0000-0000CE5A0000}"/>
    <cellStyle name="Comma 9 33 2 4 2 2" xfId="30056" xr:uid="{00000000-0005-0000-0000-0000CF5A0000}"/>
    <cellStyle name="Comma 9 33 2 4 2 3" xfId="45548" xr:uid="{00000000-0005-0000-0000-0000D05A0000}"/>
    <cellStyle name="Comma 9 33 2 4 3" xfId="22316" xr:uid="{00000000-0005-0000-0000-0000D15A0000}"/>
    <cellStyle name="Comma 9 33 2 4 4" xfId="37808" xr:uid="{00000000-0005-0000-0000-0000D25A0000}"/>
    <cellStyle name="Comma 9 33 2 5" xfId="10594" xr:uid="{00000000-0005-0000-0000-0000D35A0000}"/>
    <cellStyle name="Comma 9 33 2 5 2" xfId="26186" xr:uid="{00000000-0005-0000-0000-0000D45A0000}"/>
    <cellStyle name="Comma 9 33 2 5 3" xfId="41678" xr:uid="{00000000-0005-0000-0000-0000D55A0000}"/>
    <cellStyle name="Comma 9 33 2 6" xfId="18446" xr:uid="{00000000-0005-0000-0000-0000D65A0000}"/>
    <cellStyle name="Comma 9 33 2 7" xfId="33938" xr:uid="{00000000-0005-0000-0000-0000D75A0000}"/>
    <cellStyle name="Comma 9 33 3" xfId="3475" xr:uid="{00000000-0005-0000-0000-0000D85A0000}"/>
    <cellStyle name="Comma 9 33 3 2" xfId="5414" xr:uid="{00000000-0005-0000-0000-0000D95A0000}"/>
    <cellStyle name="Comma 9 33 3 2 2" xfId="9285" xr:uid="{00000000-0005-0000-0000-0000DA5A0000}"/>
    <cellStyle name="Comma 9 33 3 2 2 2" xfId="17030" xr:uid="{00000000-0005-0000-0000-0000DB5A0000}"/>
    <cellStyle name="Comma 9 33 3 2 2 2 2" xfId="32622" xr:uid="{00000000-0005-0000-0000-0000DC5A0000}"/>
    <cellStyle name="Comma 9 33 3 2 2 2 3" xfId="48114" xr:uid="{00000000-0005-0000-0000-0000DD5A0000}"/>
    <cellStyle name="Comma 9 33 3 2 2 3" xfId="24882" xr:uid="{00000000-0005-0000-0000-0000DE5A0000}"/>
    <cellStyle name="Comma 9 33 3 2 2 4" xfId="40374" xr:uid="{00000000-0005-0000-0000-0000DF5A0000}"/>
    <cellStyle name="Comma 9 33 3 2 3" xfId="13160" xr:uid="{00000000-0005-0000-0000-0000E05A0000}"/>
    <cellStyle name="Comma 9 33 3 2 3 2" xfId="28752" xr:uid="{00000000-0005-0000-0000-0000E15A0000}"/>
    <cellStyle name="Comma 9 33 3 2 3 3" xfId="44244" xr:uid="{00000000-0005-0000-0000-0000E25A0000}"/>
    <cellStyle name="Comma 9 33 3 2 4" xfId="21012" xr:uid="{00000000-0005-0000-0000-0000E35A0000}"/>
    <cellStyle name="Comma 9 33 3 2 5" xfId="36504" xr:uid="{00000000-0005-0000-0000-0000E45A0000}"/>
    <cellStyle name="Comma 9 33 3 3" xfId="7358" xr:uid="{00000000-0005-0000-0000-0000E55A0000}"/>
    <cellStyle name="Comma 9 33 3 3 2" xfId="15103" xr:uid="{00000000-0005-0000-0000-0000E65A0000}"/>
    <cellStyle name="Comma 9 33 3 3 2 2" xfId="30695" xr:uid="{00000000-0005-0000-0000-0000E75A0000}"/>
    <cellStyle name="Comma 9 33 3 3 2 3" xfId="46187" xr:uid="{00000000-0005-0000-0000-0000E85A0000}"/>
    <cellStyle name="Comma 9 33 3 3 3" xfId="22955" xr:uid="{00000000-0005-0000-0000-0000E95A0000}"/>
    <cellStyle name="Comma 9 33 3 3 4" xfId="38447" xr:uid="{00000000-0005-0000-0000-0000EA5A0000}"/>
    <cellStyle name="Comma 9 33 3 4" xfId="11233" xr:uid="{00000000-0005-0000-0000-0000EB5A0000}"/>
    <cellStyle name="Comma 9 33 3 4 2" xfId="26825" xr:uid="{00000000-0005-0000-0000-0000EC5A0000}"/>
    <cellStyle name="Comma 9 33 3 4 3" xfId="42317" xr:uid="{00000000-0005-0000-0000-0000ED5A0000}"/>
    <cellStyle name="Comma 9 33 3 5" xfId="19085" xr:uid="{00000000-0005-0000-0000-0000EE5A0000}"/>
    <cellStyle name="Comma 9 33 3 6" xfId="34577" xr:uid="{00000000-0005-0000-0000-0000EF5A0000}"/>
    <cellStyle name="Comma 9 33 4" xfId="4466" xr:uid="{00000000-0005-0000-0000-0000F05A0000}"/>
    <cellStyle name="Comma 9 33 4 2" xfId="8337" xr:uid="{00000000-0005-0000-0000-0000F15A0000}"/>
    <cellStyle name="Comma 9 33 4 2 2" xfId="16082" xr:uid="{00000000-0005-0000-0000-0000F25A0000}"/>
    <cellStyle name="Comma 9 33 4 2 2 2" xfId="31674" xr:uid="{00000000-0005-0000-0000-0000F35A0000}"/>
    <cellStyle name="Comma 9 33 4 2 2 3" xfId="47166" xr:uid="{00000000-0005-0000-0000-0000F45A0000}"/>
    <cellStyle name="Comma 9 33 4 2 3" xfId="23934" xr:uid="{00000000-0005-0000-0000-0000F55A0000}"/>
    <cellStyle name="Comma 9 33 4 2 4" xfId="39426" xr:uid="{00000000-0005-0000-0000-0000F65A0000}"/>
    <cellStyle name="Comma 9 33 4 3" xfId="12212" xr:uid="{00000000-0005-0000-0000-0000F75A0000}"/>
    <cellStyle name="Comma 9 33 4 3 2" xfId="27804" xr:uid="{00000000-0005-0000-0000-0000F85A0000}"/>
    <cellStyle name="Comma 9 33 4 3 3" xfId="43296" xr:uid="{00000000-0005-0000-0000-0000F95A0000}"/>
    <cellStyle name="Comma 9 33 4 4" xfId="20064" xr:uid="{00000000-0005-0000-0000-0000FA5A0000}"/>
    <cellStyle name="Comma 9 33 4 5" xfId="35556" xr:uid="{00000000-0005-0000-0000-0000FB5A0000}"/>
    <cellStyle name="Comma 9 33 5" xfId="6410" xr:uid="{00000000-0005-0000-0000-0000FC5A0000}"/>
    <cellStyle name="Comma 9 33 5 2" xfId="14155" xr:uid="{00000000-0005-0000-0000-0000FD5A0000}"/>
    <cellStyle name="Comma 9 33 5 2 2" xfId="29747" xr:uid="{00000000-0005-0000-0000-0000FE5A0000}"/>
    <cellStyle name="Comma 9 33 5 2 3" xfId="45239" xr:uid="{00000000-0005-0000-0000-0000FF5A0000}"/>
    <cellStyle name="Comma 9 33 5 3" xfId="22007" xr:uid="{00000000-0005-0000-0000-0000005B0000}"/>
    <cellStyle name="Comma 9 33 5 4" xfId="37499" xr:uid="{00000000-0005-0000-0000-0000015B0000}"/>
    <cellStyle name="Comma 9 33 6" xfId="10285" xr:uid="{00000000-0005-0000-0000-0000025B0000}"/>
    <cellStyle name="Comma 9 33 6 2" xfId="25877" xr:uid="{00000000-0005-0000-0000-0000035B0000}"/>
    <cellStyle name="Comma 9 33 6 3" xfId="41369" xr:uid="{00000000-0005-0000-0000-0000045B0000}"/>
    <cellStyle name="Comma 9 33 7" xfId="18137" xr:uid="{00000000-0005-0000-0000-0000055B0000}"/>
    <cellStyle name="Comma 9 33 8" xfId="33629" xr:uid="{00000000-0005-0000-0000-0000065B0000}"/>
    <cellStyle name="Comma 9 34" xfId="2813" xr:uid="{00000000-0005-0000-0000-0000075B0000}"/>
    <cellStyle name="Comma 9 34 2" xfId="3820" xr:uid="{00000000-0005-0000-0000-0000085B0000}"/>
    <cellStyle name="Comma 9 34 2 2" xfId="5759" xr:uid="{00000000-0005-0000-0000-0000095B0000}"/>
    <cellStyle name="Comma 9 34 2 2 2" xfId="9630" xr:uid="{00000000-0005-0000-0000-00000A5B0000}"/>
    <cellStyle name="Comma 9 34 2 2 2 2" xfId="17375" xr:uid="{00000000-0005-0000-0000-00000B5B0000}"/>
    <cellStyle name="Comma 9 34 2 2 2 2 2" xfId="32967" xr:uid="{00000000-0005-0000-0000-00000C5B0000}"/>
    <cellStyle name="Comma 9 34 2 2 2 2 3" xfId="48459" xr:uid="{00000000-0005-0000-0000-00000D5B0000}"/>
    <cellStyle name="Comma 9 34 2 2 2 3" xfId="25227" xr:uid="{00000000-0005-0000-0000-00000E5B0000}"/>
    <cellStyle name="Comma 9 34 2 2 2 4" xfId="40719" xr:uid="{00000000-0005-0000-0000-00000F5B0000}"/>
    <cellStyle name="Comma 9 34 2 2 3" xfId="13505" xr:uid="{00000000-0005-0000-0000-0000105B0000}"/>
    <cellStyle name="Comma 9 34 2 2 3 2" xfId="29097" xr:uid="{00000000-0005-0000-0000-0000115B0000}"/>
    <cellStyle name="Comma 9 34 2 2 3 3" xfId="44589" xr:uid="{00000000-0005-0000-0000-0000125B0000}"/>
    <cellStyle name="Comma 9 34 2 2 4" xfId="21357" xr:uid="{00000000-0005-0000-0000-0000135B0000}"/>
    <cellStyle name="Comma 9 34 2 2 5" xfId="36849" xr:uid="{00000000-0005-0000-0000-0000145B0000}"/>
    <cellStyle name="Comma 9 34 2 3" xfId="7703" xr:uid="{00000000-0005-0000-0000-0000155B0000}"/>
    <cellStyle name="Comma 9 34 2 3 2" xfId="15448" xr:uid="{00000000-0005-0000-0000-0000165B0000}"/>
    <cellStyle name="Comma 9 34 2 3 2 2" xfId="31040" xr:uid="{00000000-0005-0000-0000-0000175B0000}"/>
    <cellStyle name="Comma 9 34 2 3 2 3" xfId="46532" xr:uid="{00000000-0005-0000-0000-0000185B0000}"/>
    <cellStyle name="Comma 9 34 2 3 3" xfId="23300" xr:uid="{00000000-0005-0000-0000-0000195B0000}"/>
    <cellStyle name="Comma 9 34 2 3 4" xfId="38792" xr:uid="{00000000-0005-0000-0000-00001A5B0000}"/>
    <cellStyle name="Comma 9 34 2 4" xfId="11578" xr:uid="{00000000-0005-0000-0000-00001B5B0000}"/>
    <cellStyle name="Comma 9 34 2 4 2" xfId="27170" xr:uid="{00000000-0005-0000-0000-00001C5B0000}"/>
    <cellStyle name="Comma 9 34 2 4 3" xfId="42662" xr:uid="{00000000-0005-0000-0000-00001D5B0000}"/>
    <cellStyle name="Comma 9 34 2 5" xfId="19430" xr:uid="{00000000-0005-0000-0000-00001E5B0000}"/>
    <cellStyle name="Comma 9 34 2 6" xfId="34922" xr:uid="{00000000-0005-0000-0000-00001F5B0000}"/>
    <cellStyle name="Comma 9 34 3" xfId="4811" xr:uid="{00000000-0005-0000-0000-0000205B0000}"/>
    <cellStyle name="Comma 9 34 3 2" xfId="8682" xr:uid="{00000000-0005-0000-0000-0000215B0000}"/>
    <cellStyle name="Comma 9 34 3 2 2" xfId="16427" xr:uid="{00000000-0005-0000-0000-0000225B0000}"/>
    <cellStyle name="Comma 9 34 3 2 2 2" xfId="32019" xr:uid="{00000000-0005-0000-0000-0000235B0000}"/>
    <cellStyle name="Comma 9 34 3 2 2 3" xfId="47511" xr:uid="{00000000-0005-0000-0000-0000245B0000}"/>
    <cellStyle name="Comma 9 34 3 2 3" xfId="24279" xr:uid="{00000000-0005-0000-0000-0000255B0000}"/>
    <cellStyle name="Comma 9 34 3 2 4" xfId="39771" xr:uid="{00000000-0005-0000-0000-0000265B0000}"/>
    <cellStyle name="Comma 9 34 3 3" xfId="12557" xr:uid="{00000000-0005-0000-0000-0000275B0000}"/>
    <cellStyle name="Comma 9 34 3 3 2" xfId="28149" xr:uid="{00000000-0005-0000-0000-0000285B0000}"/>
    <cellStyle name="Comma 9 34 3 3 3" xfId="43641" xr:uid="{00000000-0005-0000-0000-0000295B0000}"/>
    <cellStyle name="Comma 9 34 3 4" xfId="20409" xr:uid="{00000000-0005-0000-0000-00002A5B0000}"/>
    <cellStyle name="Comma 9 34 3 5" xfId="35901" xr:uid="{00000000-0005-0000-0000-00002B5B0000}"/>
    <cellStyle name="Comma 9 34 4" xfId="6755" xr:uid="{00000000-0005-0000-0000-00002C5B0000}"/>
    <cellStyle name="Comma 9 34 4 2" xfId="14500" xr:uid="{00000000-0005-0000-0000-00002D5B0000}"/>
    <cellStyle name="Comma 9 34 4 2 2" xfId="30092" xr:uid="{00000000-0005-0000-0000-00002E5B0000}"/>
    <cellStyle name="Comma 9 34 4 2 3" xfId="45584" xr:uid="{00000000-0005-0000-0000-00002F5B0000}"/>
    <cellStyle name="Comma 9 34 4 3" xfId="22352" xr:uid="{00000000-0005-0000-0000-0000305B0000}"/>
    <cellStyle name="Comma 9 34 4 4" xfId="37844" xr:uid="{00000000-0005-0000-0000-0000315B0000}"/>
    <cellStyle name="Comma 9 34 5" xfId="10630" xr:uid="{00000000-0005-0000-0000-0000325B0000}"/>
    <cellStyle name="Comma 9 34 5 2" xfId="26222" xr:uid="{00000000-0005-0000-0000-0000335B0000}"/>
    <cellStyle name="Comma 9 34 5 3" xfId="41714" xr:uid="{00000000-0005-0000-0000-0000345B0000}"/>
    <cellStyle name="Comma 9 34 6" xfId="18482" xr:uid="{00000000-0005-0000-0000-0000355B0000}"/>
    <cellStyle name="Comma 9 34 7" xfId="33974" xr:uid="{00000000-0005-0000-0000-0000365B0000}"/>
    <cellStyle name="Comma 9 35" xfId="2852" xr:uid="{00000000-0005-0000-0000-0000375B0000}"/>
    <cellStyle name="Comma 9 35 2" xfId="3858" xr:uid="{00000000-0005-0000-0000-0000385B0000}"/>
    <cellStyle name="Comma 9 35 2 2" xfId="5797" xr:uid="{00000000-0005-0000-0000-0000395B0000}"/>
    <cellStyle name="Comma 9 35 2 2 2" xfId="9668" xr:uid="{00000000-0005-0000-0000-00003A5B0000}"/>
    <cellStyle name="Comma 9 35 2 2 2 2" xfId="17413" xr:uid="{00000000-0005-0000-0000-00003B5B0000}"/>
    <cellStyle name="Comma 9 35 2 2 2 2 2" xfId="33005" xr:uid="{00000000-0005-0000-0000-00003C5B0000}"/>
    <cellStyle name="Comma 9 35 2 2 2 2 3" xfId="48497" xr:uid="{00000000-0005-0000-0000-00003D5B0000}"/>
    <cellStyle name="Comma 9 35 2 2 2 3" xfId="25265" xr:uid="{00000000-0005-0000-0000-00003E5B0000}"/>
    <cellStyle name="Comma 9 35 2 2 2 4" xfId="40757" xr:uid="{00000000-0005-0000-0000-00003F5B0000}"/>
    <cellStyle name="Comma 9 35 2 2 3" xfId="13543" xr:uid="{00000000-0005-0000-0000-0000405B0000}"/>
    <cellStyle name="Comma 9 35 2 2 3 2" xfId="29135" xr:uid="{00000000-0005-0000-0000-0000415B0000}"/>
    <cellStyle name="Comma 9 35 2 2 3 3" xfId="44627" xr:uid="{00000000-0005-0000-0000-0000425B0000}"/>
    <cellStyle name="Comma 9 35 2 2 4" xfId="21395" xr:uid="{00000000-0005-0000-0000-0000435B0000}"/>
    <cellStyle name="Comma 9 35 2 2 5" xfId="36887" xr:uid="{00000000-0005-0000-0000-0000445B0000}"/>
    <cellStyle name="Comma 9 35 2 3" xfId="7741" xr:uid="{00000000-0005-0000-0000-0000455B0000}"/>
    <cellStyle name="Comma 9 35 2 3 2" xfId="15486" xr:uid="{00000000-0005-0000-0000-0000465B0000}"/>
    <cellStyle name="Comma 9 35 2 3 2 2" xfId="31078" xr:uid="{00000000-0005-0000-0000-0000475B0000}"/>
    <cellStyle name="Comma 9 35 2 3 2 3" xfId="46570" xr:uid="{00000000-0005-0000-0000-0000485B0000}"/>
    <cellStyle name="Comma 9 35 2 3 3" xfId="23338" xr:uid="{00000000-0005-0000-0000-0000495B0000}"/>
    <cellStyle name="Comma 9 35 2 3 4" xfId="38830" xr:uid="{00000000-0005-0000-0000-00004A5B0000}"/>
    <cellStyle name="Comma 9 35 2 4" xfId="11616" xr:uid="{00000000-0005-0000-0000-00004B5B0000}"/>
    <cellStyle name="Comma 9 35 2 4 2" xfId="27208" xr:uid="{00000000-0005-0000-0000-00004C5B0000}"/>
    <cellStyle name="Comma 9 35 2 4 3" xfId="42700" xr:uid="{00000000-0005-0000-0000-00004D5B0000}"/>
    <cellStyle name="Comma 9 35 2 5" xfId="19468" xr:uid="{00000000-0005-0000-0000-00004E5B0000}"/>
    <cellStyle name="Comma 9 35 2 6" xfId="34960" xr:uid="{00000000-0005-0000-0000-00004F5B0000}"/>
    <cellStyle name="Comma 9 35 3" xfId="4849" xr:uid="{00000000-0005-0000-0000-0000505B0000}"/>
    <cellStyle name="Comma 9 35 3 2" xfId="8720" xr:uid="{00000000-0005-0000-0000-0000515B0000}"/>
    <cellStyle name="Comma 9 35 3 2 2" xfId="16465" xr:uid="{00000000-0005-0000-0000-0000525B0000}"/>
    <cellStyle name="Comma 9 35 3 2 2 2" xfId="32057" xr:uid="{00000000-0005-0000-0000-0000535B0000}"/>
    <cellStyle name="Comma 9 35 3 2 2 3" xfId="47549" xr:uid="{00000000-0005-0000-0000-0000545B0000}"/>
    <cellStyle name="Comma 9 35 3 2 3" xfId="24317" xr:uid="{00000000-0005-0000-0000-0000555B0000}"/>
    <cellStyle name="Comma 9 35 3 2 4" xfId="39809" xr:uid="{00000000-0005-0000-0000-0000565B0000}"/>
    <cellStyle name="Comma 9 35 3 3" xfId="12595" xr:uid="{00000000-0005-0000-0000-0000575B0000}"/>
    <cellStyle name="Comma 9 35 3 3 2" xfId="28187" xr:uid="{00000000-0005-0000-0000-0000585B0000}"/>
    <cellStyle name="Comma 9 35 3 3 3" xfId="43679" xr:uid="{00000000-0005-0000-0000-0000595B0000}"/>
    <cellStyle name="Comma 9 35 3 4" xfId="20447" xr:uid="{00000000-0005-0000-0000-00005A5B0000}"/>
    <cellStyle name="Comma 9 35 3 5" xfId="35939" xr:uid="{00000000-0005-0000-0000-00005B5B0000}"/>
    <cellStyle name="Comma 9 35 4" xfId="6793" xr:uid="{00000000-0005-0000-0000-00005C5B0000}"/>
    <cellStyle name="Comma 9 35 4 2" xfId="14538" xr:uid="{00000000-0005-0000-0000-00005D5B0000}"/>
    <cellStyle name="Comma 9 35 4 2 2" xfId="30130" xr:uid="{00000000-0005-0000-0000-00005E5B0000}"/>
    <cellStyle name="Comma 9 35 4 2 3" xfId="45622" xr:uid="{00000000-0005-0000-0000-00005F5B0000}"/>
    <cellStyle name="Comma 9 35 4 3" xfId="22390" xr:uid="{00000000-0005-0000-0000-0000605B0000}"/>
    <cellStyle name="Comma 9 35 4 4" xfId="37882" xr:uid="{00000000-0005-0000-0000-0000615B0000}"/>
    <cellStyle name="Comma 9 35 5" xfId="10668" xr:uid="{00000000-0005-0000-0000-0000625B0000}"/>
    <cellStyle name="Comma 9 35 5 2" xfId="26260" xr:uid="{00000000-0005-0000-0000-0000635B0000}"/>
    <cellStyle name="Comma 9 35 5 3" xfId="41752" xr:uid="{00000000-0005-0000-0000-0000645B0000}"/>
    <cellStyle name="Comma 9 35 6" xfId="18520" xr:uid="{00000000-0005-0000-0000-0000655B0000}"/>
    <cellStyle name="Comma 9 35 7" xfId="34012" xr:uid="{00000000-0005-0000-0000-0000665B0000}"/>
    <cellStyle name="Comma 9 36" xfId="2889" xr:uid="{00000000-0005-0000-0000-0000675B0000}"/>
    <cellStyle name="Comma 9 36 2" xfId="3894" xr:uid="{00000000-0005-0000-0000-0000685B0000}"/>
    <cellStyle name="Comma 9 36 2 2" xfId="5833" xr:uid="{00000000-0005-0000-0000-0000695B0000}"/>
    <cellStyle name="Comma 9 36 2 2 2" xfId="9704" xr:uid="{00000000-0005-0000-0000-00006A5B0000}"/>
    <cellStyle name="Comma 9 36 2 2 2 2" xfId="17449" xr:uid="{00000000-0005-0000-0000-00006B5B0000}"/>
    <cellStyle name="Comma 9 36 2 2 2 2 2" xfId="33041" xr:uid="{00000000-0005-0000-0000-00006C5B0000}"/>
    <cellStyle name="Comma 9 36 2 2 2 2 3" xfId="48533" xr:uid="{00000000-0005-0000-0000-00006D5B0000}"/>
    <cellStyle name="Comma 9 36 2 2 2 3" xfId="25301" xr:uid="{00000000-0005-0000-0000-00006E5B0000}"/>
    <cellStyle name="Comma 9 36 2 2 2 4" xfId="40793" xr:uid="{00000000-0005-0000-0000-00006F5B0000}"/>
    <cellStyle name="Comma 9 36 2 2 3" xfId="13579" xr:uid="{00000000-0005-0000-0000-0000705B0000}"/>
    <cellStyle name="Comma 9 36 2 2 3 2" xfId="29171" xr:uid="{00000000-0005-0000-0000-0000715B0000}"/>
    <cellStyle name="Comma 9 36 2 2 3 3" xfId="44663" xr:uid="{00000000-0005-0000-0000-0000725B0000}"/>
    <cellStyle name="Comma 9 36 2 2 4" xfId="21431" xr:uid="{00000000-0005-0000-0000-0000735B0000}"/>
    <cellStyle name="Comma 9 36 2 2 5" xfId="36923" xr:uid="{00000000-0005-0000-0000-0000745B0000}"/>
    <cellStyle name="Comma 9 36 2 3" xfId="7777" xr:uid="{00000000-0005-0000-0000-0000755B0000}"/>
    <cellStyle name="Comma 9 36 2 3 2" xfId="15522" xr:uid="{00000000-0005-0000-0000-0000765B0000}"/>
    <cellStyle name="Comma 9 36 2 3 2 2" xfId="31114" xr:uid="{00000000-0005-0000-0000-0000775B0000}"/>
    <cellStyle name="Comma 9 36 2 3 2 3" xfId="46606" xr:uid="{00000000-0005-0000-0000-0000785B0000}"/>
    <cellStyle name="Comma 9 36 2 3 3" xfId="23374" xr:uid="{00000000-0005-0000-0000-0000795B0000}"/>
    <cellStyle name="Comma 9 36 2 3 4" xfId="38866" xr:uid="{00000000-0005-0000-0000-00007A5B0000}"/>
    <cellStyle name="Comma 9 36 2 4" xfId="11652" xr:uid="{00000000-0005-0000-0000-00007B5B0000}"/>
    <cellStyle name="Comma 9 36 2 4 2" xfId="27244" xr:uid="{00000000-0005-0000-0000-00007C5B0000}"/>
    <cellStyle name="Comma 9 36 2 4 3" xfId="42736" xr:uid="{00000000-0005-0000-0000-00007D5B0000}"/>
    <cellStyle name="Comma 9 36 2 5" xfId="19504" xr:uid="{00000000-0005-0000-0000-00007E5B0000}"/>
    <cellStyle name="Comma 9 36 2 6" xfId="34996" xr:uid="{00000000-0005-0000-0000-00007F5B0000}"/>
    <cellStyle name="Comma 9 36 3" xfId="4885" xr:uid="{00000000-0005-0000-0000-0000805B0000}"/>
    <cellStyle name="Comma 9 36 3 2" xfId="8756" xr:uid="{00000000-0005-0000-0000-0000815B0000}"/>
    <cellStyle name="Comma 9 36 3 2 2" xfId="16501" xr:uid="{00000000-0005-0000-0000-0000825B0000}"/>
    <cellStyle name="Comma 9 36 3 2 2 2" xfId="32093" xr:uid="{00000000-0005-0000-0000-0000835B0000}"/>
    <cellStyle name="Comma 9 36 3 2 2 3" xfId="47585" xr:uid="{00000000-0005-0000-0000-0000845B0000}"/>
    <cellStyle name="Comma 9 36 3 2 3" xfId="24353" xr:uid="{00000000-0005-0000-0000-0000855B0000}"/>
    <cellStyle name="Comma 9 36 3 2 4" xfId="39845" xr:uid="{00000000-0005-0000-0000-0000865B0000}"/>
    <cellStyle name="Comma 9 36 3 3" xfId="12631" xr:uid="{00000000-0005-0000-0000-0000875B0000}"/>
    <cellStyle name="Comma 9 36 3 3 2" xfId="28223" xr:uid="{00000000-0005-0000-0000-0000885B0000}"/>
    <cellStyle name="Comma 9 36 3 3 3" xfId="43715" xr:uid="{00000000-0005-0000-0000-0000895B0000}"/>
    <cellStyle name="Comma 9 36 3 4" xfId="20483" xr:uid="{00000000-0005-0000-0000-00008A5B0000}"/>
    <cellStyle name="Comma 9 36 3 5" xfId="35975" xr:uid="{00000000-0005-0000-0000-00008B5B0000}"/>
    <cellStyle name="Comma 9 36 4" xfId="6829" xr:uid="{00000000-0005-0000-0000-00008C5B0000}"/>
    <cellStyle name="Comma 9 36 4 2" xfId="14574" xr:uid="{00000000-0005-0000-0000-00008D5B0000}"/>
    <cellStyle name="Comma 9 36 4 2 2" xfId="30166" xr:uid="{00000000-0005-0000-0000-00008E5B0000}"/>
    <cellStyle name="Comma 9 36 4 2 3" xfId="45658" xr:uid="{00000000-0005-0000-0000-00008F5B0000}"/>
    <cellStyle name="Comma 9 36 4 3" xfId="22426" xr:uid="{00000000-0005-0000-0000-0000905B0000}"/>
    <cellStyle name="Comma 9 36 4 4" xfId="37918" xr:uid="{00000000-0005-0000-0000-0000915B0000}"/>
    <cellStyle name="Comma 9 36 5" xfId="10704" xr:uid="{00000000-0005-0000-0000-0000925B0000}"/>
    <cellStyle name="Comma 9 36 5 2" xfId="26296" xr:uid="{00000000-0005-0000-0000-0000935B0000}"/>
    <cellStyle name="Comma 9 36 5 3" xfId="41788" xr:uid="{00000000-0005-0000-0000-0000945B0000}"/>
    <cellStyle name="Comma 9 36 6" xfId="18556" xr:uid="{00000000-0005-0000-0000-0000955B0000}"/>
    <cellStyle name="Comma 9 36 7" xfId="34048" xr:uid="{00000000-0005-0000-0000-0000965B0000}"/>
    <cellStyle name="Comma 9 37" xfId="2926" xr:uid="{00000000-0005-0000-0000-0000975B0000}"/>
    <cellStyle name="Comma 9 37 2" xfId="3930" xr:uid="{00000000-0005-0000-0000-0000985B0000}"/>
    <cellStyle name="Comma 9 37 2 2" xfId="5869" xr:uid="{00000000-0005-0000-0000-0000995B0000}"/>
    <cellStyle name="Comma 9 37 2 2 2" xfId="9740" xr:uid="{00000000-0005-0000-0000-00009A5B0000}"/>
    <cellStyle name="Comma 9 37 2 2 2 2" xfId="17485" xr:uid="{00000000-0005-0000-0000-00009B5B0000}"/>
    <cellStyle name="Comma 9 37 2 2 2 2 2" xfId="33077" xr:uid="{00000000-0005-0000-0000-00009C5B0000}"/>
    <cellStyle name="Comma 9 37 2 2 2 2 3" xfId="48569" xr:uid="{00000000-0005-0000-0000-00009D5B0000}"/>
    <cellStyle name="Comma 9 37 2 2 2 3" xfId="25337" xr:uid="{00000000-0005-0000-0000-00009E5B0000}"/>
    <cellStyle name="Comma 9 37 2 2 2 4" xfId="40829" xr:uid="{00000000-0005-0000-0000-00009F5B0000}"/>
    <cellStyle name="Comma 9 37 2 2 3" xfId="13615" xr:uid="{00000000-0005-0000-0000-0000A05B0000}"/>
    <cellStyle name="Comma 9 37 2 2 3 2" xfId="29207" xr:uid="{00000000-0005-0000-0000-0000A15B0000}"/>
    <cellStyle name="Comma 9 37 2 2 3 3" xfId="44699" xr:uid="{00000000-0005-0000-0000-0000A25B0000}"/>
    <cellStyle name="Comma 9 37 2 2 4" xfId="21467" xr:uid="{00000000-0005-0000-0000-0000A35B0000}"/>
    <cellStyle name="Comma 9 37 2 2 5" xfId="36959" xr:uid="{00000000-0005-0000-0000-0000A45B0000}"/>
    <cellStyle name="Comma 9 37 2 3" xfId="7813" xr:uid="{00000000-0005-0000-0000-0000A55B0000}"/>
    <cellStyle name="Comma 9 37 2 3 2" xfId="15558" xr:uid="{00000000-0005-0000-0000-0000A65B0000}"/>
    <cellStyle name="Comma 9 37 2 3 2 2" xfId="31150" xr:uid="{00000000-0005-0000-0000-0000A75B0000}"/>
    <cellStyle name="Comma 9 37 2 3 2 3" xfId="46642" xr:uid="{00000000-0005-0000-0000-0000A85B0000}"/>
    <cellStyle name="Comma 9 37 2 3 3" xfId="23410" xr:uid="{00000000-0005-0000-0000-0000A95B0000}"/>
    <cellStyle name="Comma 9 37 2 3 4" xfId="38902" xr:uid="{00000000-0005-0000-0000-0000AA5B0000}"/>
    <cellStyle name="Comma 9 37 2 4" xfId="11688" xr:uid="{00000000-0005-0000-0000-0000AB5B0000}"/>
    <cellStyle name="Comma 9 37 2 4 2" xfId="27280" xr:uid="{00000000-0005-0000-0000-0000AC5B0000}"/>
    <cellStyle name="Comma 9 37 2 4 3" xfId="42772" xr:uid="{00000000-0005-0000-0000-0000AD5B0000}"/>
    <cellStyle name="Comma 9 37 2 5" xfId="19540" xr:uid="{00000000-0005-0000-0000-0000AE5B0000}"/>
    <cellStyle name="Comma 9 37 2 6" xfId="35032" xr:uid="{00000000-0005-0000-0000-0000AF5B0000}"/>
    <cellStyle name="Comma 9 37 3" xfId="4921" xr:uid="{00000000-0005-0000-0000-0000B05B0000}"/>
    <cellStyle name="Comma 9 37 3 2" xfId="8792" xr:uid="{00000000-0005-0000-0000-0000B15B0000}"/>
    <cellStyle name="Comma 9 37 3 2 2" xfId="16537" xr:uid="{00000000-0005-0000-0000-0000B25B0000}"/>
    <cellStyle name="Comma 9 37 3 2 2 2" xfId="32129" xr:uid="{00000000-0005-0000-0000-0000B35B0000}"/>
    <cellStyle name="Comma 9 37 3 2 2 3" xfId="47621" xr:uid="{00000000-0005-0000-0000-0000B45B0000}"/>
    <cellStyle name="Comma 9 37 3 2 3" xfId="24389" xr:uid="{00000000-0005-0000-0000-0000B55B0000}"/>
    <cellStyle name="Comma 9 37 3 2 4" xfId="39881" xr:uid="{00000000-0005-0000-0000-0000B65B0000}"/>
    <cellStyle name="Comma 9 37 3 3" xfId="12667" xr:uid="{00000000-0005-0000-0000-0000B75B0000}"/>
    <cellStyle name="Comma 9 37 3 3 2" xfId="28259" xr:uid="{00000000-0005-0000-0000-0000B85B0000}"/>
    <cellStyle name="Comma 9 37 3 3 3" xfId="43751" xr:uid="{00000000-0005-0000-0000-0000B95B0000}"/>
    <cellStyle name="Comma 9 37 3 4" xfId="20519" xr:uid="{00000000-0005-0000-0000-0000BA5B0000}"/>
    <cellStyle name="Comma 9 37 3 5" xfId="36011" xr:uid="{00000000-0005-0000-0000-0000BB5B0000}"/>
    <cellStyle name="Comma 9 37 4" xfId="6865" xr:uid="{00000000-0005-0000-0000-0000BC5B0000}"/>
    <cellStyle name="Comma 9 37 4 2" xfId="14610" xr:uid="{00000000-0005-0000-0000-0000BD5B0000}"/>
    <cellStyle name="Comma 9 37 4 2 2" xfId="30202" xr:uid="{00000000-0005-0000-0000-0000BE5B0000}"/>
    <cellStyle name="Comma 9 37 4 2 3" xfId="45694" xr:uid="{00000000-0005-0000-0000-0000BF5B0000}"/>
    <cellStyle name="Comma 9 37 4 3" xfId="22462" xr:uid="{00000000-0005-0000-0000-0000C05B0000}"/>
    <cellStyle name="Comma 9 37 4 4" xfId="37954" xr:uid="{00000000-0005-0000-0000-0000C15B0000}"/>
    <cellStyle name="Comma 9 37 5" xfId="10740" xr:uid="{00000000-0005-0000-0000-0000C25B0000}"/>
    <cellStyle name="Comma 9 37 5 2" xfId="26332" xr:uid="{00000000-0005-0000-0000-0000C35B0000}"/>
    <cellStyle name="Comma 9 37 5 3" xfId="41824" xr:uid="{00000000-0005-0000-0000-0000C45B0000}"/>
    <cellStyle name="Comma 9 37 6" xfId="18592" xr:uid="{00000000-0005-0000-0000-0000C55B0000}"/>
    <cellStyle name="Comma 9 37 7" xfId="34084" xr:uid="{00000000-0005-0000-0000-0000C65B0000}"/>
    <cellStyle name="Comma 9 38" xfId="2965" xr:uid="{00000000-0005-0000-0000-0000C75B0000}"/>
    <cellStyle name="Comma 9 38 2" xfId="3966" xr:uid="{00000000-0005-0000-0000-0000C85B0000}"/>
    <cellStyle name="Comma 9 38 2 2" xfId="5905" xr:uid="{00000000-0005-0000-0000-0000C95B0000}"/>
    <cellStyle name="Comma 9 38 2 2 2" xfId="9776" xr:uid="{00000000-0005-0000-0000-0000CA5B0000}"/>
    <cellStyle name="Comma 9 38 2 2 2 2" xfId="17521" xr:uid="{00000000-0005-0000-0000-0000CB5B0000}"/>
    <cellStyle name="Comma 9 38 2 2 2 2 2" xfId="33113" xr:uid="{00000000-0005-0000-0000-0000CC5B0000}"/>
    <cellStyle name="Comma 9 38 2 2 2 2 3" xfId="48605" xr:uid="{00000000-0005-0000-0000-0000CD5B0000}"/>
    <cellStyle name="Comma 9 38 2 2 2 3" xfId="25373" xr:uid="{00000000-0005-0000-0000-0000CE5B0000}"/>
    <cellStyle name="Comma 9 38 2 2 2 4" xfId="40865" xr:uid="{00000000-0005-0000-0000-0000CF5B0000}"/>
    <cellStyle name="Comma 9 38 2 2 3" xfId="13651" xr:uid="{00000000-0005-0000-0000-0000D05B0000}"/>
    <cellStyle name="Comma 9 38 2 2 3 2" xfId="29243" xr:uid="{00000000-0005-0000-0000-0000D15B0000}"/>
    <cellStyle name="Comma 9 38 2 2 3 3" xfId="44735" xr:uid="{00000000-0005-0000-0000-0000D25B0000}"/>
    <cellStyle name="Comma 9 38 2 2 4" xfId="21503" xr:uid="{00000000-0005-0000-0000-0000D35B0000}"/>
    <cellStyle name="Comma 9 38 2 2 5" xfId="36995" xr:uid="{00000000-0005-0000-0000-0000D45B0000}"/>
    <cellStyle name="Comma 9 38 2 3" xfId="7849" xr:uid="{00000000-0005-0000-0000-0000D55B0000}"/>
    <cellStyle name="Comma 9 38 2 3 2" xfId="15594" xr:uid="{00000000-0005-0000-0000-0000D65B0000}"/>
    <cellStyle name="Comma 9 38 2 3 2 2" xfId="31186" xr:uid="{00000000-0005-0000-0000-0000D75B0000}"/>
    <cellStyle name="Comma 9 38 2 3 2 3" xfId="46678" xr:uid="{00000000-0005-0000-0000-0000D85B0000}"/>
    <cellStyle name="Comma 9 38 2 3 3" xfId="23446" xr:uid="{00000000-0005-0000-0000-0000D95B0000}"/>
    <cellStyle name="Comma 9 38 2 3 4" xfId="38938" xr:uid="{00000000-0005-0000-0000-0000DA5B0000}"/>
    <cellStyle name="Comma 9 38 2 4" xfId="11724" xr:uid="{00000000-0005-0000-0000-0000DB5B0000}"/>
    <cellStyle name="Comma 9 38 2 4 2" xfId="27316" xr:uid="{00000000-0005-0000-0000-0000DC5B0000}"/>
    <cellStyle name="Comma 9 38 2 4 3" xfId="42808" xr:uid="{00000000-0005-0000-0000-0000DD5B0000}"/>
    <cellStyle name="Comma 9 38 2 5" xfId="19576" xr:uid="{00000000-0005-0000-0000-0000DE5B0000}"/>
    <cellStyle name="Comma 9 38 2 6" xfId="35068" xr:uid="{00000000-0005-0000-0000-0000DF5B0000}"/>
    <cellStyle name="Comma 9 38 3" xfId="4957" xr:uid="{00000000-0005-0000-0000-0000E05B0000}"/>
    <cellStyle name="Comma 9 38 3 2" xfId="8828" xr:uid="{00000000-0005-0000-0000-0000E15B0000}"/>
    <cellStyle name="Comma 9 38 3 2 2" xfId="16573" xr:uid="{00000000-0005-0000-0000-0000E25B0000}"/>
    <cellStyle name="Comma 9 38 3 2 2 2" xfId="32165" xr:uid="{00000000-0005-0000-0000-0000E35B0000}"/>
    <cellStyle name="Comma 9 38 3 2 2 3" xfId="47657" xr:uid="{00000000-0005-0000-0000-0000E45B0000}"/>
    <cellStyle name="Comma 9 38 3 2 3" xfId="24425" xr:uid="{00000000-0005-0000-0000-0000E55B0000}"/>
    <cellStyle name="Comma 9 38 3 2 4" xfId="39917" xr:uid="{00000000-0005-0000-0000-0000E65B0000}"/>
    <cellStyle name="Comma 9 38 3 3" xfId="12703" xr:uid="{00000000-0005-0000-0000-0000E75B0000}"/>
    <cellStyle name="Comma 9 38 3 3 2" xfId="28295" xr:uid="{00000000-0005-0000-0000-0000E85B0000}"/>
    <cellStyle name="Comma 9 38 3 3 3" xfId="43787" xr:uid="{00000000-0005-0000-0000-0000E95B0000}"/>
    <cellStyle name="Comma 9 38 3 4" xfId="20555" xr:uid="{00000000-0005-0000-0000-0000EA5B0000}"/>
    <cellStyle name="Comma 9 38 3 5" xfId="36047" xr:uid="{00000000-0005-0000-0000-0000EB5B0000}"/>
    <cellStyle name="Comma 9 38 4" xfId="6901" xr:uid="{00000000-0005-0000-0000-0000EC5B0000}"/>
    <cellStyle name="Comma 9 38 4 2" xfId="14646" xr:uid="{00000000-0005-0000-0000-0000ED5B0000}"/>
    <cellStyle name="Comma 9 38 4 2 2" xfId="30238" xr:uid="{00000000-0005-0000-0000-0000EE5B0000}"/>
    <cellStyle name="Comma 9 38 4 2 3" xfId="45730" xr:uid="{00000000-0005-0000-0000-0000EF5B0000}"/>
    <cellStyle name="Comma 9 38 4 3" xfId="22498" xr:uid="{00000000-0005-0000-0000-0000F05B0000}"/>
    <cellStyle name="Comma 9 38 4 4" xfId="37990" xr:uid="{00000000-0005-0000-0000-0000F15B0000}"/>
    <cellStyle name="Comma 9 38 5" xfId="10776" xr:uid="{00000000-0005-0000-0000-0000F25B0000}"/>
    <cellStyle name="Comma 9 38 5 2" xfId="26368" xr:uid="{00000000-0005-0000-0000-0000F35B0000}"/>
    <cellStyle name="Comma 9 38 5 3" xfId="41860" xr:uid="{00000000-0005-0000-0000-0000F45B0000}"/>
    <cellStyle name="Comma 9 38 6" xfId="18628" xr:uid="{00000000-0005-0000-0000-0000F55B0000}"/>
    <cellStyle name="Comma 9 38 7" xfId="34120" xr:uid="{00000000-0005-0000-0000-0000F65B0000}"/>
    <cellStyle name="Comma 9 39" xfId="3005" xr:uid="{00000000-0005-0000-0000-0000F75B0000}"/>
    <cellStyle name="Comma 9 39 2" xfId="4002" xr:uid="{00000000-0005-0000-0000-0000F85B0000}"/>
    <cellStyle name="Comma 9 39 2 2" xfId="5941" xr:uid="{00000000-0005-0000-0000-0000F95B0000}"/>
    <cellStyle name="Comma 9 39 2 2 2" xfId="9812" xr:uid="{00000000-0005-0000-0000-0000FA5B0000}"/>
    <cellStyle name="Comma 9 39 2 2 2 2" xfId="17557" xr:uid="{00000000-0005-0000-0000-0000FB5B0000}"/>
    <cellStyle name="Comma 9 39 2 2 2 2 2" xfId="33149" xr:uid="{00000000-0005-0000-0000-0000FC5B0000}"/>
    <cellStyle name="Comma 9 39 2 2 2 2 3" xfId="48641" xr:uid="{00000000-0005-0000-0000-0000FD5B0000}"/>
    <cellStyle name="Comma 9 39 2 2 2 3" xfId="25409" xr:uid="{00000000-0005-0000-0000-0000FE5B0000}"/>
    <cellStyle name="Comma 9 39 2 2 2 4" xfId="40901" xr:uid="{00000000-0005-0000-0000-0000FF5B0000}"/>
    <cellStyle name="Comma 9 39 2 2 3" xfId="13687" xr:uid="{00000000-0005-0000-0000-0000005C0000}"/>
    <cellStyle name="Comma 9 39 2 2 3 2" xfId="29279" xr:uid="{00000000-0005-0000-0000-0000015C0000}"/>
    <cellStyle name="Comma 9 39 2 2 3 3" xfId="44771" xr:uid="{00000000-0005-0000-0000-0000025C0000}"/>
    <cellStyle name="Comma 9 39 2 2 4" xfId="21539" xr:uid="{00000000-0005-0000-0000-0000035C0000}"/>
    <cellStyle name="Comma 9 39 2 2 5" xfId="37031" xr:uid="{00000000-0005-0000-0000-0000045C0000}"/>
    <cellStyle name="Comma 9 39 2 3" xfId="7885" xr:uid="{00000000-0005-0000-0000-0000055C0000}"/>
    <cellStyle name="Comma 9 39 2 3 2" xfId="15630" xr:uid="{00000000-0005-0000-0000-0000065C0000}"/>
    <cellStyle name="Comma 9 39 2 3 2 2" xfId="31222" xr:uid="{00000000-0005-0000-0000-0000075C0000}"/>
    <cellStyle name="Comma 9 39 2 3 2 3" xfId="46714" xr:uid="{00000000-0005-0000-0000-0000085C0000}"/>
    <cellStyle name="Comma 9 39 2 3 3" xfId="23482" xr:uid="{00000000-0005-0000-0000-0000095C0000}"/>
    <cellStyle name="Comma 9 39 2 3 4" xfId="38974" xr:uid="{00000000-0005-0000-0000-00000A5C0000}"/>
    <cellStyle name="Comma 9 39 2 4" xfId="11760" xr:uid="{00000000-0005-0000-0000-00000B5C0000}"/>
    <cellStyle name="Comma 9 39 2 4 2" xfId="27352" xr:uid="{00000000-0005-0000-0000-00000C5C0000}"/>
    <cellStyle name="Comma 9 39 2 4 3" xfId="42844" xr:uid="{00000000-0005-0000-0000-00000D5C0000}"/>
    <cellStyle name="Comma 9 39 2 5" xfId="19612" xr:uid="{00000000-0005-0000-0000-00000E5C0000}"/>
    <cellStyle name="Comma 9 39 2 6" xfId="35104" xr:uid="{00000000-0005-0000-0000-00000F5C0000}"/>
    <cellStyle name="Comma 9 39 3" xfId="4993" xr:uid="{00000000-0005-0000-0000-0000105C0000}"/>
    <cellStyle name="Comma 9 39 3 2" xfId="8864" xr:uid="{00000000-0005-0000-0000-0000115C0000}"/>
    <cellStyle name="Comma 9 39 3 2 2" xfId="16609" xr:uid="{00000000-0005-0000-0000-0000125C0000}"/>
    <cellStyle name="Comma 9 39 3 2 2 2" xfId="32201" xr:uid="{00000000-0005-0000-0000-0000135C0000}"/>
    <cellStyle name="Comma 9 39 3 2 2 3" xfId="47693" xr:uid="{00000000-0005-0000-0000-0000145C0000}"/>
    <cellStyle name="Comma 9 39 3 2 3" xfId="24461" xr:uid="{00000000-0005-0000-0000-0000155C0000}"/>
    <cellStyle name="Comma 9 39 3 2 4" xfId="39953" xr:uid="{00000000-0005-0000-0000-0000165C0000}"/>
    <cellStyle name="Comma 9 39 3 3" xfId="12739" xr:uid="{00000000-0005-0000-0000-0000175C0000}"/>
    <cellStyle name="Comma 9 39 3 3 2" xfId="28331" xr:uid="{00000000-0005-0000-0000-0000185C0000}"/>
    <cellStyle name="Comma 9 39 3 3 3" xfId="43823" xr:uid="{00000000-0005-0000-0000-0000195C0000}"/>
    <cellStyle name="Comma 9 39 3 4" xfId="20591" xr:uid="{00000000-0005-0000-0000-00001A5C0000}"/>
    <cellStyle name="Comma 9 39 3 5" xfId="36083" xr:uid="{00000000-0005-0000-0000-00001B5C0000}"/>
    <cellStyle name="Comma 9 39 4" xfId="6937" xr:uid="{00000000-0005-0000-0000-00001C5C0000}"/>
    <cellStyle name="Comma 9 39 4 2" xfId="14682" xr:uid="{00000000-0005-0000-0000-00001D5C0000}"/>
    <cellStyle name="Comma 9 39 4 2 2" xfId="30274" xr:uid="{00000000-0005-0000-0000-00001E5C0000}"/>
    <cellStyle name="Comma 9 39 4 2 3" xfId="45766" xr:uid="{00000000-0005-0000-0000-00001F5C0000}"/>
    <cellStyle name="Comma 9 39 4 3" xfId="22534" xr:uid="{00000000-0005-0000-0000-0000205C0000}"/>
    <cellStyle name="Comma 9 39 4 4" xfId="38026" xr:uid="{00000000-0005-0000-0000-0000215C0000}"/>
    <cellStyle name="Comma 9 39 5" xfId="10812" xr:uid="{00000000-0005-0000-0000-0000225C0000}"/>
    <cellStyle name="Comma 9 39 5 2" xfId="26404" xr:uid="{00000000-0005-0000-0000-0000235C0000}"/>
    <cellStyle name="Comma 9 39 5 3" xfId="41896" xr:uid="{00000000-0005-0000-0000-0000245C0000}"/>
    <cellStyle name="Comma 9 39 6" xfId="18664" xr:uid="{00000000-0005-0000-0000-0000255C0000}"/>
    <cellStyle name="Comma 9 39 7" xfId="34156" xr:uid="{00000000-0005-0000-0000-0000265C0000}"/>
    <cellStyle name="Comma 9 4" xfId="1571" xr:uid="{00000000-0005-0000-0000-0000275C0000}"/>
    <cellStyle name="Comma 9 40" xfId="3043" xr:uid="{00000000-0005-0000-0000-0000285C0000}"/>
    <cellStyle name="Comma 9 40 2" xfId="4038" xr:uid="{00000000-0005-0000-0000-0000295C0000}"/>
    <cellStyle name="Comma 9 40 2 2" xfId="5977" xr:uid="{00000000-0005-0000-0000-00002A5C0000}"/>
    <cellStyle name="Comma 9 40 2 2 2" xfId="9848" xr:uid="{00000000-0005-0000-0000-00002B5C0000}"/>
    <cellStyle name="Comma 9 40 2 2 2 2" xfId="17593" xr:uid="{00000000-0005-0000-0000-00002C5C0000}"/>
    <cellStyle name="Comma 9 40 2 2 2 2 2" xfId="33185" xr:uid="{00000000-0005-0000-0000-00002D5C0000}"/>
    <cellStyle name="Comma 9 40 2 2 2 2 3" xfId="48677" xr:uid="{00000000-0005-0000-0000-00002E5C0000}"/>
    <cellStyle name="Comma 9 40 2 2 2 3" xfId="25445" xr:uid="{00000000-0005-0000-0000-00002F5C0000}"/>
    <cellStyle name="Comma 9 40 2 2 2 4" xfId="40937" xr:uid="{00000000-0005-0000-0000-0000305C0000}"/>
    <cellStyle name="Comma 9 40 2 2 3" xfId="13723" xr:uid="{00000000-0005-0000-0000-0000315C0000}"/>
    <cellStyle name="Comma 9 40 2 2 3 2" xfId="29315" xr:uid="{00000000-0005-0000-0000-0000325C0000}"/>
    <cellStyle name="Comma 9 40 2 2 3 3" xfId="44807" xr:uid="{00000000-0005-0000-0000-0000335C0000}"/>
    <cellStyle name="Comma 9 40 2 2 4" xfId="21575" xr:uid="{00000000-0005-0000-0000-0000345C0000}"/>
    <cellStyle name="Comma 9 40 2 2 5" xfId="37067" xr:uid="{00000000-0005-0000-0000-0000355C0000}"/>
    <cellStyle name="Comma 9 40 2 3" xfId="7921" xr:uid="{00000000-0005-0000-0000-0000365C0000}"/>
    <cellStyle name="Comma 9 40 2 3 2" xfId="15666" xr:uid="{00000000-0005-0000-0000-0000375C0000}"/>
    <cellStyle name="Comma 9 40 2 3 2 2" xfId="31258" xr:uid="{00000000-0005-0000-0000-0000385C0000}"/>
    <cellStyle name="Comma 9 40 2 3 2 3" xfId="46750" xr:uid="{00000000-0005-0000-0000-0000395C0000}"/>
    <cellStyle name="Comma 9 40 2 3 3" xfId="23518" xr:uid="{00000000-0005-0000-0000-00003A5C0000}"/>
    <cellStyle name="Comma 9 40 2 3 4" xfId="39010" xr:uid="{00000000-0005-0000-0000-00003B5C0000}"/>
    <cellStyle name="Comma 9 40 2 4" xfId="11796" xr:uid="{00000000-0005-0000-0000-00003C5C0000}"/>
    <cellStyle name="Comma 9 40 2 4 2" xfId="27388" xr:uid="{00000000-0005-0000-0000-00003D5C0000}"/>
    <cellStyle name="Comma 9 40 2 4 3" xfId="42880" xr:uid="{00000000-0005-0000-0000-00003E5C0000}"/>
    <cellStyle name="Comma 9 40 2 5" xfId="19648" xr:uid="{00000000-0005-0000-0000-00003F5C0000}"/>
    <cellStyle name="Comma 9 40 2 6" xfId="35140" xr:uid="{00000000-0005-0000-0000-0000405C0000}"/>
    <cellStyle name="Comma 9 40 3" xfId="5029" xr:uid="{00000000-0005-0000-0000-0000415C0000}"/>
    <cellStyle name="Comma 9 40 3 2" xfId="8900" xr:uid="{00000000-0005-0000-0000-0000425C0000}"/>
    <cellStyle name="Comma 9 40 3 2 2" xfId="16645" xr:uid="{00000000-0005-0000-0000-0000435C0000}"/>
    <cellStyle name="Comma 9 40 3 2 2 2" xfId="32237" xr:uid="{00000000-0005-0000-0000-0000445C0000}"/>
    <cellStyle name="Comma 9 40 3 2 2 3" xfId="47729" xr:uid="{00000000-0005-0000-0000-0000455C0000}"/>
    <cellStyle name="Comma 9 40 3 2 3" xfId="24497" xr:uid="{00000000-0005-0000-0000-0000465C0000}"/>
    <cellStyle name="Comma 9 40 3 2 4" xfId="39989" xr:uid="{00000000-0005-0000-0000-0000475C0000}"/>
    <cellStyle name="Comma 9 40 3 3" xfId="12775" xr:uid="{00000000-0005-0000-0000-0000485C0000}"/>
    <cellStyle name="Comma 9 40 3 3 2" xfId="28367" xr:uid="{00000000-0005-0000-0000-0000495C0000}"/>
    <cellStyle name="Comma 9 40 3 3 3" xfId="43859" xr:uid="{00000000-0005-0000-0000-00004A5C0000}"/>
    <cellStyle name="Comma 9 40 3 4" xfId="20627" xr:uid="{00000000-0005-0000-0000-00004B5C0000}"/>
    <cellStyle name="Comma 9 40 3 5" xfId="36119" xr:uid="{00000000-0005-0000-0000-00004C5C0000}"/>
    <cellStyle name="Comma 9 40 4" xfId="6973" xr:uid="{00000000-0005-0000-0000-00004D5C0000}"/>
    <cellStyle name="Comma 9 40 4 2" xfId="14718" xr:uid="{00000000-0005-0000-0000-00004E5C0000}"/>
    <cellStyle name="Comma 9 40 4 2 2" xfId="30310" xr:uid="{00000000-0005-0000-0000-00004F5C0000}"/>
    <cellStyle name="Comma 9 40 4 2 3" xfId="45802" xr:uid="{00000000-0005-0000-0000-0000505C0000}"/>
    <cellStyle name="Comma 9 40 4 3" xfId="22570" xr:uid="{00000000-0005-0000-0000-0000515C0000}"/>
    <cellStyle name="Comma 9 40 4 4" xfId="38062" xr:uid="{00000000-0005-0000-0000-0000525C0000}"/>
    <cellStyle name="Comma 9 40 5" xfId="10848" xr:uid="{00000000-0005-0000-0000-0000535C0000}"/>
    <cellStyle name="Comma 9 40 5 2" xfId="26440" xr:uid="{00000000-0005-0000-0000-0000545C0000}"/>
    <cellStyle name="Comma 9 40 5 3" xfId="41932" xr:uid="{00000000-0005-0000-0000-0000555C0000}"/>
    <cellStyle name="Comma 9 40 6" xfId="18700" xr:uid="{00000000-0005-0000-0000-0000565C0000}"/>
    <cellStyle name="Comma 9 40 7" xfId="34192" xr:uid="{00000000-0005-0000-0000-0000575C0000}"/>
    <cellStyle name="Comma 9 41" xfId="3080" xr:uid="{00000000-0005-0000-0000-0000585C0000}"/>
    <cellStyle name="Comma 9 41 2" xfId="4074" xr:uid="{00000000-0005-0000-0000-0000595C0000}"/>
    <cellStyle name="Comma 9 41 2 2" xfId="6013" xr:uid="{00000000-0005-0000-0000-00005A5C0000}"/>
    <cellStyle name="Comma 9 41 2 2 2" xfId="9884" xr:uid="{00000000-0005-0000-0000-00005B5C0000}"/>
    <cellStyle name="Comma 9 41 2 2 2 2" xfId="17629" xr:uid="{00000000-0005-0000-0000-00005C5C0000}"/>
    <cellStyle name="Comma 9 41 2 2 2 2 2" xfId="33221" xr:uid="{00000000-0005-0000-0000-00005D5C0000}"/>
    <cellStyle name="Comma 9 41 2 2 2 2 3" xfId="48713" xr:uid="{00000000-0005-0000-0000-00005E5C0000}"/>
    <cellStyle name="Comma 9 41 2 2 2 3" xfId="25481" xr:uid="{00000000-0005-0000-0000-00005F5C0000}"/>
    <cellStyle name="Comma 9 41 2 2 2 4" xfId="40973" xr:uid="{00000000-0005-0000-0000-0000605C0000}"/>
    <cellStyle name="Comma 9 41 2 2 3" xfId="13759" xr:uid="{00000000-0005-0000-0000-0000615C0000}"/>
    <cellStyle name="Comma 9 41 2 2 3 2" xfId="29351" xr:uid="{00000000-0005-0000-0000-0000625C0000}"/>
    <cellStyle name="Comma 9 41 2 2 3 3" xfId="44843" xr:uid="{00000000-0005-0000-0000-0000635C0000}"/>
    <cellStyle name="Comma 9 41 2 2 4" xfId="21611" xr:uid="{00000000-0005-0000-0000-0000645C0000}"/>
    <cellStyle name="Comma 9 41 2 2 5" xfId="37103" xr:uid="{00000000-0005-0000-0000-0000655C0000}"/>
    <cellStyle name="Comma 9 41 2 3" xfId="7957" xr:uid="{00000000-0005-0000-0000-0000665C0000}"/>
    <cellStyle name="Comma 9 41 2 3 2" xfId="15702" xr:uid="{00000000-0005-0000-0000-0000675C0000}"/>
    <cellStyle name="Comma 9 41 2 3 2 2" xfId="31294" xr:uid="{00000000-0005-0000-0000-0000685C0000}"/>
    <cellStyle name="Comma 9 41 2 3 2 3" xfId="46786" xr:uid="{00000000-0005-0000-0000-0000695C0000}"/>
    <cellStyle name="Comma 9 41 2 3 3" xfId="23554" xr:uid="{00000000-0005-0000-0000-00006A5C0000}"/>
    <cellStyle name="Comma 9 41 2 3 4" xfId="39046" xr:uid="{00000000-0005-0000-0000-00006B5C0000}"/>
    <cellStyle name="Comma 9 41 2 4" xfId="11832" xr:uid="{00000000-0005-0000-0000-00006C5C0000}"/>
    <cellStyle name="Comma 9 41 2 4 2" xfId="27424" xr:uid="{00000000-0005-0000-0000-00006D5C0000}"/>
    <cellStyle name="Comma 9 41 2 4 3" xfId="42916" xr:uid="{00000000-0005-0000-0000-00006E5C0000}"/>
    <cellStyle name="Comma 9 41 2 5" xfId="19684" xr:uid="{00000000-0005-0000-0000-00006F5C0000}"/>
    <cellStyle name="Comma 9 41 2 6" xfId="35176" xr:uid="{00000000-0005-0000-0000-0000705C0000}"/>
    <cellStyle name="Comma 9 41 3" xfId="5065" xr:uid="{00000000-0005-0000-0000-0000715C0000}"/>
    <cellStyle name="Comma 9 41 3 2" xfId="8936" xr:uid="{00000000-0005-0000-0000-0000725C0000}"/>
    <cellStyle name="Comma 9 41 3 2 2" xfId="16681" xr:uid="{00000000-0005-0000-0000-0000735C0000}"/>
    <cellStyle name="Comma 9 41 3 2 2 2" xfId="32273" xr:uid="{00000000-0005-0000-0000-0000745C0000}"/>
    <cellStyle name="Comma 9 41 3 2 2 3" xfId="47765" xr:uid="{00000000-0005-0000-0000-0000755C0000}"/>
    <cellStyle name="Comma 9 41 3 2 3" xfId="24533" xr:uid="{00000000-0005-0000-0000-0000765C0000}"/>
    <cellStyle name="Comma 9 41 3 2 4" xfId="40025" xr:uid="{00000000-0005-0000-0000-0000775C0000}"/>
    <cellStyle name="Comma 9 41 3 3" xfId="12811" xr:uid="{00000000-0005-0000-0000-0000785C0000}"/>
    <cellStyle name="Comma 9 41 3 3 2" xfId="28403" xr:uid="{00000000-0005-0000-0000-0000795C0000}"/>
    <cellStyle name="Comma 9 41 3 3 3" xfId="43895" xr:uid="{00000000-0005-0000-0000-00007A5C0000}"/>
    <cellStyle name="Comma 9 41 3 4" xfId="20663" xr:uid="{00000000-0005-0000-0000-00007B5C0000}"/>
    <cellStyle name="Comma 9 41 3 5" xfId="36155" xr:uid="{00000000-0005-0000-0000-00007C5C0000}"/>
    <cellStyle name="Comma 9 41 4" xfId="7009" xr:uid="{00000000-0005-0000-0000-00007D5C0000}"/>
    <cellStyle name="Comma 9 41 4 2" xfId="14754" xr:uid="{00000000-0005-0000-0000-00007E5C0000}"/>
    <cellStyle name="Comma 9 41 4 2 2" xfId="30346" xr:uid="{00000000-0005-0000-0000-00007F5C0000}"/>
    <cellStyle name="Comma 9 41 4 2 3" xfId="45838" xr:uid="{00000000-0005-0000-0000-0000805C0000}"/>
    <cellStyle name="Comma 9 41 4 3" xfId="22606" xr:uid="{00000000-0005-0000-0000-0000815C0000}"/>
    <cellStyle name="Comma 9 41 4 4" xfId="38098" xr:uid="{00000000-0005-0000-0000-0000825C0000}"/>
    <cellStyle name="Comma 9 41 5" xfId="10884" xr:uid="{00000000-0005-0000-0000-0000835C0000}"/>
    <cellStyle name="Comma 9 41 5 2" xfId="26476" xr:uid="{00000000-0005-0000-0000-0000845C0000}"/>
    <cellStyle name="Comma 9 41 5 3" xfId="41968" xr:uid="{00000000-0005-0000-0000-0000855C0000}"/>
    <cellStyle name="Comma 9 41 6" xfId="18736" xr:uid="{00000000-0005-0000-0000-0000865C0000}"/>
    <cellStyle name="Comma 9 41 7" xfId="34228" xr:uid="{00000000-0005-0000-0000-0000875C0000}"/>
    <cellStyle name="Comma 9 42" xfId="3127" xr:uid="{00000000-0005-0000-0000-0000885C0000}"/>
    <cellStyle name="Comma 9 42 2" xfId="4110" xr:uid="{00000000-0005-0000-0000-0000895C0000}"/>
    <cellStyle name="Comma 9 42 2 2" xfId="6049" xr:uid="{00000000-0005-0000-0000-00008A5C0000}"/>
    <cellStyle name="Comma 9 42 2 2 2" xfId="9920" xr:uid="{00000000-0005-0000-0000-00008B5C0000}"/>
    <cellStyle name="Comma 9 42 2 2 2 2" xfId="17665" xr:uid="{00000000-0005-0000-0000-00008C5C0000}"/>
    <cellStyle name="Comma 9 42 2 2 2 2 2" xfId="33257" xr:uid="{00000000-0005-0000-0000-00008D5C0000}"/>
    <cellStyle name="Comma 9 42 2 2 2 2 3" xfId="48749" xr:uid="{00000000-0005-0000-0000-00008E5C0000}"/>
    <cellStyle name="Comma 9 42 2 2 2 3" xfId="25517" xr:uid="{00000000-0005-0000-0000-00008F5C0000}"/>
    <cellStyle name="Comma 9 42 2 2 2 4" xfId="41009" xr:uid="{00000000-0005-0000-0000-0000905C0000}"/>
    <cellStyle name="Comma 9 42 2 2 3" xfId="13795" xr:uid="{00000000-0005-0000-0000-0000915C0000}"/>
    <cellStyle name="Comma 9 42 2 2 3 2" xfId="29387" xr:uid="{00000000-0005-0000-0000-0000925C0000}"/>
    <cellStyle name="Comma 9 42 2 2 3 3" xfId="44879" xr:uid="{00000000-0005-0000-0000-0000935C0000}"/>
    <cellStyle name="Comma 9 42 2 2 4" xfId="21647" xr:uid="{00000000-0005-0000-0000-0000945C0000}"/>
    <cellStyle name="Comma 9 42 2 2 5" xfId="37139" xr:uid="{00000000-0005-0000-0000-0000955C0000}"/>
    <cellStyle name="Comma 9 42 2 3" xfId="7993" xr:uid="{00000000-0005-0000-0000-0000965C0000}"/>
    <cellStyle name="Comma 9 42 2 3 2" xfId="15738" xr:uid="{00000000-0005-0000-0000-0000975C0000}"/>
    <cellStyle name="Comma 9 42 2 3 2 2" xfId="31330" xr:uid="{00000000-0005-0000-0000-0000985C0000}"/>
    <cellStyle name="Comma 9 42 2 3 2 3" xfId="46822" xr:uid="{00000000-0005-0000-0000-0000995C0000}"/>
    <cellStyle name="Comma 9 42 2 3 3" xfId="23590" xr:uid="{00000000-0005-0000-0000-00009A5C0000}"/>
    <cellStyle name="Comma 9 42 2 3 4" xfId="39082" xr:uid="{00000000-0005-0000-0000-00009B5C0000}"/>
    <cellStyle name="Comma 9 42 2 4" xfId="11868" xr:uid="{00000000-0005-0000-0000-00009C5C0000}"/>
    <cellStyle name="Comma 9 42 2 4 2" xfId="27460" xr:uid="{00000000-0005-0000-0000-00009D5C0000}"/>
    <cellStyle name="Comma 9 42 2 4 3" xfId="42952" xr:uid="{00000000-0005-0000-0000-00009E5C0000}"/>
    <cellStyle name="Comma 9 42 2 5" xfId="19720" xr:uid="{00000000-0005-0000-0000-00009F5C0000}"/>
    <cellStyle name="Comma 9 42 2 6" xfId="35212" xr:uid="{00000000-0005-0000-0000-0000A05C0000}"/>
    <cellStyle name="Comma 9 42 3" xfId="5101" xr:uid="{00000000-0005-0000-0000-0000A15C0000}"/>
    <cellStyle name="Comma 9 42 3 2" xfId="8972" xr:uid="{00000000-0005-0000-0000-0000A25C0000}"/>
    <cellStyle name="Comma 9 42 3 2 2" xfId="16717" xr:uid="{00000000-0005-0000-0000-0000A35C0000}"/>
    <cellStyle name="Comma 9 42 3 2 2 2" xfId="32309" xr:uid="{00000000-0005-0000-0000-0000A45C0000}"/>
    <cellStyle name="Comma 9 42 3 2 2 3" xfId="47801" xr:uid="{00000000-0005-0000-0000-0000A55C0000}"/>
    <cellStyle name="Comma 9 42 3 2 3" xfId="24569" xr:uid="{00000000-0005-0000-0000-0000A65C0000}"/>
    <cellStyle name="Comma 9 42 3 2 4" xfId="40061" xr:uid="{00000000-0005-0000-0000-0000A75C0000}"/>
    <cellStyle name="Comma 9 42 3 3" xfId="12847" xr:uid="{00000000-0005-0000-0000-0000A85C0000}"/>
    <cellStyle name="Comma 9 42 3 3 2" xfId="28439" xr:uid="{00000000-0005-0000-0000-0000A95C0000}"/>
    <cellStyle name="Comma 9 42 3 3 3" xfId="43931" xr:uid="{00000000-0005-0000-0000-0000AA5C0000}"/>
    <cellStyle name="Comma 9 42 3 4" xfId="20699" xr:uid="{00000000-0005-0000-0000-0000AB5C0000}"/>
    <cellStyle name="Comma 9 42 3 5" xfId="36191" xr:uid="{00000000-0005-0000-0000-0000AC5C0000}"/>
    <cellStyle name="Comma 9 42 4" xfId="7045" xr:uid="{00000000-0005-0000-0000-0000AD5C0000}"/>
    <cellStyle name="Comma 9 42 4 2" xfId="14790" xr:uid="{00000000-0005-0000-0000-0000AE5C0000}"/>
    <cellStyle name="Comma 9 42 4 2 2" xfId="30382" xr:uid="{00000000-0005-0000-0000-0000AF5C0000}"/>
    <cellStyle name="Comma 9 42 4 2 3" xfId="45874" xr:uid="{00000000-0005-0000-0000-0000B05C0000}"/>
    <cellStyle name="Comma 9 42 4 3" xfId="22642" xr:uid="{00000000-0005-0000-0000-0000B15C0000}"/>
    <cellStyle name="Comma 9 42 4 4" xfId="38134" xr:uid="{00000000-0005-0000-0000-0000B25C0000}"/>
    <cellStyle name="Comma 9 42 5" xfId="10920" xr:uid="{00000000-0005-0000-0000-0000B35C0000}"/>
    <cellStyle name="Comma 9 42 5 2" xfId="26512" xr:uid="{00000000-0005-0000-0000-0000B45C0000}"/>
    <cellStyle name="Comma 9 42 5 3" xfId="42004" xr:uid="{00000000-0005-0000-0000-0000B55C0000}"/>
    <cellStyle name="Comma 9 42 6" xfId="18772" xr:uid="{00000000-0005-0000-0000-0000B65C0000}"/>
    <cellStyle name="Comma 9 42 7" xfId="34264" xr:uid="{00000000-0005-0000-0000-0000B75C0000}"/>
    <cellStyle name="Comma 9 5" xfId="1572" xr:uid="{00000000-0005-0000-0000-0000B85C0000}"/>
    <cellStyle name="Comma 9 6" xfId="1573" xr:uid="{00000000-0005-0000-0000-0000B95C0000}"/>
    <cellStyle name="Comma 9 7" xfId="1574" xr:uid="{00000000-0005-0000-0000-0000BA5C0000}"/>
    <cellStyle name="Comma 9 8" xfId="1575" xr:uid="{00000000-0005-0000-0000-0000BB5C0000}"/>
    <cellStyle name="Comma 9 9" xfId="1576" xr:uid="{00000000-0005-0000-0000-0000BC5C0000}"/>
    <cellStyle name="Comma 90" xfId="3025" xr:uid="{00000000-0005-0000-0000-0000BD5C0000}"/>
    <cellStyle name="Comma 91" xfId="3062" xr:uid="{00000000-0005-0000-0000-0000BE5C0000}"/>
    <cellStyle name="Comma 92" xfId="3099" xr:uid="{00000000-0005-0000-0000-0000BF5C0000}"/>
    <cellStyle name="Comma 93" xfId="3109" xr:uid="{00000000-0005-0000-0000-0000C05C0000}"/>
    <cellStyle name="Comma 94" xfId="3164" xr:uid="{00000000-0005-0000-0000-0000C15C0000}"/>
    <cellStyle name="Comma 95" xfId="3174" xr:uid="{00000000-0005-0000-0000-0000C25C0000}"/>
    <cellStyle name="Comma 96" xfId="3172" xr:uid="{00000000-0005-0000-0000-0000C35C0000}"/>
    <cellStyle name="Comma 97" xfId="3175" xr:uid="{00000000-0005-0000-0000-0000C45C0000}"/>
    <cellStyle name="Comma 98" xfId="3171" xr:uid="{00000000-0005-0000-0000-0000C55C0000}"/>
    <cellStyle name="Comma 99" xfId="3173" xr:uid="{00000000-0005-0000-0000-0000C65C0000}"/>
    <cellStyle name="Currency [0] 10" xfId="1577" xr:uid="{00000000-0005-0000-0000-0000C75C0000}"/>
    <cellStyle name="Currency [0] 10 2" xfId="1578" xr:uid="{00000000-0005-0000-0000-0000C85C0000}"/>
    <cellStyle name="Currency [0] 10 3" xfId="49073" xr:uid="{B1B4F0F4-7FA1-482D-929C-1012BD44BC61}"/>
    <cellStyle name="Currency [0] 11 2" xfId="1579" xr:uid="{00000000-0005-0000-0000-0000C95C0000}"/>
    <cellStyle name="Currency [0] 2" xfId="1580" xr:uid="{00000000-0005-0000-0000-0000CA5C0000}"/>
    <cellStyle name="Currency [0] 2 10" xfId="1581" xr:uid="{00000000-0005-0000-0000-0000CB5C0000}"/>
    <cellStyle name="Currency [0] 2 10 2" xfId="48940" xr:uid="{00000000-0005-0000-0000-0000CC5C0000}"/>
    <cellStyle name="Currency [0] 2 10 2 2" xfId="49075" xr:uid="{DD281DCC-EA3F-4F99-B6CC-D4733029767F}"/>
    <cellStyle name="Currency [0] 2 11" xfId="1582" xr:uid="{00000000-0005-0000-0000-0000CD5C0000}"/>
    <cellStyle name="Currency [0] 2 12" xfId="1583" xr:uid="{00000000-0005-0000-0000-0000CE5C0000}"/>
    <cellStyle name="Currency [0] 2 13" xfId="1584" xr:uid="{00000000-0005-0000-0000-0000CF5C0000}"/>
    <cellStyle name="Currency [0] 2 14" xfId="1585" xr:uid="{00000000-0005-0000-0000-0000D05C0000}"/>
    <cellStyle name="Currency [0] 2 15" xfId="1586" xr:uid="{00000000-0005-0000-0000-0000D15C0000}"/>
    <cellStyle name="Currency [0] 2 16" xfId="1587" xr:uid="{00000000-0005-0000-0000-0000D25C0000}"/>
    <cellStyle name="Currency [0] 2 17" xfId="1588" xr:uid="{00000000-0005-0000-0000-0000D35C0000}"/>
    <cellStyle name="Currency [0] 2 18" xfId="1589" xr:uid="{00000000-0005-0000-0000-0000D45C0000}"/>
    <cellStyle name="Currency [0] 2 19" xfId="1590" xr:uid="{00000000-0005-0000-0000-0000D55C0000}"/>
    <cellStyle name="Currency [0] 2 2" xfId="1591" xr:uid="{00000000-0005-0000-0000-0000D65C0000}"/>
    <cellStyle name="Currency [0] 2 2 10" xfId="1592" xr:uid="{00000000-0005-0000-0000-0000D75C0000}"/>
    <cellStyle name="Currency [0] 2 2 11" xfId="1593" xr:uid="{00000000-0005-0000-0000-0000D85C0000}"/>
    <cellStyle name="Currency [0] 2 2 12" xfId="1594" xr:uid="{00000000-0005-0000-0000-0000D95C0000}"/>
    <cellStyle name="Currency [0] 2 2 13" xfId="1595" xr:uid="{00000000-0005-0000-0000-0000DA5C0000}"/>
    <cellStyle name="Currency [0] 2 2 14" xfId="1596" xr:uid="{00000000-0005-0000-0000-0000DB5C0000}"/>
    <cellStyle name="Currency [0] 2 2 15" xfId="1597" xr:uid="{00000000-0005-0000-0000-0000DC5C0000}"/>
    <cellStyle name="Currency [0] 2 2 16" xfId="1598" xr:uid="{00000000-0005-0000-0000-0000DD5C0000}"/>
    <cellStyle name="Currency [0] 2 2 17" xfId="1599" xr:uid="{00000000-0005-0000-0000-0000DE5C0000}"/>
    <cellStyle name="Currency [0] 2 2 18" xfId="1600" xr:uid="{00000000-0005-0000-0000-0000DF5C0000}"/>
    <cellStyle name="Currency [0] 2 2 19" xfId="1601" xr:uid="{00000000-0005-0000-0000-0000E05C0000}"/>
    <cellStyle name="Currency [0] 2 2 2" xfId="1602" xr:uid="{00000000-0005-0000-0000-0000E15C0000}"/>
    <cellStyle name="Currency [0] 2 2 2 10" xfId="1603" xr:uid="{00000000-0005-0000-0000-0000E25C0000}"/>
    <cellStyle name="Currency [0] 2 2 2 11" xfId="1604" xr:uid="{00000000-0005-0000-0000-0000E35C0000}"/>
    <cellStyle name="Currency [0] 2 2 2 12" xfId="1605" xr:uid="{00000000-0005-0000-0000-0000E45C0000}"/>
    <cellStyle name="Currency [0] 2 2 2 13" xfId="1606" xr:uid="{00000000-0005-0000-0000-0000E55C0000}"/>
    <cellStyle name="Currency [0] 2 2 2 14" xfId="1607" xr:uid="{00000000-0005-0000-0000-0000E65C0000}"/>
    <cellStyle name="Currency [0] 2 2 2 15" xfId="1608" xr:uid="{00000000-0005-0000-0000-0000E75C0000}"/>
    <cellStyle name="Currency [0] 2 2 2 16" xfId="1609" xr:uid="{00000000-0005-0000-0000-0000E85C0000}"/>
    <cellStyle name="Currency [0] 2 2 2 17" xfId="1610" xr:uid="{00000000-0005-0000-0000-0000E95C0000}"/>
    <cellStyle name="Currency [0] 2 2 2 18" xfId="1611" xr:uid="{00000000-0005-0000-0000-0000EA5C0000}"/>
    <cellStyle name="Currency [0] 2 2 2 19" xfId="1612" xr:uid="{00000000-0005-0000-0000-0000EB5C0000}"/>
    <cellStyle name="Currency [0] 2 2 2 2" xfId="1613" xr:uid="{00000000-0005-0000-0000-0000EC5C0000}"/>
    <cellStyle name="Currency [0] 2 2 2 20" xfId="1614" xr:uid="{00000000-0005-0000-0000-0000ED5C0000}"/>
    <cellStyle name="Currency [0] 2 2 2 21" xfId="1615" xr:uid="{00000000-0005-0000-0000-0000EE5C0000}"/>
    <cellStyle name="Currency [0] 2 2 2 22" xfId="1616" xr:uid="{00000000-0005-0000-0000-0000EF5C0000}"/>
    <cellStyle name="Currency [0] 2 2 2 23" xfId="1617" xr:uid="{00000000-0005-0000-0000-0000F05C0000}"/>
    <cellStyle name="Currency [0] 2 2 2 24" xfId="1618" xr:uid="{00000000-0005-0000-0000-0000F15C0000}"/>
    <cellStyle name="Currency [0] 2 2 2 25" xfId="1619" xr:uid="{00000000-0005-0000-0000-0000F25C0000}"/>
    <cellStyle name="Currency [0] 2 2 2 26" xfId="1620" xr:uid="{00000000-0005-0000-0000-0000F35C0000}"/>
    <cellStyle name="Currency [0] 2 2 2 27" xfId="1621" xr:uid="{00000000-0005-0000-0000-0000F45C0000}"/>
    <cellStyle name="Currency [0] 2 2 2 28" xfId="1622" xr:uid="{00000000-0005-0000-0000-0000F55C0000}"/>
    <cellStyle name="Currency [0] 2 2 2 3" xfId="1623" xr:uid="{00000000-0005-0000-0000-0000F65C0000}"/>
    <cellStyle name="Currency [0] 2 2 2 4" xfId="1624" xr:uid="{00000000-0005-0000-0000-0000F75C0000}"/>
    <cellStyle name="Currency [0] 2 2 2 5" xfId="1625" xr:uid="{00000000-0005-0000-0000-0000F85C0000}"/>
    <cellStyle name="Currency [0] 2 2 2 6" xfId="1626" xr:uid="{00000000-0005-0000-0000-0000F95C0000}"/>
    <cellStyle name="Currency [0] 2 2 2 7" xfId="1627" xr:uid="{00000000-0005-0000-0000-0000FA5C0000}"/>
    <cellStyle name="Currency [0] 2 2 2 8" xfId="1628" xr:uid="{00000000-0005-0000-0000-0000FB5C0000}"/>
    <cellStyle name="Currency [0] 2 2 2 9" xfId="1629" xr:uid="{00000000-0005-0000-0000-0000FC5C0000}"/>
    <cellStyle name="Currency [0] 2 2 20" xfId="1630" xr:uid="{00000000-0005-0000-0000-0000FD5C0000}"/>
    <cellStyle name="Currency [0] 2 2 21" xfId="1631" xr:uid="{00000000-0005-0000-0000-0000FE5C0000}"/>
    <cellStyle name="Currency [0] 2 2 22" xfId="1632" xr:uid="{00000000-0005-0000-0000-0000FF5C0000}"/>
    <cellStyle name="Currency [0] 2 2 23" xfId="1633" xr:uid="{00000000-0005-0000-0000-0000005D0000}"/>
    <cellStyle name="Currency [0] 2 2 24" xfId="1634" xr:uid="{00000000-0005-0000-0000-0000015D0000}"/>
    <cellStyle name="Currency [0] 2 2 25" xfId="2191" xr:uid="{00000000-0005-0000-0000-0000025D0000}"/>
    <cellStyle name="Currency [0] 2 2 25 2" xfId="2524" xr:uid="{00000000-0005-0000-0000-0000035D0000}"/>
    <cellStyle name="Currency [0] 2 2 25 2 2" xfId="3532" xr:uid="{00000000-0005-0000-0000-0000045D0000}"/>
    <cellStyle name="Currency [0] 2 2 25 2 2 2" xfId="5471" xr:uid="{00000000-0005-0000-0000-0000055D0000}"/>
    <cellStyle name="Currency [0] 2 2 25 2 2 2 2" xfId="9342" xr:uid="{00000000-0005-0000-0000-0000065D0000}"/>
    <cellStyle name="Currency [0] 2 2 25 2 2 2 2 2" xfId="17087" xr:uid="{00000000-0005-0000-0000-0000075D0000}"/>
    <cellStyle name="Currency [0] 2 2 25 2 2 2 2 2 2" xfId="32679" xr:uid="{00000000-0005-0000-0000-0000085D0000}"/>
    <cellStyle name="Currency [0] 2 2 25 2 2 2 2 2 3" xfId="48171" xr:uid="{00000000-0005-0000-0000-0000095D0000}"/>
    <cellStyle name="Currency [0] 2 2 25 2 2 2 2 3" xfId="24939" xr:uid="{00000000-0005-0000-0000-00000A5D0000}"/>
    <cellStyle name="Currency [0] 2 2 25 2 2 2 2 4" xfId="40431" xr:uid="{00000000-0005-0000-0000-00000B5D0000}"/>
    <cellStyle name="Currency [0] 2 2 25 2 2 2 3" xfId="13217" xr:uid="{00000000-0005-0000-0000-00000C5D0000}"/>
    <cellStyle name="Currency [0] 2 2 25 2 2 2 3 2" xfId="28809" xr:uid="{00000000-0005-0000-0000-00000D5D0000}"/>
    <cellStyle name="Currency [0] 2 2 25 2 2 2 3 3" xfId="44301" xr:uid="{00000000-0005-0000-0000-00000E5D0000}"/>
    <cellStyle name="Currency [0] 2 2 25 2 2 2 4" xfId="21069" xr:uid="{00000000-0005-0000-0000-00000F5D0000}"/>
    <cellStyle name="Currency [0] 2 2 25 2 2 2 5" xfId="36561" xr:uid="{00000000-0005-0000-0000-0000105D0000}"/>
    <cellStyle name="Currency [0] 2 2 25 2 2 3" xfId="7415" xr:uid="{00000000-0005-0000-0000-0000115D0000}"/>
    <cellStyle name="Currency [0] 2 2 25 2 2 3 2" xfId="15160" xr:uid="{00000000-0005-0000-0000-0000125D0000}"/>
    <cellStyle name="Currency [0] 2 2 25 2 2 3 2 2" xfId="30752" xr:uid="{00000000-0005-0000-0000-0000135D0000}"/>
    <cellStyle name="Currency [0] 2 2 25 2 2 3 2 3" xfId="46244" xr:uid="{00000000-0005-0000-0000-0000145D0000}"/>
    <cellStyle name="Currency [0] 2 2 25 2 2 3 3" xfId="23012" xr:uid="{00000000-0005-0000-0000-0000155D0000}"/>
    <cellStyle name="Currency [0] 2 2 25 2 2 3 4" xfId="38504" xr:uid="{00000000-0005-0000-0000-0000165D0000}"/>
    <cellStyle name="Currency [0] 2 2 25 2 2 4" xfId="11290" xr:uid="{00000000-0005-0000-0000-0000175D0000}"/>
    <cellStyle name="Currency [0] 2 2 25 2 2 4 2" xfId="26882" xr:uid="{00000000-0005-0000-0000-0000185D0000}"/>
    <cellStyle name="Currency [0] 2 2 25 2 2 4 3" xfId="42374" xr:uid="{00000000-0005-0000-0000-0000195D0000}"/>
    <cellStyle name="Currency [0] 2 2 25 2 2 5" xfId="19142" xr:uid="{00000000-0005-0000-0000-00001A5D0000}"/>
    <cellStyle name="Currency [0] 2 2 25 2 2 6" xfId="34634" xr:uid="{00000000-0005-0000-0000-00001B5D0000}"/>
    <cellStyle name="Currency [0] 2 2 25 2 3" xfId="4523" xr:uid="{00000000-0005-0000-0000-00001C5D0000}"/>
    <cellStyle name="Currency [0] 2 2 25 2 3 2" xfId="8394" xr:uid="{00000000-0005-0000-0000-00001D5D0000}"/>
    <cellStyle name="Currency [0] 2 2 25 2 3 2 2" xfId="16139" xr:uid="{00000000-0005-0000-0000-00001E5D0000}"/>
    <cellStyle name="Currency [0] 2 2 25 2 3 2 2 2" xfId="31731" xr:uid="{00000000-0005-0000-0000-00001F5D0000}"/>
    <cellStyle name="Currency [0] 2 2 25 2 3 2 2 3" xfId="47223" xr:uid="{00000000-0005-0000-0000-0000205D0000}"/>
    <cellStyle name="Currency [0] 2 2 25 2 3 2 3" xfId="23991" xr:uid="{00000000-0005-0000-0000-0000215D0000}"/>
    <cellStyle name="Currency [0] 2 2 25 2 3 2 4" xfId="39483" xr:uid="{00000000-0005-0000-0000-0000225D0000}"/>
    <cellStyle name="Currency [0] 2 2 25 2 3 3" xfId="12269" xr:uid="{00000000-0005-0000-0000-0000235D0000}"/>
    <cellStyle name="Currency [0] 2 2 25 2 3 3 2" xfId="27861" xr:uid="{00000000-0005-0000-0000-0000245D0000}"/>
    <cellStyle name="Currency [0] 2 2 25 2 3 3 3" xfId="43353" xr:uid="{00000000-0005-0000-0000-0000255D0000}"/>
    <cellStyle name="Currency [0] 2 2 25 2 3 4" xfId="20121" xr:uid="{00000000-0005-0000-0000-0000265D0000}"/>
    <cellStyle name="Currency [0] 2 2 25 2 3 5" xfId="35613" xr:uid="{00000000-0005-0000-0000-0000275D0000}"/>
    <cellStyle name="Currency [0] 2 2 25 2 4" xfId="6467" xr:uid="{00000000-0005-0000-0000-0000285D0000}"/>
    <cellStyle name="Currency [0] 2 2 25 2 4 2" xfId="14212" xr:uid="{00000000-0005-0000-0000-0000295D0000}"/>
    <cellStyle name="Currency [0] 2 2 25 2 4 2 2" xfId="29804" xr:uid="{00000000-0005-0000-0000-00002A5D0000}"/>
    <cellStyle name="Currency [0] 2 2 25 2 4 2 3" xfId="45296" xr:uid="{00000000-0005-0000-0000-00002B5D0000}"/>
    <cellStyle name="Currency [0] 2 2 25 2 4 3" xfId="22064" xr:uid="{00000000-0005-0000-0000-00002C5D0000}"/>
    <cellStyle name="Currency [0] 2 2 25 2 4 4" xfId="37556" xr:uid="{00000000-0005-0000-0000-00002D5D0000}"/>
    <cellStyle name="Currency [0] 2 2 25 2 5" xfId="10342" xr:uid="{00000000-0005-0000-0000-00002E5D0000}"/>
    <cellStyle name="Currency [0] 2 2 25 2 5 2" xfId="25934" xr:uid="{00000000-0005-0000-0000-00002F5D0000}"/>
    <cellStyle name="Currency [0] 2 2 25 2 5 3" xfId="41426" xr:uid="{00000000-0005-0000-0000-0000305D0000}"/>
    <cellStyle name="Currency [0] 2 2 25 2 6" xfId="18194" xr:uid="{00000000-0005-0000-0000-0000315D0000}"/>
    <cellStyle name="Currency [0] 2 2 25 2 7" xfId="33686" xr:uid="{00000000-0005-0000-0000-0000325D0000}"/>
    <cellStyle name="Currency [0] 2 2 25 3" xfId="3223" xr:uid="{00000000-0005-0000-0000-0000335D0000}"/>
    <cellStyle name="Currency [0] 2 2 25 3 2" xfId="5162" xr:uid="{00000000-0005-0000-0000-0000345D0000}"/>
    <cellStyle name="Currency [0] 2 2 25 3 2 2" xfId="9033" xr:uid="{00000000-0005-0000-0000-0000355D0000}"/>
    <cellStyle name="Currency [0] 2 2 25 3 2 2 2" xfId="16778" xr:uid="{00000000-0005-0000-0000-0000365D0000}"/>
    <cellStyle name="Currency [0] 2 2 25 3 2 2 2 2" xfId="32370" xr:uid="{00000000-0005-0000-0000-0000375D0000}"/>
    <cellStyle name="Currency [0] 2 2 25 3 2 2 2 3" xfId="47862" xr:uid="{00000000-0005-0000-0000-0000385D0000}"/>
    <cellStyle name="Currency [0] 2 2 25 3 2 2 3" xfId="24630" xr:uid="{00000000-0005-0000-0000-0000395D0000}"/>
    <cellStyle name="Currency [0] 2 2 25 3 2 2 4" xfId="40122" xr:uid="{00000000-0005-0000-0000-00003A5D0000}"/>
    <cellStyle name="Currency [0] 2 2 25 3 2 3" xfId="12908" xr:uid="{00000000-0005-0000-0000-00003B5D0000}"/>
    <cellStyle name="Currency [0] 2 2 25 3 2 3 2" xfId="28500" xr:uid="{00000000-0005-0000-0000-00003C5D0000}"/>
    <cellStyle name="Currency [0] 2 2 25 3 2 3 3" xfId="43992" xr:uid="{00000000-0005-0000-0000-00003D5D0000}"/>
    <cellStyle name="Currency [0] 2 2 25 3 2 4" xfId="20760" xr:uid="{00000000-0005-0000-0000-00003E5D0000}"/>
    <cellStyle name="Currency [0] 2 2 25 3 2 5" xfId="36252" xr:uid="{00000000-0005-0000-0000-00003F5D0000}"/>
    <cellStyle name="Currency [0] 2 2 25 3 3" xfId="7106" xr:uid="{00000000-0005-0000-0000-0000405D0000}"/>
    <cellStyle name="Currency [0] 2 2 25 3 3 2" xfId="14851" xr:uid="{00000000-0005-0000-0000-0000415D0000}"/>
    <cellStyle name="Currency [0] 2 2 25 3 3 2 2" xfId="30443" xr:uid="{00000000-0005-0000-0000-0000425D0000}"/>
    <cellStyle name="Currency [0] 2 2 25 3 3 2 3" xfId="45935" xr:uid="{00000000-0005-0000-0000-0000435D0000}"/>
    <cellStyle name="Currency [0] 2 2 25 3 3 3" xfId="22703" xr:uid="{00000000-0005-0000-0000-0000445D0000}"/>
    <cellStyle name="Currency [0] 2 2 25 3 3 4" xfId="38195" xr:uid="{00000000-0005-0000-0000-0000455D0000}"/>
    <cellStyle name="Currency [0] 2 2 25 3 4" xfId="10981" xr:uid="{00000000-0005-0000-0000-0000465D0000}"/>
    <cellStyle name="Currency [0] 2 2 25 3 4 2" xfId="26573" xr:uid="{00000000-0005-0000-0000-0000475D0000}"/>
    <cellStyle name="Currency [0] 2 2 25 3 4 3" xfId="42065" xr:uid="{00000000-0005-0000-0000-0000485D0000}"/>
    <cellStyle name="Currency [0] 2 2 25 3 5" xfId="18833" xr:uid="{00000000-0005-0000-0000-0000495D0000}"/>
    <cellStyle name="Currency [0] 2 2 25 3 6" xfId="34325" xr:uid="{00000000-0005-0000-0000-00004A5D0000}"/>
    <cellStyle name="Currency [0] 2 2 25 4" xfId="4214" xr:uid="{00000000-0005-0000-0000-00004B5D0000}"/>
    <cellStyle name="Currency [0] 2 2 25 4 2" xfId="8085" xr:uid="{00000000-0005-0000-0000-00004C5D0000}"/>
    <cellStyle name="Currency [0] 2 2 25 4 2 2" xfId="15830" xr:uid="{00000000-0005-0000-0000-00004D5D0000}"/>
    <cellStyle name="Currency [0] 2 2 25 4 2 2 2" xfId="31422" xr:uid="{00000000-0005-0000-0000-00004E5D0000}"/>
    <cellStyle name="Currency [0] 2 2 25 4 2 2 3" xfId="46914" xr:uid="{00000000-0005-0000-0000-00004F5D0000}"/>
    <cellStyle name="Currency [0] 2 2 25 4 2 3" xfId="23682" xr:uid="{00000000-0005-0000-0000-0000505D0000}"/>
    <cellStyle name="Currency [0] 2 2 25 4 2 4" xfId="39174" xr:uid="{00000000-0005-0000-0000-0000515D0000}"/>
    <cellStyle name="Currency [0] 2 2 25 4 3" xfId="11960" xr:uid="{00000000-0005-0000-0000-0000525D0000}"/>
    <cellStyle name="Currency [0] 2 2 25 4 3 2" xfId="27552" xr:uid="{00000000-0005-0000-0000-0000535D0000}"/>
    <cellStyle name="Currency [0] 2 2 25 4 3 3" xfId="43044" xr:uid="{00000000-0005-0000-0000-0000545D0000}"/>
    <cellStyle name="Currency [0] 2 2 25 4 4" xfId="19812" xr:uid="{00000000-0005-0000-0000-0000555D0000}"/>
    <cellStyle name="Currency [0] 2 2 25 4 5" xfId="35304" xr:uid="{00000000-0005-0000-0000-0000565D0000}"/>
    <cellStyle name="Currency [0] 2 2 25 5" xfId="6158" xr:uid="{00000000-0005-0000-0000-0000575D0000}"/>
    <cellStyle name="Currency [0] 2 2 25 5 2" xfId="13903" xr:uid="{00000000-0005-0000-0000-0000585D0000}"/>
    <cellStyle name="Currency [0] 2 2 25 5 2 2" xfId="29495" xr:uid="{00000000-0005-0000-0000-0000595D0000}"/>
    <cellStyle name="Currency [0] 2 2 25 5 2 3" xfId="44987" xr:uid="{00000000-0005-0000-0000-00005A5D0000}"/>
    <cellStyle name="Currency [0] 2 2 25 5 3" xfId="21755" xr:uid="{00000000-0005-0000-0000-00005B5D0000}"/>
    <cellStyle name="Currency [0] 2 2 25 5 4" xfId="37247" xr:uid="{00000000-0005-0000-0000-00005C5D0000}"/>
    <cellStyle name="Currency [0] 2 2 25 6" xfId="10033" xr:uid="{00000000-0005-0000-0000-00005D5D0000}"/>
    <cellStyle name="Currency [0] 2 2 25 6 2" xfId="25625" xr:uid="{00000000-0005-0000-0000-00005E5D0000}"/>
    <cellStyle name="Currency [0] 2 2 25 6 3" xfId="41117" xr:uid="{00000000-0005-0000-0000-00005F5D0000}"/>
    <cellStyle name="Currency [0] 2 2 25 7" xfId="17885" xr:uid="{00000000-0005-0000-0000-0000605D0000}"/>
    <cellStyle name="Currency [0] 2 2 25 8" xfId="33377" xr:uid="{00000000-0005-0000-0000-0000615D0000}"/>
    <cellStyle name="Currency [0] 2 2 25 9" xfId="49077" xr:uid="{FF6C5998-1C69-4ADD-962A-DF3D7134683D}"/>
    <cellStyle name="Currency [0] 2 2 26" xfId="2245" xr:uid="{00000000-0005-0000-0000-0000625D0000}"/>
    <cellStyle name="Currency [0] 2 2 26 2" xfId="2562" xr:uid="{00000000-0005-0000-0000-0000635D0000}"/>
    <cellStyle name="Currency [0] 2 2 26 2 2" xfId="3570" xr:uid="{00000000-0005-0000-0000-0000645D0000}"/>
    <cellStyle name="Currency [0] 2 2 26 2 2 2" xfId="5509" xr:uid="{00000000-0005-0000-0000-0000655D0000}"/>
    <cellStyle name="Currency [0] 2 2 26 2 2 2 2" xfId="9380" xr:uid="{00000000-0005-0000-0000-0000665D0000}"/>
    <cellStyle name="Currency [0] 2 2 26 2 2 2 2 2" xfId="17125" xr:uid="{00000000-0005-0000-0000-0000675D0000}"/>
    <cellStyle name="Currency [0] 2 2 26 2 2 2 2 2 2" xfId="32717" xr:uid="{00000000-0005-0000-0000-0000685D0000}"/>
    <cellStyle name="Currency [0] 2 2 26 2 2 2 2 2 3" xfId="48209" xr:uid="{00000000-0005-0000-0000-0000695D0000}"/>
    <cellStyle name="Currency [0] 2 2 26 2 2 2 2 3" xfId="24977" xr:uid="{00000000-0005-0000-0000-00006A5D0000}"/>
    <cellStyle name="Currency [0] 2 2 26 2 2 2 2 4" xfId="40469" xr:uid="{00000000-0005-0000-0000-00006B5D0000}"/>
    <cellStyle name="Currency [0] 2 2 26 2 2 2 3" xfId="13255" xr:uid="{00000000-0005-0000-0000-00006C5D0000}"/>
    <cellStyle name="Currency [0] 2 2 26 2 2 2 3 2" xfId="28847" xr:uid="{00000000-0005-0000-0000-00006D5D0000}"/>
    <cellStyle name="Currency [0] 2 2 26 2 2 2 3 3" xfId="44339" xr:uid="{00000000-0005-0000-0000-00006E5D0000}"/>
    <cellStyle name="Currency [0] 2 2 26 2 2 2 4" xfId="21107" xr:uid="{00000000-0005-0000-0000-00006F5D0000}"/>
    <cellStyle name="Currency [0] 2 2 26 2 2 2 5" xfId="36599" xr:uid="{00000000-0005-0000-0000-0000705D0000}"/>
    <cellStyle name="Currency [0] 2 2 26 2 2 3" xfId="7453" xr:uid="{00000000-0005-0000-0000-0000715D0000}"/>
    <cellStyle name="Currency [0] 2 2 26 2 2 3 2" xfId="15198" xr:uid="{00000000-0005-0000-0000-0000725D0000}"/>
    <cellStyle name="Currency [0] 2 2 26 2 2 3 2 2" xfId="30790" xr:uid="{00000000-0005-0000-0000-0000735D0000}"/>
    <cellStyle name="Currency [0] 2 2 26 2 2 3 2 3" xfId="46282" xr:uid="{00000000-0005-0000-0000-0000745D0000}"/>
    <cellStyle name="Currency [0] 2 2 26 2 2 3 3" xfId="23050" xr:uid="{00000000-0005-0000-0000-0000755D0000}"/>
    <cellStyle name="Currency [0] 2 2 26 2 2 3 4" xfId="38542" xr:uid="{00000000-0005-0000-0000-0000765D0000}"/>
    <cellStyle name="Currency [0] 2 2 26 2 2 4" xfId="11328" xr:uid="{00000000-0005-0000-0000-0000775D0000}"/>
    <cellStyle name="Currency [0] 2 2 26 2 2 4 2" xfId="26920" xr:uid="{00000000-0005-0000-0000-0000785D0000}"/>
    <cellStyle name="Currency [0] 2 2 26 2 2 4 3" xfId="42412" xr:uid="{00000000-0005-0000-0000-0000795D0000}"/>
    <cellStyle name="Currency [0] 2 2 26 2 2 5" xfId="19180" xr:uid="{00000000-0005-0000-0000-00007A5D0000}"/>
    <cellStyle name="Currency [0] 2 2 26 2 2 6" xfId="34672" xr:uid="{00000000-0005-0000-0000-00007B5D0000}"/>
    <cellStyle name="Currency [0] 2 2 26 2 3" xfId="4561" xr:uid="{00000000-0005-0000-0000-00007C5D0000}"/>
    <cellStyle name="Currency [0] 2 2 26 2 3 2" xfId="8432" xr:uid="{00000000-0005-0000-0000-00007D5D0000}"/>
    <cellStyle name="Currency [0] 2 2 26 2 3 2 2" xfId="16177" xr:uid="{00000000-0005-0000-0000-00007E5D0000}"/>
    <cellStyle name="Currency [0] 2 2 26 2 3 2 2 2" xfId="31769" xr:uid="{00000000-0005-0000-0000-00007F5D0000}"/>
    <cellStyle name="Currency [0] 2 2 26 2 3 2 2 3" xfId="47261" xr:uid="{00000000-0005-0000-0000-0000805D0000}"/>
    <cellStyle name="Currency [0] 2 2 26 2 3 2 3" xfId="24029" xr:uid="{00000000-0005-0000-0000-0000815D0000}"/>
    <cellStyle name="Currency [0] 2 2 26 2 3 2 4" xfId="39521" xr:uid="{00000000-0005-0000-0000-0000825D0000}"/>
    <cellStyle name="Currency [0] 2 2 26 2 3 3" xfId="12307" xr:uid="{00000000-0005-0000-0000-0000835D0000}"/>
    <cellStyle name="Currency [0] 2 2 26 2 3 3 2" xfId="27899" xr:uid="{00000000-0005-0000-0000-0000845D0000}"/>
    <cellStyle name="Currency [0] 2 2 26 2 3 3 3" xfId="43391" xr:uid="{00000000-0005-0000-0000-0000855D0000}"/>
    <cellStyle name="Currency [0] 2 2 26 2 3 4" xfId="20159" xr:uid="{00000000-0005-0000-0000-0000865D0000}"/>
    <cellStyle name="Currency [0] 2 2 26 2 3 5" xfId="35651" xr:uid="{00000000-0005-0000-0000-0000875D0000}"/>
    <cellStyle name="Currency [0] 2 2 26 2 4" xfId="6505" xr:uid="{00000000-0005-0000-0000-0000885D0000}"/>
    <cellStyle name="Currency [0] 2 2 26 2 4 2" xfId="14250" xr:uid="{00000000-0005-0000-0000-0000895D0000}"/>
    <cellStyle name="Currency [0] 2 2 26 2 4 2 2" xfId="29842" xr:uid="{00000000-0005-0000-0000-00008A5D0000}"/>
    <cellStyle name="Currency [0] 2 2 26 2 4 2 3" xfId="45334" xr:uid="{00000000-0005-0000-0000-00008B5D0000}"/>
    <cellStyle name="Currency [0] 2 2 26 2 4 3" xfId="22102" xr:uid="{00000000-0005-0000-0000-00008C5D0000}"/>
    <cellStyle name="Currency [0] 2 2 26 2 4 4" xfId="37594" xr:uid="{00000000-0005-0000-0000-00008D5D0000}"/>
    <cellStyle name="Currency [0] 2 2 26 2 5" xfId="10380" xr:uid="{00000000-0005-0000-0000-00008E5D0000}"/>
    <cellStyle name="Currency [0] 2 2 26 2 5 2" xfId="25972" xr:uid="{00000000-0005-0000-0000-00008F5D0000}"/>
    <cellStyle name="Currency [0] 2 2 26 2 5 3" xfId="41464" xr:uid="{00000000-0005-0000-0000-0000905D0000}"/>
    <cellStyle name="Currency [0] 2 2 26 2 6" xfId="18232" xr:uid="{00000000-0005-0000-0000-0000915D0000}"/>
    <cellStyle name="Currency [0] 2 2 26 2 7" xfId="33724" xr:uid="{00000000-0005-0000-0000-0000925D0000}"/>
    <cellStyle name="Currency [0] 2 2 26 3" xfId="3261" xr:uid="{00000000-0005-0000-0000-0000935D0000}"/>
    <cellStyle name="Currency [0] 2 2 26 3 2" xfId="5200" xr:uid="{00000000-0005-0000-0000-0000945D0000}"/>
    <cellStyle name="Currency [0] 2 2 26 3 2 2" xfId="9071" xr:uid="{00000000-0005-0000-0000-0000955D0000}"/>
    <cellStyle name="Currency [0] 2 2 26 3 2 2 2" xfId="16816" xr:uid="{00000000-0005-0000-0000-0000965D0000}"/>
    <cellStyle name="Currency [0] 2 2 26 3 2 2 2 2" xfId="32408" xr:uid="{00000000-0005-0000-0000-0000975D0000}"/>
    <cellStyle name="Currency [0] 2 2 26 3 2 2 2 3" xfId="47900" xr:uid="{00000000-0005-0000-0000-0000985D0000}"/>
    <cellStyle name="Currency [0] 2 2 26 3 2 2 3" xfId="24668" xr:uid="{00000000-0005-0000-0000-0000995D0000}"/>
    <cellStyle name="Currency [0] 2 2 26 3 2 2 4" xfId="40160" xr:uid="{00000000-0005-0000-0000-00009A5D0000}"/>
    <cellStyle name="Currency [0] 2 2 26 3 2 3" xfId="12946" xr:uid="{00000000-0005-0000-0000-00009B5D0000}"/>
    <cellStyle name="Currency [0] 2 2 26 3 2 3 2" xfId="28538" xr:uid="{00000000-0005-0000-0000-00009C5D0000}"/>
    <cellStyle name="Currency [0] 2 2 26 3 2 3 3" xfId="44030" xr:uid="{00000000-0005-0000-0000-00009D5D0000}"/>
    <cellStyle name="Currency [0] 2 2 26 3 2 4" xfId="20798" xr:uid="{00000000-0005-0000-0000-00009E5D0000}"/>
    <cellStyle name="Currency [0] 2 2 26 3 2 5" xfId="36290" xr:uid="{00000000-0005-0000-0000-00009F5D0000}"/>
    <cellStyle name="Currency [0] 2 2 26 3 3" xfId="7144" xr:uid="{00000000-0005-0000-0000-0000A05D0000}"/>
    <cellStyle name="Currency [0] 2 2 26 3 3 2" xfId="14889" xr:uid="{00000000-0005-0000-0000-0000A15D0000}"/>
    <cellStyle name="Currency [0] 2 2 26 3 3 2 2" xfId="30481" xr:uid="{00000000-0005-0000-0000-0000A25D0000}"/>
    <cellStyle name="Currency [0] 2 2 26 3 3 2 3" xfId="45973" xr:uid="{00000000-0005-0000-0000-0000A35D0000}"/>
    <cellStyle name="Currency [0] 2 2 26 3 3 3" xfId="22741" xr:uid="{00000000-0005-0000-0000-0000A45D0000}"/>
    <cellStyle name="Currency [0] 2 2 26 3 3 4" xfId="38233" xr:uid="{00000000-0005-0000-0000-0000A55D0000}"/>
    <cellStyle name="Currency [0] 2 2 26 3 4" xfId="11019" xr:uid="{00000000-0005-0000-0000-0000A65D0000}"/>
    <cellStyle name="Currency [0] 2 2 26 3 4 2" xfId="26611" xr:uid="{00000000-0005-0000-0000-0000A75D0000}"/>
    <cellStyle name="Currency [0] 2 2 26 3 4 3" xfId="42103" xr:uid="{00000000-0005-0000-0000-0000A85D0000}"/>
    <cellStyle name="Currency [0] 2 2 26 3 5" xfId="18871" xr:uid="{00000000-0005-0000-0000-0000A95D0000}"/>
    <cellStyle name="Currency [0] 2 2 26 3 6" xfId="34363" xr:uid="{00000000-0005-0000-0000-0000AA5D0000}"/>
    <cellStyle name="Currency [0] 2 2 26 4" xfId="4252" xr:uid="{00000000-0005-0000-0000-0000AB5D0000}"/>
    <cellStyle name="Currency [0] 2 2 26 4 2" xfId="8123" xr:uid="{00000000-0005-0000-0000-0000AC5D0000}"/>
    <cellStyle name="Currency [0] 2 2 26 4 2 2" xfId="15868" xr:uid="{00000000-0005-0000-0000-0000AD5D0000}"/>
    <cellStyle name="Currency [0] 2 2 26 4 2 2 2" xfId="31460" xr:uid="{00000000-0005-0000-0000-0000AE5D0000}"/>
    <cellStyle name="Currency [0] 2 2 26 4 2 2 3" xfId="46952" xr:uid="{00000000-0005-0000-0000-0000AF5D0000}"/>
    <cellStyle name="Currency [0] 2 2 26 4 2 3" xfId="23720" xr:uid="{00000000-0005-0000-0000-0000B05D0000}"/>
    <cellStyle name="Currency [0] 2 2 26 4 2 4" xfId="39212" xr:uid="{00000000-0005-0000-0000-0000B15D0000}"/>
    <cellStyle name="Currency [0] 2 2 26 4 3" xfId="11998" xr:uid="{00000000-0005-0000-0000-0000B25D0000}"/>
    <cellStyle name="Currency [0] 2 2 26 4 3 2" xfId="27590" xr:uid="{00000000-0005-0000-0000-0000B35D0000}"/>
    <cellStyle name="Currency [0] 2 2 26 4 3 3" xfId="43082" xr:uid="{00000000-0005-0000-0000-0000B45D0000}"/>
    <cellStyle name="Currency [0] 2 2 26 4 4" xfId="19850" xr:uid="{00000000-0005-0000-0000-0000B55D0000}"/>
    <cellStyle name="Currency [0] 2 2 26 4 5" xfId="35342" xr:uid="{00000000-0005-0000-0000-0000B65D0000}"/>
    <cellStyle name="Currency [0] 2 2 26 5" xfId="6196" xr:uid="{00000000-0005-0000-0000-0000B75D0000}"/>
    <cellStyle name="Currency [0] 2 2 26 5 2" xfId="13941" xr:uid="{00000000-0005-0000-0000-0000B85D0000}"/>
    <cellStyle name="Currency [0] 2 2 26 5 2 2" xfId="29533" xr:uid="{00000000-0005-0000-0000-0000B95D0000}"/>
    <cellStyle name="Currency [0] 2 2 26 5 2 3" xfId="45025" xr:uid="{00000000-0005-0000-0000-0000BA5D0000}"/>
    <cellStyle name="Currency [0] 2 2 26 5 3" xfId="21793" xr:uid="{00000000-0005-0000-0000-0000BB5D0000}"/>
    <cellStyle name="Currency [0] 2 2 26 5 4" xfId="37285" xr:uid="{00000000-0005-0000-0000-0000BC5D0000}"/>
    <cellStyle name="Currency [0] 2 2 26 6" xfId="10071" xr:uid="{00000000-0005-0000-0000-0000BD5D0000}"/>
    <cellStyle name="Currency [0] 2 2 26 6 2" xfId="25663" xr:uid="{00000000-0005-0000-0000-0000BE5D0000}"/>
    <cellStyle name="Currency [0] 2 2 26 6 3" xfId="41155" xr:uid="{00000000-0005-0000-0000-0000BF5D0000}"/>
    <cellStyle name="Currency [0] 2 2 26 7" xfId="17923" xr:uid="{00000000-0005-0000-0000-0000C05D0000}"/>
    <cellStyle name="Currency [0] 2 2 26 8" xfId="33415" xr:uid="{00000000-0005-0000-0000-0000C15D0000}"/>
    <cellStyle name="Currency [0] 2 2 27" xfId="2282" xr:uid="{00000000-0005-0000-0000-0000C25D0000}"/>
    <cellStyle name="Currency [0] 2 2 27 2" xfId="2598" xr:uid="{00000000-0005-0000-0000-0000C35D0000}"/>
    <cellStyle name="Currency [0] 2 2 27 2 2" xfId="3606" xr:uid="{00000000-0005-0000-0000-0000C45D0000}"/>
    <cellStyle name="Currency [0] 2 2 27 2 2 2" xfId="5545" xr:uid="{00000000-0005-0000-0000-0000C55D0000}"/>
    <cellStyle name="Currency [0] 2 2 27 2 2 2 2" xfId="9416" xr:uid="{00000000-0005-0000-0000-0000C65D0000}"/>
    <cellStyle name="Currency [0] 2 2 27 2 2 2 2 2" xfId="17161" xr:uid="{00000000-0005-0000-0000-0000C75D0000}"/>
    <cellStyle name="Currency [0] 2 2 27 2 2 2 2 2 2" xfId="32753" xr:uid="{00000000-0005-0000-0000-0000C85D0000}"/>
    <cellStyle name="Currency [0] 2 2 27 2 2 2 2 2 3" xfId="48245" xr:uid="{00000000-0005-0000-0000-0000C95D0000}"/>
    <cellStyle name="Currency [0] 2 2 27 2 2 2 2 3" xfId="25013" xr:uid="{00000000-0005-0000-0000-0000CA5D0000}"/>
    <cellStyle name="Currency [0] 2 2 27 2 2 2 2 4" xfId="40505" xr:uid="{00000000-0005-0000-0000-0000CB5D0000}"/>
    <cellStyle name="Currency [0] 2 2 27 2 2 2 3" xfId="13291" xr:uid="{00000000-0005-0000-0000-0000CC5D0000}"/>
    <cellStyle name="Currency [0] 2 2 27 2 2 2 3 2" xfId="28883" xr:uid="{00000000-0005-0000-0000-0000CD5D0000}"/>
    <cellStyle name="Currency [0] 2 2 27 2 2 2 3 3" xfId="44375" xr:uid="{00000000-0005-0000-0000-0000CE5D0000}"/>
    <cellStyle name="Currency [0] 2 2 27 2 2 2 4" xfId="21143" xr:uid="{00000000-0005-0000-0000-0000CF5D0000}"/>
    <cellStyle name="Currency [0] 2 2 27 2 2 2 5" xfId="36635" xr:uid="{00000000-0005-0000-0000-0000D05D0000}"/>
    <cellStyle name="Currency [0] 2 2 27 2 2 3" xfId="7489" xr:uid="{00000000-0005-0000-0000-0000D15D0000}"/>
    <cellStyle name="Currency [0] 2 2 27 2 2 3 2" xfId="15234" xr:uid="{00000000-0005-0000-0000-0000D25D0000}"/>
    <cellStyle name="Currency [0] 2 2 27 2 2 3 2 2" xfId="30826" xr:uid="{00000000-0005-0000-0000-0000D35D0000}"/>
    <cellStyle name="Currency [0] 2 2 27 2 2 3 2 3" xfId="46318" xr:uid="{00000000-0005-0000-0000-0000D45D0000}"/>
    <cellStyle name="Currency [0] 2 2 27 2 2 3 3" xfId="23086" xr:uid="{00000000-0005-0000-0000-0000D55D0000}"/>
    <cellStyle name="Currency [0] 2 2 27 2 2 3 4" xfId="38578" xr:uid="{00000000-0005-0000-0000-0000D65D0000}"/>
    <cellStyle name="Currency [0] 2 2 27 2 2 4" xfId="11364" xr:uid="{00000000-0005-0000-0000-0000D75D0000}"/>
    <cellStyle name="Currency [0] 2 2 27 2 2 4 2" xfId="26956" xr:uid="{00000000-0005-0000-0000-0000D85D0000}"/>
    <cellStyle name="Currency [0] 2 2 27 2 2 4 3" xfId="42448" xr:uid="{00000000-0005-0000-0000-0000D95D0000}"/>
    <cellStyle name="Currency [0] 2 2 27 2 2 5" xfId="19216" xr:uid="{00000000-0005-0000-0000-0000DA5D0000}"/>
    <cellStyle name="Currency [0] 2 2 27 2 2 6" xfId="34708" xr:uid="{00000000-0005-0000-0000-0000DB5D0000}"/>
    <cellStyle name="Currency [0] 2 2 27 2 3" xfId="4597" xr:uid="{00000000-0005-0000-0000-0000DC5D0000}"/>
    <cellStyle name="Currency [0] 2 2 27 2 3 2" xfId="8468" xr:uid="{00000000-0005-0000-0000-0000DD5D0000}"/>
    <cellStyle name="Currency [0] 2 2 27 2 3 2 2" xfId="16213" xr:uid="{00000000-0005-0000-0000-0000DE5D0000}"/>
    <cellStyle name="Currency [0] 2 2 27 2 3 2 2 2" xfId="31805" xr:uid="{00000000-0005-0000-0000-0000DF5D0000}"/>
    <cellStyle name="Currency [0] 2 2 27 2 3 2 2 3" xfId="47297" xr:uid="{00000000-0005-0000-0000-0000E05D0000}"/>
    <cellStyle name="Currency [0] 2 2 27 2 3 2 3" xfId="24065" xr:uid="{00000000-0005-0000-0000-0000E15D0000}"/>
    <cellStyle name="Currency [0] 2 2 27 2 3 2 4" xfId="39557" xr:uid="{00000000-0005-0000-0000-0000E25D0000}"/>
    <cellStyle name="Currency [0] 2 2 27 2 3 3" xfId="12343" xr:uid="{00000000-0005-0000-0000-0000E35D0000}"/>
    <cellStyle name="Currency [0] 2 2 27 2 3 3 2" xfId="27935" xr:uid="{00000000-0005-0000-0000-0000E45D0000}"/>
    <cellStyle name="Currency [0] 2 2 27 2 3 3 3" xfId="43427" xr:uid="{00000000-0005-0000-0000-0000E55D0000}"/>
    <cellStyle name="Currency [0] 2 2 27 2 3 4" xfId="20195" xr:uid="{00000000-0005-0000-0000-0000E65D0000}"/>
    <cellStyle name="Currency [0] 2 2 27 2 3 5" xfId="35687" xr:uid="{00000000-0005-0000-0000-0000E75D0000}"/>
    <cellStyle name="Currency [0] 2 2 27 2 4" xfId="6541" xr:uid="{00000000-0005-0000-0000-0000E85D0000}"/>
    <cellStyle name="Currency [0] 2 2 27 2 4 2" xfId="14286" xr:uid="{00000000-0005-0000-0000-0000E95D0000}"/>
    <cellStyle name="Currency [0] 2 2 27 2 4 2 2" xfId="29878" xr:uid="{00000000-0005-0000-0000-0000EA5D0000}"/>
    <cellStyle name="Currency [0] 2 2 27 2 4 2 3" xfId="45370" xr:uid="{00000000-0005-0000-0000-0000EB5D0000}"/>
    <cellStyle name="Currency [0] 2 2 27 2 4 3" xfId="22138" xr:uid="{00000000-0005-0000-0000-0000EC5D0000}"/>
    <cellStyle name="Currency [0] 2 2 27 2 4 4" xfId="37630" xr:uid="{00000000-0005-0000-0000-0000ED5D0000}"/>
    <cellStyle name="Currency [0] 2 2 27 2 5" xfId="10416" xr:uid="{00000000-0005-0000-0000-0000EE5D0000}"/>
    <cellStyle name="Currency [0] 2 2 27 2 5 2" xfId="26008" xr:uid="{00000000-0005-0000-0000-0000EF5D0000}"/>
    <cellStyle name="Currency [0] 2 2 27 2 5 3" xfId="41500" xr:uid="{00000000-0005-0000-0000-0000F05D0000}"/>
    <cellStyle name="Currency [0] 2 2 27 2 6" xfId="18268" xr:uid="{00000000-0005-0000-0000-0000F15D0000}"/>
    <cellStyle name="Currency [0] 2 2 27 2 7" xfId="33760" xr:uid="{00000000-0005-0000-0000-0000F25D0000}"/>
    <cellStyle name="Currency [0] 2 2 27 3" xfId="3297" xr:uid="{00000000-0005-0000-0000-0000F35D0000}"/>
    <cellStyle name="Currency [0] 2 2 27 3 2" xfId="5236" xr:uid="{00000000-0005-0000-0000-0000F45D0000}"/>
    <cellStyle name="Currency [0] 2 2 27 3 2 2" xfId="9107" xr:uid="{00000000-0005-0000-0000-0000F55D0000}"/>
    <cellStyle name="Currency [0] 2 2 27 3 2 2 2" xfId="16852" xr:uid="{00000000-0005-0000-0000-0000F65D0000}"/>
    <cellStyle name="Currency [0] 2 2 27 3 2 2 2 2" xfId="32444" xr:uid="{00000000-0005-0000-0000-0000F75D0000}"/>
    <cellStyle name="Currency [0] 2 2 27 3 2 2 2 3" xfId="47936" xr:uid="{00000000-0005-0000-0000-0000F85D0000}"/>
    <cellStyle name="Currency [0] 2 2 27 3 2 2 3" xfId="24704" xr:uid="{00000000-0005-0000-0000-0000F95D0000}"/>
    <cellStyle name="Currency [0] 2 2 27 3 2 2 4" xfId="40196" xr:uid="{00000000-0005-0000-0000-0000FA5D0000}"/>
    <cellStyle name="Currency [0] 2 2 27 3 2 3" xfId="12982" xr:uid="{00000000-0005-0000-0000-0000FB5D0000}"/>
    <cellStyle name="Currency [0] 2 2 27 3 2 3 2" xfId="28574" xr:uid="{00000000-0005-0000-0000-0000FC5D0000}"/>
    <cellStyle name="Currency [0] 2 2 27 3 2 3 3" xfId="44066" xr:uid="{00000000-0005-0000-0000-0000FD5D0000}"/>
    <cellStyle name="Currency [0] 2 2 27 3 2 4" xfId="20834" xr:uid="{00000000-0005-0000-0000-0000FE5D0000}"/>
    <cellStyle name="Currency [0] 2 2 27 3 2 5" xfId="36326" xr:uid="{00000000-0005-0000-0000-0000FF5D0000}"/>
    <cellStyle name="Currency [0] 2 2 27 3 3" xfId="7180" xr:uid="{00000000-0005-0000-0000-0000005E0000}"/>
    <cellStyle name="Currency [0] 2 2 27 3 3 2" xfId="14925" xr:uid="{00000000-0005-0000-0000-0000015E0000}"/>
    <cellStyle name="Currency [0] 2 2 27 3 3 2 2" xfId="30517" xr:uid="{00000000-0005-0000-0000-0000025E0000}"/>
    <cellStyle name="Currency [0] 2 2 27 3 3 2 3" xfId="46009" xr:uid="{00000000-0005-0000-0000-0000035E0000}"/>
    <cellStyle name="Currency [0] 2 2 27 3 3 3" xfId="22777" xr:uid="{00000000-0005-0000-0000-0000045E0000}"/>
    <cellStyle name="Currency [0] 2 2 27 3 3 4" xfId="38269" xr:uid="{00000000-0005-0000-0000-0000055E0000}"/>
    <cellStyle name="Currency [0] 2 2 27 3 4" xfId="11055" xr:uid="{00000000-0005-0000-0000-0000065E0000}"/>
    <cellStyle name="Currency [0] 2 2 27 3 4 2" xfId="26647" xr:uid="{00000000-0005-0000-0000-0000075E0000}"/>
    <cellStyle name="Currency [0] 2 2 27 3 4 3" xfId="42139" xr:uid="{00000000-0005-0000-0000-0000085E0000}"/>
    <cellStyle name="Currency [0] 2 2 27 3 5" xfId="18907" xr:uid="{00000000-0005-0000-0000-0000095E0000}"/>
    <cellStyle name="Currency [0] 2 2 27 3 6" xfId="34399" xr:uid="{00000000-0005-0000-0000-00000A5E0000}"/>
    <cellStyle name="Currency [0] 2 2 27 4" xfId="4288" xr:uid="{00000000-0005-0000-0000-00000B5E0000}"/>
    <cellStyle name="Currency [0] 2 2 27 4 2" xfId="8159" xr:uid="{00000000-0005-0000-0000-00000C5E0000}"/>
    <cellStyle name="Currency [0] 2 2 27 4 2 2" xfId="15904" xr:uid="{00000000-0005-0000-0000-00000D5E0000}"/>
    <cellStyle name="Currency [0] 2 2 27 4 2 2 2" xfId="31496" xr:uid="{00000000-0005-0000-0000-00000E5E0000}"/>
    <cellStyle name="Currency [0] 2 2 27 4 2 2 3" xfId="46988" xr:uid="{00000000-0005-0000-0000-00000F5E0000}"/>
    <cellStyle name="Currency [0] 2 2 27 4 2 3" xfId="23756" xr:uid="{00000000-0005-0000-0000-0000105E0000}"/>
    <cellStyle name="Currency [0] 2 2 27 4 2 4" xfId="39248" xr:uid="{00000000-0005-0000-0000-0000115E0000}"/>
    <cellStyle name="Currency [0] 2 2 27 4 3" xfId="12034" xr:uid="{00000000-0005-0000-0000-0000125E0000}"/>
    <cellStyle name="Currency [0] 2 2 27 4 3 2" xfId="27626" xr:uid="{00000000-0005-0000-0000-0000135E0000}"/>
    <cellStyle name="Currency [0] 2 2 27 4 3 3" xfId="43118" xr:uid="{00000000-0005-0000-0000-0000145E0000}"/>
    <cellStyle name="Currency [0] 2 2 27 4 4" xfId="19886" xr:uid="{00000000-0005-0000-0000-0000155E0000}"/>
    <cellStyle name="Currency [0] 2 2 27 4 5" xfId="35378" xr:uid="{00000000-0005-0000-0000-0000165E0000}"/>
    <cellStyle name="Currency [0] 2 2 27 5" xfId="6232" xr:uid="{00000000-0005-0000-0000-0000175E0000}"/>
    <cellStyle name="Currency [0] 2 2 27 5 2" xfId="13977" xr:uid="{00000000-0005-0000-0000-0000185E0000}"/>
    <cellStyle name="Currency [0] 2 2 27 5 2 2" xfId="29569" xr:uid="{00000000-0005-0000-0000-0000195E0000}"/>
    <cellStyle name="Currency [0] 2 2 27 5 2 3" xfId="45061" xr:uid="{00000000-0005-0000-0000-00001A5E0000}"/>
    <cellStyle name="Currency [0] 2 2 27 5 3" xfId="21829" xr:uid="{00000000-0005-0000-0000-00001B5E0000}"/>
    <cellStyle name="Currency [0] 2 2 27 5 4" xfId="37321" xr:uid="{00000000-0005-0000-0000-00001C5E0000}"/>
    <cellStyle name="Currency [0] 2 2 27 6" xfId="10107" xr:uid="{00000000-0005-0000-0000-00001D5E0000}"/>
    <cellStyle name="Currency [0] 2 2 27 6 2" xfId="25699" xr:uid="{00000000-0005-0000-0000-00001E5E0000}"/>
    <cellStyle name="Currency [0] 2 2 27 6 3" xfId="41191" xr:uid="{00000000-0005-0000-0000-00001F5E0000}"/>
    <cellStyle name="Currency [0] 2 2 27 7" xfId="17959" xr:uid="{00000000-0005-0000-0000-0000205E0000}"/>
    <cellStyle name="Currency [0] 2 2 27 8" xfId="33451" xr:uid="{00000000-0005-0000-0000-0000215E0000}"/>
    <cellStyle name="Currency [0] 2 2 28" xfId="2319" xr:uid="{00000000-0005-0000-0000-0000225E0000}"/>
    <cellStyle name="Currency [0] 2 2 28 2" xfId="2634" xr:uid="{00000000-0005-0000-0000-0000235E0000}"/>
    <cellStyle name="Currency [0] 2 2 28 2 2" xfId="3642" xr:uid="{00000000-0005-0000-0000-0000245E0000}"/>
    <cellStyle name="Currency [0] 2 2 28 2 2 2" xfId="5581" xr:uid="{00000000-0005-0000-0000-0000255E0000}"/>
    <cellStyle name="Currency [0] 2 2 28 2 2 2 2" xfId="9452" xr:uid="{00000000-0005-0000-0000-0000265E0000}"/>
    <cellStyle name="Currency [0] 2 2 28 2 2 2 2 2" xfId="17197" xr:uid="{00000000-0005-0000-0000-0000275E0000}"/>
    <cellStyle name="Currency [0] 2 2 28 2 2 2 2 2 2" xfId="32789" xr:uid="{00000000-0005-0000-0000-0000285E0000}"/>
    <cellStyle name="Currency [0] 2 2 28 2 2 2 2 2 3" xfId="48281" xr:uid="{00000000-0005-0000-0000-0000295E0000}"/>
    <cellStyle name="Currency [0] 2 2 28 2 2 2 2 3" xfId="25049" xr:uid="{00000000-0005-0000-0000-00002A5E0000}"/>
    <cellStyle name="Currency [0] 2 2 28 2 2 2 2 4" xfId="40541" xr:uid="{00000000-0005-0000-0000-00002B5E0000}"/>
    <cellStyle name="Currency [0] 2 2 28 2 2 2 3" xfId="13327" xr:uid="{00000000-0005-0000-0000-00002C5E0000}"/>
    <cellStyle name="Currency [0] 2 2 28 2 2 2 3 2" xfId="28919" xr:uid="{00000000-0005-0000-0000-00002D5E0000}"/>
    <cellStyle name="Currency [0] 2 2 28 2 2 2 3 3" xfId="44411" xr:uid="{00000000-0005-0000-0000-00002E5E0000}"/>
    <cellStyle name="Currency [0] 2 2 28 2 2 2 4" xfId="21179" xr:uid="{00000000-0005-0000-0000-00002F5E0000}"/>
    <cellStyle name="Currency [0] 2 2 28 2 2 2 5" xfId="36671" xr:uid="{00000000-0005-0000-0000-0000305E0000}"/>
    <cellStyle name="Currency [0] 2 2 28 2 2 3" xfId="7525" xr:uid="{00000000-0005-0000-0000-0000315E0000}"/>
    <cellStyle name="Currency [0] 2 2 28 2 2 3 2" xfId="15270" xr:uid="{00000000-0005-0000-0000-0000325E0000}"/>
    <cellStyle name="Currency [0] 2 2 28 2 2 3 2 2" xfId="30862" xr:uid="{00000000-0005-0000-0000-0000335E0000}"/>
    <cellStyle name="Currency [0] 2 2 28 2 2 3 2 3" xfId="46354" xr:uid="{00000000-0005-0000-0000-0000345E0000}"/>
    <cellStyle name="Currency [0] 2 2 28 2 2 3 3" xfId="23122" xr:uid="{00000000-0005-0000-0000-0000355E0000}"/>
    <cellStyle name="Currency [0] 2 2 28 2 2 3 4" xfId="38614" xr:uid="{00000000-0005-0000-0000-0000365E0000}"/>
    <cellStyle name="Currency [0] 2 2 28 2 2 4" xfId="11400" xr:uid="{00000000-0005-0000-0000-0000375E0000}"/>
    <cellStyle name="Currency [0] 2 2 28 2 2 4 2" xfId="26992" xr:uid="{00000000-0005-0000-0000-0000385E0000}"/>
    <cellStyle name="Currency [0] 2 2 28 2 2 4 3" xfId="42484" xr:uid="{00000000-0005-0000-0000-0000395E0000}"/>
    <cellStyle name="Currency [0] 2 2 28 2 2 5" xfId="19252" xr:uid="{00000000-0005-0000-0000-00003A5E0000}"/>
    <cellStyle name="Currency [0] 2 2 28 2 2 6" xfId="34744" xr:uid="{00000000-0005-0000-0000-00003B5E0000}"/>
    <cellStyle name="Currency [0] 2 2 28 2 3" xfId="4633" xr:uid="{00000000-0005-0000-0000-00003C5E0000}"/>
    <cellStyle name="Currency [0] 2 2 28 2 3 2" xfId="8504" xr:uid="{00000000-0005-0000-0000-00003D5E0000}"/>
    <cellStyle name="Currency [0] 2 2 28 2 3 2 2" xfId="16249" xr:uid="{00000000-0005-0000-0000-00003E5E0000}"/>
    <cellStyle name="Currency [0] 2 2 28 2 3 2 2 2" xfId="31841" xr:uid="{00000000-0005-0000-0000-00003F5E0000}"/>
    <cellStyle name="Currency [0] 2 2 28 2 3 2 2 3" xfId="47333" xr:uid="{00000000-0005-0000-0000-0000405E0000}"/>
    <cellStyle name="Currency [0] 2 2 28 2 3 2 3" xfId="24101" xr:uid="{00000000-0005-0000-0000-0000415E0000}"/>
    <cellStyle name="Currency [0] 2 2 28 2 3 2 4" xfId="39593" xr:uid="{00000000-0005-0000-0000-0000425E0000}"/>
    <cellStyle name="Currency [0] 2 2 28 2 3 3" xfId="12379" xr:uid="{00000000-0005-0000-0000-0000435E0000}"/>
    <cellStyle name="Currency [0] 2 2 28 2 3 3 2" xfId="27971" xr:uid="{00000000-0005-0000-0000-0000445E0000}"/>
    <cellStyle name="Currency [0] 2 2 28 2 3 3 3" xfId="43463" xr:uid="{00000000-0005-0000-0000-0000455E0000}"/>
    <cellStyle name="Currency [0] 2 2 28 2 3 4" xfId="20231" xr:uid="{00000000-0005-0000-0000-0000465E0000}"/>
    <cellStyle name="Currency [0] 2 2 28 2 3 5" xfId="35723" xr:uid="{00000000-0005-0000-0000-0000475E0000}"/>
    <cellStyle name="Currency [0] 2 2 28 2 4" xfId="6577" xr:uid="{00000000-0005-0000-0000-0000485E0000}"/>
    <cellStyle name="Currency [0] 2 2 28 2 4 2" xfId="14322" xr:uid="{00000000-0005-0000-0000-0000495E0000}"/>
    <cellStyle name="Currency [0] 2 2 28 2 4 2 2" xfId="29914" xr:uid="{00000000-0005-0000-0000-00004A5E0000}"/>
    <cellStyle name="Currency [0] 2 2 28 2 4 2 3" xfId="45406" xr:uid="{00000000-0005-0000-0000-00004B5E0000}"/>
    <cellStyle name="Currency [0] 2 2 28 2 4 3" xfId="22174" xr:uid="{00000000-0005-0000-0000-00004C5E0000}"/>
    <cellStyle name="Currency [0] 2 2 28 2 4 4" xfId="37666" xr:uid="{00000000-0005-0000-0000-00004D5E0000}"/>
    <cellStyle name="Currency [0] 2 2 28 2 5" xfId="10452" xr:uid="{00000000-0005-0000-0000-00004E5E0000}"/>
    <cellStyle name="Currency [0] 2 2 28 2 5 2" xfId="26044" xr:uid="{00000000-0005-0000-0000-00004F5E0000}"/>
    <cellStyle name="Currency [0] 2 2 28 2 5 3" xfId="41536" xr:uid="{00000000-0005-0000-0000-0000505E0000}"/>
    <cellStyle name="Currency [0] 2 2 28 2 6" xfId="18304" xr:uid="{00000000-0005-0000-0000-0000515E0000}"/>
    <cellStyle name="Currency [0] 2 2 28 2 7" xfId="33796" xr:uid="{00000000-0005-0000-0000-0000525E0000}"/>
    <cellStyle name="Currency [0] 2 2 28 3" xfId="3333" xr:uid="{00000000-0005-0000-0000-0000535E0000}"/>
    <cellStyle name="Currency [0] 2 2 28 3 2" xfId="5272" xr:uid="{00000000-0005-0000-0000-0000545E0000}"/>
    <cellStyle name="Currency [0] 2 2 28 3 2 2" xfId="9143" xr:uid="{00000000-0005-0000-0000-0000555E0000}"/>
    <cellStyle name="Currency [0] 2 2 28 3 2 2 2" xfId="16888" xr:uid="{00000000-0005-0000-0000-0000565E0000}"/>
    <cellStyle name="Currency [0] 2 2 28 3 2 2 2 2" xfId="32480" xr:uid="{00000000-0005-0000-0000-0000575E0000}"/>
    <cellStyle name="Currency [0] 2 2 28 3 2 2 2 3" xfId="47972" xr:uid="{00000000-0005-0000-0000-0000585E0000}"/>
    <cellStyle name="Currency [0] 2 2 28 3 2 2 3" xfId="24740" xr:uid="{00000000-0005-0000-0000-0000595E0000}"/>
    <cellStyle name="Currency [0] 2 2 28 3 2 2 4" xfId="40232" xr:uid="{00000000-0005-0000-0000-00005A5E0000}"/>
    <cellStyle name="Currency [0] 2 2 28 3 2 3" xfId="13018" xr:uid="{00000000-0005-0000-0000-00005B5E0000}"/>
    <cellStyle name="Currency [0] 2 2 28 3 2 3 2" xfId="28610" xr:uid="{00000000-0005-0000-0000-00005C5E0000}"/>
    <cellStyle name="Currency [0] 2 2 28 3 2 3 3" xfId="44102" xr:uid="{00000000-0005-0000-0000-00005D5E0000}"/>
    <cellStyle name="Currency [0] 2 2 28 3 2 4" xfId="20870" xr:uid="{00000000-0005-0000-0000-00005E5E0000}"/>
    <cellStyle name="Currency [0] 2 2 28 3 2 5" xfId="36362" xr:uid="{00000000-0005-0000-0000-00005F5E0000}"/>
    <cellStyle name="Currency [0] 2 2 28 3 3" xfId="7216" xr:uid="{00000000-0005-0000-0000-0000605E0000}"/>
    <cellStyle name="Currency [0] 2 2 28 3 3 2" xfId="14961" xr:uid="{00000000-0005-0000-0000-0000615E0000}"/>
    <cellStyle name="Currency [0] 2 2 28 3 3 2 2" xfId="30553" xr:uid="{00000000-0005-0000-0000-0000625E0000}"/>
    <cellStyle name="Currency [0] 2 2 28 3 3 2 3" xfId="46045" xr:uid="{00000000-0005-0000-0000-0000635E0000}"/>
    <cellStyle name="Currency [0] 2 2 28 3 3 3" xfId="22813" xr:uid="{00000000-0005-0000-0000-0000645E0000}"/>
    <cellStyle name="Currency [0] 2 2 28 3 3 4" xfId="38305" xr:uid="{00000000-0005-0000-0000-0000655E0000}"/>
    <cellStyle name="Currency [0] 2 2 28 3 4" xfId="11091" xr:uid="{00000000-0005-0000-0000-0000665E0000}"/>
    <cellStyle name="Currency [0] 2 2 28 3 4 2" xfId="26683" xr:uid="{00000000-0005-0000-0000-0000675E0000}"/>
    <cellStyle name="Currency [0] 2 2 28 3 4 3" xfId="42175" xr:uid="{00000000-0005-0000-0000-0000685E0000}"/>
    <cellStyle name="Currency [0] 2 2 28 3 5" xfId="18943" xr:uid="{00000000-0005-0000-0000-0000695E0000}"/>
    <cellStyle name="Currency [0] 2 2 28 3 6" xfId="34435" xr:uid="{00000000-0005-0000-0000-00006A5E0000}"/>
    <cellStyle name="Currency [0] 2 2 28 4" xfId="4324" xr:uid="{00000000-0005-0000-0000-00006B5E0000}"/>
    <cellStyle name="Currency [0] 2 2 28 4 2" xfId="8195" xr:uid="{00000000-0005-0000-0000-00006C5E0000}"/>
    <cellStyle name="Currency [0] 2 2 28 4 2 2" xfId="15940" xr:uid="{00000000-0005-0000-0000-00006D5E0000}"/>
    <cellStyle name="Currency [0] 2 2 28 4 2 2 2" xfId="31532" xr:uid="{00000000-0005-0000-0000-00006E5E0000}"/>
    <cellStyle name="Currency [0] 2 2 28 4 2 2 3" xfId="47024" xr:uid="{00000000-0005-0000-0000-00006F5E0000}"/>
    <cellStyle name="Currency [0] 2 2 28 4 2 3" xfId="23792" xr:uid="{00000000-0005-0000-0000-0000705E0000}"/>
    <cellStyle name="Currency [0] 2 2 28 4 2 4" xfId="39284" xr:uid="{00000000-0005-0000-0000-0000715E0000}"/>
    <cellStyle name="Currency [0] 2 2 28 4 3" xfId="12070" xr:uid="{00000000-0005-0000-0000-0000725E0000}"/>
    <cellStyle name="Currency [0] 2 2 28 4 3 2" xfId="27662" xr:uid="{00000000-0005-0000-0000-0000735E0000}"/>
    <cellStyle name="Currency [0] 2 2 28 4 3 3" xfId="43154" xr:uid="{00000000-0005-0000-0000-0000745E0000}"/>
    <cellStyle name="Currency [0] 2 2 28 4 4" xfId="19922" xr:uid="{00000000-0005-0000-0000-0000755E0000}"/>
    <cellStyle name="Currency [0] 2 2 28 4 5" xfId="35414" xr:uid="{00000000-0005-0000-0000-0000765E0000}"/>
    <cellStyle name="Currency [0] 2 2 28 5" xfId="6268" xr:uid="{00000000-0005-0000-0000-0000775E0000}"/>
    <cellStyle name="Currency [0] 2 2 28 5 2" xfId="14013" xr:uid="{00000000-0005-0000-0000-0000785E0000}"/>
    <cellStyle name="Currency [0] 2 2 28 5 2 2" xfId="29605" xr:uid="{00000000-0005-0000-0000-0000795E0000}"/>
    <cellStyle name="Currency [0] 2 2 28 5 2 3" xfId="45097" xr:uid="{00000000-0005-0000-0000-00007A5E0000}"/>
    <cellStyle name="Currency [0] 2 2 28 5 3" xfId="21865" xr:uid="{00000000-0005-0000-0000-00007B5E0000}"/>
    <cellStyle name="Currency [0] 2 2 28 5 4" xfId="37357" xr:uid="{00000000-0005-0000-0000-00007C5E0000}"/>
    <cellStyle name="Currency [0] 2 2 28 6" xfId="10143" xr:uid="{00000000-0005-0000-0000-00007D5E0000}"/>
    <cellStyle name="Currency [0] 2 2 28 6 2" xfId="25735" xr:uid="{00000000-0005-0000-0000-00007E5E0000}"/>
    <cellStyle name="Currency [0] 2 2 28 6 3" xfId="41227" xr:uid="{00000000-0005-0000-0000-00007F5E0000}"/>
    <cellStyle name="Currency [0] 2 2 28 7" xfId="17995" xr:uid="{00000000-0005-0000-0000-0000805E0000}"/>
    <cellStyle name="Currency [0] 2 2 28 8" xfId="33487" xr:uid="{00000000-0005-0000-0000-0000815E0000}"/>
    <cellStyle name="Currency [0] 2 2 29" xfId="2357" xr:uid="{00000000-0005-0000-0000-0000825E0000}"/>
    <cellStyle name="Currency [0] 2 2 29 2" xfId="2670" xr:uid="{00000000-0005-0000-0000-0000835E0000}"/>
    <cellStyle name="Currency [0] 2 2 29 2 2" xfId="3678" xr:uid="{00000000-0005-0000-0000-0000845E0000}"/>
    <cellStyle name="Currency [0] 2 2 29 2 2 2" xfId="5617" xr:uid="{00000000-0005-0000-0000-0000855E0000}"/>
    <cellStyle name="Currency [0] 2 2 29 2 2 2 2" xfId="9488" xr:uid="{00000000-0005-0000-0000-0000865E0000}"/>
    <cellStyle name="Currency [0] 2 2 29 2 2 2 2 2" xfId="17233" xr:uid="{00000000-0005-0000-0000-0000875E0000}"/>
    <cellStyle name="Currency [0] 2 2 29 2 2 2 2 2 2" xfId="32825" xr:uid="{00000000-0005-0000-0000-0000885E0000}"/>
    <cellStyle name="Currency [0] 2 2 29 2 2 2 2 2 3" xfId="48317" xr:uid="{00000000-0005-0000-0000-0000895E0000}"/>
    <cellStyle name="Currency [0] 2 2 29 2 2 2 2 3" xfId="25085" xr:uid="{00000000-0005-0000-0000-00008A5E0000}"/>
    <cellStyle name="Currency [0] 2 2 29 2 2 2 2 4" xfId="40577" xr:uid="{00000000-0005-0000-0000-00008B5E0000}"/>
    <cellStyle name="Currency [0] 2 2 29 2 2 2 3" xfId="13363" xr:uid="{00000000-0005-0000-0000-00008C5E0000}"/>
    <cellStyle name="Currency [0] 2 2 29 2 2 2 3 2" xfId="28955" xr:uid="{00000000-0005-0000-0000-00008D5E0000}"/>
    <cellStyle name="Currency [0] 2 2 29 2 2 2 3 3" xfId="44447" xr:uid="{00000000-0005-0000-0000-00008E5E0000}"/>
    <cellStyle name="Currency [0] 2 2 29 2 2 2 4" xfId="21215" xr:uid="{00000000-0005-0000-0000-00008F5E0000}"/>
    <cellStyle name="Currency [0] 2 2 29 2 2 2 5" xfId="36707" xr:uid="{00000000-0005-0000-0000-0000905E0000}"/>
    <cellStyle name="Currency [0] 2 2 29 2 2 3" xfId="7561" xr:uid="{00000000-0005-0000-0000-0000915E0000}"/>
    <cellStyle name="Currency [0] 2 2 29 2 2 3 2" xfId="15306" xr:uid="{00000000-0005-0000-0000-0000925E0000}"/>
    <cellStyle name="Currency [0] 2 2 29 2 2 3 2 2" xfId="30898" xr:uid="{00000000-0005-0000-0000-0000935E0000}"/>
    <cellStyle name="Currency [0] 2 2 29 2 2 3 2 3" xfId="46390" xr:uid="{00000000-0005-0000-0000-0000945E0000}"/>
    <cellStyle name="Currency [0] 2 2 29 2 2 3 3" xfId="23158" xr:uid="{00000000-0005-0000-0000-0000955E0000}"/>
    <cellStyle name="Currency [0] 2 2 29 2 2 3 4" xfId="38650" xr:uid="{00000000-0005-0000-0000-0000965E0000}"/>
    <cellStyle name="Currency [0] 2 2 29 2 2 4" xfId="11436" xr:uid="{00000000-0005-0000-0000-0000975E0000}"/>
    <cellStyle name="Currency [0] 2 2 29 2 2 4 2" xfId="27028" xr:uid="{00000000-0005-0000-0000-0000985E0000}"/>
    <cellStyle name="Currency [0] 2 2 29 2 2 4 3" xfId="42520" xr:uid="{00000000-0005-0000-0000-0000995E0000}"/>
    <cellStyle name="Currency [0] 2 2 29 2 2 5" xfId="19288" xr:uid="{00000000-0005-0000-0000-00009A5E0000}"/>
    <cellStyle name="Currency [0] 2 2 29 2 2 6" xfId="34780" xr:uid="{00000000-0005-0000-0000-00009B5E0000}"/>
    <cellStyle name="Currency [0] 2 2 29 2 3" xfId="4669" xr:uid="{00000000-0005-0000-0000-00009C5E0000}"/>
    <cellStyle name="Currency [0] 2 2 29 2 3 2" xfId="8540" xr:uid="{00000000-0005-0000-0000-00009D5E0000}"/>
    <cellStyle name="Currency [0] 2 2 29 2 3 2 2" xfId="16285" xr:uid="{00000000-0005-0000-0000-00009E5E0000}"/>
    <cellStyle name="Currency [0] 2 2 29 2 3 2 2 2" xfId="31877" xr:uid="{00000000-0005-0000-0000-00009F5E0000}"/>
    <cellStyle name="Currency [0] 2 2 29 2 3 2 2 3" xfId="47369" xr:uid="{00000000-0005-0000-0000-0000A05E0000}"/>
    <cellStyle name="Currency [0] 2 2 29 2 3 2 3" xfId="24137" xr:uid="{00000000-0005-0000-0000-0000A15E0000}"/>
    <cellStyle name="Currency [0] 2 2 29 2 3 2 4" xfId="39629" xr:uid="{00000000-0005-0000-0000-0000A25E0000}"/>
    <cellStyle name="Currency [0] 2 2 29 2 3 3" xfId="12415" xr:uid="{00000000-0005-0000-0000-0000A35E0000}"/>
    <cellStyle name="Currency [0] 2 2 29 2 3 3 2" xfId="28007" xr:uid="{00000000-0005-0000-0000-0000A45E0000}"/>
    <cellStyle name="Currency [0] 2 2 29 2 3 3 3" xfId="43499" xr:uid="{00000000-0005-0000-0000-0000A55E0000}"/>
    <cellStyle name="Currency [0] 2 2 29 2 3 4" xfId="20267" xr:uid="{00000000-0005-0000-0000-0000A65E0000}"/>
    <cellStyle name="Currency [0] 2 2 29 2 3 5" xfId="35759" xr:uid="{00000000-0005-0000-0000-0000A75E0000}"/>
    <cellStyle name="Currency [0] 2 2 29 2 4" xfId="6613" xr:uid="{00000000-0005-0000-0000-0000A85E0000}"/>
    <cellStyle name="Currency [0] 2 2 29 2 4 2" xfId="14358" xr:uid="{00000000-0005-0000-0000-0000A95E0000}"/>
    <cellStyle name="Currency [0] 2 2 29 2 4 2 2" xfId="29950" xr:uid="{00000000-0005-0000-0000-0000AA5E0000}"/>
    <cellStyle name="Currency [0] 2 2 29 2 4 2 3" xfId="45442" xr:uid="{00000000-0005-0000-0000-0000AB5E0000}"/>
    <cellStyle name="Currency [0] 2 2 29 2 4 3" xfId="22210" xr:uid="{00000000-0005-0000-0000-0000AC5E0000}"/>
    <cellStyle name="Currency [0] 2 2 29 2 4 4" xfId="37702" xr:uid="{00000000-0005-0000-0000-0000AD5E0000}"/>
    <cellStyle name="Currency [0] 2 2 29 2 5" xfId="10488" xr:uid="{00000000-0005-0000-0000-0000AE5E0000}"/>
    <cellStyle name="Currency [0] 2 2 29 2 5 2" xfId="26080" xr:uid="{00000000-0005-0000-0000-0000AF5E0000}"/>
    <cellStyle name="Currency [0] 2 2 29 2 5 3" xfId="41572" xr:uid="{00000000-0005-0000-0000-0000B05E0000}"/>
    <cellStyle name="Currency [0] 2 2 29 2 6" xfId="18340" xr:uid="{00000000-0005-0000-0000-0000B15E0000}"/>
    <cellStyle name="Currency [0] 2 2 29 2 7" xfId="33832" xr:uid="{00000000-0005-0000-0000-0000B25E0000}"/>
    <cellStyle name="Currency [0] 2 2 29 3" xfId="3369" xr:uid="{00000000-0005-0000-0000-0000B35E0000}"/>
    <cellStyle name="Currency [0] 2 2 29 3 2" xfId="5308" xr:uid="{00000000-0005-0000-0000-0000B45E0000}"/>
    <cellStyle name="Currency [0] 2 2 29 3 2 2" xfId="9179" xr:uid="{00000000-0005-0000-0000-0000B55E0000}"/>
    <cellStyle name="Currency [0] 2 2 29 3 2 2 2" xfId="16924" xr:uid="{00000000-0005-0000-0000-0000B65E0000}"/>
    <cellStyle name="Currency [0] 2 2 29 3 2 2 2 2" xfId="32516" xr:uid="{00000000-0005-0000-0000-0000B75E0000}"/>
    <cellStyle name="Currency [0] 2 2 29 3 2 2 2 3" xfId="48008" xr:uid="{00000000-0005-0000-0000-0000B85E0000}"/>
    <cellStyle name="Currency [0] 2 2 29 3 2 2 3" xfId="24776" xr:uid="{00000000-0005-0000-0000-0000B95E0000}"/>
    <cellStyle name="Currency [0] 2 2 29 3 2 2 4" xfId="40268" xr:uid="{00000000-0005-0000-0000-0000BA5E0000}"/>
    <cellStyle name="Currency [0] 2 2 29 3 2 3" xfId="13054" xr:uid="{00000000-0005-0000-0000-0000BB5E0000}"/>
    <cellStyle name="Currency [0] 2 2 29 3 2 3 2" xfId="28646" xr:uid="{00000000-0005-0000-0000-0000BC5E0000}"/>
    <cellStyle name="Currency [0] 2 2 29 3 2 3 3" xfId="44138" xr:uid="{00000000-0005-0000-0000-0000BD5E0000}"/>
    <cellStyle name="Currency [0] 2 2 29 3 2 4" xfId="20906" xr:uid="{00000000-0005-0000-0000-0000BE5E0000}"/>
    <cellStyle name="Currency [0] 2 2 29 3 2 5" xfId="36398" xr:uid="{00000000-0005-0000-0000-0000BF5E0000}"/>
    <cellStyle name="Currency [0] 2 2 29 3 3" xfId="7252" xr:uid="{00000000-0005-0000-0000-0000C05E0000}"/>
    <cellStyle name="Currency [0] 2 2 29 3 3 2" xfId="14997" xr:uid="{00000000-0005-0000-0000-0000C15E0000}"/>
    <cellStyle name="Currency [0] 2 2 29 3 3 2 2" xfId="30589" xr:uid="{00000000-0005-0000-0000-0000C25E0000}"/>
    <cellStyle name="Currency [0] 2 2 29 3 3 2 3" xfId="46081" xr:uid="{00000000-0005-0000-0000-0000C35E0000}"/>
    <cellStyle name="Currency [0] 2 2 29 3 3 3" xfId="22849" xr:uid="{00000000-0005-0000-0000-0000C45E0000}"/>
    <cellStyle name="Currency [0] 2 2 29 3 3 4" xfId="38341" xr:uid="{00000000-0005-0000-0000-0000C55E0000}"/>
    <cellStyle name="Currency [0] 2 2 29 3 4" xfId="11127" xr:uid="{00000000-0005-0000-0000-0000C65E0000}"/>
    <cellStyle name="Currency [0] 2 2 29 3 4 2" xfId="26719" xr:uid="{00000000-0005-0000-0000-0000C75E0000}"/>
    <cellStyle name="Currency [0] 2 2 29 3 4 3" xfId="42211" xr:uid="{00000000-0005-0000-0000-0000C85E0000}"/>
    <cellStyle name="Currency [0] 2 2 29 3 5" xfId="18979" xr:uid="{00000000-0005-0000-0000-0000C95E0000}"/>
    <cellStyle name="Currency [0] 2 2 29 3 6" xfId="34471" xr:uid="{00000000-0005-0000-0000-0000CA5E0000}"/>
    <cellStyle name="Currency [0] 2 2 29 4" xfId="4360" xr:uid="{00000000-0005-0000-0000-0000CB5E0000}"/>
    <cellStyle name="Currency [0] 2 2 29 4 2" xfId="8231" xr:uid="{00000000-0005-0000-0000-0000CC5E0000}"/>
    <cellStyle name="Currency [0] 2 2 29 4 2 2" xfId="15976" xr:uid="{00000000-0005-0000-0000-0000CD5E0000}"/>
    <cellStyle name="Currency [0] 2 2 29 4 2 2 2" xfId="31568" xr:uid="{00000000-0005-0000-0000-0000CE5E0000}"/>
    <cellStyle name="Currency [0] 2 2 29 4 2 2 3" xfId="47060" xr:uid="{00000000-0005-0000-0000-0000CF5E0000}"/>
    <cellStyle name="Currency [0] 2 2 29 4 2 3" xfId="23828" xr:uid="{00000000-0005-0000-0000-0000D05E0000}"/>
    <cellStyle name="Currency [0] 2 2 29 4 2 4" xfId="39320" xr:uid="{00000000-0005-0000-0000-0000D15E0000}"/>
    <cellStyle name="Currency [0] 2 2 29 4 3" xfId="12106" xr:uid="{00000000-0005-0000-0000-0000D25E0000}"/>
    <cellStyle name="Currency [0] 2 2 29 4 3 2" xfId="27698" xr:uid="{00000000-0005-0000-0000-0000D35E0000}"/>
    <cellStyle name="Currency [0] 2 2 29 4 3 3" xfId="43190" xr:uid="{00000000-0005-0000-0000-0000D45E0000}"/>
    <cellStyle name="Currency [0] 2 2 29 4 4" xfId="19958" xr:uid="{00000000-0005-0000-0000-0000D55E0000}"/>
    <cellStyle name="Currency [0] 2 2 29 4 5" xfId="35450" xr:uid="{00000000-0005-0000-0000-0000D65E0000}"/>
    <cellStyle name="Currency [0] 2 2 29 5" xfId="6304" xr:uid="{00000000-0005-0000-0000-0000D75E0000}"/>
    <cellStyle name="Currency [0] 2 2 29 5 2" xfId="14049" xr:uid="{00000000-0005-0000-0000-0000D85E0000}"/>
    <cellStyle name="Currency [0] 2 2 29 5 2 2" xfId="29641" xr:uid="{00000000-0005-0000-0000-0000D95E0000}"/>
    <cellStyle name="Currency [0] 2 2 29 5 2 3" xfId="45133" xr:uid="{00000000-0005-0000-0000-0000DA5E0000}"/>
    <cellStyle name="Currency [0] 2 2 29 5 3" xfId="21901" xr:uid="{00000000-0005-0000-0000-0000DB5E0000}"/>
    <cellStyle name="Currency [0] 2 2 29 5 4" xfId="37393" xr:uid="{00000000-0005-0000-0000-0000DC5E0000}"/>
    <cellStyle name="Currency [0] 2 2 29 6" xfId="10179" xr:uid="{00000000-0005-0000-0000-0000DD5E0000}"/>
    <cellStyle name="Currency [0] 2 2 29 6 2" xfId="25771" xr:uid="{00000000-0005-0000-0000-0000DE5E0000}"/>
    <cellStyle name="Currency [0] 2 2 29 6 3" xfId="41263" xr:uid="{00000000-0005-0000-0000-0000DF5E0000}"/>
    <cellStyle name="Currency [0] 2 2 29 7" xfId="18031" xr:uid="{00000000-0005-0000-0000-0000E05E0000}"/>
    <cellStyle name="Currency [0] 2 2 29 8" xfId="33523" xr:uid="{00000000-0005-0000-0000-0000E15E0000}"/>
    <cellStyle name="Currency [0] 2 2 3" xfId="1635" xr:uid="{00000000-0005-0000-0000-0000E25E0000}"/>
    <cellStyle name="Currency [0] 2 2 30" xfId="2394" xr:uid="{00000000-0005-0000-0000-0000E35E0000}"/>
    <cellStyle name="Currency [0] 2 2 30 2" xfId="2706" xr:uid="{00000000-0005-0000-0000-0000E45E0000}"/>
    <cellStyle name="Currency [0] 2 2 30 2 2" xfId="3714" xr:uid="{00000000-0005-0000-0000-0000E55E0000}"/>
    <cellStyle name="Currency [0] 2 2 30 2 2 2" xfId="5653" xr:uid="{00000000-0005-0000-0000-0000E65E0000}"/>
    <cellStyle name="Currency [0] 2 2 30 2 2 2 2" xfId="9524" xr:uid="{00000000-0005-0000-0000-0000E75E0000}"/>
    <cellStyle name="Currency [0] 2 2 30 2 2 2 2 2" xfId="17269" xr:uid="{00000000-0005-0000-0000-0000E85E0000}"/>
    <cellStyle name="Currency [0] 2 2 30 2 2 2 2 2 2" xfId="32861" xr:uid="{00000000-0005-0000-0000-0000E95E0000}"/>
    <cellStyle name="Currency [0] 2 2 30 2 2 2 2 2 3" xfId="48353" xr:uid="{00000000-0005-0000-0000-0000EA5E0000}"/>
    <cellStyle name="Currency [0] 2 2 30 2 2 2 2 3" xfId="25121" xr:uid="{00000000-0005-0000-0000-0000EB5E0000}"/>
    <cellStyle name="Currency [0] 2 2 30 2 2 2 2 4" xfId="40613" xr:uid="{00000000-0005-0000-0000-0000EC5E0000}"/>
    <cellStyle name="Currency [0] 2 2 30 2 2 2 3" xfId="13399" xr:uid="{00000000-0005-0000-0000-0000ED5E0000}"/>
    <cellStyle name="Currency [0] 2 2 30 2 2 2 3 2" xfId="28991" xr:uid="{00000000-0005-0000-0000-0000EE5E0000}"/>
    <cellStyle name="Currency [0] 2 2 30 2 2 2 3 3" xfId="44483" xr:uid="{00000000-0005-0000-0000-0000EF5E0000}"/>
    <cellStyle name="Currency [0] 2 2 30 2 2 2 4" xfId="21251" xr:uid="{00000000-0005-0000-0000-0000F05E0000}"/>
    <cellStyle name="Currency [0] 2 2 30 2 2 2 5" xfId="36743" xr:uid="{00000000-0005-0000-0000-0000F15E0000}"/>
    <cellStyle name="Currency [0] 2 2 30 2 2 3" xfId="7597" xr:uid="{00000000-0005-0000-0000-0000F25E0000}"/>
    <cellStyle name="Currency [0] 2 2 30 2 2 3 2" xfId="15342" xr:uid="{00000000-0005-0000-0000-0000F35E0000}"/>
    <cellStyle name="Currency [0] 2 2 30 2 2 3 2 2" xfId="30934" xr:uid="{00000000-0005-0000-0000-0000F45E0000}"/>
    <cellStyle name="Currency [0] 2 2 30 2 2 3 2 3" xfId="46426" xr:uid="{00000000-0005-0000-0000-0000F55E0000}"/>
    <cellStyle name="Currency [0] 2 2 30 2 2 3 3" xfId="23194" xr:uid="{00000000-0005-0000-0000-0000F65E0000}"/>
    <cellStyle name="Currency [0] 2 2 30 2 2 3 4" xfId="38686" xr:uid="{00000000-0005-0000-0000-0000F75E0000}"/>
    <cellStyle name="Currency [0] 2 2 30 2 2 4" xfId="11472" xr:uid="{00000000-0005-0000-0000-0000F85E0000}"/>
    <cellStyle name="Currency [0] 2 2 30 2 2 4 2" xfId="27064" xr:uid="{00000000-0005-0000-0000-0000F95E0000}"/>
    <cellStyle name="Currency [0] 2 2 30 2 2 4 3" xfId="42556" xr:uid="{00000000-0005-0000-0000-0000FA5E0000}"/>
    <cellStyle name="Currency [0] 2 2 30 2 2 5" xfId="19324" xr:uid="{00000000-0005-0000-0000-0000FB5E0000}"/>
    <cellStyle name="Currency [0] 2 2 30 2 2 6" xfId="34816" xr:uid="{00000000-0005-0000-0000-0000FC5E0000}"/>
    <cellStyle name="Currency [0] 2 2 30 2 3" xfId="4705" xr:uid="{00000000-0005-0000-0000-0000FD5E0000}"/>
    <cellStyle name="Currency [0] 2 2 30 2 3 2" xfId="8576" xr:uid="{00000000-0005-0000-0000-0000FE5E0000}"/>
    <cellStyle name="Currency [0] 2 2 30 2 3 2 2" xfId="16321" xr:uid="{00000000-0005-0000-0000-0000FF5E0000}"/>
    <cellStyle name="Currency [0] 2 2 30 2 3 2 2 2" xfId="31913" xr:uid="{00000000-0005-0000-0000-0000005F0000}"/>
    <cellStyle name="Currency [0] 2 2 30 2 3 2 2 3" xfId="47405" xr:uid="{00000000-0005-0000-0000-0000015F0000}"/>
    <cellStyle name="Currency [0] 2 2 30 2 3 2 3" xfId="24173" xr:uid="{00000000-0005-0000-0000-0000025F0000}"/>
    <cellStyle name="Currency [0] 2 2 30 2 3 2 4" xfId="39665" xr:uid="{00000000-0005-0000-0000-0000035F0000}"/>
    <cellStyle name="Currency [0] 2 2 30 2 3 3" xfId="12451" xr:uid="{00000000-0005-0000-0000-0000045F0000}"/>
    <cellStyle name="Currency [0] 2 2 30 2 3 3 2" xfId="28043" xr:uid="{00000000-0005-0000-0000-0000055F0000}"/>
    <cellStyle name="Currency [0] 2 2 30 2 3 3 3" xfId="43535" xr:uid="{00000000-0005-0000-0000-0000065F0000}"/>
    <cellStyle name="Currency [0] 2 2 30 2 3 4" xfId="20303" xr:uid="{00000000-0005-0000-0000-0000075F0000}"/>
    <cellStyle name="Currency [0] 2 2 30 2 3 5" xfId="35795" xr:uid="{00000000-0005-0000-0000-0000085F0000}"/>
    <cellStyle name="Currency [0] 2 2 30 2 4" xfId="6649" xr:uid="{00000000-0005-0000-0000-0000095F0000}"/>
    <cellStyle name="Currency [0] 2 2 30 2 4 2" xfId="14394" xr:uid="{00000000-0005-0000-0000-00000A5F0000}"/>
    <cellStyle name="Currency [0] 2 2 30 2 4 2 2" xfId="29986" xr:uid="{00000000-0005-0000-0000-00000B5F0000}"/>
    <cellStyle name="Currency [0] 2 2 30 2 4 2 3" xfId="45478" xr:uid="{00000000-0005-0000-0000-00000C5F0000}"/>
    <cellStyle name="Currency [0] 2 2 30 2 4 3" xfId="22246" xr:uid="{00000000-0005-0000-0000-00000D5F0000}"/>
    <cellStyle name="Currency [0] 2 2 30 2 4 4" xfId="37738" xr:uid="{00000000-0005-0000-0000-00000E5F0000}"/>
    <cellStyle name="Currency [0] 2 2 30 2 5" xfId="10524" xr:uid="{00000000-0005-0000-0000-00000F5F0000}"/>
    <cellStyle name="Currency [0] 2 2 30 2 5 2" xfId="26116" xr:uid="{00000000-0005-0000-0000-0000105F0000}"/>
    <cellStyle name="Currency [0] 2 2 30 2 5 3" xfId="41608" xr:uid="{00000000-0005-0000-0000-0000115F0000}"/>
    <cellStyle name="Currency [0] 2 2 30 2 6" xfId="18376" xr:uid="{00000000-0005-0000-0000-0000125F0000}"/>
    <cellStyle name="Currency [0] 2 2 30 2 7" xfId="33868" xr:uid="{00000000-0005-0000-0000-0000135F0000}"/>
    <cellStyle name="Currency [0] 2 2 30 3" xfId="3405" xr:uid="{00000000-0005-0000-0000-0000145F0000}"/>
    <cellStyle name="Currency [0] 2 2 30 3 2" xfId="5344" xr:uid="{00000000-0005-0000-0000-0000155F0000}"/>
    <cellStyle name="Currency [0] 2 2 30 3 2 2" xfId="9215" xr:uid="{00000000-0005-0000-0000-0000165F0000}"/>
    <cellStyle name="Currency [0] 2 2 30 3 2 2 2" xfId="16960" xr:uid="{00000000-0005-0000-0000-0000175F0000}"/>
    <cellStyle name="Currency [0] 2 2 30 3 2 2 2 2" xfId="32552" xr:uid="{00000000-0005-0000-0000-0000185F0000}"/>
    <cellStyle name="Currency [0] 2 2 30 3 2 2 2 3" xfId="48044" xr:uid="{00000000-0005-0000-0000-0000195F0000}"/>
    <cellStyle name="Currency [0] 2 2 30 3 2 2 3" xfId="24812" xr:uid="{00000000-0005-0000-0000-00001A5F0000}"/>
    <cellStyle name="Currency [0] 2 2 30 3 2 2 4" xfId="40304" xr:uid="{00000000-0005-0000-0000-00001B5F0000}"/>
    <cellStyle name="Currency [0] 2 2 30 3 2 3" xfId="13090" xr:uid="{00000000-0005-0000-0000-00001C5F0000}"/>
    <cellStyle name="Currency [0] 2 2 30 3 2 3 2" xfId="28682" xr:uid="{00000000-0005-0000-0000-00001D5F0000}"/>
    <cellStyle name="Currency [0] 2 2 30 3 2 3 3" xfId="44174" xr:uid="{00000000-0005-0000-0000-00001E5F0000}"/>
    <cellStyle name="Currency [0] 2 2 30 3 2 4" xfId="20942" xr:uid="{00000000-0005-0000-0000-00001F5F0000}"/>
    <cellStyle name="Currency [0] 2 2 30 3 2 5" xfId="36434" xr:uid="{00000000-0005-0000-0000-0000205F0000}"/>
    <cellStyle name="Currency [0] 2 2 30 3 3" xfId="7288" xr:uid="{00000000-0005-0000-0000-0000215F0000}"/>
    <cellStyle name="Currency [0] 2 2 30 3 3 2" xfId="15033" xr:uid="{00000000-0005-0000-0000-0000225F0000}"/>
    <cellStyle name="Currency [0] 2 2 30 3 3 2 2" xfId="30625" xr:uid="{00000000-0005-0000-0000-0000235F0000}"/>
    <cellStyle name="Currency [0] 2 2 30 3 3 2 3" xfId="46117" xr:uid="{00000000-0005-0000-0000-0000245F0000}"/>
    <cellStyle name="Currency [0] 2 2 30 3 3 3" xfId="22885" xr:uid="{00000000-0005-0000-0000-0000255F0000}"/>
    <cellStyle name="Currency [0] 2 2 30 3 3 4" xfId="38377" xr:uid="{00000000-0005-0000-0000-0000265F0000}"/>
    <cellStyle name="Currency [0] 2 2 30 3 4" xfId="11163" xr:uid="{00000000-0005-0000-0000-0000275F0000}"/>
    <cellStyle name="Currency [0] 2 2 30 3 4 2" xfId="26755" xr:uid="{00000000-0005-0000-0000-0000285F0000}"/>
    <cellStyle name="Currency [0] 2 2 30 3 4 3" xfId="42247" xr:uid="{00000000-0005-0000-0000-0000295F0000}"/>
    <cellStyle name="Currency [0] 2 2 30 3 5" xfId="19015" xr:uid="{00000000-0005-0000-0000-00002A5F0000}"/>
    <cellStyle name="Currency [0] 2 2 30 3 6" xfId="34507" xr:uid="{00000000-0005-0000-0000-00002B5F0000}"/>
    <cellStyle name="Currency [0] 2 2 30 4" xfId="4396" xr:uid="{00000000-0005-0000-0000-00002C5F0000}"/>
    <cellStyle name="Currency [0] 2 2 30 4 2" xfId="8267" xr:uid="{00000000-0005-0000-0000-00002D5F0000}"/>
    <cellStyle name="Currency [0] 2 2 30 4 2 2" xfId="16012" xr:uid="{00000000-0005-0000-0000-00002E5F0000}"/>
    <cellStyle name="Currency [0] 2 2 30 4 2 2 2" xfId="31604" xr:uid="{00000000-0005-0000-0000-00002F5F0000}"/>
    <cellStyle name="Currency [0] 2 2 30 4 2 2 3" xfId="47096" xr:uid="{00000000-0005-0000-0000-0000305F0000}"/>
    <cellStyle name="Currency [0] 2 2 30 4 2 3" xfId="23864" xr:uid="{00000000-0005-0000-0000-0000315F0000}"/>
    <cellStyle name="Currency [0] 2 2 30 4 2 4" xfId="39356" xr:uid="{00000000-0005-0000-0000-0000325F0000}"/>
    <cellStyle name="Currency [0] 2 2 30 4 3" xfId="12142" xr:uid="{00000000-0005-0000-0000-0000335F0000}"/>
    <cellStyle name="Currency [0] 2 2 30 4 3 2" xfId="27734" xr:uid="{00000000-0005-0000-0000-0000345F0000}"/>
    <cellStyle name="Currency [0] 2 2 30 4 3 3" xfId="43226" xr:uid="{00000000-0005-0000-0000-0000355F0000}"/>
    <cellStyle name="Currency [0] 2 2 30 4 4" xfId="19994" xr:uid="{00000000-0005-0000-0000-0000365F0000}"/>
    <cellStyle name="Currency [0] 2 2 30 4 5" xfId="35486" xr:uid="{00000000-0005-0000-0000-0000375F0000}"/>
    <cellStyle name="Currency [0] 2 2 30 5" xfId="6340" xr:uid="{00000000-0005-0000-0000-0000385F0000}"/>
    <cellStyle name="Currency [0] 2 2 30 5 2" xfId="14085" xr:uid="{00000000-0005-0000-0000-0000395F0000}"/>
    <cellStyle name="Currency [0] 2 2 30 5 2 2" xfId="29677" xr:uid="{00000000-0005-0000-0000-00003A5F0000}"/>
    <cellStyle name="Currency [0] 2 2 30 5 2 3" xfId="45169" xr:uid="{00000000-0005-0000-0000-00003B5F0000}"/>
    <cellStyle name="Currency [0] 2 2 30 5 3" xfId="21937" xr:uid="{00000000-0005-0000-0000-00003C5F0000}"/>
    <cellStyle name="Currency [0] 2 2 30 5 4" xfId="37429" xr:uid="{00000000-0005-0000-0000-00003D5F0000}"/>
    <cellStyle name="Currency [0] 2 2 30 6" xfId="10215" xr:uid="{00000000-0005-0000-0000-00003E5F0000}"/>
    <cellStyle name="Currency [0] 2 2 30 6 2" xfId="25807" xr:uid="{00000000-0005-0000-0000-00003F5F0000}"/>
    <cellStyle name="Currency [0] 2 2 30 6 3" xfId="41299" xr:uid="{00000000-0005-0000-0000-0000405F0000}"/>
    <cellStyle name="Currency [0] 2 2 30 7" xfId="18067" xr:uid="{00000000-0005-0000-0000-0000415F0000}"/>
    <cellStyle name="Currency [0] 2 2 30 8" xfId="33559" xr:uid="{00000000-0005-0000-0000-0000425F0000}"/>
    <cellStyle name="Currency [0] 2 2 31" xfId="2432" xr:uid="{00000000-0005-0000-0000-0000435F0000}"/>
    <cellStyle name="Currency [0] 2 2 31 2" xfId="2742" xr:uid="{00000000-0005-0000-0000-0000445F0000}"/>
    <cellStyle name="Currency [0] 2 2 31 2 2" xfId="3750" xr:uid="{00000000-0005-0000-0000-0000455F0000}"/>
    <cellStyle name="Currency [0] 2 2 31 2 2 2" xfId="5689" xr:uid="{00000000-0005-0000-0000-0000465F0000}"/>
    <cellStyle name="Currency [0] 2 2 31 2 2 2 2" xfId="9560" xr:uid="{00000000-0005-0000-0000-0000475F0000}"/>
    <cellStyle name="Currency [0] 2 2 31 2 2 2 2 2" xfId="17305" xr:uid="{00000000-0005-0000-0000-0000485F0000}"/>
    <cellStyle name="Currency [0] 2 2 31 2 2 2 2 2 2" xfId="32897" xr:uid="{00000000-0005-0000-0000-0000495F0000}"/>
    <cellStyle name="Currency [0] 2 2 31 2 2 2 2 2 3" xfId="48389" xr:uid="{00000000-0005-0000-0000-00004A5F0000}"/>
    <cellStyle name="Currency [0] 2 2 31 2 2 2 2 3" xfId="25157" xr:uid="{00000000-0005-0000-0000-00004B5F0000}"/>
    <cellStyle name="Currency [0] 2 2 31 2 2 2 2 4" xfId="40649" xr:uid="{00000000-0005-0000-0000-00004C5F0000}"/>
    <cellStyle name="Currency [0] 2 2 31 2 2 2 3" xfId="13435" xr:uid="{00000000-0005-0000-0000-00004D5F0000}"/>
    <cellStyle name="Currency [0] 2 2 31 2 2 2 3 2" xfId="29027" xr:uid="{00000000-0005-0000-0000-00004E5F0000}"/>
    <cellStyle name="Currency [0] 2 2 31 2 2 2 3 3" xfId="44519" xr:uid="{00000000-0005-0000-0000-00004F5F0000}"/>
    <cellStyle name="Currency [0] 2 2 31 2 2 2 4" xfId="21287" xr:uid="{00000000-0005-0000-0000-0000505F0000}"/>
    <cellStyle name="Currency [0] 2 2 31 2 2 2 5" xfId="36779" xr:uid="{00000000-0005-0000-0000-0000515F0000}"/>
    <cellStyle name="Currency [0] 2 2 31 2 2 3" xfId="7633" xr:uid="{00000000-0005-0000-0000-0000525F0000}"/>
    <cellStyle name="Currency [0] 2 2 31 2 2 3 2" xfId="15378" xr:uid="{00000000-0005-0000-0000-0000535F0000}"/>
    <cellStyle name="Currency [0] 2 2 31 2 2 3 2 2" xfId="30970" xr:uid="{00000000-0005-0000-0000-0000545F0000}"/>
    <cellStyle name="Currency [0] 2 2 31 2 2 3 2 3" xfId="46462" xr:uid="{00000000-0005-0000-0000-0000555F0000}"/>
    <cellStyle name="Currency [0] 2 2 31 2 2 3 3" xfId="23230" xr:uid="{00000000-0005-0000-0000-0000565F0000}"/>
    <cellStyle name="Currency [0] 2 2 31 2 2 3 4" xfId="38722" xr:uid="{00000000-0005-0000-0000-0000575F0000}"/>
    <cellStyle name="Currency [0] 2 2 31 2 2 4" xfId="11508" xr:uid="{00000000-0005-0000-0000-0000585F0000}"/>
    <cellStyle name="Currency [0] 2 2 31 2 2 4 2" xfId="27100" xr:uid="{00000000-0005-0000-0000-0000595F0000}"/>
    <cellStyle name="Currency [0] 2 2 31 2 2 4 3" xfId="42592" xr:uid="{00000000-0005-0000-0000-00005A5F0000}"/>
    <cellStyle name="Currency [0] 2 2 31 2 2 5" xfId="19360" xr:uid="{00000000-0005-0000-0000-00005B5F0000}"/>
    <cellStyle name="Currency [0] 2 2 31 2 2 6" xfId="34852" xr:uid="{00000000-0005-0000-0000-00005C5F0000}"/>
    <cellStyle name="Currency [0] 2 2 31 2 3" xfId="4741" xr:uid="{00000000-0005-0000-0000-00005D5F0000}"/>
    <cellStyle name="Currency [0] 2 2 31 2 3 2" xfId="8612" xr:uid="{00000000-0005-0000-0000-00005E5F0000}"/>
    <cellStyle name="Currency [0] 2 2 31 2 3 2 2" xfId="16357" xr:uid="{00000000-0005-0000-0000-00005F5F0000}"/>
    <cellStyle name="Currency [0] 2 2 31 2 3 2 2 2" xfId="31949" xr:uid="{00000000-0005-0000-0000-0000605F0000}"/>
    <cellStyle name="Currency [0] 2 2 31 2 3 2 2 3" xfId="47441" xr:uid="{00000000-0005-0000-0000-0000615F0000}"/>
    <cellStyle name="Currency [0] 2 2 31 2 3 2 3" xfId="24209" xr:uid="{00000000-0005-0000-0000-0000625F0000}"/>
    <cellStyle name="Currency [0] 2 2 31 2 3 2 4" xfId="39701" xr:uid="{00000000-0005-0000-0000-0000635F0000}"/>
    <cellStyle name="Currency [0] 2 2 31 2 3 3" xfId="12487" xr:uid="{00000000-0005-0000-0000-0000645F0000}"/>
    <cellStyle name="Currency [0] 2 2 31 2 3 3 2" xfId="28079" xr:uid="{00000000-0005-0000-0000-0000655F0000}"/>
    <cellStyle name="Currency [0] 2 2 31 2 3 3 3" xfId="43571" xr:uid="{00000000-0005-0000-0000-0000665F0000}"/>
    <cellStyle name="Currency [0] 2 2 31 2 3 4" xfId="20339" xr:uid="{00000000-0005-0000-0000-0000675F0000}"/>
    <cellStyle name="Currency [0] 2 2 31 2 3 5" xfId="35831" xr:uid="{00000000-0005-0000-0000-0000685F0000}"/>
    <cellStyle name="Currency [0] 2 2 31 2 4" xfId="6685" xr:uid="{00000000-0005-0000-0000-0000695F0000}"/>
    <cellStyle name="Currency [0] 2 2 31 2 4 2" xfId="14430" xr:uid="{00000000-0005-0000-0000-00006A5F0000}"/>
    <cellStyle name="Currency [0] 2 2 31 2 4 2 2" xfId="30022" xr:uid="{00000000-0005-0000-0000-00006B5F0000}"/>
    <cellStyle name="Currency [0] 2 2 31 2 4 2 3" xfId="45514" xr:uid="{00000000-0005-0000-0000-00006C5F0000}"/>
    <cellStyle name="Currency [0] 2 2 31 2 4 3" xfId="22282" xr:uid="{00000000-0005-0000-0000-00006D5F0000}"/>
    <cellStyle name="Currency [0] 2 2 31 2 4 4" xfId="37774" xr:uid="{00000000-0005-0000-0000-00006E5F0000}"/>
    <cellStyle name="Currency [0] 2 2 31 2 5" xfId="10560" xr:uid="{00000000-0005-0000-0000-00006F5F0000}"/>
    <cellStyle name="Currency [0] 2 2 31 2 5 2" xfId="26152" xr:uid="{00000000-0005-0000-0000-0000705F0000}"/>
    <cellStyle name="Currency [0] 2 2 31 2 5 3" xfId="41644" xr:uid="{00000000-0005-0000-0000-0000715F0000}"/>
    <cellStyle name="Currency [0] 2 2 31 2 6" xfId="18412" xr:uid="{00000000-0005-0000-0000-0000725F0000}"/>
    <cellStyle name="Currency [0] 2 2 31 2 7" xfId="33904" xr:uid="{00000000-0005-0000-0000-0000735F0000}"/>
    <cellStyle name="Currency [0] 2 2 31 3" xfId="3441" xr:uid="{00000000-0005-0000-0000-0000745F0000}"/>
    <cellStyle name="Currency [0] 2 2 31 3 2" xfId="5380" xr:uid="{00000000-0005-0000-0000-0000755F0000}"/>
    <cellStyle name="Currency [0] 2 2 31 3 2 2" xfId="9251" xr:uid="{00000000-0005-0000-0000-0000765F0000}"/>
    <cellStyle name="Currency [0] 2 2 31 3 2 2 2" xfId="16996" xr:uid="{00000000-0005-0000-0000-0000775F0000}"/>
    <cellStyle name="Currency [0] 2 2 31 3 2 2 2 2" xfId="32588" xr:uid="{00000000-0005-0000-0000-0000785F0000}"/>
    <cellStyle name="Currency [0] 2 2 31 3 2 2 2 3" xfId="48080" xr:uid="{00000000-0005-0000-0000-0000795F0000}"/>
    <cellStyle name="Currency [0] 2 2 31 3 2 2 3" xfId="24848" xr:uid="{00000000-0005-0000-0000-00007A5F0000}"/>
    <cellStyle name="Currency [0] 2 2 31 3 2 2 4" xfId="40340" xr:uid="{00000000-0005-0000-0000-00007B5F0000}"/>
    <cellStyle name="Currency [0] 2 2 31 3 2 3" xfId="13126" xr:uid="{00000000-0005-0000-0000-00007C5F0000}"/>
    <cellStyle name="Currency [0] 2 2 31 3 2 3 2" xfId="28718" xr:uid="{00000000-0005-0000-0000-00007D5F0000}"/>
    <cellStyle name="Currency [0] 2 2 31 3 2 3 3" xfId="44210" xr:uid="{00000000-0005-0000-0000-00007E5F0000}"/>
    <cellStyle name="Currency [0] 2 2 31 3 2 4" xfId="20978" xr:uid="{00000000-0005-0000-0000-00007F5F0000}"/>
    <cellStyle name="Currency [0] 2 2 31 3 2 5" xfId="36470" xr:uid="{00000000-0005-0000-0000-0000805F0000}"/>
    <cellStyle name="Currency [0] 2 2 31 3 3" xfId="7324" xr:uid="{00000000-0005-0000-0000-0000815F0000}"/>
    <cellStyle name="Currency [0] 2 2 31 3 3 2" xfId="15069" xr:uid="{00000000-0005-0000-0000-0000825F0000}"/>
    <cellStyle name="Currency [0] 2 2 31 3 3 2 2" xfId="30661" xr:uid="{00000000-0005-0000-0000-0000835F0000}"/>
    <cellStyle name="Currency [0] 2 2 31 3 3 2 3" xfId="46153" xr:uid="{00000000-0005-0000-0000-0000845F0000}"/>
    <cellStyle name="Currency [0] 2 2 31 3 3 3" xfId="22921" xr:uid="{00000000-0005-0000-0000-0000855F0000}"/>
    <cellStyle name="Currency [0] 2 2 31 3 3 4" xfId="38413" xr:uid="{00000000-0005-0000-0000-0000865F0000}"/>
    <cellStyle name="Currency [0] 2 2 31 3 4" xfId="11199" xr:uid="{00000000-0005-0000-0000-0000875F0000}"/>
    <cellStyle name="Currency [0] 2 2 31 3 4 2" xfId="26791" xr:uid="{00000000-0005-0000-0000-0000885F0000}"/>
    <cellStyle name="Currency [0] 2 2 31 3 4 3" xfId="42283" xr:uid="{00000000-0005-0000-0000-0000895F0000}"/>
    <cellStyle name="Currency [0] 2 2 31 3 5" xfId="19051" xr:uid="{00000000-0005-0000-0000-00008A5F0000}"/>
    <cellStyle name="Currency [0] 2 2 31 3 6" xfId="34543" xr:uid="{00000000-0005-0000-0000-00008B5F0000}"/>
    <cellStyle name="Currency [0] 2 2 31 4" xfId="4432" xr:uid="{00000000-0005-0000-0000-00008C5F0000}"/>
    <cellStyle name="Currency [0] 2 2 31 4 2" xfId="8303" xr:uid="{00000000-0005-0000-0000-00008D5F0000}"/>
    <cellStyle name="Currency [0] 2 2 31 4 2 2" xfId="16048" xr:uid="{00000000-0005-0000-0000-00008E5F0000}"/>
    <cellStyle name="Currency [0] 2 2 31 4 2 2 2" xfId="31640" xr:uid="{00000000-0005-0000-0000-00008F5F0000}"/>
    <cellStyle name="Currency [0] 2 2 31 4 2 2 3" xfId="47132" xr:uid="{00000000-0005-0000-0000-0000905F0000}"/>
    <cellStyle name="Currency [0] 2 2 31 4 2 3" xfId="23900" xr:uid="{00000000-0005-0000-0000-0000915F0000}"/>
    <cellStyle name="Currency [0] 2 2 31 4 2 4" xfId="39392" xr:uid="{00000000-0005-0000-0000-0000925F0000}"/>
    <cellStyle name="Currency [0] 2 2 31 4 3" xfId="12178" xr:uid="{00000000-0005-0000-0000-0000935F0000}"/>
    <cellStyle name="Currency [0] 2 2 31 4 3 2" xfId="27770" xr:uid="{00000000-0005-0000-0000-0000945F0000}"/>
    <cellStyle name="Currency [0] 2 2 31 4 3 3" xfId="43262" xr:uid="{00000000-0005-0000-0000-0000955F0000}"/>
    <cellStyle name="Currency [0] 2 2 31 4 4" xfId="20030" xr:uid="{00000000-0005-0000-0000-0000965F0000}"/>
    <cellStyle name="Currency [0] 2 2 31 4 5" xfId="35522" xr:uid="{00000000-0005-0000-0000-0000975F0000}"/>
    <cellStyle name="Currency [0] 2 2 31 5" xfId="6376" xr:uid="{00000000-0005-0000-0000-0000985F0000}"/>
    <cellStyle name="Currency [0] 2 2 31 5 2" xfId="14121" xr:uid="{00000000-0005-0000-0000-0000995F0000}"/>
    <cellStyle name="Currency [0] 2 2 31 5 2 2" xfId="29713" xr:uid="{00000000-0005-0000-0000-00009A5F0000}"/>
    <cellStyle name="Currency [0] 2 2 31 5 2 3" xfId="45205" xr:uid="{00000000-0005-0000-0000-00009B5F0000}"/>
    <cellStyle name="Currency [0] 2 2 31 5 3" xfId="21973" xr:uid="{00000000-0005-0000-0000-00009C5F0000}"/>
    <cellStyle name="Currency [0] 2 2 31 5 4" xfId="37465" xr:uid="{00000000-0005-0000-0000-00009D5F0000}"/>
    <cellStyle name="Currency [0] 2 2 31 6" xfId="10251" xr:uid="{00000000-0005-0000-0000-00009E5F0000}"/>
    <cellStyle name="Currency [0] 2 2 31 6 2" xfId="25843" xr:uid="{00000000-0005-0000-0000-00009F5F0000}"/>
    <cellStyle name="Currency [0] 2 2 31 6 3" xfId="41335" xr:uid="{00000000-0005-0000-0000-0000A05F0000}"/>
    <cellStyle name="Currency [0] 2 2 31 7" xfId="18103" xr:uid="{00000000-0005-0000-0000-0000A15F0000}"/>
    <cellStyle name="Currency [0] 2 2 31 8" xfId="33595" xr:uid="{00000000-0005-0000-0000-0000A25F0000}"/>
    <cellStyle name="Currency [0] 2 2 32" xfId="2469" xr:uid="{00000000-0005-0000-0000-0000A35F0000}"/>
    <cellStyle name="Currency [0] 2 2 32 2" xfId="2778" xr:uid="{00000000-0005-0000-0000-0000A45F0000}"/>
    <cellStyle name="Currency [0] 2 2 32 2 2" xfId="3786" xr:uid="{00000000-0005-0000-0000-0000A55F0000}"/>
    <cellStyle name="Currency [0] 2 2 32 2 2 2" xfId="5725" xr:uid="{00000000-0005-0000-0000-0000A65F0000}"/>
    <cellStyle name="Currency [0] 2 2 32 2 2 2 2" xfId="9596" xr:uid="{00000000-0005-0000-0000-0000A75F0000}"/>
    <cellStyle name="Currency [0] 2 2 32 2 2 2 2 2" xfId="17341" xr:uid="{00000000-0005-0000-0000-0000A85F0000}"/>
    <cellStyle name="Currency [0] 2 2 32 2 2 2 2 2 2" xfId="32933" xr:uid="{00000000-0005-0000-0000-0000A95F0000}"/>
    <cellStyle name="Currency [0] 2 2 32 2 2 2 2 2 3" xfId="48425" xr:uid="{00000000-0005-0000-0000-0000AA5F0000}"/>
    <cellStyle name="Currency [0] 2 2 32 2 2 2 2 3" xfId="25193" xr:uid="{00000000-0005-0000-0000-0000AB5F0000}"/>
    <cellStyle name="Currency [0] 2 2 32 2 2 2 2 4" xfId="40685" xr:uid="{00000000-0005-0000-0000-0000AC5F0000}"/>
    <cellStyle name="Currency [0] 2 2 32 2 2 2 3" xfId="13471" xr:uid="{00000000-0005-0000-0000-0000AD5F0000}"/>
    <cellStyle name="Currency [0] 2 2 32 2 2 2 3 2" xfId="29063" xr:uid="{00000000-0005-0000-0000-0000AE5F0000}"/>
    <cellStyle name="Currency [0] 2 2 32 2 2 2 3 3" xfId="44555" xr:uid="{00000000-0005-0000-0000-0000AF5F0000}"/>
    <cellStyle name="Currency [0] 2 2 32 2 2 2 4" xfId="21323" xr:uid="{00000000-0005-0000-0000-0000B05F0000}"/>
    <cellStyle name="Currency [0] 2 2 32 2 2 2 5" xfId="36815" xr:uid="{00000000-0005-0000-0000-0000B15F0000}"/>
    <cellStyle name="Currency [0] 2 2 32 2 2 3" xfId="7669" xr:uid="{00000000-0005-0000-0000-0000B25F0000}"/>
    <cellStyle name="Currency [0] 2 2 32 2 2 3 2" xfId="15414" xr:uid="{00000000-0005-0000-0000-0000B35F0000}"/>
    <cellStyle name="Currency [0] 2 2 32 2 2 3 2 2" xfId="31006" xr:uid="{00000000-0005-0000-0000-0000B45F0000}"/>
    <cellStyle name="Currency [0] 2 2 32 2 2 3 2 3" xfId="46498" xr:uid="{00000000-0005-0000-0000-0000B55F0000}"/>
    <cellStyle name="Currency [0] 2 2 32 2 2 3 3" xfId="23266" xr:uid="{00000000-0005-0000-0000-0000B65F0000}"/>
    <cellStyle name="Currency [0] 2 2 32 2 2 3 4" xfId="38758" xr:uid="{00000000-0005-0000-0000-0000B75F0000}"/>
    <cellStyle name="Currency [0] 2 2 32 2 2 4" xfId="11544" xr:uid="{00000000-0005-0000-0000-0000B85F0000}"/>
    <cellStyle name="Currency [0] 2 2 32 2 2 4 2" xfId="27136" xr:uid="{00000000-0005-0000-0000-0000B95F0000}"/>
    <cellStyle name="Currency [0] 2 2 32 2 2 4 3" xfId="42628" xr:uid="{00000000-0005-0000-0000-0000BA5F0000}"/>
    <cellStyle name="Currency [0] 2 2 32 2 2 5" xfId="19396" xr:uid="{00000000-0005-0000-0000-0000BB5F0000}"/>
    <cellStyle name="Currency [0] 2 2 32 2 2 6" xfId="34888" xr:uid="{00000000-0005-0000-0000-0000BC5F0000}"/>
    <cellStyle name="Currency [0] 2 2 32 2 3" xfId="4777" xr:uid="{00000000-0005-0000-0000-0000BD5F0000}"/>
    <cellStyle name="Currency [0] 2 2 32 2 3 2" xfId="8648" xr:uid="{00000000-0005-0000-0000-0000BE5F0000}"/>
    <cellStyle name="Currency [0] 2 2 32 2 3 2 2" xfId="16393" xr:uid="{00000000-0005-0000-0000-0000BF5F0000}"/>
    <cellStyle name="Currency [0] 2 2 32 2 3 2 2 2" xfId="31985" xr:uid="{00000000-0005-0000-0000-0000C05F0000}"/>
    <cellStyle name="Currency [0] 2 2 32 2 3 2 2 3" xfId="47477" xr:uid="{00000000-0005-0000-0000-0000C15F0000}"/>
    <cellStyle name="Currency [0] 2 2 32 2 3 2 3" xfId="24245" xr:uid="{00000000-0005-0000-0000-0000C25F0000}"/>
    <cellStyle name="Currency [0] 2 2 32 2 3 2 4" xfId="39737" xr:uid="{00000000-0005-0000-0000-0000C35F0000}"/>
    <cellStyle name="Currency [0] 2 2 32 2 3 3" xfId="12523" xr:uid="{00000000-0005-0000-0000-0000C45F0000}"/>
    <cellStyle name="Currency [0] 2 2 32 2 3 3 2" xfId="28115" xr:uid="{00000000-0005-0000-0000-0000C55F0000}"/>
    <cellStyle name="Currency [0] 2 2 32 2 3 3 3" xfId="43607" xr:uid="{00000000-0005-0000-0000-0000C65F0000}"/>
    <cellStyle name="Currency [0] 2 2 32 2 3 4" xfId="20375" xr:uid="{00000000-0005-0000-0000-0000C75F0000}"/>
    <cellStyle name="Currency [0] 2 2 32 2 3 5" xfId="35867" xr:uid="{00000000-0005-0000-0000-0000C85F0000}"/>
    <cellStyle name="Currency [0] 2 2 32 2 4" xfId="6721" xr:uid="{00000000-0005-0000-0000-0000C95F0000}"/>
    <cellStyle name="Currency [0] 2 2 32 2 4 2" xfId="14466" xr:uid="{00000000-0005-0000-0000-0000CA5F0000}"/>
    <cellStyle name="Currency [0] 2 2 32 2 4 2 2" xfId="30058" xr:uid="{00000000-0005-0000-0000-0000CB5F0000}"/>
    <cellStyle name="Currency [0] 2 2 32 2 4 2 3" xfId="45550" xr:uid="{00000000-0005-0000-0000-0000CC5F0000}"/>
    <cellStyle name="Currency [0] 2 2 32 2 4 3" xfId="22318" xr:uid="{00000000-0005-0000-0000-0000CD5F0000}"/>
    <cellStyle name="Currency [0] 2 2 32 2 4 4" xfId="37810" xr:uid="{00000000-0005-0000-0000-0000CE5F0000}"/>
    <cellStyle name="Currency [0] 2 2 32 2 5" xfId="10596" xr:uid="{00000000-0005-0000-0000-0000CF5F0000}"/>
    <cellStyle name="Currency [0] 2 2 32 2 5 2" xfId="26188" xr:uid="{00000000-0005-0000-0000-0000D05F0000}"/>
    <cellStyle name="Currency [0] 2 2 32 2 5 3" xfId="41680" xr:uid="{00000000-0005-0000-0000-0000D15F0000}"/>
    <cellStyle name="Currency [0] 2 2 32 2 6" xfId="18448" xr:uid="{00000000-0005-0000-0000-0000D25F0000}"/>
    <cellStyle name="Currency [0] 2 2 32 2 7" xfId="33940" xr:uid="{00000000-0005-0000-0000-0000D35F0000}"/>
    <cellStyle name="Currency [0] 2 2 32 3" xfId="3477" xr:uid="{00000000-0005-0000-0000-0000D45F0000}"/>
    <cellStyle name="Currency [0] 2 2 32 3 2" xfId="5416" xr:uid="{00000000-0005-0000-0000-0000D55F0000}"/>
    <cellStyle name="Currency [0] 2 2 32 3 2 2" xfId="9287" xr:uid="{00000000-0005-0000-0000-0000D65F0000}"/>
    <cellStyle name="Currency [0] 2 2 32 3 2 2 2" xfId="17032" xr:uid="{00000000-0005-0000-0000-0000D75F0000}"/>
    <cellStyle name="Currency [0] 2 2 32 3 2 2 2 2" xfId="32624" xr:uid="{00000000-0005-0000-0000-0000D85F0000}"/>
    <cellStyle name="Currency [0] 2 2 32 3 2 2 2 3" xfId="48116" xr:uid="{00000000-0005-0000-0000-0000D95F0000}"/>
    <cellStyle name="Currency [0] 2 2 32 3 2 2 3" xfId="24884" xr:uid="{00000000-0005-0000-0000-0000DA5F0000}"/>
    <cellStyle name="Currency [0] 2 2 32 3 2 2 4" xfId="40376" xr:uid="{00000000-0005-0000-0000-0000DB5F0000}"/>
    <cellStyle name="Currency [0] 2 2 32 3 2 3" xfId="13162" xr:uid="{00000000-0005-0000-0000-0000DC5F0000}"/>
    <cellStyle name="Currency [0] 2 2 32 3 2 3 2" xfId="28754" xr:uid="{00000000-0005-0000-0000-0000DD5F0000}"/>
    <cellStyle name="Currency [0] 2 2 32 3 2 3 3" xfId="44246" xr:uid="{00000000-0005-0000-0000-0000DE5F0000}"/>
    <cellStyle name="Currency [0] 2 2 32 3 2 4" xfId="21014" xr:uid="{00000000-0005-0000-0000-0000DF5F0000}"/>
    <cellStyle name="Currency [0] 2 2 32 3 2 5" xfId="36506" xr:uid="{00000000-0005-0000-0000-0000E05F0000}"/>
    <cellStyle name="Currency [0] 2 2 32 3 3" xfId="7360" xr:uid="{00000000-0005-0000-0000-0000E15F0000}"/>
    <cellStyle name="Currency [0] 2 2 32 3 3 2" xfId="15105" xr:uid="{00000000-0005-0000-0000-0000E25F0000}"/>
    <cellStyle name="Currency [0] 2 2 32 3 3 2 2" xfId="30697" xr:uid="{00000000-0005-0000-0000-0000E35F0000}"/>
    <cellStyle name="Currency [0] 2 2 32 3 3 2 3" xfId="46189" xr:uid="{00000000-0005-0000-0000-0000E45F0000}"/>
    <cellStyle name="Currency [0] 2 2 32 3 3 3" xfId="22957" xr:uid="{00000000-0005-0000-0000-0000E55F0000}"/>
    <cellStyle name="Currency [0] 2 2 32 3 3 4" xfId="38449" xr:uid="{00000000-0005-0000-0000-0000E65F0000}"/>
    <cellStyle name="Currency [0] 2 2 32 3 4" xfId="11235" xr:uid="{00000000-0005-0000-0000-0000E75F0000}"/>
    <cellStyle name="Currency [0] 2 2 32 3 4 2" xfId="26827" xr:uid="{00000000-0005-0000-0000-0000E85F0000}"/>
    <cellStyle name="Currency [0] 2 2 32 3 4 3" xfId="42319" xr:uid="{00000000-0005-0000-0000-0000E95F0000}"/>
    <cellStyle name="Currency [0] 2 2 32 3 5" xfId="19087" xr:uid="{00000000-0005-0000-0000-0000EA5F0000}"/>
    <cellStyle name="Currency [0] 2 2 32 3 6" xfId="34579" xr:uid="{00000000-0005-0000-0000-0000EB5F0000}"/>
    <cellStyle name="Currency [0] 2 2 32 4" xfId="4468" xr:uid="{00000000-0005-0000-0000-0000EC5F0000}"/>
    <cellStyle name="Currency [0] 2 2 32 4 2" xfId="8339" xr:uid="{00000000-0005-0000-0000-0000ED5F0000}"/>
    <cellStyle name="Currency [0] 2 2 32 4 2 2" xfId="16084" xr:uid="{00000000-0005-0000-0000-0000EE5F0000}"/>
    <cellStyle name="Currency [0] 2 2 32 4 2 2 2" xfId="31676" xr:uid="{00000000-0005-0000-0000-0000EF5F0000}"/>
    <cellStyle name="Currency [0] 2 2 32 4 2 2 3" xfId="47168" xr:uid="{00000000-0005-0000-0000-0000F05F0000}"/>
    <cellStyle name="Currency [0] 2 2 32 4 2 3" xfId="23936" xr:uid="{00000000-0005-0000-0000-0000F15F0000}"/>
    <cellStyle name="Currency [0] 2 2 32 4 2 4" xfId="39428" xr:uid="{00000000-0005-0000-0000-0000F25F0000}"/>
    <cellStyle name="Currency [0] 2 2 32 4 3" xfId="12214" xr:uid="{00000000-0005-0000-0000-0000F35F0000}"/>
    <cellStyle name="Currency [0] 2 2 32 4 3 2" xfId="27806" xr:uid="{00000000-0005-0000-0000-0000F45F0000}"/>
    <cellStyle name="Currency [0] 2 2 32 4 3 3" xfId="43298" xr:uid="{00000000-0005-0000-0000-0000F55F0000}"/>
    <cellStyle name="Currency [0] 2 2 32 4 4" xfId="20066" xr:uid="{00000000-0005-0000-0000-0000F65F0000}"/>
    <cellStyle name="Currency [0] 2 2 32 4 5" xfId="35558" xr:uid="{00000000-0005-0000-0000-0000F75F0000}"/>
    <cellStyle name="Currency [0] 2 2 32 5" xfId="6412" xr:uid="{00000000-0005-0000-0000-0000F85F0000}"/>
    <cellStyle name="Currency [0] 2 2 32 5 2" xfId="14157" xr:uid="{00000000-0005-0000-0000-0000F95F0000}"/>
    <cellStyle name="Currency [0] 2 2 32 5 2 2" xfId="29749" xr:uid="{00000000-0005-0000-0000-0000FA5F0000}"/>
    <cellStyle name="Currency [0] 2 2 32 5 2 3" xfId="45241" xr:uid="{00000000-0005-0000-0000-0000FB5F0000}"/>
    <cellStyle name="Currency [0] 2 2 32 5 3" xfId="22009" xr:uid="{00000000-0005-0000-0000-0000FC5F0000}"/>
    <cellStyle name="Currency [0] 2 2 32 5 4" xfId="37501" xr:uid="{00000000-0005-0000-0000-0000FD5F0000}"/>
    <cellStyle name="Currency [0] 2 2 32 6" xfId="10287" xr:uid="{00000000-0005-0000-0000-0000FE5F0000}"/>
    <cellStyle name="Currency [0] 2 2 32 6 2" xfId="25879" xr:uid="{00000000-0005-0000-0000-0000FF5F0000}"/>
    <cellStyle name="Currency [0] 2 2 32 6 3" xfId="41371" xr:uid="{00000000-0005-0000-0000-000000600000}"/>
    <cellStyle name="Currency [0] 2 2 32 7" xfId="18139" xr:uid="{00000000-0005-0000-0000-000001600000}"/>
    <cellStyle name="Currency [0] 2 2 32 8" xfId="33631" xr:uid="{00000000-0005-0000-0000-000002600000}"/>
    <cellStyle name="Currency [0] 2 2 33" xfId="2815" xr:uid="{00000000-0005-0000-0000-000003600000}"/>
    <cellStyle name="Currency [0] 2 2 33 2" xfId="3822" xr:uid="{00000000-0005-0000-0000-000004600000}"/>
    <cellStyle name="Currency [0] 2 2 33 2 2" xfId="5761" xr:uid="{00000000-0005-0000-0000-000005600000}"/>
    <cellStyle name="Currency [0] 2 2 33 2 2 2" xfId="9632" xr:uid="{00000000-0005-0000-0000-000006600000}"/>
    <cellStyle name="Currency [0] 2 2 33 2 2 2 2" xfId="17377" xr:uid="{00000000-0005-0000-0000-000007600000}"/>
    <cellStyle name="Currency [0] 2 2 33 2 2 2 2 2" xfId="32969" xr:uid="{00000000-0005-0000-0000-000008600000}"/>
    <cellStyle name="Currency [0] 2 2 33 2 2 2 2 3" xfId="48461" xr:uid="{00000000-0005-0000-0000-000009600000}"/>
    <cellStyle name="Currency [0] 2 2 33 2 2 2 3" xfId="25229" xr:uid="{00000000-0005-0000-0000-00000A600000}"/>
    <cellStyle name="Currency [0] 2 2 33 2 2 2 4" xfId="40721" xr:uid="{00000000-0005-0000-0000-00000B600000}"/>
    <cellStyle name="Currency [0] 2 2 33 2 2 3" xfId="13507" xr:uid="{00000000-0005-0000-0000-00000C600000}"/>
    <cellStyle name="Currency [0] 2 2 33 2 2 3 2" xfId="29099" xr:uid="{00000000-0005-0000-0000-00000D600000}"/>
    <cellStyle name="Currency [0] 2 2 33 2 2 3 3" xfId="44591" xr:uid="{00000000-0005-0000-0000-00000E600000}"/>
    <cellStyle name="Currency [0] 2 2 33 2 2 4" xfId="21359" xr:uid="{00000000-0005-0000-0000-00000F600000}"/>
    <cellStyle name="Currency [0] 2 2 33 2 2 5" xfId="36851" xr:uid="{00000000-0005-0000-0000-000010600000}"/>
    <cellStyle name="Currency [0] 2 2 33 2 3" xfId="7705" xr:uid="{00000000-0005-0000-0000-000011600000}"/>
    <cellStyle name="Currency [0] 2 2 33 2 3 2" xfId="15450" xr:uid="{00000000-0005-0000-0000-000012600000}"/>
    <cellStyle name="Currency [0] 2 2 33 2 3 2 2" xfId="31042" xr:uid="{00000000-0005-0000-0000-000013600000}"/>
    <cellStyle name="Currency [0] 2 2 33 2 3 2 3" xfId="46534" xr:uid="{00000000-0005-0000-0000-000014600000}"/>
    <cellStyle name="Currency [0] 2 2 33 2 3 3" xfId="23302" xr:uid="{00000000-0005-0000-0000-000015600000}"/>
    <cellStyle name="Currency [0] 2 2 33 2 3 4" xfId="38794" xr:uid="{00000000-0005-0000-0000-000016600000}"/>
    <cellStyle name="Currency [0] 2 2 33 2 4" xfId="11580" xr:uid="{00000000-0005-0000-0000-000017600000}"/>
    <cellStyle name="Currency [0] 2 2 33 2 4 2" xfId="27172" xr:uid="{00000000-0005-0000-0000-000018600000}"/>
    <cellStyle name="Currency [0] 2 2 33 2 4 3" xfId="42664" xr:uid="{00000000-0005-0000-0000-000019600000}"/>
    <cellStyle name="Currency [0] 2 2 33 2 5" xfId="19432" xr:uid="{00000000-0005-0000-0000-00001A600000}"/>
    <cellStyle name="Currency [0] 2 2 33 2 6" xfId="34924" xr:uid="{00000000-0005-0000-0000-00001B600000}"/>
    <cellStyle name="Currency [0] 2 2 33 3" xfId="4813" xr:uid="{00000000-0005-0000-0000-00001C600000}"/>
    <cellStyle name="Currency [0] 2 2 33 3 2" xfId="8684" xr:uid="{00000000-0005-0000-0000-00001D600000}"/>
    <cellStyle name="Currency [0] 2 2 33 3 2 2" xfId="16429" xr:uid="{00000000-0005-0000-0000-00001E600000}"/>
    <cellStyle name="Currency [0] 2 2 33 3 2 2 2" xfId="32021" xr:uid="{00000000-0005-0000-0000-00001F600000}"/>
    <cellStyle name="Currency [0] 2 2 33 3 2 2 3" xfId="47513" xr:uid="{00000000-0005-0000-0000-000020600000}"/>
    <cellStyle name="Currency [0] 2 2 33 3 2 3" xfId="24281" xr:uid="{00000000-0005-0000-0000-000021600000}"/>
    <cellStyle name="Currency [0] 2 2 33 3 2 4" xfId="39773" xr:uid="{00000000-0005-0000-0000-000022600000}"/>
    <cellStyle name="Currency [0] 2 2 33 3 3" xfId="12559" xr:uid="{00000000-0005-0000-0000-000023600000}"/>
    <cellStyle name="Currency [0] 2 2 33 3 3 2" xfId="28151" xr:uid="{00000000-0005-0000-0000-000024600000}"/>
    <cellStyle name="Currency [0] 2 2 33 3 3 3" xfId="43643" xr:uid="{00000000-0005-0000-0000-000025600000}"/>
    <cellStyle name="Currency [0] 2 2 33 3 4" xfId="20411" xr:uid="{00000000-0005-0000-0000-000026600000}"/>
    <cellStyle name="Currency [0] 2 2 33 3 5" xfId="35903" xr:uid="{00000000-0005-0000-0000-000027600000}"/>
    <cellStyle name="Currency [0] 2 2 33 4" xfId="6757" xr:uid="{00000000-0005-0000-0000-000028600000}"/>
    <cellStyle name="Currency [0] 2 2 33 4 2" xfId="14502" xr:uid="{00000000-0005-0000-0000-000029600000}"/>
    <cellStyle name="Currency [0] 2 2 33 4 2 2" xfId="30094" xr:uid="{00000000-0005-0000-0000-00002A600000}"/>
    <cellStyle name="Currency [0] 2 2 33 4 2 3" xfId="45586" xr:uid="{00000000-0005-0000-0000-00002B600000}"/>
    <cellStyle name="Currency [0] 2 2 33 4 3" xfId="22354" xr:uid="{00000000-0005-0000-0000-00002C600000}"/>
    <cellStyle name="Currency [0] 2 2 33 4 4" xfId="37846" xr:uid="{00000000-0005-0000-0000-00002D600000}"/>
    <cellStyle name="Currency [0] 2 2 33 5" xfId="10632" xr:uid="{00000000-0005-0000-0000-00002E600000}"/>
    <cellStyle name="Currency [0] 2 2 33 5 2" xfId="26224" xr:uid="{00000000-0005-0000-0000-00002F600000}"/>
    <cellStyle name="Currency [0] 2 2 33 5 3" xfId="41716" xr:uid="{00000000-0005-0000-0000-000030600000}"/>
    <cellStyle name="Currency [0] 2 2 33 6" xfId="18484" xr:uid="{00000000-0005-0000-0000-000031600000}"/>
    <cellStyle name="Currency [0] 2 2 33 7" xfId="33976" xr:uid="{00000000-0005-0000-0000-000032600000}"/>
    <cellStyle name="Currency [0] 2 2 34" xfId="2854" xr:uid="{00000000-0005-0000-0000-000033600000}"/>
    <cellStyle name="Currency [0] 2 2 34 2" xfId="3860" xr:uid="{00000000-0005-0000-0000-000034600000}"/>
    <cellStyle name="Currency [0] 2 2 34 2 2" xfId="5799" xr:uid="{00000000-0005-0000-0000-000035600000}"/>
    <cellStyle name="Currency [0] 2 2 34 2 2 2" xfId="9670" xr:uid="{00000000-0005-0000-0000-000036600000}"/>
    <cellStyle name="Currency [0] 2 2 34 2 2 2 2" xfId="17415" xr:uid="{00000000-0005-0000-0000-000037600000}"/>
    <cellStyle name="Currency [0] 2 2 34 2 2 2 2 2" xfId="33007" xr:uid="{00000000-0005-0000-0000-000038600000}"/>
    <cellStyle name="Currency [0] 2 2 34 2 2 2 2 3" xfId="48499" xr:uid="{00000000-0005-0000-0000-000039600000}"/>
    <cellStyle name="Currency [0] 2 2 34 2 2 2 3" xfId="25267" xr:uid="{00000000-0005-0000-0000-00003A600000}"/>
    <cellStyle name="Currency [0] 2 2 34 2 2 2 4" xfId="40759" xr:uid="{00000000-0005-0000-0000-00003B600000}"/>
    <cellStyle name="Currency [0] 2 2 34 2 2 3" xfId="13545" xr:uid="{00000000-0005-0000-0000-00003C600000}"/>
    <cellStyle name="Currency [0] 2 2 34 2 2 3 2" xfId="29137" xr:uid="{00000000-0005-0000-0000-00003D600000}"/>
    <cellStyle name="Currency [0] 2 2 34 2 2 3 3" xfId="44629" xr:uid="{00000000-0005-0000-0000-00003E600000}"/>
    <cellStyle name="Currency [0] 2 2 34 2 2 4" xfId="21397" xr:uid="{00000000-0005-0000-0000-00003F600000}"/>
    <cellStyle name="Currency [0] 2 2 34 2 2 5" xfId="36889" xr:uid="{00000000-0005-0000-0000-000040600000}"/>
    <cellStyle name="Currency [0] 2 2 34 2 3" xfId="7743" xr:uid="{00000000-0005-0000-0000-000041600000}"/>
    <cellStyle name="Currency [0] 2 2 34 2 3 2" xfId="15488" xr:uid="{00000000-0005-0000-0000-000042600000}"/>
    <cellStyle name="Currency [0] 2 2 34 2 3 2 2" xfId="31080" xr:uid="{00000000-0005-0000-0000-000043600000}"/>
    <cellStyle name="Currency [0] 2 2 34 2 3 2 3" xfId="46572" xr:uid="{00000000-0005-0000-0000-000044600000}"/>
    <cellStyle name="Currency [0] 2 2 34 2 3 3" xfId="23340" xr:uid="{00000000-0005-0000-0000-000045600000}"/>
    <cellStyle name="Currency [0] 2 2 34 2 3 4" xfId="38832" xr:uid="{00000000-0005-0000-0000-000046600000}"/>
    <cellStyle name="Currency [0] 2 2 34 2 4" xfId="11618" xr:uid="{00000000-0005-0000-0000-000047600000}"/>
    <cellStyle name="Currency [0] 2 2 34 2 4 2" xfId="27210" xr:uid="{00000000-0005-0000-0000-000048600000}"/>
    <cellStyle name="Currency [0] 2 2 34 2 4 3" xfId="42702" xr:uid="{00000000-0005-0000-0000-000049600000}"/>
    <cellStyle name="Currency [0] 2 2 34 2 5" xfId="19470" xr:uid="{00000000-0005-0000-0000-00004A600000}"/>
    <cellStyle name="Currency [0] 2 2 34 2 6" xfId="34962" xr:uid="{00000000-0005-0000-0000-00004B600000}"/>
    <cellStyle name="Currency [0] 2 2 34 3" xfId="4851" xr:uid="{00000000-0005-0000-0000-00004C600000}"/>
    <cellStyle name="Currency [0] 2 2 34 3 2" xfId="8722" xr:uid="{00000000-0005-0000-0000-00004D600000}"/>
    <cellStyle name="Currency [0] 2 2 34 3 2 2" xfId="16467" xr:uid="{00000000-0005-0000-0000-00004E600000}"/>
    <cellStyle name="Currency [0] 2 2 34 3 2 2 2" xfId="32059" xr:uid="{00000000-0005-0000-0000-00004F600000}"/>
    <cellStyle name="Currency [0] 2 2 34 3 2 2 3" xfId="47551" xr:uid="{00000000-0005-0000-0000-000050600000}"/>
    <cellStyle name="Currency [0] 2 2 34 3 2 3" xfId="24319" xr:uid="{00000000-0005-0000-0000-000051600000}"/>
    <cellStyle name="Currency [0] 2 2 34 3 2 4" xfId="39811" xr:uid="{00000000-0005-0000-0000-000052600000}"/>
    <cellStyle name="Currency [0] 2 2 34 3 3" xfId="12597" xr:uid="{00000000-0005-0000-0000-000053600000}"/>
    <cellStyle name="Currency [0] 2 2 34 3 3 2" xfId="28189" xr:uid="{00000000-0005-0000-0000-000054600000}"/>
    <cellStyle name="Currency [0] 2 2 34 3 3 3" xfId="43681" xr:uid="{00000000-0005-0000-0000-000055600000}"/>
    <cellStyle name="Currency [0] 2 2 34 3 4" xfId="20449" xr:uid="{00000000-0005-0000-0000-000056600000}"/>
    <cellStyle name="Currency [0] 2 2 34 3 5" xfId="35941" xr:uid="{00000000-0005-0000-0000-000057600000}"/>
    <cellStyle name="Currency [0] 2 2 34 4" xfId="6795" xr:uid="{00000000-0005-0000-0000-000058600000}"/>
    <cellStyle name="Currency [0] 2 2 34 4 2" xfId="14540" xr:uid="{00000000-0005-0000-0000-000059600000}"/>
    <cellStyle name="Currency [0] 2 2 34 4 2 2" xfId="30132" xr:uid="{00000000-0005-0000-0000-00005A600000}"/>
    <cellStyle name="Currency [0] 2 2 34 4 2 3" xfId="45624" xr:uid="{00000000-0005-0000-0000-00005B600000}"/>
    <cellStyle name="Currency [0] 2 2 34 4 3" xfId="22392" xr:uid="{00000000-0005-0000-0000-00005C600000}"/>
    <cellStyle name="Currency [0] 2 2 34 4 4" xfId="37884" xr:uid="{00000000-0005-0000-0000-00005D600000}"/>
    <cellStyle name="Currency [0] 2 2 34 5" xfId="10670" xr:uid="{00000000-0005-0000-0000-00005E600000}"/>
    <cellStyle name="Currency [0] 2 2 34 5 2" xfId="26262" xr:uid="{00000000-0005-0000-0000-00005F600000}"/>
    <cellStyle name="Currency [0] 2 2 34 5 3" xfId="41754" xr:uid="{00000000-0005-0000-0000-000060600000}"/>
    <cellStyle name="Currency [0] 2 2 34 6" xfId="18522" xr:uid="{00000000-0005-0000-0000-000061600000}"/>
    <cellStyle name="Currency [0] 2 2 34 7" xfId="34014" xr:uid="{00000000-0005-0000-0000-000062600000}"/>
    <cellStyle name="Currency [0] 2 2 35" xfId="2891" xr:uid="{00000000-0005-0000-0000-000063600000}"/>
    <cellStyle name="Currency [0] 2 2 35 2" xfId="3896" xr:uid="{00000000-0005-0000-0000-000064600000}"/>
    <cellStyle name="Currency [0] 2 2 35 2 2" xfId="5835" xr:uid="{00000000-0005-0000-0000-000065600000}"/>
    <cellStyle name="Currency [0] 2 2 35 2 2 2" xfId="9706" xr:uid="{00000000-0005-0000-0000-000066600000}"/>
    <cellStyle name="Currency [0] 2 2 35 2 2 2 2" xfId="17451" xr:uid="{00000000-0005-0000-0000-000067600000}"/>
    <cellStyle name="Currency [0] 2 2 35 2 2 2 2 2" xfId="33043" xr:uid="{00000000-0005-0000-0000-000068600000}"/>
    <cellStyle name="Currency [0] 2 2 35 2 2 2 2 3" xfId="48535" xr:uid="{00000000-0005-0000-0000-000069600000}"/>
    <cellStyle name="Currency [0] 2 2 35 2 2 2 3" xfId="25303" xr:uid="{00000000-0005-0000-0000-00006A600000}"/>
    <cellStyle name="Currency [0] 2 2 35 2 2 2 4" xfId="40795" xr:uid="{00000000-0005-0000-0000-00006B600000}"/>
    <cellStyle name="Currency [0] 2 2 35 2 2 3" xfId="13581" xr:uid="{00000000-0005-0000-0000-00006C600000}"/>
    <cellStyle name="Currency [0] 2 2 35 2 2 3 2" xfId="29173" xr:uid="{00000000-0005-0000-0000-00006D600000}"/>
    <cellStyle name="Currency [0] 2 2 35 2 2 3 3" xfId="44665" xr:uid="{00000000-0005-0000-0000-00006E600000}"/>
    <cellStyle name="Currency [0] 2 2 35 2 2 4" xfId="21433" xr:uid="{00000000-0005-0000-0000-00006F600000}"/>
    <cellStyle name="Currency [0] 2 2 35 2 2 5" xfId="36925" xr:uid="{00000000-0005-0000-0000-000070600000}"/>
    <cellStyle name="Currency [0] 2 2 35 2 3" xfId="7779" xr:uid="{00000000-0005-0000-0000-000071600000}"/>
    <cellStyle name="Currency [0] 2 2 35 2 3 2" xfId="15524" xr:uid="{00000000-0005-0000-0000-000072600000}"/>
    <cellStyle name="Currency [0] 2 2 35 2 3 2 2" xfId="31116" xr:uid="{00000000-0005-0000-0000-000073600000}"/>
    <cellStyle name="Currency [0] 2 2 35 2 3 2 3" xfId="46608" xr:uid="{00000000-0005-0000-0000-000074600000}"/>
    <cellStyle name="Currency [0] 2 2 35 2 3 3" xfId="23376" xr:uid="{00000000-0005-0000-0000-000075600000}"/>
    <cellStyle name="Currency [0] 2 2 35 2 3 4" xfId="38868" xr:uid="{00000000-0005-0000-0000-000076600000}"/>
    <cellStyle name="Currency [0] 2 2 35 2 4" xfId="11654" xr:uid="{00000000-0005-0000-0000-000077600000}"/>
    <cellStyle name="Currency [0] 2 2 35 2 4 2" xfId="27246" xr:uid="{00000000-0005-0000-0000-000078600000}"/>
    <cellStyle name="Currency [0] 2 2 35 2 4 3" xfId="42738" xr:uid="{00000000-0005-0000-0000-000079600000}"/>
    <cellStyle name="Currency [0] 2 2 35 2 5" xfId="19506" xr:uid="{00000000-0005-0000-0000-00007A600000}"/>
    <cellStyle name="Currency [0] 2 2 35 2 6" xfId="34998" xr:uid="{00000000-0005-0000-0000-00007B600000}"/>
    <cellStyle name="Currency [0] 2 2 35 3" xfId="4887" xr:uid="{00000000-0005-0000-0000-00007C600000}"/>
    <cellStyle name="Currency [0] 2 2 35 3 2" xfId="8758" xr:uid="{00000000-0005-0000-0000-00007D600000}"/>
    <cellStyle name="Currency [0] 2 2 35 3 2 2" xfId="16503" xr:uid="{00000000-0005-0000-0000-00007E600000}"/>
    <cellStyle name="Currency [0] 2 2 35 3 2 2 2" xfId="32095" xr:uid="{00000000-0005-0000-0000-00007F600000}"/>
    <cellStyle name="Currency [0] 2 2 35 3 2 2 3" xfId="47587" xr:uid="{00000000-0005-0000-0000-000080600000}"/>
    <cellStyle name="Currency [0] 2 2 35 3 2 3" xfId="24355" xr:uid="{00000000-0005-0000-0000-000081600000}"/>
    <cellStyle name="Currency [0] 2 2 35 3 2 4" xfId="39847" xr:uid="{00000000-0005-0000-0000-000082600000}"/>
    <cellStyle name="Currency [0] 2 2 35 3 3" xfId="12633" xr:uid="{00000000-0005-0000-0000-000083600000}"/>
    <cellStyle name="Currency [0] 2 2 35 3 3 2" xfId="28225" xr:uid="{00000000-0005-0000-0000-000084600000}"/>
    <cellStyle name="Currency [0] 2 2 35 3 3 3" xfId="43717" xr:uid="{00000000-0005-0000-0000-000085600000}"/>
    <cellStyle name="Currency [0] 2 2 35 3 4" xfId="20485" xr:uid="{00000000-0005-0000-0000-000086600000}"/>
    <cellStyle name="Currency [0] 2 2 35 3 5" xfId="35977" xr:uid="{00000000-0005-0000-0000-000087600000}"/>
    <cellStyle name="Currency [0] 2 2 35 4" xfId="6831" xr:uid="{00000000-0005-0000-0000-000088600000}"/>
    <cellStyle name="Currency [0] 2 2 35 4 2" xfId="14576" xr:uid="{00000000-0005-0000-0000-000089600000}"/>
    <cellStyle name="Currency [0] 2 2 35 4 2 2" xfId="30168" xr:uid="{00000000-0005-0000-0000-00008A600000}"/>
    <cellStyle name="Currency [0] 2 2 35 4 2 3" xfId="45660" xr:uid="{00000000-0005-0000-0000-00008B600000}"/>
    <cellStyle name="Currency [0] 2 2 35 4 3" xfId="22428" xr:uid="{00000000-0005-0000-0000-00008C600000}"/>
    <cellStyle name="Currency [0] 2 2 35 4 4" xfId="37920" xr:uid="{00000000-0005-0000-0000-00008D600000}"/>
    <cellStyle name="Currency [0] 2 2 35 5" xfId="10706" xr:uid="{00000000-0005-0000-0000-00008E600000}"/>
    <cellStyle name="Currency [0] 2 2 35 5 2" xfId="26298" xr:uid="{00000000-0005-0000-0000-00008F600000}"/>
    <cellStyle name="Currency [0] 2 2 35 5 3" xfId="41790" xr:uid="{00000000-0005-0000-0000-000090600000}"/>
    <cellStyle name="Currency [0] 2 2 35 6" xfId="18558" xr:uid="{00000000-0005-0000-0000-000091600000}"/>
    <cellStyle name="Currency [0] 2 2 35 7" xfId="34050" xr:uid="{00000000-0005-0000-0000-000092600000}"/>
    <cellStyle name="Currency [0] 2 2 36" xfId="2928" xr:uid="{00000000-0005-0000-0000-000093600000}"/>
    <cellStyle name="Currency [0] 2 2 36 2" xfId="3932" xr:uid="{00000000-0005-0000-0000-000094600000}"/>
    <cellStyle name="Currency [0] 2 2 36 2 2" xfId="5871" xr:uid="{00000000-0005-0000-0000-000095600000}"/>
    <cellStyle name="Currency [0] 2 2 36 2 2 2" xfId="9742" xr:uid="{00000000-0005-0000-0000-000096600000}"/>
    <cellStyle name="Currency [0] 2 2 36 2 2 2 2" xfId="17487" xr:uid="{00000000-0005-0000-0000-000097600000}"/>
    <cellStyle name="Currency [0] 2 2 36 2 2 2 2 2" xfId="33079" xr:uid="{00000000-0005-0000-0000-000098600000}"/>
    <cellStyle name="Currency [0] 2 2 36 2 2 2 2 3" xfId="48571" xr:uid="{00000000-0005-0000-0000-000099600000}"/>
    <cellStyle name="Currency [0] 2 2 36 2 2 2 3" xfId="25339" xr:uid="{00000000-0005-0000-0000-00009A600000}"/>
    <cellStyle name="Currency [0] 2 2 36 2 2 2 4" xfId="40831" xr:uid="{00000000-0005-0000-0000-00009B600000}"/>
    <cellStyle name="Currency [0] 2 2 36 2 2 3" xfId="13617" xr:uid="{00000000-0005-0000-0000-00009C600000}"/>
    <cellStyle name="Currency [0] 2 2 36 2 2 3 2" xfId="29209" xr:uid="{00000000-0005-0000-0000-00009D600000}"/>
    <cellStyle name="Currency [0] 2 2 36 2 2 3 3" xfId="44701" xr:uid="{00000000-0005-0000-0000-00009E600000}"/>
    <cellStyle name="Currency [0] 2 2 36 2 2 4" xfId="21469" xr:uid="{00000000-0005-0000-0000-00009F600000}"/>
    <cellStyle name="Currency [0] 2 2 36 2 2 5" xfId="36961" xr:uid="{00000000-0005-0000-0000-0000A0600000}"/>
    <cellStyle name="Currency [0] 2 2 36 2 3" xfId="7815" xr:uid="{00000000-0005-0000-0000-0000A1600000}"/>
    <cellStyle name="Currency [0] 2 2 36 2 3 2" xfId="15560" xr:uid="{00000000-0005-0000-0000-0000A2600000}"/>
    <cellStyle name="Currency [0] 2 2 36 2 3 2 2" xfId="31152" xr:uid="{00000000-0005-0000-0000-0000A3600000}"/>
    <cellStyle name="Currency [0] 2 2 36 2 3 2 3" xfId="46644" xr:uid="{00000000-0005-0000-0000-0000A4600000}"/>
    <cellStyle name="Currency [0] 2 2 36 2 3 3" xfId="23412" xr:uid="{00000000-0005-0000-0000-0000A5600000}"/>
    <cellStyle name="Currency [0] 2 2 36 2 3 4" xfId="38904" xr:uid="{00000000-0005-0000-0000-0000A6600000}"/>
    <cellStyle name="Currency [0] 2 2 36 2 4" xfId="11690" xr:uid="{00000000-0005-0000-0000-0000A7600000}"/>
    <cellStyle name="Currency [0] 2 2 36 2 4 2" xfId="27282" xr:uid="{00000000-0005-0000-0000-0000A8600000}"/>
    <cellStyle name="Currency [0] 2 2 36 2 4 3" xfId="42774" xr:uid="{00000000-0005-0000-0000-0000A9600000}"/>
    <cellStyle name="Currency [0] 2 2 36 2 5" xfId="19542" xr:uid="{00000000-0005-0000-0000-0000AA600000}"/>
    <cellStyle name="Currency [0] 2 2 36 2 6" xfId="35034" xr:uid="{00000000-0005-0000-0000-0000AB600000}"/>
    <cellStyle name="Currency [0] 2 2 36 3" xfId="4923" xr:uid="{00000000-0005-0000-0000-0000AC600000}"/>
    <cellStyle name="Currency [0] 2 2 36 3 2" xfId="8794" xr:uid="{00000000-0005-0000-0000-0000AD600000}"/>
    <cellStyle name="Currency [0] 2 2 36 3 2 2" xfId="16539" xr:uid="{00000000-0005-0000-0000-0000AE600000}"/>
    <cellStyle name="Currency [0] 2 2 36 3 2 2 2" xfId="32131" xr:uid="{00000000-0005-0000-0000-0000AF600000}"/>
    <cellStyle name="Currency [0] 2 2 36 3 2 2 3" xfId="47623" xr:uid="{00000000-0005-0000-0000-0000B0600000}"/>
    <cellStyle name="Currency [0] 2 2 36 3 2 3" xfId="24391" xr:uid="{00000000-0005-0000-0000-0000B1600000}"/>
    <cellStyle name="Currency [0] 2 2 36 3 2 4" xfId="39883" xr:uid="{00000000-0005-0000-0000-0000B2600000}"/>
    <cellStyle name="Currency [0] 2 2 36 3 3" xfId="12669" xr:uid="{00000000-0005-0000-0000-0000B3600000}"/>
    <cellStyle name="Currency [0] 2 2 36 3 3 2" xfId="28261" xr:uid="{00000000-0005-0000-0000-0000B4600000}"/>
    <cellStyle name="Currency [0] 2 2 36 3 3 3" xfId="43753" xr:uid="{00000000-0005-0000-0000-0000B5600000}"/>
    <cellStyle name="Currency [0] 2 2 36 3 4" xfId="20521" xr:uid="{00000000-0005-0000-0000-0000B6600000}"/>
    <cellStyle name="Currency [0] 2 2 36 3 5" xfId="36013" xr:uid="{00000000-0005-0000-0000-0000B7600000}"/>
    <cellStyle name="Currency [0] 2 2 36 4" xfId="6867" xr:uid="{00000000-0005-0000-0000-0000B8600000}"/>
    <cellStyle name="Currency [0] 2 2 36 4 2" xfId="14612" xr:uid="{00000000-0005-0000-0000-0000B9600000}"/>
    <cellStyle name="Currency [0] 2 2 36 4 2 2" xfId="30204" xr:uid="{00000000-0005-0000-0000-0000BA600000}"/>
    <cellStyle name="Currency [0] 2 2 36 4 2 3" xfId="45696" xr:uid="{00000000-0005-0000-0000-0000BB600000}"/>
    <cellStyle name="Currency [0] 2 2 36 4 3" xfId="22464" xr:uid="{00000000-0005-0000-0000-0000BC600000}"/>
    <cellStyle name="Currency [0] 2 2 36 4 4" xfId="37956" xr:uid="{00000000-0005-0000-0000-0000BD600000}"/>
    <cellStyle name="Currency [0] 2 2 36 5" xfId="10742" xr:uid="{00000000-0005-0000-0000-0000BE600000}"/>
    <cellStyle name="Currency [0] 2 2 36 5 2" xfId="26334" xr:uid="{00000000-0005-0000-0000-0000BF600000}"/>
    <cellStyle name="Currency [0] 2 2 36 5 3" xfId="41826" xr:uid="{00000000-0005-0000-0000-0000C0600000}"/>
    <cellStyle name="Currency [0] 2 2 36 6" xfId="18594" xr:uid="{00000000-0005-0000-0000-0000C1600000}"/>
    <cellStyle name="Currency [0] 2 2 36 7" xfId="34086" xr:uid="{00000000-0005-0000-0000-0000C2600000}"/>
    <cellStyle name="Currency [0] 2 2 37" xfId="2967" xr:uid="{00000000-0005-0000-0000-0000C3600000}"/>
    <cellStyle name="Currency [0] 2 2 37 2" xfId="3968" xr:uid="{00000000-0005-0000-0000-0000C4600000}"/>
    <cellStyle name="Currency [0] 2 2 37 2 2" xfId="5907" xr:uid="{00000000-0005-0000-0000-0000C5600000}"/>
    <cellStyle name="Currency [0] 2 2 37 2 2 2" xfId="9778" xr:uid="{00000000-0005-0000-0000-0000C6600000}"/>
    <cellStyle name="Currency [0] 2 2 37 2 2 2 2" xfId="17523" xr:uid="{00000000-0005-0000-0000-0000C7600000}"/>
    <cellStyle name="Currency [0] 2 2 37 2 2 2 2 2" xfId="33115" xr:uid="{00000000-0005-0000-0000-0000C8600000}"/>
    <cellStyle name="Currency [0] 2 2 37 2 2 2 2 3" xfId="48607" xr:uid="{00000000-0005-0000-0000-0000C9600000}"/>
    <cellStyle name="Currency [0] 2 2 37 2 2 2 3" xfId="25375" xr:uid="{00000000-0005-0000-0000-0000CA600000}"/>
    <cellStyle name="Currency [0] 2 2 37 2 2 2 4" xfId="40867" xr:uid="{00000000-0005-0000-0000-0000CB600000}"/>
    <cellStyle name="Currency [0] 2 2 37 2 2 3" xfId="13653" xr:uid="{00000000-0005-0000-0000-0000CC600000}"/>
    <cellStyle name="Currency [0] 2 2 37 2 2 3 2" xfId="29245" xr:uid="{00000000-0005-0000-0000-0000CD600000}"/>
    <cellStyle name="Currency [0] 2 2 37 2 2 3 3" xfId="44737" xr:uid="{00000000-0005-0000-0000-0000CE600000}"/>
    <cellStyle name="Currency [0] 2 2 37 2 2 4" xfId="21505" xr:uid="{00000000-0005-0000-0000-0000CF600000}"/>
    <cellStyle name="Currency [0] 2 2 37 2 2 5" xfId="36997" xr:uid="{00000000-0005-0000-0000-0000D0600000}"/>
    <cellStyle name="Currency [0] 2 2 37 2 3" xfId="7851" xr:uid="{00000000-0005-0000-0000-0000D1600000}"/>
    <cellStyle name="Currency [0] 2 2 37 2 3 2" xfId="15596" xr:uid="{00000000-0005-0000-0000-0000D2600000}"/>
    <cellStyle name="Currency [0] 2 2 37 2 3 2 2" xfId="31188" xr:uid="{00000000-0005-0000-0000-0000D3600000}"/>
    <cellStyle name="Currency [0] 2 2 37 2 3 2 3" xfId="46680" xr:uid="{00000000-0005-0000-0000-0000D4600000}"/>
    <cellStyle name="Currency [0] 2 2 37 2 3 3" xfId="23448" xr:uid="{00000000-0005-0000-0000-0000D5600000}"/>
    <cellStyle name="Currency [0] 2 2 37 2 3 4" xfId="38940" xr:uid="{00000000-0005-0000-0000-0000D6600000}"/>
    <cellStyle name="Currency [0] 2 2 37 2 4" xfId="11726" xr:uid="{00000000-0005-0000-0000-0000D7600000}"/>
    <cellStyle name="Currency [0] 2 2 37 2 4 2" xfId="27318" xr:uid="{00000000-0005-0000-0000-0000D8600000}"/>
    <cellStyle name="Currency [0] 2 2 37 2 4 3" xfId="42810" xr:uid="{00000000-0005-0000-0000-0000D9600000}"/>
    <cellStyle name="Currency [0] 2 2 37 2 5" xfId="19578" xr:uid="{00000000-0005-0000-0000-0000DA600000}"/>
    <cellStyle name="Currency [0] 2 2 37 2 6" xfId="35070" xr:uid="{00000000-0005-0000-0000-0000DB600000}"/>
    <cellStyle name="Currency [0] 2 2 37 3" xfId="4959" xr:uid="{00000000-0005-0000-0000-0000DC600000}"/>
    <cellStyle name="Currency [0] 2 2 37 3 2" xfId="8830" xr:uid="{00000000-0005-0000-0000-0000DD600000}"/>
    <cellStyle name="Currency [0] 2 2 37 3 2 2" xfId="16575" xr:uid="{00000000-0005-0000-0000-0000DE600000}"/>
    <cellStyle name="Currency [0] 2 2 37 3 2 2 2" xfId="32167" xr:uid="{00000000-0005-0000-0000-0000DF600000}"/>
    <cellStyle name="Currency [0] 2 2 37 3 2 2 3" xfId="47659" xr:uid="{00000000-0005-0000-0000-0000E0600000}"/>
    <cellStyle name="Currency [0] 2 2 37 3 2 3" xfId="24427" xr:uid="{00000000-0005-0000-0000-0000E1600000}"/>
    <cellStyle name="Currency [0] 2 2 37 3 2 4" xfId="39919" xr:uid="{00000000-0005-0000-0000-0000E2600000}"/>
    <cellStyle name="Currency [0] 2 2 37 3 3" xfId="12705" xr:uid="{00000000-0005-0000-0000-0000E3600000}"/>
    <cellStyle name="Currency [0] 2 2 37 3 3 2" xfId="28297" xr:uid="{00000000-0005-0000-0000-0000E4600000}"/>
    <cellStyle name="Currency [0] 2 2 37 3 3 3" xfId="43789" xr:uid="{00000000-0005-0000-0000-0000E5600000}"/>
    <cellStyle name="Currency [0] 2 2 37 3 4" xfId="20557" xr:uid="{00000000-0005-0000-0000-0000E6600000}"/>
    <cellStyle name="Currency [0] 2 2 37 3 5" xfId="36049" xr:uid="{00000000-0005-0000-0000-0000E7600000}"/>
    <cellStyle name="Currency [0] 2 2 37 4" xfId="6903" xr:uid="{00000000-0005-0000-0000-0000E8600000}"/>
    <cellStyle name="Currency [0] 2 2 37 4 2" xfId="14648" xr:uid="{00000000-0005-0000-0000-0000E9600000}"/>
    <cellStyle name="Currency [0] 2 2 37 4 2 2" xfId="30240" xr:uid="{00000000-0005-0000-0000-0000EA600000}"/>
    <cellStyle name="Currency [0] 2 2 37 4 2 3" xfId="45732" xr:uid="{00000000-0005-0000-0000-0000EB600000}"/>
    <cellStyle name="Currency [0] 2 2 37 4 3" xfId="22500" xr:uid="{00000000-0005-0000-0000-0000EC600000}"/>
    <cellStyle name="Currency [0] 2 2 37 4 4" xfId="37992" xr:uid="{00000000-0005-0000-0000-0000ED600000}"/>
    <cellStyle name="Currency [0] 2 2 37 5" xfId="10778" xr:uid="{00000000-0005-0000-0000-0000EE600000}"/>
    <cellStyle name="Currency [0] 2 2 37 5 2" xfId="26370" xr:uid="{00000000-0005-0000-0000-0000EF600000}"/>
    <cellStyle name="Currency [0] 2 2 37 5 3" xfId="41862" xr:uid="{00000000-0005-0000-0000-0000F0600000}"/>
    <cellStyle name="Currency [0] 2 2 37 6" xfId="18630" xr:uid="{00000000-0005-0000-0000-0000F1600000}"/>
    <cellStyle name="Currency [0] 2 2 37 7" xfId="34122" xr:uid="{00000000-0005-0000-0000-0000F2600000}"/>
    <cellStyle name="Currency [0] 2 2 38" xfId="3007" xr:uid="{00000000-0005-0000-0000-0000F3600000}"/>
    <cellStyle name="Currency [0] 2 2 38 2" xfId="4004" xr:uid="{00000000-0005-0000-0000-0000F4600000}"/>
    <cellStyle name="Currency [0] 2 2 38 2 2" xfId="5943" xr:uid="{00000000-0005-0000-0000-0000F5600000}"/>
    <cellStyle name="Currency [0] 2 2 38 2 2 2" xfId="9814" xr:uid="{00000000-0005-0000-0000-0000F6600000}"/>
    <cellStyle name="Currency [0] 2 2 38 2 2 2 2" xfId="17559" xr:uid="{00000000-0005-0000-0000-0000F7600000}"/>
    <cellStyle name="Currency [0] 2 2 38 2 2 2 2 2" xfId="33151" xr:uid="{00000000-0005-0000-0000-0000F8600000}"/>
    <cellStyle name="Currency [0] 2 2 38 2 2 2 2 3" xfId="48643" xr:uid="{00000000-0005-0000-0000-0000F9600000}"/>
    <cellStyle name="Currency [0] 2 2 38 2 2 2 3" xfId="25411" xr:uid="{00000000-0005-0000-0000-0000FA600000}"/>
    <cellStyle name="Currency [0] 2 2 38 2 2 2 4" xfId="40903" xr:uid="{00000000-0005-0000-0000-0000FB600000}"/>
    <cellStyle name="Currency [0] 2 2 38 2 2 3" xfId="13689" xr:uid="{00000000-0005-0000-0000-0000FC600000}"/>
    <cellStyle name="Currency [0] 2 2 38 2 2 3 2" xfId="29281" xr:uid="{00000000-0005-0000-0000-0000FD600000}"/>
    <cellStyle name="Currency [0] 2 2 38 2 2 3 3" xfId="44773" xr:uid="{00000000-0005-0000-0000-0000FE600000}"/>
    <cellStyle name="Currency [0] 2 2 38 2 2 4" xfId="21541" xr:uid="{00000000-0005-0000-0000-0000FF600000}"/>
    <cellStyle name="Currency [0] 2 2 38 2 2 5" xfId="37033" xr:uid="{00000000-0005-0000-0000-000000610000}"/>
    <cellStyle name="Currency [0] 2 2 38 2 3" xfId="7887" xr:uid="{00000000-0005-0000-0000-000001610000}"/>
    <cellStyle name="Currency [0] 2 2 38 2 3 2" xfId="15632" xr:uid="{00000000-0005-0000-0000-000002610000}"/>
    <cellStyle name="Currency [0] 2 2 38 2 3 2 2" xfId="31224" xr:uid="{00000000-0005-0000-0000-000003610000}"/>
    <cellStyle name="Currency [0] 2 2 38 2 3 2 3" xfId="46716" xr:uid="{00000000-0005-0000-0000-000004610000}"/>
    <cellStyle name="Currency [0] 2 2 38 2 3 3" xfId="23484" xr:uid="{00000000-0005-0000-0000-000005610000}"/>
    <cellStyle name="Currency [0] 2 2 38 2 3 4" xfId="38976" xr:uid="{00000000-0005-0000-0000-000006610000}"/>
    <cellStyle name="Currency [0] 2 2 38 2 4" xfId="11762" xr:uid="{00000000-0005-0000-0000-000007610000}"/>
    <cellStyle name="Currency [0] 2 2 38 2 4 2" xfId="27354" xr:uid="{00000000-0005-0000-0000-000008610000}"/>
    <cellStyle name="Currency [0] 2 2 38 2 4 3" xfId="42846" xr:uid="{00000000-0005-0000-0000-000009610000}"/>
    <cellStyle name="Currency [0] 2 2 38 2 5" xfId="19614" xr:uid="{00000000-0005-0000-0000-00000A610000}"/>
    <cellStyle name="Currency [0] 2 2 38 2 6" xfId="35106" xr:uid="{00000000-0005-0000-0000-00000B610000}"/>
    <cellStyle name="Currency [0] 2 2 38 3" xfId="4995" xr:uid="{00000000-0005-0000-0000-00000C610000}"/>
    <cellStyle name="Currency [0] 2 2 38 3 2" xfId="8866" xr:uid="{00000000-0005-0000-0000-00000D610000}"/>
    <cellStyle name="Currency [0] 2 2 38 3 2 2" xfId="16611" xr:uid="{00000000-0005-0000-0000-00000E610000}"/>
    <cellStyle name="Currency [0] 2 2 38 3 2 2 2" xfId="32203" xr:uid="{00000000-0005-0000-0000-00000F610000}"/>
    <cellStyle name="Currency [0] 2 2 38 3 2 2 3" xfId="47695" xr:uid="{00000000-0005-0000-0000-000010610000}"/>
    <cellStyle name="Currency [0] 2 2 38 3 2 3" xfId="24463" xr:uid="{00000000-0005-0000-0000-000011610000}"/>
    <cellStyle name="Currency [0] 2 2 38 3 2 4" xfId="39955" xr:uid="{00000000-0005-0000-0000-000012610000}"/>
    <cellStyle name="Currency [0] 2 2 38 3 3" xfId="12741" xr:uid="{00000000-0005-0000-0000-000013610000}"/>
    <cellStyle name="Currency [0] 2 2 38 3 3 2" xfId="28333" xr:uid="{00000000-0005-0000-0000-000014610000}"/>
    <cellStyle name="Currency [0] 2 2 38 3 3 3" xfId="43825" xr:uid="{00000000-0005-0000-0000-000015610000}"/>
    <cellStyle name="Currency [0] 2 2 38 3 4" xfId="20593" xr:uid="{00000000-0005-0000-0000-000016610000}"/>
    <cellStyle name="Currency [0] 2 2 38 3 5" xfId="36085" xr:uid="{00000000-0005-0000-0000-000017610000}"/>
    <cellStyle name="Currency [0] 2 2 38 4" xfId="6939" xr:uid="{00000000-0005-0000-0000-000018610000}"/>
    <cellStyle name="Currency [0] 2 2 38 4 2" xfId="14684" xr:uid="{00000000-0005-0000-0000-000019610000}"/>
    <cellStyle name="Currency [0] 2 2 38 4 2 2" xfId="30276" xr:uid="{00000000-0005-0000-0000-00001A610000}"/>
    <cellStyle name="Currency [0] 2 2 38 4 2 3" xfId="45768" xr:uid="{00000000-0005-0000-0000-00001B610000}"/>
    <cellStyle name="Currency [0] 2 2 38 4 3" xfId="22536" xr:uid="{00000000-0005-0000-0000-00001C610000}"/>
    <cellStyle name="Currency [0] 2 2 38 4 4" xfId="38028" xr:uid="{00000000-0005-0000-0000-00001D610000}"/>
    <cellStyle name="Currency [0] 2 2 38 5" xfId="10814" xr:uid="{00000000-0005-0000-0000-00001E610000}"/>
    <cellStyle name="Currency [0] 2 2 38 5 2" xfId="26406" xr:uid="{00000000-0005-0000-0000-00001F610000}"/>
    <cellStyle name="Currency [0] 2 2 38 5 3" xfId="41898" xr:uid="{00000000-0005-0000-0000-000020610000}"/>
    <cellStyle name="Currency [0] 2 2 38 6" xfId="18666" xr:uid="{00000000-0005-0000-0000-000021610000}"/>
    <cellStyle name="Currency [0] 2 2 38 7" xfId="34158" xr:uid="{00000000-0005-0000-0000-000022610000}"/>
    <cellStyle name="Currency [0] 2 2 39" xfId="3045" xr:uid="{00000000-0005-0000-0000-000023610000}"/>
    <cellStyle name="Currency [0] 2 2 39 2" xfId="4040" xr:uid="{00000000-0005-0000-0000-000024610000}"/>
    <cellStyle name="Currency [0] 2 2 39 2 2" xfId="5979" xr:uid="{00000000-0005-0000-0000-000025610000}"/>
    <cellStyle name="Currency [0] 2 2 39 2 2 2" xfId="9850" xr:uid="{00000000-0005-0000-0000-000026610000}"/>
    <cellStyle name="Currency [0] 2 2 39 2 2 2 2" xfId="17595" xr:uid="{00000000-0005-0000-0000-000027610000}"/>
    <cellStyle name="Currency [0] 2 2 39 2 2 2 2 2" xfId="33187" xr:uid="{00000000-0005-0000-0000-000028610000}"/>
    <cellStyle name="Currency [0] 2 2 39 2 2 2 2 3" xfId="48679" xr:uid="{00000000-0005-0000-0000-000029610000}"/>
    <cellStyle name="Currency [0] 2 2 39 2 2 2 3" xfId="25447" xr:uid="{00000000-0005-0000-0000-00002A610000}"/>
    <cellStyle name="Currency [0] 2 2 39 2 2 2 4" xfId="40939" xr:uid="{00000000-0005-0000-0000-00002B610000}"/>
    <cellStyle name="Currency [0] 2 2 39 2 2 3" xfId="13725" xr:uid="{00000000-0005-0000-0000-00002C610000}"/>
    <cellStyle name="Currency [0] 2 2 39 2 2 3 2" xfId="29317" xr:uid="{00000000-0005-0000-0000-00002D610000}"/>
    <cellStyle name="Currency [0] 2 2 39 2 2 3 3" xfId="44809" xr:uid="{00000000-0005-0000-0000-00002E610000}"/>
    <cellStyle name="Currency [0] 2 2 39 2 2 4" xfId="21577" xr:uid="{00000000-0005-0000-0000-00002F610000}"/>
    <cellStyle name="Currency [0] 2 2 39 2 2 5" xfId="37069" xr:uid="{00000000-0005-0000-0000-000030610000}"/>
    <cellStyle name="Currency [0] 2 2 39 2 3" xfId="7923" xr:uid="{00000000-0005-0000-0000-000031610000}"/>
    <cellStyle name="Currency [0] 2 2 39 2 3 2" xfId="15668" xr:uid="{00000000-0005-0000-0000-000032610000}"/>
    <cellStyle name="Currency [0] 2 2 39 2 3 2 2" xfId="31260" xr:uid="{00000000-0005-0000-0000-000033610000}"/>
    <cellStyle name="Currency [0] 2 2 39 2 3 2 3" xfId="46752" xr:uid="{00000000-0005-0000-0000-000034610000}"/>
    <cellStyle name="Currency [0] 2 2 39 2 3 3" xfId="23520" xr:uid="{00000000-0005-0000-0000-000035610000}"/>
    <cellStyle name="Currency [0] 2 2 39 2 3 4" xfId="39012" xr:uid="{00000000-0005-0000-0000-000036610000}"/>
    <cellStyle name="Currency [0] 2 2 39 2 4" xfId="11798" xr:uid="{00000000-0005-0000-0000-000037610000}"/>
    <cellStyle name="Currency [0] 2 2 39 2 4 2" xfId="27390" xr:uid="{00000000-0005-0000-0000-000038610000}"/>
    <cellStyle name="Currency [0] 2 2 39 2 4 3" xfId="42882" xr:uid="{00000000-0005-0000-0000-000039610000}"/>
    <cellStyle name="Currency [0] 2 2 39 2 5" xfId="19650" xr:uid="{00000000-0005-0000-0000-00003A610000}"/>
    <cellStyle name="Currency [0] 2 2 39 2 6" xfId="35142" xr:uid="{00000000-0005-0000-0000-00003B610000}"/>
    <cellStyle name="Currency [0] 2 2 39 3" xfId="5031" xr:uid="{00000000-0005-0000-0000-00003C610000}"/>
    <cellStyle name="Currency [0] 2 2 39 3 2" xfId="8902" xr:uid="{00000000-0005-0000-0000-00003D610000}"/>
    <cellStyle name="Currency [0] 2 2 39 3 2 2" xfId="16647" xr:uid="{00000000-0005-0000-0000-00003E610000}"/>
    <cellStyle name="Currency [0] 2 2 39 3 2 2 2" xfId="32239" xr:uid="{00000000-0005-0000-0000-00003F610000}"/>
    <cellStyle name="Currency [0] 2 2 39 3 2 2 3" xfId="47731" xr:uid="{00000000-0005-0000-0000-000040610000}"/>
    <cellStyle name="Currency [0] 2 2 39 3 2 3" xfId="24499" xr:uid="{00000000-0005-0000-0000-000041610000}"/>
    <cellStyle name="Currency [0] 2 2 39 3 2 4" xfId="39991" xr:uid="{00000000-0005-0000-0000-000042610000}"/>
    <cellStyle name="Currency [0] 2 2 39 3 3" xfId="12777" xr:uid="{00000000-0005-0000-0000-000043610000}"/>
    <cellStyle name="Currency [0] 2 2 39 3 3 2" xfId="28369" xr:uid="{00000000-0005-0000-0000-000044610000}"/>
    <cellStyle name="Currency [0] 2 2 39 3 3 3" xfId="43861" xr:uid="{00000000-0005-0000-0000-000045610000}"/>
    <cellStyle name="Currency [0] 2 2 39 3 4" xfId="20629" xr:uid="{00000000-0005-0000-0000-000046610000}"/>
    <cellStyle name="Currency [0] 2 2 39 3 5" xfId="36121" xr:uid="{00000000-0005-0000-0000-000047610000}"/>
    <cellStyle name="Currency [0] 2 2 39 4" xfId="6975" xr:uid="{00000000-0005-0000-0000-000048610000}"/>
    <cellStyle name="Currency [0] 2 2 39 4 2" xfId="14720" xr:uid="{00000000-0005-0000-0000-000049610000}"/>
    <cellStyle name="Currency [0] 2 2 39 4 2 2" xfId="30312" xr:uid="{00000000-0005-0000-0000-00004A610000}"/>
    <cellStyle name="Currency [0] 2 2 39 4 2 3" xfId="45804" xr:uid="{00000000-0005-0000-0000-00004B610000}"/>
    <cellStyle name="Currency [0] 2 2 39 4 3" xfId="22572" xr:uid="{00000000-0005-0000-0000-00004C610000}"/>
    <cellStyle name="Currency [0] 2 2 39 4 4" xfId="38064" xr:uid="{00000000-0005-0000-0000-00004D610000}"/>
    <cellStyle name="Currency [0] 2 2 39 5" xfId="10850" xr:uid="{00000000-0005-0000-0000-00004E610000}"/>
    <cellStyle name="Currency [0] 2 2 39 5 2" xfId="26442" xr:uid="{00000000-0005-0000-0000-00004F610000}"/>
    <cellStyle name="Currency [0] 2 2 39 5 3" xfId="41934" xr:uid="{00000000-0005-0000-0000-000050610000}"/>
    <cellStyle name="Currency [0] 2 2 39 6" xfId="18702" xr:uid="{00000000-0005-0000-0000-000051610000}"/>
    <cellStyle name="Currency [0] 2 2 39 7" xfId="34194" xr:uid="{00000000-0005-0000-0000-000052610000}"/>
    <cellStyle name="Currency [0] 2 2 4" xfId="1636" xr:uid="{00000000-0005-0000-0000-000053610000}"/>
    <cellStyle name="Currency [0] 2 2 40" xfId="3082" xr:uid="{00000000-0005-0000-0000-000054610000}"/>
    <cellStyle name="Currency [0] 2 2 40 2" xfId="4076" xr:uid="{00000000-0005-0000-0000-000055610000}"/>
    <cellStyle name="Currency [0] 2 2 40 2 2" xfId="6015" xr:uid="{00000000-0005-0000-0000-000056610000}"/>
    <cellStyle name="Currency [0] 2 2 40 2 2 2" xfId="9886" xr:uid="{00000000-0005-0000-0000-000057610000}"/>
    <cellStyle name="Currency [0] 2 2 40 2 2 2 2" xfId="17631" xr:uid="{00000000-0005-0000-0000-000058610000}"/>
    <cellStyle name="Currency [0] 2 2 40 2 2 2 2 2" xfId="33223" xr:uid="{00000000-0005-0000-0000-000059610000}"/>
    <cellStyle name="Currency [0] 2 2 40 2 2 2 2 3" xfId="48715" xr:uid="{00000000-0005-0000-0000-00005A610000}"/>
    <cellStyle name="Currency [0] 2 2 40 2 2 2 3" xfId="25483" xr:uid="{00000000-0005-0000-0000-00005B610000}"/>
    <cellStyle name="Currency [0] 2 2 40 2 2 2 4" xfId="40975" xr:uid="{00000000-0005-0000-0000-00005C610000}"/>
    <cellStyle name="Currency [0] 2 2 40 2 2 3" xfId="13761" xr:uid="{00000000-0005-0000-0000-00005D610000}"/>
    <cellStyle name="Currency [0] 2 2 40 2 2 3 2" xfId="29353" xr:uid="{00000000-0005-0000-0000-00005E610000}"/>
    <cellStyle name="Currency [0] 2 2 40 2 2 3 3" xfId="44845" xr:uid="{00000000-0005-0000-0000-00005F610000}"/>
    <cellStyle name="Currency [0] 2 2 40 2 2 4" xfId="21613" xr:uid="{00000000-0005-0000-0000-000060610000}"/>
    <cellStyle name="Currency [0] 2 2 40 2 2 5" xfId="37105" xr:uid="{00000000-0005-0000-0000-000061610000}"/>
    <cellStyle name="Currency [0] 2 2 40 2 3" xfId="7959" xr:uid="{00000000-0005-0000-0000-000062610000}"/>
    <cellStyle name="Currency [0] 2 2 40 2 3 2" xfId="15704" xr:uid="{00000000-0005-0000-0000-000063610000}"/>
    <cellStyle name="Currency [0] 2 2 40 2 3 2 2" xfId="31296" xr:uid="{00000000-0005-0000-0000-000064610000}"/>
    <cellStyle name="Currency [0] 2 2 40 2 3 2 3" xfId="46788" xr:uid="{00000000-0005-0000-0000-000065610000}"/>
    <cellStyle name="Currency [0] 2 2 40 2 3 3" xfId="23556" xr:uid="{00000000-0005-0000-0000-000066610000}"/>
    <cellStyle name="Currency [0] 2 2 40 2 3 4" xfId="39048" xr:uid="{00000000-0005-0000-0000-000067610000}"/>
    <cellStyle name="Currency [0] 2 2 40 2 4" xfId="11834" xr:uid="{00000000-0005-0000-0000-000068610000}"/>
    <cellStyle name="Currency [0] 2 2 40 2 4 2" xfId="27426" xr:uid="{00000000-0005-0000-0000-000069610000}"/>
    <cellStyle name="Currency [0] 2 2 40 2 4 3" xfId="42918" xr:uid="{00000000-0005-0000-0000-00006A610000}"/>
    <cellStyle name="Currency [0] 2 2 40 2 5" xfId="19686" xr:uid="{00000000-0005-0000-0000-00006B610000}"/>
    <cellStyle name="Currency [0] 2 2 40 2 6" xfId="35178" xr:uid="{00000000-0005-0000-0000-00006C610000}"/>
    <cellStyle name="Currency [0] 2 2 40 3" xfId="5067" xr:uid="{00000000-0005-0000-0000-00006D610000}"/>
    <cellStyle name="Currency [0] 2 2 40 3 2" xfId="8938" xr:uid="{00000000-0005-0000-0000-00006E610000}"/>
    <cellStyle name="Currency [0] 2 2 40 3 2 2" xfId="16683" xr:uid="{00000000-0005-0000-0000-00006F610000}"/>
    <cellStyle name="Currency [0] 2 2 40 3 2 2 2" xfId="32275" xr:uid="{00000000-0005-0000-0000-000070610000}"/>
    <cellStyle name="Currency [0] 2 2 40 3 2 2 3" xfId="47767" xr:uid="{00000000-0005-0000-0000-000071610000}"/>
    <cellStyle name="Currency [0] 2 2 40 3 2 3" xfId="24535" xr:uid="{00000000-0005-0000-0000-000072610000}"/>
    <cellStyle name="Currency [0] 2 2 40 3 2 4" xfId="40027" xr:uid="{00000000-0005-0000-0000-000073610000}"/>
    <cellStyle name="Currency [0] 2 2 40 3 3" xfId="12813" xr:uid="{00000000-0005-0000-0000-000074610000}"/>
    <cellStyle name="Currency [0] 2 2 40 3 3 2" xfId="28405" xr:uid="{00000000-0005-0000-0000-000075610000}"/>
    <cellStyle name="Currency [0] 2 2 40 3 3 3" xfId="43897" xr:uid="{00000000-0005-0000-0000-000076610000}"/>
    <cellStyle name="Currency [0] 2 2 40 3 4" xfId="20665" xr:uid="{00000000-0005-0000-0000-000077610000}"/>
    <cellStyle name="Currency [0] 2 2 40 3 5" xfId="36157" xr:uid="{00000000-0005-0000-0000-000078610000}"/>
    <cellStyle name="Currency [0] 2 2 40 4" xfId="7011" xr:uid="{00000000-0005-0000-0000-000079610000}"/>
    <cellStyle name="Currency [0] 2 2 40 4 2" xfId="14756" xr:uid="{00000000-0005-0000-0000-00007A610000}"/>
    <cellStyle name="Currency [0] 2 2 40 4 2 2" xfId="30348" xr:uid="{00000000-0005-0000-0000-00007B610000}"/>
    <cellStyle name="Currency [0] 2 2 40 4 2 3" xfId="45840" xr:uid="{00000000-0005-0000-0000-00007C610000}"/>
    <cellStyle name="Currency [0] 2 2 40 4 3" xfId="22608" xr:uid="{00000000-0005-0000-0000-00007D610000}"/>
    <cellStyle name="Currency [0] 2 2 40 4 4" xfId="38100" xr:uid="{00000000-0005-0000-0000-00007E610000}"/>
    <cellStyle name="Currency [0] 2 2 40 5" xfId="10886" xr:uid="{00000000-0005-0000-0000-00007F610000}"/>
    <cellStyle name="Currency [0] 2 2 40 5 2" xfId="26478" xr:uid="{00000000-0005-0000-0000-000080610000}"/>
    <cellStyle name="Currency [0] 2 2 40 5 3" xfId="41970" xr:uid="{00000000-0005-0000-0000-000081610000}"/>
    <cellStyle name="Currency [0] 2 2 40 6" xfId="18738" xr:uid="{00000000-0005-0000-0000-000082610000}"/>
    <cellStyle name="Currency [0] 2 2 40 7" xfId="34230" xr:uid="{00000000-0005-0000-0000-000083610000}"/>
    <cellStyle name="Currency [0] 2 2 41" xfId="3129" xr:uid="{00000000-0005-0000-0000-000084610000}"/>
    <cellStyle name="Currency [0] 2 2 41 2" xfId="4112" xr:uid="{00000000-0005-0000-0000-000085610000}"/>
    <cellStyle name="Currency [0] 2 2 41 2 2" xfId="6051" xr:uid="{00000000-0005-0000-0000-000086610000}"/>
    <cellStyle name="Currency [0] 2 2 41 2 2 2" xfId="9922" xr:uid="{00000000-0005-0000-0000-000087610000}"/>
    <cellStyle name="Currency [0] 2 2 41 2 2 2 2" xfId="17667" xr:uid="{00000000-0005-0000-0000-000088610000}"/>
    <cellStyle name="Currency [0] 2 2 41 2 2 2 2 2" xfId="33259" xr:uid="{00000000-0005-0000-0000-000089610000}"/>
    <cellStyle name="Currency [0] 2 2 41 2 2 2 2 3" xfId="48751" xr:uid="{00000000-0005-0000-0000-00008A610000}"/>
    <cellStyle name="Currency [0] 2 2 41 2 2 2 3" xfId="25519" xr:uid="{00000000-0005-0000-0000-00008B610000}"/>
    <cellStyle name="Currency [0] 2 2 41 2 2 2 4" xfId="41011" xr:uid="{00000000-0005-0000-0000-00008C610000}"/>
    <cellStyle name="Currency [0] 2 2 41 2 2 3" xfId="13797" xr:uid="{00000000-0005-0000-0000-00008D610000}"/>
    <cellStyle name="Currency [0] 2 2 41 2 2 3 2" xfId="29389" xr:uid="{00000000-0005-0000-0000-00008E610000}"/>
    <cellStyle name="Currency [0] 2 2 41 2 2 3 3" xfId="44881" xr:uid="{00000000-0005-0000-0000-00008F610000}"/>
    <cellStyle name="Currency [0] 2 2 41 2 2 4" xfId="21649" xr:uid="{00000000-0005-0000-0000-000090610000}"/>
    <cellStyle name="Currency [0] 2 2 41 2 2 5" xfId="37141" xr:uid="{00000000-0005-0000-0000-000091610000}"/>
    <cellStyle name="Currency [0] 2 2 41 2 3" xfId="7995" xr:uid="{00000000-0005-0000-0000-000092610000}"/>
    <cellStyle name="Currency [0] 2 2 41 2 3 2" xfId="15740" xr:uid="{00000000-0005-0000-0000-000093610000}"/>
    <cellStyle name="Currency [0] 2 2 41 2 3 2 2" xfId="31332" xr:uid="{00000000-0005-0000-0000-000094610000}"/>
    <cellStyle name="Currency [0] 2 2 41 2 3 2 3" xfId="46824" xr:uid="{00000000-0005-0000-0000-000095610000}"/>
    <cellStyle name="Currency [0] 2 2 41 2 3 3" xfId="23592" xr:uid="{00000000-0005-0000-0000-000096610000}"/>
    <cellStyle name="Currency [0] 2 2 41 2 3 4" xfId="39084" xr:uid="{00000000-0005-0000-0000-000097610000}"/>
    <cellStyle name="Currency [0] 2 2 41 2 4" xfId="11870" xr:uid="{00000000-0005-0000-0000-000098610000}"/>
    <cellStyle name="Currency [0] 2 2 41 2 4 2" xfId="27462" xr:uid="{00000000-0005-0000-0000-000099610000}"/>
    <cellStyle name="Currency [0] 2 2 41 2 4 3" xfId="42954" xr:uid="{00000000-0005-0000-0000-00009A610000}"/>
    <cellStyle name="Currency [0] 2 2 41 2 5" xfId="19722" xr:uid="{00000000-0005-0000-0000-00009B610000}"/>
    <cellStyle name="Currency [0] 2 2 41 2 6" xfId="35214" xr:uid="{00000000-0005-0000-0000-00009C610000}"/>
    <cellStyle name="Currency [0] 2 2 41 3" xfId="5103" xr:uid="{00000000-0005-0000-0000-00009D610000}"/>
    <cellStyle name="Currency [0] 2 2 41 3 2" xfId="8974" xr:uid="{00000000-0005-0000-0000-00009E610000}"/>
    <cellStyle name="Currency [0] 2 2 41 3 2 2" xfId="16719" xr:uid="{00000000-0005-0000-0000-00009F610000}"/>
    <cellStyle name="Currency [0] 2 2 41 3 2 2 2" xfId="32311" xr:uid="{00000000-0005-0000-0000-0000A0610000}"/>
    <cellStyle name="Currency [0] 2 2 41 3 2 2 3" xfId="47803" xr:uid="{00000000-0005-0000-0000-0000A1610000}"/>
    <cellStyle name="Currency [0] 2 2 41 3 2 3" xfId="24571" xr:uid="{00000000-0005-0000-0000-0000A2610000}"/>
    <cellStyle name="Currency [0] 2 2 41 3 2 4" xfId="40063" xr:uid="{00000000-0005-0000-0000-0000A3610000}"/>
    <cellStyle name="Currency [0] 2 2 41 3 3" xfId="12849" xr:uid="{00000000-0005-0000-0000-0000A4610000}"/>
    <cellStyle name="Currency [0] 2 2 41 3 3 2" xfId="28441" xr:uid="{00000000-0005-0000-0000-0000A5610000}"/>
    <cellStyle name="Currency [0] 2 2 41 3 3 3" xfId="43933" xr:uid="{00000000-0005-0000-0000-0000A6610000}"/>
    <cellStyle name="Currency [0] 2 2 41 3 4" xfId="20701" xr:uid="{00000000-0005-0000-0000-0000A7610000}"/>
    <cellStyle name="Currency [0] 2 2 41 3 5" xfId="36193" xr:uid="{00000000-0005-0000-0000-0000A8610000}"/>
    <cellStyle name="Currency [0] 2 2 41 4" xfId="7047" xr:uid="{00000000-0005-0000-0000-0000A9610000}"/>
    <cellStyle name="Currency [0] 2 2 41 4 2" xfId="14792" xr:uid="{00000000-0005-0000-0000-0000AA610000}"/>
    <cellStyle name="Currency [0] 2 2 41 4 2 2" xfId="30384" xr:uid="{00000000-0005-0000-0000-0000AB610000}"/>
    <cellStyle name="Currency [0] 2 2 41 4 2 3" xfId="45876" xr:uid="{00000000-0005-0000-0000-0000AC610000}"/>
    <cellStyle name="Currency [0] 2 2 41 4 3" xfId="22644" xr:uid="{00000000-0005-0000-0000-0000AD610000}"/>
    <cellStyle name="Currency [0] 2 2 41 4 4" xfId="38136" xr:uid="{00000000-0005-0000-0000-0000AE610000}"/>
    <cellStyle name="Currency [0] 2 2 41 5" xfId="10922" xr:uid="{00000000-0005-0000-0000-0000AF610000}"/>
    <cellStyle name="Currency [0] 2 2 41 5 2" xfId="26514" xr:uid="{00000000-0005-0000-0000-0000B0610000}"/>
    <cellStyle name="Currency [0] 2 2 41 5 3" xfId="42006" xr:uid="{00000000-0005-0000-0000-0000B1610000}"/>
    <cellStyle name="Currency [0] 2 2 41 6" xfId="18774" xr:uid="{00000000-0005-0000-0000-0000B2610000}"/>
    <cellStyle name="Currency [0] 2 2 41 7" xfId="34266" xr:uid="{00000000-0005-0000-0000-0000B3610000}"/>
    <cellStyle name="Currency [0] 2 2 42" xfId="48851" xr:uid="{00000000-0005-0000-0000-0000B4610000}"/>
    <cellStyle name="Currency [0] 2 2 43" xfId="49076" xr:uid="{082BD61B-2ACD-4D3F-808E-748140FB8E1D}"/>
    <cellStyle name="Currency [0] 2 2 5" xfId="1637" xr:uid="{00000000-0005-0000-0000-0000B5610000}"/>
    <cellStyle name="Currency [0] 2 2 6" xfId="1638" xr:uid="{00000000-0005-0000-0000-0000B6610000}"/>
    <cellStyle name="Currency [0] 2 2 7" xfId="1639" xr:uid="{00000000-0005-0000-0000-0000B7610000}"/>
    <cellStyle name="Currency [0] 2 2 8" xfId="1640" xr:uid="{00000000-0005-0000-0000-0000B8610000}"/>
    <cellStyle name="Currency [0] 2 2 9" xfId="1641" xr:uid="{00000000-0005-0000-0000-0000B9610000}"/>
    <cellStyle name="Currency [0] 2 20" xfId="1642" xr:uid="{00000000-0005-0000-0000-0000BA610000}"/>
    <cellStyle name="Currency [0] 2 21" xfId="1643" xr:uid="{00000000-0005-0000-0000-0000BB610000}"/>
    <cellStyle name="Currency [0] 2 22" xfId="1644" xr:uid="{00000000-0005-0000-0000-0000BC610000}"/>
    <cellStyle name="Currency [0] 2 23" xfId="1645" xr:uid="{00000000-0005-0000-0000-0000BD610000}"/>
    <cellStyle name="Currency [0] 2 24" xfId="1646" xr:uid="{00000000-0005-0000-0000-0000BE610000}"/>
    <cellStyle name="Currency [0] 2 25" xfId="1647" xr:uid="{00000000-0005-0000-0000-0000BF610000}"/>
    <cellStyle name="Currency [0] 2 26" xfId="1648" xr:uid="{00000000-0005-0000-0000-0000C0610000}"/>
    <cellStyle name="Currency [0] 2 27" xfId="1649" xr:uid="{00000000-0005-0000-0000-0000C1610000}"/>
    <cellStyle name="Currency [0] 2 28" xfId="1650" xr:uid="{00000000-0005-0000-0000-0000C2610000}"/>
    <cellStyle name="Currency [0] 2 29" xfId="1651" xr:uid="{00000000-0005-0000-0000-0000C3610000}"/>
    <cellStyle name="Currency [0] 2 3" xfId="1652" xr:uid="{00000000-0005-0000-0000-0000C4610000}"/>
    <cellStyle name="Currency [0] 2 3 10" xfId="1653" xr:uid="{00000000-0005-0000-0000-0000C5610000}"/>
    <cellStyle name="Currency [0] 2 3 11" xfId="1654" xr:uid="{00000000-0005-0000-0000-0000C6610000}"/>
    <cellStyle name="Currency [0] 2 3 12" xfId="1655" xr:uid="{00000000-0005-0000-0000-0000C7610000}"/>
    <cellStyle name="Currency [0] 2 3 13" xfId="1656" xr:uid="{00000000-0005-0000-0000-0000C8610000}"/>
    <cellStyle name="Currency [0] 2 3 14" xfId="1657" xr:uid="{00000000-0005-0000-0000-0000C9610000}"/>
    <cellStyle name="Currency [0] 2 3 15" xfId="1658" xr:uid="{00000000-0005-0000-0000-0000CA610000}"/>
    <cellStyle name="Currency [0] 2 3 16" xfId="1659" xr:uid="{00000000-0005-0000-0000-0000CB610000}"/>
    <cellStyle name="Currency [0] 2 3 17" xfId="1660" xr:uid="{00000000-0005-0000-0000-0000CC610000}"/>
    <cellStyle name="Currency [0] 2 3 18" xfId="1661" xr:uid="{00000000-0005-0000-0000-0000CD610000}"/>
    <cellStyle name="Currency [0] 2 3 19" xfId="1662" xr:uid="{00000000-0005-0000-0000-0000CE610000}"/>
    <cellStyle name="Currency [0] 2 3 2" xfId="1663" xr:uid="{00000000-0005-0000-0000-0000CF610000}"/>
    <cellStyle name="Currency [0] 2 3 20" xfId="1664" xr:uid="{00000000-0005-0000-0000-0000D0610000}"/>
    <cellStyle name="Currency [0] 2 3 21" xfId="1665" xr:uid="{00000000-0005-0000-0000-0000D1610000}"/>
    <cellStyle name="Currency [0] 2 3 22" xfId="1666" xr:uid="{00000000-0005-0000-0000-0000D2610000}"/>
    <cellStyle name="Currency [0] 2 3 23" xfId="1667" xr:uid="{00000000-0005-0000-0000-0000D3610000}"/>
    <cellStyle name="Currency [0] 2 3 24" xfId="1668" xr:uid="{00000000-0005-0000-0000-0000D4610000}"/>
    <cellStyle name="Currency [0] 2 3 25" xfId="1669" xr:uid="{00000000-0005-0000-0000-0000D5610000}"/>
    <cellStyle name="Currency [0] 2 3 26" xfId="1670" xr:uid="{00000000-0005-0000-0000-0000D6610000}"/>
    <cellStyle name="Currency [0] 2 3 27" xfId="1671" xr:uid="{00000000-0005-0000-0000-0000D7610000}"/>
    <cellStyle name="Currency [0] 2 3 28" xfId="1672" xr:uid="{00000000-0005-0000-0000-0000D8610000}"/>
    <cellStyle name="Currency [0] 2 3 3" xfId="1673" xr:uid="{00000000-0005-0000-0000-0000D9610000}"/>
    <cellStyle name="Currency [0] 2 3 4" xfId="1674" xr:uid="{00000000-0005-0000-0000-0000DA610000}"/>
    <cellStyle name="Currency [0] 2 3 5" xfId="1675" xr:uid="{00000000-0005-0000-0000-0000DB610000}"/>
    <cellStyle name="Currency [0] 2 3 6" xfId="1676" xr:uid="{00000000-0005-0000-0000-0000DC610000}"/>
    <cellStyle name="Currency [0] 2 3 7" xfId="1677" xr:uid="{00000000-0005-0000-0000-0000DD610000}"/>
    <cellStyle name="Currency [0] 2 3 8" xfId="1678" xr:uid="{00000000-0005-0000-0000-0000DE610000}"/>
    <cellStyle name="Currency [0] 2 3 9" xfId="1679" xr:uid="{00000000-0005-0000-0000-0000DF610000}"/>
    <cellStyle name="Currency [0] 2 30" xfId="1680" xr:uid="{00000000-0005-0000-0000-0000E0610000}"/>
    <cellStyle name="Currency [0] 2 31" xfId="1681" xr:uid="{00000000-0005-0000-0000-0000E1610000}"/>
    <cellStyle name="Currency [0] 2 32" xfId="2190" xr:uid="{00000000-0005-0000-0000-0000E2610000}"/>
    <cellStyle name="Currency [0] 2 32 2" xfId="2523" xr:uid="{00000000-0005-0000-0000-0000E3610000}"/>
    <cellStyle name="Currency [0] 2 32 2 2" xfId="3531" xr:uid="{00000000-0005-0000-0000-0000E4610000}"/>
    <cellStyle name="Currency [0] 2 32 2 2 2" xfId="5470" xr:uid="{00000000-0005-0000-0000-0000E5610000}"/>
    <cellStyle name="Currency [0] 2 32 2 2 2 2" xfId="9341" xr:uid="{00000000-0005-0000-0000-0000E6610000}"/>
    <cellStyle name="Currency [0] 2 32 2 2 2 2 2" xfId="17086" xr:uid="{00000000-0005-0000-0000-0000E7610000}"/>
    <cellStyle name="Currency [0] 2 32 2 2 2 2 2 2" xfId="32678" xr:uid="{00000000-0005-0000-0000-0000E8610000}"/>
    <cellStyle name="Currency [0] 2 32 2 2 2 2 2 3" xfId="48170" xr:uid="{00000000-0005-0000-0000-0000E9610000}"/>
    <cellStyle name="Currency [0] 2 32 2 2 2 2 3" xfId="24938" xr:uid="{00000000-0005-0000-0000-0000EA610000}"/>
    <cellStyle name="Currency [0] 2 32 2 2 2 2 4" xfId="40430" xr:uid="{00000000-0005-0000-0000-0000EB610000}"/>
    <cellStyle name="Currency [0] 2 32 2 2 2 3" xfId="13216" xr:uid="{00000000-0005-0000-0000-0000EC610000}"/>
    <cellStyle name="Currency [0] 2 32 2 2 2 3 2" xfId="28808" xr:uid="{00000000-0005-0000-0000-0000ED610000}"/>
    <cellStyle name="Currency [0] 2 32 2 2 2 3 3" xfId="44300" xr:uid="{00000000-0005-0000-0000-0000EE610000}"/>
    <cellStyle name="Currency [0] 2 32 2 2 2 4" xfId="21068" xr:uid="{00000000-0005-0000-0000-0000EF610000}"/>
    <cellStyle name="Currency [0] 2 32 2 2 2 5" xfId="36560" xr:uid="{00000000-0005-0000-0000-0000F0610000}"/>
    <cellStyle name="Currency [0] 2 32 2 2 3" xfId="7414" xr:uid="{00000000-0005-0000-0000-0000F1610000}"/>
    <cellStyle name="Currency [0] 2 32 2 2 3 2" xfId="15159" xr:uid="{00000000-0005-0000-0000-0000F2610000}"/>
    <cellStyle name="Currency [0] 2 32 2 2 3 2 2" xfId="30751" xr:uid="{00000000-0005-0000-0000-0000F3610000}"/>
    <cellStyle name="Currency [0] 2 32 2 2 3 2 3" xfId="46243" xr:uid="{00000000-0005-0000-0000-0000F4610000}"/>
    <cellStyle name="Currency [0] 2 32 2 2 3 3" xfId="23011" xr:uid="{00000000-0005-0000-0000-0000F5610000}"/>
    <cellStyle name="Currency [0] 2 32 2 2 3 4" xfId="38503" xr:uid="{00000000-0005-0000-0000-0000F6610000}"/>
    <cellStyle name="Currency [0] 2 32 2 2 4" xfId="11289" xr:uid="{00000000-0005-0000-0000-0000F7610000}"/>
    <cellStyle name="Currency [0] 2 32 2 2 4 2" xfId="26881" xr:uid="{00000000-0005-0000-0000-0000F8610000}"/>
    <cellStyle name="Currency [0] 2 32 2 2 4 3" xfId="42373" xr:uid="{00000000-0005-0000-0000-0000F9610000}"/>
    <cellStyle name="Currency [0] 2 32 2 2 5" xfId="19141" xr:uid="{00000000-0005-0000-0000-0000FA610000}"/>
    <cellStyle name="Currency [0] 2 32 2 2 6" xfId="34633" xr:uid="{00000000-0005-0000-0000-0000FB610000}"/>
    <cellStyle name="Currency [0] 2 32 2 3" xfId="4522" xr:uid="{00000000-0005-0000-0000-0000FC610000}"/>
    <cellStyle name="Currency [0] 2 32 2 3 2" xfId="8393" xr:uid="{00000000-0005-0000-0000-0000FD610000}"/>
    <cellStyle name="Currency [0] 2 32 2 3 2 2" xfId="16138" xr:uid="{00000000-0005-0000-0000-0000FE610000}"/>
    <cellStyle name="Currency [0] 2 32 2 3 2 2 2" xfId="31730" xr:uid="{00000000-0005-0000-0000-0000FF610000}"/>
    <cellStyle name="Currency [0] 2 32 2 3 2 2 3" xfId="47222" xr:uid="{00000000-0005-0000-0000-000000620000}"/>
    <cellStyle name="Currency [0] 2 32 2 3 2 3" xfId="23990" xr:uid="{00000000-0005-0000-0000-000001620000}"/>
    <cellStyle name="Currency [0] 2 32 2 3 2 4" xfId="39482" xr:uid="{00000000-0005-0000-0000-000002620000}"/>
    <cellStyle name="Currency [0] 2 32 2 3 3" xfId="12268" xr:uid="{00000000-0005-0000-0000-000003620000}"/>
    <cellStyle name="Currency [0] 2 32 2 3 3 2" xfId="27860" xr:uid="{00000000-0005-0000-0000-000004620000}"/>
    <cellStyle name="Currency [0] 2 32 2 3 3 3" xfId="43352" xr:uid="{00000000-0005-0000-0000-000005620000}"/>
    <cellStyle name="Currency [0] 2 32 2 3 4" xfId="20120" xr:uid="{00000000-0005-0000-0000-000006620000}"/>
    <cellStyle name="Currency [0] 2 32 2 3 5" xfId="35612" xr:uid="{00000000-0005-0000-0000-000007620000}"/>
    <cellStyle name="Currency [0] 2 32 2 4" xfId="6466" xr:uid="{00000000-0005-0000-0000-000008620000}"/>
    <cellStyle name="Currency [0] 2 32 2 4 2" xfId="14211" xr:uid="{00000000-0005-0000-0000-000009620000}"/>
    <cellStyle name="Currency [0] 2 32 2 4 2 2" xfId="29803" xr:uid="{00000000-0005-0000-0000-00000A620000}"/>
    <cellStyle name="Currency [0] 2 32 2 4 2 3" xfId="45295" xr:uid="{00000000-0005-0000-0000-00000B620000}"/>
    <cellStyle name="Currency [0] 2 32 2 4 3" xfId="22063" xr:uid="{00000000-0005-0000-0000-00000C620000}"/>
    <cellStyle name="Currency [0] 2 32 2 4 4" xfId="37555" xr:uid="{00000000-0005-0000-0000-00000D620000}"/>
    <cellStyle name="Currency [0] 2 32 2 5" xfId="10341" xr:uid="{00000000-0005-0000-0000-00000E620000}"/>
    <cellStyle name="Currency [0] 2 32 2 5 2" xfId="25933" xr:uid="{00000000-0005-0000-0000-00000F620000}"/>
    <cellStyle name="Currency [0] 2 32 2 5 3" xfId="41425" xr:uid="{00000000-0005-0000-0000-000010620000}"/>
    <cellStyle name="Currency [0] 2 32 2 6" xfId="18193" xr:uid="{00000000-0005-0000-0000-000011620000}"/>
    <cellStyle name="Currency [0] 2 32 2 7" xfId="33685" xr:uid="{00000000-0005-0000-0000-000012620000}"/>
    <cellStyle name="Currency [0] 2 32 3" xfId="3222" xr:uid="{00000000-0005-0000-0000-000013620000}"/>
    <cellStyle name="Currency [0] 2 32 3 2" xfId="5161" xr:uid="{00000000-0005-0000-0000-000014620000}"/>
    <cellStyle name="Currency [0] 2 32 3 2 2" xfId="9032" xr:uid="{00000000-0005-0000-0000-000015620000}"/>
    <cellStyle name="Currency [0] 2 32 3 2 2 2" xfId="16777" xr:uid="{00000000-0005-0000-0000-000016620000}"/>
    <cellStyle name="Currency [0] 2 32 3 2 2 2 2" xfId="32369" xr:uid="{00000000-0005-0000-0000-000017620000}"/>
    <cellStyle name="Currency [0] 2 32 3 2 2 2 3" xfId="47861" xr:uid="{00000000-0005-0000-0000-000018620000}"/>
    <cellStyle name="Currency [0] 2 32 3 2 2 3" xfId="24629" xr:uid="{00000000-0005-0000-0000-000019620000}"/>
    <cellStyle name="Currency [0] 2 32 3 2 2 4" xfId="40121" xr:uid="{00000000-0005-0000-0000-00001A620000}"/>
    <cellStyle name="Currency [0] 2 32 3 2 3" xfId="12907" xr:uid="{00000000-0005-0000-0000-00001B620000}"/>
    <cellStyle name="Currency [0] 2 32 3 2 3 2" xfId="28499" xr:uid="{00000000-0005-0000-0000-00001C620000}"/>
    <cellStyle name="Currency [0] 2 32 3 2 3 3" xfId="43991" xr:uid="{00000000-0005-0000-0000-00001D620000}"/>
    <cellStyle name="Currency [0] 2 32 3 2 4" xfId="20759" xr:uid="{00000000-0005-0000-0000-00001E620000}"/>
    <cellStyle name="Currency [0] 2 32 3 2 5" xfId="36251" xr:uid="{00000000-0005-0000-0000-00001F620000}"/>
    <cellStyle name="Currency [0] 2 32 3 3" xfId="7105" xr:uid="{00000000-0005-0000-0000-000020620000}"/>
    <cellStyle name="Currency [0] 2 32 3 3 2" xfId="14850" xr:uid="{00000000-0005-0000-0000-000021620000}"/>
    <cellStyle name="Currency [0] 2 32 3 3 2 2" xfId="30442" xr:uid="{00000000-0005-0000-0000-000022620000}"/>
    <cellStyle name="Currency [0] 2 32 3 3 2 3" xfId="45934" xr:uid="{00000000-0005-0000-0000-000023620000}"/>
    <cellStyle name="Currency [0] 2 32 3 3 3" xfId="22702" xr:uid="{00000000-0005-0000-0000-000024620000}"/>
    <cellStyle name="Currency [0] 2 32 3 3 4" xfId="38194" xr:uid="{00000000-0005-0000-0000-000025620000}"/>
    <cellStyle name="Currency [0] 2 32 3 4" xfId="10980" xr:uid="{00000000-0005-0000-0000-000026620000}"/>
    <cellStyle name="Currency [0] 2 32 3 4 2" xfId="26572" xr:uid="{00000000-0005-0000-0000-000027620000}"/>
    <cellStyle name="Currency [0] 2 32 3 4 3" xfId="42064" xr:uid="{00000000-0005-0000-0000-000028620000}"/>
    <cellStyle name="Currency [0] 2 32 3 5" xfId="18832" xr:uid="{00000000-0005-0000-0000-000029620000}"/>
    <cellStyle name="Currency [0] 2 32 3 6" xfId="34324" xr:uid="{00000000-0005-0000-0000-00002A620000}"/>
    <cellStyle name="Currency [0] 2 32 4" xfId="4213" xr:uid="{00000000-0005-0000-0000-00002B620000}"/>
    <cellStyle name="Currency [0] 2 32 4 2" xfId="8084" xr:uid="{00000000-0005-0000-0000-00002C620000}"/>
    <cellStyle name="Currency [0] 2 32 4 2 2" xfId="15829" xr:uid="{00000000-0005-0000-0000-00002D620000}"/>
    <cellStyle name="Currency [0] 2 32 4 2 2 2" xfId="31421" xr:uid="{00000000-0005-0000-0000-00002E620000}"/>
    <cellStyle name="Currency [0] 2 32 4 2 2 3" xfId="46913" xr:uid="{00000000-0005-0000-0000-00002F620000}"/>
    <cellStyle name="Currency [0] 2 32 4 2 3" xfId="23681" xr:uid="{00000000-0005-0000-0000-000030620000}"/>
    <cellStyle name="Currency [0] 2 32 4 2 4" xfId="39173" xr:uid="{00000000-0005-0000-0000-000031620000}"/>
    <cellStyle name="Currency [0] 2 32 4 3" xfId="11959" xr:uid="{00000000-0005-0000-0000-000032620000}"/>
    <cellStyle name="Currency [0] 2 32 4 3 2" xfId="27551" xr:uid="{00000000-0005-0000-0000-000033620000}"/>
    <cellStyle name="Currency [0] 2 32 4 3 3" xfId="43043" xr:uid="{00000000-0005-0000-0000-000034620000}"/>
    <cellStyle name="Currency [0] 2 32 4 4" xfId="19811" xr:uid="{00000000-0005-0000-0000-000035620000}"/>
    <cellStyle name="Currency [0] 2 32 4 5" xfId="35303" xr:uid="{00000000-0005-0000-0000-000036620000}"/>
    <cellStyle name="Currency [0] 2 32 5" xfId="6157" xr:uid="{00000000-0005-0000-0000-000037620000}"/>
    <cellStyle name="Currency [0] 2 32 5 2" xfId="13902" xr:uid="{00000000-0005-0000-0000-000038620000}"/>
    <cellStyle name="Currency [0] 2 32 5 2 2" xfId="29494" xr:uid="{00000000-0005-0000-0000-000039620000}"/>
    <cellStyle name="Currency [0] 2 32 5 2 3" xfId="44986" xr:uid="{00000000-0005-0000-0000-00003A620000}"/>
    <cellStyle name="Currency [0] 2 32 5 3" xfId="21754" xr:uid="{00000000-0005-0000-0000-00003B620000}"/>
    <cellStyle name="Currency [0] 2 32 5 4" xfId="37246" xr:uid="{00000000-0005-0000-0000-00003C620000}"/>
    <cellStyle name="Currency [0] 2 32 6" xfId="10032" xr:uid="{00000000-0005-0000-0000-00003D620000}"/>
    <cellStyle name="Currency [0] 2 32 6 2" xfId="25624" xr:uid="{00000000-0005-0000-0000-00003E620000}"/>
    <cellStyle name="Currency [0] 2 32 6 3" xfId="41116" xr:uid="{00000000-0005-0000-0000-00003F620000}"/>
    <cellStyle name="Currency [0] 2 32 7" xfId="17884" xr:uid="{00000000-0005-0000-0000-000040620000}"/>
    <cellStyle name="Currency [0] 2 32 8" xfId="33376" xr:uid="{00000000-0005-0000-0000-000041620000}"/>
    <cellStyle name="Currency [0] 2 32 9" xfId="49078" xr:uid="{19B96B61-2B1B-4BD1-B677-F581857A7A29}"/>
    <cellStyle name="Currency [0] 2 33" xfId="2244" xr:uid="{00000000-0005-0000-0000-000042620000}"/>
    <cellStyle name="Currency [0] 2 33 2" xfId="2561" xr:uid="{00000000-0005-0000-0000-000043620000}"/>
    <cellStyle name="Currency [0] 2 33 2 2" xfId="3569" xr:uid="{00000000-0005-0000-0000-000044620000}"/>
    <cellStyle name="Currency [0] 2 33 2 2 2" xfId="5508" xr:uid="{00000000-0005-0000-0000-000045620000}"/>
    <cellStyle name="Currency [0] 2 33 2 2 2 2" xfId="9379" xr:uid="{00000000-0005-0000-0000-000046620000}"/>
    <cellStyle name="Currency [0] 2 33 2 2 2 2 2" xfId="17124" xr:uid="{00000000-0005-0000-0000-000047620000}"/>
    <cellStyle name="Currency [0] 2 33 2 2 2 2 2 2" xfId="32716" xr:uid="{00000000-0005-0000-0000-000048620000}"/>
    <cellStyle name="Currency [0] 2 33 2 2 2 2 2 3" xfId="48208" xr:uid="{00000000-0005-0000-0000-000049620000}"/>
    <cellStyle name="Currency [0] 2 33 2 2 2 2 3" xfId="24976" xr:uid="{00000000-0005-0000-0000-00004A620000}"/>
    <cellStyle name="Currency [0] 2 33 2 2 2 2 4" xfId="40468" xr:uid="{00000000-0005-0000-0000-00004B620000}"/>
    <cellStyle name="Currency [0] 2 33 2 2 2 3" xfId="13254" xr:uid="{00000000-0005-0000-0000-00004C620000}"/>
    <cellStyle name="Currency [0] 2 33 2 2 2 3 2" xfId="28846" xr:uid="{00000000-0005-0000-0000-00004D620000}"/>
    <cellStyle name="Currency [0] 2 33 2 2 2 3 3" xfId="44338" xr:uid="{00000000-0005-0000-0000-00004E620000}"/>
    <cellStyle name="Currency [0] 2 33 2 2 2 4" xfId="21106" xr:uid="{00000000-0005-0000-0000-00004F620000}"/>
    <cellStyle name="Currency [0] 2 33 2 2 2 5" xfId="36598" xr:uid="{00000000-0005-0000-0000-000050620000}"/>
    <cellStyle name="Currency [0] 2 33 2 2 3" xfId="7452" xr:uid="{00000000-0005-0000-0000-000051620000}"/>
    <cellStyle name="Currency [0] 2 33 2 2 3 2" xfId="15197" xr:uid="{00000000-0005-0000-0000-000052620000}"/>
    <cellStyle name="Currency [0] 2 33 2 2 3 2 2" xfId="30789" xr:uid="{00000000-0005-0000-0000-000053620000}"/>
    <cellStyle name="Currency [0] 2 33 2 2 3 2 3" xfId="46281" xr:uid="{00000000-0005-0000-0000-000054620000}"/>
    <cellStyle name="Currency [0] 2 33 2 2 3 3" xfId="23049" xr:uid="{00000000-0005-0000-0000-000055620000}"/>
    <cellStyle name="Currency [0] 2 33 2 2 3 4" xfId="38541" xr:uid="{00000000-0005-0000-0000-000056620000}"/>
    <cellStyle name="Currency [0] 2 33 2 2 4" xfId="11327" xr:uid="{00000000-0005-0000-0000-000057620000}"/>
    <cellStyle name="Currency [0] 2 33 2 2 4 2" xfId="26919" xr:uid="{00000000-0005-0000-0000-000058620000}"/>
    <cellStyle name="Currency [0] 2 33 2 2 4 3" xfId="42411" xr:uid="{00000000-0005-0000-0000-000059620000}"/>
    <cellStyle name="Currency [0] 2 33 2 2 5" xfId="19179" xr:uid="{00000000-0005-0000-0000-00005A620000}"/>
    <cellStyle name="Currency [0] 2 33 2 2 6" xfId="34671" xr:uid="{00000000-0005-0000-0000-00005B620000}"/>
    <cellStyle name="Currency [0] 2 33 2 3" xfId="4560" xr:uid="{00000000-0005-0000-0000-00005C620000}"/>
    <cellStyle name="Currency [0] 2 33 2 3 2" xfId="8431" xr:uid="{00000000-0005-0000-0000-00005D620000}"/>
    <cellStyle name="Currency [0] 2 33 2 3 2 2" xfId="16176" xr:uid="{00000000-0005-0000-0000-00005E620000}"/>
    <cellStyle name="Currency [0] 2 33 2 3 2 2 2" xfId="31768" xr:uid="{00000000-0005-0000-0000-00005F620000}"/>
    <cellStyle name="Currency [0] 2 33 2 3 2 2 3" xfId="47260" xr:uid="{00000000-0005-0000-0000-000060620000}"/>
    <cellStyle name="Currency [0] 2 33 2 3 2 3" xfId="24028" xr:uid="{00000000-0005-0000-0000-000061620000}"/>
    <cellStyle name="Currency [0] 2 33 2 3 2 4" xfId="39520" xr:uid="{00000000-0005-0000-0000-000062620000}"/>
    <cellStyle name="Currency [0] 2 33 2 3 3" xfId="12306" xr:uid="{00000000-0005-0000-0000-000063620000}"/>
    <cellStyle name="Currency [0] 2 33 2 3 3 2" xfId="27898" xr:uid="{00000000-0005-0000-0000-000064620000}"/>
    <cellStyle name="Currency [0] 2 33 2 3 3 3" xfId="43390" xr:uid="{00000000-0005-0000-0000-000065620000}"/>
    <cellStyle name="Currency [0] 2 33 2 3 4" xfId="20158" xr:uid="{00000000-0005-0000-0000-000066620000}"/>
    <cellStyle name="Currency [0] 2 33 2 3 5" xfId="35650" xr:uid="{00000000-0005-0000-0000-000067620000}"/>
    <cellStyle name="Currency [0] 2 33 2 4" xfId="6504" xr:uid="{00000000-0005-0000-0000-000068620000}"/>
    <cellStyle name="Currency [0] 2 33 2 4 2" xfId="14249" xr:uid="{00000000-0005-0000-0000-000069620000}"/>
    <cellStyle name="Currency [0] 2 33 2 4 2 2" xfId="29841" xr:uid="{00000000-0005-0000-0000-00006A620000}"/>
    <cellStyle name="Currency [0] 2 33 2 4 2 3" xfId="45333" xr:uid="{00000000-0005-0000-0000-00006B620000}"/>
    <cellStyle name="Currency [0] 2 33 2 4 3" xfId="22101" xr:uid="{00000000-0005-0000-0000-00006C620000}"/>
    <cellStyle name="Currency [0] 2 33 2 4 4" xfId="37593" xr:uid="{00000000-0005-0000-0000-00006D620000}"/>
    <cellStyle name="Currency [0] 2 33 2 5" xfId="10379" xr:uid="{00000000-0005-0000-0000-00006E620000}"/>
    <cellStyle name="Currency [0] 2 33 2 5 2" xfId="25971" xr:uid="{00000000-0005-0000-0000-00006F620000}"/>
    <cellStyle name="Currency [0] 2 33 2 5 3" xfId="41463" xr:uid="{00000000-0005-0000-0000-000070620000}"/>
    <cellStyle name="Currency [0] 2 33 2 6" xfId="18231" xr:uid="{00000000-0005-0000-0000-000071620000}"/>
    <cellStyle name="Currency [0] 2 33 2 7" xfId="33723" xr:uid="{00000000-0005-0000-0000-000072620000}"/>
    <cellStyle name="Currency [0] 2 33 3" xfId="3260" xr:uid="{00000000-0005-0000-0000-000073620000}"/>
    <cellStyle name="Currency [0] 2 33 3 2" xfId="5199" xr:uid="{00000000-0005-0000-0000-000074620000}"/>
    <cellStyle name="Currency [0] 2 33 3 2 2" xfId="9070" xr:uid="{00000000-0005-0000-0000-000075620000}"/>
    <cellStyle name="Currency [0] 2 33 3 2 2 2" xfId="16815" xr:uid="{00000000-0005-0000-0000-000076620000}"/>
    <cellStyle name="Currency [0] 2 33 3 2 2 2 2" xfId="32407" xr:uid="{00000000-0005-0000-0000-000077620000}"/>
    <cellStyle name="Currency [0] 2 33 3 2 2 2 3" xfId="47899" xr:uid="{00000000-0005-0000-0000-000078620000}"/>
    <cellStyle name="Currency [0] 2 33 3 2 2 3" xfId="24667" xr:uid="{00000000-0005-0000-0000-000079620000}"/>
    <cellStyle name="Currency [0] 2 33 3 2 2 4" xfId="40159" xr:uid="{00000000-0005-0000-0000-00007A620000}"/>
    <cellStyle name="Currency [0] 2 33 3 2 3" xfId="12945" xr:uid="{00000000-0005-0000-0000-00007B620000}"/>
    <cellStyle name="Currency [0] 2 33 3 2 3 2" xfId="28537" xr:uid="{00000000-0005-0000-0000-00007C620000}"/>
    <cellStyle name="Currency [0] 2 33 3 2 3 3" xfId="44029" xr:uid="{00000000-0005-0000-0000-00007D620000}"/>
    <cellStyle name="Currency [0] 2 33 3 2 4" xfId="20797" xr:uid="{00000000-0005-0000-0000-00007E620000}"/>
    <cellStyle name="Currency [0] 2 33 3 2 5" xfId="36289" xr:uid="{00000000-0005-0000-0000-00007F620000}"/>
    <cellStyle name="Currency [0] 2 33 3 3" xfId="7143" xr:uid="{00000000-0005-0000-0000-000080620000}"/>
    <cellStyle name="Currency [0] 2 33 3 3 2" xfId="14888" xr:uid="{00000000-0005-0000-0000-000081620000}"/>
    <cellStyle name="Currency [0] 2 33 3 3 2 2" xfId="30480" xr:uid="{00000000-0005-0000-0000-000082620000}"/>
    <cellStyle name="Currency [0] 2 33 3 3 2 3" xfId="45972" xr:uid="{00000000-0005-0000-0000-000083620000}"/>
    <cellStyle name="Currency [0] 2 33 3 3 3" xfId="22740" xr:uid="{00000000-0005-0000-0000-000084620000}"/>
    <cellStyle name="Currency [0] 2 33 3 3 4" xfId="38232" xr:uid="{00000000-0005-0000-0000-000085620000}"/>
    <cellStyle name="Currency [0] 2 33 3 4" xfId="11018" xr:uid="{00000000-0005-0000-0000-000086620000}"/>
    <cellStyle name="Currency [0] 2 33 3 4 2" xfId="26610" xr:uid="{00000000-0005-0000-0000-000087620000}"/>
    <cellStyle name="Currency [0] 2 33 3 4 3" xfId="42102" xr:uid="{00000000-0005-0000-0000-000088620000}"/>
    <cellStyle name="Currency [0] 2 33 3 5" xfId="18870" xr:uid="{00000000-0005-0000-0000-000089620000}"/>
    <cellStyle name="Currency [0] 2 33 3 6" xfId="34362" xr:uid="{00000000-0005-0000-0000-00008A620000}"/>
    <cellStyle name="Currency [0] 2 33 4" xfId="4251" xr:uid="{00000000-0005-0000-0000-00008B620000}"/>
    <cellStyle name="Currency [0] 2 33 4 2" xfId="8122" xr:uid="{00000000-0005-0000-0000-00008C620000}"/>
    <cellStyle name="Currency [0] 2 33 4 2 2" xfId="15867" xr:uid="{00000000-0005-0000-0000-00008D620000}"/>
    <cellStyle name="Currency [0] 2 33 4 2 2 2" xfId="31459" xr:uid="{00000000-0005-0000-0000-00008E620000}"/>
    <cellStyle name="Currency [0] 2 33 4 2 2 3" xfId="46951" xr:uid="{00000000-0005-0000-0000-00008F620000}"/>
    <cellStyle name="Currency [0] 2 33 4 2 3" xfId="23719" xr:uid="{00000000-0005-0000-0000-000090620000}"/>
    <cellStyle name="Currency [0] 2 33 4 2 4" xfId="39211" xr:uid="{00000000-0005-0000-0000-000091620000}"/>
    <cellStyle name="Currency [0] 2 33 4 3" xfId="11997" xr:uid="{00000000-0005-0000-0000-000092620000}"/>
    <cellStyle name="Currency [0] 2 33 4 3 2" xfId="27589" xr:uid="{00000000-0005-0000-0000-000093620000}"/>
    <cellStyle name="Currency [0] 2 33 4 3 3" xfId="43081" xr:uid="{00000000-0005-0000-0000-000094620000}"/>
    <cellStyle name="Currency [0] 2 33 4 4" xfId="19849" xr:uid="{00000000-0005-0000-0000-000095620000}"/>
    <cellStyle name="Currency [0] 2 33 4 5" xfId="35341" xr:uid="{00000000-0005-0000-0000-000096620000}"/>
    <cellStyle name="Currency [0] 2 33 5" xfId="6195" xr:uid="{00000000-0005-0000-0000-000097620000}"/>
    <cellStyle name="Currency [0] 2 33 5 2" xfId="13940" xr:uid="{00000000-0005-0000-0000-000098620000}"/>
    <cellStyle name="Currency [0] 2 33 5 2 2" xfId="29532" xr:uid="{00000000-0005-0000-0000-000099620000}"/>
    <cellStyle name="Currency [0] 2 33 5 2 3" xfId="45024" xr:uid="{00000000-0005-0000-0000-00009A620000}"/>
    <cellStyle name="Currency [0] 2 33 5 3" xfId="21792" xr:uid="{00000000-0005-0000-0000-00009B620000}"/>
    <cellStyle name="Currency [0] 2 33 5 4" xfId="37284" xr:uid="{00000000-0005-0000-0000-00009C620000}"/>
    <cellStyle name="Currency [0] 2 33 6" xfId="10070" xr:uid="{00000000-0005-0000-0000-00009D620000}"/>
    <cellStyle name="Currency [0] 2 33 6 2" xfId="25662" xr:uid="{00000000-0005-0000-0000-00009E620000}"/>
    <cellStyle name="Currency [0] 2 33 6 3" xfId="41154" xr:uid="{00000000-0005-0000-0000-00009F620000}"/>
    <cellStyle name="Currency [0] 2 33 7" xfId="17922" xr:uid="{00000000-0005-0000-0000-0000A0620000}"/>
    <cellStyle name="Currency [0] 2 33 8" xfId="33414" xr:uid="{00000000-0005-0000-0000-0000A1620000}"/>
    <cellStyle name="Currency [0] 2 34" xfId="2281" xr:uid="{00000000-0005-0000-0000-0000A2620000}"/>
    <cellStyle name="Currency [0] 2 34 2" xfId="2597" xr:uid="{00000000-0005-0000-0000-0000A3620000}"/>
    <cellStyle name="Currency [0] 2 34 2 2" xfId="3605" xr:uid="{00000000-0005-0000-0000-0000A4620000}"/>
    <cellStyle name="Currency [0] 2 34 2 2 2" xfId="5544" xr:uid="{00000000-0005-0000-0000-0000A5620000}"/>
    <cellStyle name="Currency [0] 2 34 2 2 2 2" xfId="9415" xr:uid="{00000000-0005-0000-0000-0000A6620000}"/>
    <cellStyle name="Currency [0] 2 34 2 2 2 2 2" xfId="17160" xr:uid="{00000000-0005-0000-0000-0000A7620000}"/>
    <cellStyle name="Currency [0] 2 34 2 2 2 2 2 2" xfId="32752" xr:uid="{00000000-0005-0000-0000-0000A8620000}"/>
    <cellStyle name="Currency [0] 2 34 2 2 2 2 2 3" xfId="48244" xr:uid="{00000000-0005-0000-0000-0000A9620000}"/>
    <cellStyle name="Currency [0] 2 34 2 2 2 2 3" xfId="25012" xr:uid="{00000000-0005-0000-0000-0000AA620000}"/>
    <cellStyle name="Currency [0] 2 34 2 2 2 2 4" xfId="40504" xr:uid="{00000000-0005-0000-0000-0000AB620000}"/>
    <cellStyle name="Currency [0] 2 34 2 2 2 3" xfId="13290" xr:uid="{00000000-0005-0000-0000-0000AC620000}"/>
    <cellStyle name="Currency [0] 2 34 2 2 2 3 2" xfId="28882" xr:uid="{00000000-0005-0000-0000-0000AD620000}"/>
    <cellStyle name="Currency [0] 2 34 2 2 2 3 3" xfId="44374" xr:uid="{00000000-0005-0000-0000-0000AE620000}"/>
    <cellStyle name="Currency [0] 2 34 2 2 2 4" xfId="21142" xr:uid="{00000000-0005-0000-0000-0000AF620000}"/>
    <cellStyle name="Currency [0] 2 34 2 2 2 5" xfId="36634" xr:uid="{00000000-0005-0000-0000-0000B0620000}"/>
    <cellStyle name="Currency [0] 2 34 2 2 3" xfId="7488" xr:uid="{00000000-0005-0000-0000-0000B1620000}"/>
    <cellStyle name="Currency [0] 2 34 2 2 3 2" xfId="15233" xr:uid="{00000000-0005-0000-0000-0000B2620000}"/>
    <cellStyle name="Currency [0] 2 34 2 2 3 2 2" xfId="30825" xr:uid="{00000000-0005-0000-0000-0000B3620000}"/>
    <cellStyle name="Currency [0] 2 34 2 2 3 2 3" xfId="46317" xr:uid="{00000000-0005-0000-0000-0000B4620000}"/>
    <cellStyle name="Currency [0] 2 34 2 2 3 3" xfId="23085" xr:uid="{00000000-0005-0000-0000-0000B5620000}"/>
    <cellStyle name="Currency [0] 2 34 2 2 3 4" xfId="38577" xr:uid="{00000000-0005-0000-0000-0000B6620000}"/>
    <cellStyle name="Currency [0] 2 34 2 2 4" xfId="11363" xr:uid="{00000000-0005-0000-0000-0000B7620000}"/>
    <cellStyle name="Currency [0] 2 34 2 2 4 2" xfId="26955" xr:uid="{00000000-0005-0000-0000-0000B8620000}"/>
    <cellStyle name="Currency [0] 2 34 2 2 4 3" xfId="42447" xr:uid="{00000000-0005-0000-0000-0000B9620000}"/>
    <cellStyle name="Currency [0] 2 34 2 2 5" xfId="19215" xr:uid="{00000000-0005-0000-0000-0000BA620000}"/>
    <cellStyle name="Currency [0] 2 34 2 2 6" xfId="34707" xr:uid="{00000000-0005-0000-0000-0000BB620000}"/>
    <cellStyle name="Currency [0] 2 34 2 3" xfId="4596" xr:uid="{00000000-0005-0000-0000-0000BC620000}"/>
    <cellStyle name="Currency [0] 2 34 2 3 2" xfId="8467" xr:uid="{00000000-0005-0000-0000-0000BD620000}"/>
    <cellStyle name="Currency [0] 2 34 2 3 2 2" xfId="16212" xr:uid="{00000000-0005-0000-0000-0000BE620000}"/>
    <cellStyle name="Currency [0] 2 34 2 3 2 2 2" xfId="31804" xr:uid="{00000000-0005-0000-0000-0000BF620000}"/>
    <cellStyle name="Currency [0] 2 34 2 3 2 2 3" xfId="47296" xr:uid="{00000000-0005-0000-0000-0000C0620000}"/>
    <cellStyle name="Currency [0] 2 34 2 3 2 3" xfId="24064" xr:uid="{00000000-0005-0000-0000-0000C1620000}"/>
    <cellStyle name="Currency [0] 2 34 2 3 2 4" xfId="39556" xr:uid="{00000000-0005-0000-0000-0000C2620000}"/>
    <cellStyle name="Currency [0] 2 34 2 3 3" xfId="12342" xr:uid="{00000000-0005-0000-0000-0000C3620000}"/>
    <cellStyle name="Currency [0] 2 34 2 3 3 2" xfId="27934" xr:uid="{00000000-0005-0000-0000-0000C4620000}"/>
    <cellStyle name="Currency [0] 2 34 2 3 3 3" xfId="43426" xr:uid="{00000000-0005-0000-0000-0000C5620000}"/>
    <cellStyle name="Currency [0] 2 34 2 3 4" xfId="20194" xr:uid="{00000000-0005-0000-0000-0000C6620000}"/>
    <cellStyle name="Currency [0] 2 34 2 3 5" xfId="35686" xr:uid="{00000000-0005-0000-0000-0000C7620000}"/>
    <cellStyle name="Currency [0] 2 34 2 4" xfId="6540" xr:uid="{00000000-0005-0000-0000-0000C8620000}"/>
    <cellStyle name="Currency [0] 2 34 2 4 2" xfId="14285" xr:uid="{00000000-0005-0000-0000-0000C9620000}"/>
    <cellStyle name="Currency [0] 2 34 2 4 2 2" xfId="29877" xr:uid="{00000000-0005-0000-0000-0000CA620000}"/>
    <cellStyle name="Currency [0] 2 34 2 4 2 3" xfId="45369" xr:uid="{00000000-0005-0000-0000-0000CB620000}"/>
    <cellStyle name="Currency [0] 2 34 2 4 3" xfId="22137" xr:uid="{00000000-0005-0000-0000-0000CC620000}"/>
    <cellStyle name="Currency [0] 2 34 2 4 4" xfId="37629" xr:uid="{00000000-0005-0000-0000-0000CD620000}"/>
    <cellStyle name="Currency [0] 2 34 2 5" xfId="10415" xr:uid="{00000000-0005-0000-0000-0000CE620000}"/>
    <cellStyle name="Currency [0] 2 34 2 5 2" xfId="26007" xr:uid="{00000000-0005-0000-0000-0000CF620000}"/>
    <cellStyle name="Currency [0] 2 34 2 5 3" xfId="41499" xr:uid="{00000000-0005-0000-0000-0000D0620000}"/>
    <cellStyle name="Currency [0] 2 34 2 6" xfId="18267" xr:uid="{00000000-0005-0000-0000-0000D1620000}"/>
    <cellStyle name="Currency [0] 2 34 2 7" xfId="33759" xr:uid="{00000000-0005-0000-0000-0000D2620000}"/>
    <cellStyle name="Currency [0] 2 34 3" xfId="3296" xr:uid="{00000000-0005-0000-0000-0000D3620000}"/>
    <cellStyle name="Currency [0] 2 34 3 2" xfId="5235" xr:uid="{00000000-0005-0000-0000-0000D4620000}"/>
    <cellStyle name="Currency [0] 2 34 3 2 2" xfId="9106" xr:uid="{00000000-0005-0000-0000-0000D5620000}"/>
    <cellStyle name="Currency [0] 2 34 3 2 2 2" xfId="16851" xr:uid="{00000000-0005-0000-0000-0000D6620000}"/>
    <cellStyle name="Currency [0] 2 34 3 2 2 2 2" xfId="32443" xr:uid="{00000000-0005-0000-0000-0000D7620000}"/>
    <cellStyle name="Currency [0] 2 34 3 2 2 2 3" xfId="47935" xr:uid="{00000000-0005-0000-0000-0000D8620000}"/>
    <cellStyle name="Currency [0] 2 34 3 2 2 3" xfId="24703" xr:uid="{00000000-0005-0000-0000-0000D9620000}"/>
    <cellStyle name="Currency [0] 2 34 3 2 2 4" xfId="40195" xr:uid="{00000000-0005-0000-0000-0000DA620000}"/>
    <cellStyle name="Currency [0] 2 34 3 2 3" xfId="12981" xr:uid="{00000000-0005-0000-0000-0000DB620000}"/>
    <cellStyle name="Currency [0] 2 34 3 2 3 2" xfId="28573" xr:uid="{00000000-0005-0000-0000-0000DC620000}"/>
    <cellStyle name="Currency [0] 2 34 3 2 3 3" xfId="44065" xr:uid="{00000000-0005-0000-0000-0000DD620000}"/>
    <cellStyle name="Currency [0] 2 34 3 2 4" xfId="20833" xr:uid="{00000000-0005-0000-0000-0000DE620000}"/>
    <cellStyle name="Currency [0] 2 34 3 2 5" xfId="36325" xr:uid="{00000000-0005-0000-0000-0000DF620000}"/>
    <cellStyle name="Currency [0] 2 34 3 3" xfId="7179" xr:uid="{00000000-0005-0000-0000-0000E0620000}"/>
    <cellStyle name="Currency [0] 2 34 3 3 2" xfId="14924" xr:uid="{00000000-0005-0000-0000-0000E1620000}"/>
    <cellStyle name="Currency [0] 2 34 3 3 2 2" xfId="30516" xr:uid="{00000000-0005-0000-0000-0000E2620000}"/>
    <cellStyle name="Currency [0] 2 34 3 3 2 3" xfId="46008" xr:uid="{00000000-0005-0000-0000-0000E3620000}"/>
    <cellStyle name="Currency [0] 2 34 3 3 3" xfId="22776" xr:uid="{00000000-0005-0000-0000-0000E4620000}"/>
    <cellStyle name="Currency [0] 2 34 3 3 4" xfId="38268" xr:uid="{00000000-0005-0000-0000-0000E5620000}"/>
    <cellStyle name="Currency [0] 2 34 3 4" xfId="11054" xr:uid="{00000000-0005-0000-0000-0000E6620000}"/>
    <cellStyle name="Currency [0] 2 34 3 4 2" xfId="26646" xr:uid="{00000000-0005-0000-0000-0000E7620000}"/>
    <cellStyle name="Currency [0] 2 34 3 4 3" xfId="42138" xr:uid="{00000000-0005-0000-0000-0000E8620000}"/>
    <cellStyle name="Currency [0] 2 34 3 5" xfId="18906" xr:uid="{00000000-0005-0000-0000-0000E9620000}"/>
    <cellStyle name="Currency [0] 2 34 3 6" xfId="34398" xr:uid="{00000000-0005-0000-0000-0000EA620000}"/>
    <cellStyle name="Currency [0] 2 34 4" xfId="4287" xr:uid="{00000000-0005-0000-0000-0000EB620000}"/>
    <cellStyle name="Currency [0] 2 34 4 2" xfId="8158" xr:uid="{00000000-0005-0000-0000-0000EC620000}"/>
    <cellStyle name="Currency [0] 2 34 4 2 2" xfId="15903" xr:uid="{00000000-0005-0000-0000-0000ED620000}"/>
    <cellStyle name="Currency [0] 2 34 4 2 2 2" xfId="31495" xr:uid="{00000000-0005-0000-0000-0000EE620000}"/>
    <cellStyle name="Currency [0] 2 34 4 2 2 3" xfId="46987" xr:uid="{00000000-0005-0000-0000-0000EF620000}"/>
    <cellStyle name="Currency [0] 2 34 4 2 3" xfId="23755" xr:uid="{00000000-0005-0000-0000-0000F0620000}"/>
    <cellStyle name="Currency [0] 2 34 4 2 4" xfId="39247" xr:uid="{00000000-0005-0000-0000-0000F1620000}"/>
    <cellStyle name="Currency [0] 2 34 4 3" xfId="12033" xr:uid="{00000000-0005-0000-0000-0000F2620000}"/>
    <cellStyle name="Currency [0] 2 34 4 3 2" xfId="27625" xr:uid="{00000000-0005-0000-0000-0000F3620000}"/>
    <cellStyle name="Currency [0] 2 34 4 3 3" xfId="43117" xr:uid="{00000000-0005-0000-0000-0000F4620000}"/>
    <cellStyle name="Currency [0] 2 34 4 4" xfId="19885" xr:uid="{00000000-0005-0000-0000-0000F5620000}"/>
    <cellStyle name="Currency [0] 2 34 4 5" xfId="35377" xr:uid="{00000000-0005-0000-0000-0000F6620000}"/>
    <cellStyle name="Currency [0] 2 34 5" xfId="6231" xr:uid="{00000000-0005-0000-0000-0000F7620000}"/>
    <cellStyle name="Currency [0] 2 34 5 2" xfId="13976" xr:uid="{00000000-0005-0000-0000-0000F8620000}"/>
    <cellStyle name="Currency [0] 2 34 5 2 2" xfId="29568" xr:uid="{00000000-0005-0000-0000-0000F9620000}"/>
    <cellStyle name="Currency [0] 2 34 5 2 3" xfId="45060" xr:uid="{00000000-0005-0000-0000-0000FA620000}"/>
    <cellStyle name="Currency [0] 2 34 5 3" xfId="21828" xr:uid="{00000000-0005-0000-0000-0000FB620000}"/>
    <cellStyle name="Currency [0] 2 34 5 4" xfId="37320" xr:uid="{00000000-0005-0000-0000-0000FC620000}"/>
    <cellStyle name="Currency [0] 2 34 6" xfId="10106" xr:uid="{00000000-0005-0000-0000-0000FD620000}"/>
    <cellStyle name="Currency [0] 2 34 6 2" xfId="25698" xr:uid="{00000000-0005-0000-0000-0000FE620000}"/>
    <cellStyle name="Currency [0] 2 34 6 3" xfId="41190" xr:uid="{00000000-0005-0000-0000-0000FF620000}"/>
    <cellStyle name="Currency [0] 2 34 7" xfId="17958" xr:uid="{00000000-0005-0000-0000-000000630000}"/>
    <cellStyle name="Currency [0] 2 34 8" xfId="33450" xr:uid="{00000000-0005-0000-0000-000001630000}"/>
    <cellStyle name="Currency [0] 2 35" xfId="2318" xr:uid="{00000000-0005-0000-0000-000002630000}"/>
    <cellStyle name="Currency [0] 2 35 2" xfId="2633" xr:uid="{00000000-0005-0000-0000-000003630000}"/>
    <cellStyle name="Currency [0] 2 35 2 2" xfId="3641" xr:uid="{00000000-0005-0000-0000-000004630000}"/>
    <cellStyle name="Currency [0] 2 35 2 2 2" xfId="5580" xr:uid="{00000000-0005-0000-0000-000005630000}"/>
    <cellStyle name="Currency [0] 2 35 2 2 2 2" xfId="9451" xr:uid="{00000000-0005-0000-0000-000006630000}"/>
    <cellStyle name="Currency [0] 2 35 2 2 2 2 2" xfId="17196" xr:uid="{00000000-0005-0000-0000-000007630000}"/>
    <cellStyle name="Currency [0] 2 35 2 2 2 2 2 2" xfId="32788" xr:uid="{00000000-0005-0000-0000-000008630000}"/>
    <cellStyle name="Currency [0] 2 35 2 2 2 2 2 3" xfId="48280" xr:uid="{00000000-0005-0000-0000-000009630000}"/>
    <cellStyle name="Currency [0] 2 35 2 2 2 2 3" xfId="25048" xr:uid="{00000000-0005-0000-0000-00000A630000}"/>
    <cellStyle name="Currency [0] 2 35 2 2 2 2 4" xfId="40540" xr:uid="{00000000-0005-0000-0000-00000B630000}"/>
    <cellStyle name="Currency [0] 2 35 2 2 2 3" xfId="13326" xr:uid="{00000000-0005-0000-0000-00000C630000}"/>
    <cellStyle name="Currency [0] 2 35 2 2 2 3 2" xfId="28918" xr:uid="{00000000-0005-0000-0000-00000D630000}"/>
    <cellStyle name="Currency [0] 2 35 2 2 2 3 3" xfId="44410" xr:uid="{00000000-0005-0000-0000-00000E630000}"/>
    <cellStyle name="Currency [0] 2 35 2 2 2 4" xfId="21178" xr:uid="{00000000-0005-0000-0000-00000F630000}"/>
    <cellStyle name="Currency [0] 2 35 2 2 2 5" xfId="36670" xr:uid="{00000000-0005-0000-0000-000010630000}"/>
    <cellStyle name="Currency [0] 2 35 2 2 3" xfId="7524" xr:uid="{00000000-0005-0000-0000-000011630000}"/>
    <cellStyle name="Currency [0] 2 35 2 2 3 2" xfId="15269" xr:uid="{00000000-0005-0000-0000-000012630000}"/>
    <cellStyle name="Currency [0] 2 35 2 2 3 2 2" xfId="30861" xr:uid="{00000000-0005-0000-0000-000013630000}"/>
    <cellStyle name="Currency [0] 2 35 2 2 3 2 3" xfId="46353" xr:uid="{00000000-0005-0000-0000-000014630000}"/>
    <cellStyle name="Currency [0] 2 35 2 2 3 3" xfId="23121" xr:uid="{00000000-0005-0000-0000-000015630000}"/>
    <cellStyle name="Currency [0] 2 35 2 2 3 4" xfId="38613" xr:uid="{00000000-0005-0000-0000-000016630000}"/>
    <cellStyle name="Currency [0] 2 35 2 2 4" xfId="11399" xr:uid="{00000000-0005-0000-0000-000017630000}"/>
    <cellStyle name="Currency [0] 2 35 2 2 4 2" xfId="26991" xr:uid="{00000000-0005-0000-0000-000018630000}"/>
    <cellStyle name="Currency [0] 2 35 2 2 4 3" xfId="42483" xr:uid="{00000000-0005-0000-0000-000019630000}"/>
    <cellStyle name="Currency [0] 2 35 2 2 5" xfId="19251" xr:uid="{00000000-0005-0000-0000-00001A630000}"/>
    <cellStyle name="Currency [0] 2 35 2 2 6" xfId="34743" xr:uid="{00000000-0005-0000-0000-00001B630000}"/>
    <cellStyle name="Currency [0] 2 35 2 3" xfId="4632" xr:uid="{00000000-0005-0000-0000-00001C630000}"/>
    <cellStyle name="Currency [0] 2 35 2 3 2" xfId="8503" xr:uid="{00000000-0005-0000-0000-00001D630000}"/>
    <cellStyle name="Currency [0] 2 35 2 3 2 2" xfId="16248" xr:uid="{00000000-0005-0000-0000-00001E630000}"/>
    <cellStyle name="Currency [0] 2 35 2 3 2 2 2" xfId="31840" xr:uid="{00000000-0005-0000-0000-00001F630000}"/>
    <cellStyle name="Currency [0] 2 35 2 3 2 2 3" xfId="47332" xr:uid="{00000000-0005-0000-0000-000020630000}"/>
    <cellStyle name="Currency [0] 2 35 2 3 2 3" xfId="24100" xr:uid="{00000000-0005-0000-0000-000021630000}"/>
    <cellStyle name="Currency [0] 2 35 2 3 2 4" xfId="39592" xr:uid="{00000000-0005-0000-0000-000022630000}"/>
    <cellStyle name="Currency [0] 2 35 2 3 3" xfId="12378" xr:uid="{00000000-0005-0000-0000-000023630000}"/>
    <cellStyle name="Currency [0] 2 35 2 3 3 2" xfId="27970" xr:uid="{00000000-0005-0000-0000-000024630000}"/>
    <cellStyle name="Currency [0] 2 35 2 3 3 3" xfId="43462" xr:uid="{00000000-0005-0000-0000-000025630000}"/>
    <cellStyle name="Currency [0] 2 35 2 3 4" xfId="20230" xr:uid="{00000000-0005-0000-0000-000026630000}"/>
    <cellStyle name="Currency [0] 2 35 2 3 5" xfId="35722" xr:uid="{00000000-0005-0000-0000-000027630000}"/>
    <cellStyle name="Currency [0] 2 35 2 4" xfId="6576" xr:uid="{00000000-0005-0000-0000-000028630000}"/>
    <cellStyle name="Currency [0] 2 35 2 4 2" xfId="14321" xr:uid="{00000000-0005-0000-0000-000029630000}"/>
    <cellStyle name="Currency [0] 2 35 2 4 2 2" xfId="29913" xr:uid="{00000000-0005-0000-0000-00002A630000}"/>
    <cellStyle name="Currency [0] 2 35 2 4 2 3" xfId="45405" xr:uid="{00000000-0005-0000-0000-00002B630000}"/>
    <cellStyle name="Currency [0] 2 35 2 4 3" xfId="22173" xr:uid="{00000000-0005-0000-0000-00002C630000}"/>
    <cellStyle name="Currency [0] 2 35 2 4 4" xfId="37665" xr:uid="{00000000-0005-0000-0000-00002D630000}"/>
    <cellStyle name="Currency [0] 2 35 2 5" xfId="10451" xr:uid="{00000000-0005-0000-0000-00002E630000}"/>
    <cellStyle name="Currency [0] 2 35 2 5 2" xfId="26043" xr:uid="{00000000-0005-0000-0000-00002F630000}"/>
    <cellStyle name="Currency [0] 2 35 2 5 3" xfId="41535" xr:uid="{00000000-0005-0000-0000-000030630000}"/>
    <cellStyle name="Currency [0] 2 35 2 6" xfId="18303" xr:uid="{00000000-0005-0000-0000-000031630000}"/>
    <cellStyle name="Currency [0] 2 35 2 7" xfId="33795" xr:uid="{00000000-0005-0000-0000-000032630000}"/>
    <cellStyle name="Currency [0] 2 35 3" xfId="3332" xr:uid="{00000000-0005-0000-0000-000033630000}"/>
    <cellStyle name="Currency [0] 2 35 3 2" xfId="5271" xr:uid="{00000000-0005-0000-0000-000034630000}"/>
    <cellStyle name="Currency [0] 2 35 3 2 2" xfId="9142" xr:uid="{00000000-0005-0000-0000-000035630000}"/>
    <cellStyle name="Currency [0] 2 35 3 2 2 2" xfId="16887" xr:uid="{00000000-0005-0000-0000-000036630000}"/>
    <cellStyle name="Currency [0] 2 35 3 2 2 2 2" xfId="32479" xr:uid="{00000000-0005-0000-0000-000037630000}"/>
    <cellStyle name="Currency [0] 2 35 3 2 2 2 3" xfId="47971" xr:uid="{00000000-0005-0000-0000-000038630000}"/>
    <cellStyle name="Currency [0] 2 35 3 2 2 3" xfId="24739" xr:uid="{00000000-0005-0000-0000-000039630000}"/>
    <cellStyle name="Currency [0] 2 35 3 2 2 4" xfId="40231" xr:uid="{00000000-0005-0000-0000-00003A630000}"/>
    <cellStyle name="Currency [0] 2 35 3 2 3" xfId="13017" xr:uid="{00000000-0005-0000-0000-00003B630000}"/>
    <cellStyle name="Currency [0] 2 35 3 2 3 2" xfId="28609" xr:uid="{00000000-0005-0000-0000-00003C630000}"/>
    <cellStyle name="Currency [0] 2 35 3 2 3 3" xfId="44101" xr:uid="{00000000-0005-0000-0000-00003D630000}"/>
    <cellStyle name="Currency [0] 2 35 3 2 4" xfId="20869" xr:uid="{00000000-0005-0000-0000-00003E630000}"/>
    <cellStyle name="Currency [0] 2 35 3 2 5" xfId="36361" xr:uid="{00000000-0005-0000-0000-00003F630000}"/>
    <cellStyle name="Currency [0] 2 35 3 3" xfId="7215" xr:uid="{00000000-0005-0000-0000-000040630000}"/>
    <cellStyle name="Currency [0] 2 35 3 3 2" xfId="14960" xr:uid="{00000000-0005-0000-0000-000041630000}"/>
    <cellStyle name="Currency [0] 2 35 3 3 2 2" xfId="30552" xr:uid="{00000000-0005-0000-0000-000042630000}"/>
    <cellStyle name="Currency [0] 2 35 3 3 2 3" xfId="46044" xr:uid="{00000000-0005-0000-0000-000043630000}"/>
    <cellStyle name="Currency [0] 2 35 3 3 3" xfId="22812" xr:uid="{00000000-0005-0000-0000-000044630000}"/>
    <cellStyle name="Currency [0] 2 35 3 3 4" xfId="38304" xr:uid="{00000000-0005-0000-0000-000045630000}"/>
    <cellStyle name="Currency [0] 2 35 3 4" xfId="11090" xr:uid="{00000000-0005-0000-0000-000046630000}"/>
    <cellStyle name="Currency [0] 2 35 3 4 2" xfId="26682" xr:uid="{00000000-0005-0000-0000-000047630000}"/>
    <cellStyle name="Currency [0] 2 35 3 4 3" xfId="42174" xr:uid="{00000000-0005-0000-0000-000048630000}"/>
    <cellStyle name="Currency [0] 2 35 3 5" xfId="18942" xr:uid="{00000000-0005-0000-0000-000049630000}"/>
    <cellStyle name="Currency [0] 2 35 3 6" xfId="34434" xr:uid="{00000000-0005-0000-0000-00004A630000}"/>
    <cellStyle name="Currency [0] 2 35 4" xfId="4323" xr:uid="{00000000-0005-0000-0000-00004B630000}"/>
    <cellStyle name="Currency [0] 2 35 4 2" xfId="8194" xr:uid="{00000000-0005-0000-0000-00004C630000}"/>
    <cellStyle name="Currency [0] 2 35 4 2 2" xfId="15939" xr:uid="{00000000-0005-0000-0000-00004D630000}"/>
    <cellStyle name="Currency [0] 2 35 4 2 2 2" xfId="31531" xr:uid="{00000000-0005-0000-0000-00004E630000}"/>
    <cellStyle name="Currency [0] 2 35 4 2 2 3" xfId="47023" xr:uid="{00000000-0005-0000-0000-00004F630000}"/>
    <cellStyle name="Currency [0] 2 35 4 2 3" xfId="23791" xr:uid="{00000000-0005-0000-0000-000050630000}"/>
    <cellStyle name="Currency [0] 2 35 4 2 4" xfId="39283" xr:uid="{00000000-0005-0000-0000-000051630000}"/>
    <cellStyle name="Currency [0] 2 35 4 3" xfId="12069" xr:uid="{00000000-0005-0000-0000-000052630000}"/>
    <cellStyle name="Currency [0] 2 35 4 3 2" xfId="27661" xr:uid="{00000000-0005-0000-0000-000053630000}"/>
    <cellStyle name="Currency [0] 2 35 4 3 3" xfId="43153" xr:uid="{00000000-0005-0000-0000-000054630000}"/>
    <cellStyle name="Currency [0] 2 35 4 4" xfId="19921" xr:uid="{00000000-0005-0000-0000-000055630000}"/>
    <cellStyle name="Currency [0] 2 35 4 5" xfId="35413" xr:uid="{00000000-0005-0000-0000-000056630000}"/>
    <cellStyle name="Currency [0] 2 35 5" xfId="6267" xr:uid="{00000000-0005-0000-0000-000057630000}"/>
    <cellStyle name="Currency [0] 2 35 5 2" xfId="14012" xr:uid="{00000000-0005-0000-0000-000058630000}"/>
    <cellStyle name="Currency [0] 2 35 5 2 2" xfId="29604" xr:uid="{00000000-0005-0000-0000-000059630000}"/>
    <cellStyle name="Currency [0] 2 35 5 2 3" xfId="45096" xr:uid="{00000000-0005-0000-0000-00005A630000}"/>
    <cellStyle name="Currency [0] 2 35 5 3" xfId="21864" xr:uid="{00000000-0005-0000-0000-00005B630000}"/>
    <cellStyle name="Currency [0] 2 35 5 4" xfId="37356" xr:uid="{00000000-0005-0000-0000-00005C630000}"/>
    <cellStyle name="Currency [0] 2 35 6" xfId="10142" xr:uid="{00000000-0005-0000-0000-00005D630000}"/>
    <cellStyle name="Currency [0] 2 35 6 2" xfId="25734" xr:uid="{00000000-0005-0000-0000-00005E630000}"/>
    <cellStyle name="Currency [0] 2 35 6 3" xfId="41226" xr:uid="{00000000-0005-0000-0000-00005F630000}"/>
    <cellStyle name="Currency [0] 2 35 7" xfId="17994" xr:uid="{00000000-0005-0000-0000-000060630000}"/>
    <cellStyle name="Currency [0] 2 35 8" xfId="33486" xr:uid="{00000000-0005-0000-0000-000061630000}"/>
    <cellStyle name="Currency [0] 2 36" xfId="2356" xr:uid="{00000000-0005-0000-0000-000062630000}"/>
    <cellStyle name="Currency [0] 2 36 2" xfId="2669" xr:uid="{00000000-0005-0000-0000-000063630000}"/>
    <cellStyle name="Currency [0] 2 36 2 2" xfId="3677" xr:uid="{00000000-0005-0000-0000-000064630000}"/>
    <cellStyle name="Currency [0] 2 36 2 2 2" xfId="5616" xr:uid="{00000000-0005-0000-0000-000065630000}"/>
    <cellStyle name="Currency [0] 2 36 2 2 2 2" xfId="9487" xr:uid="{00000000-0005-0000-0000-000066630000}"/>
    <cellStyle name="Currency [0] 2 36 2 2 2 2 2" xfId="17232" xr:uid="{00000000-0005-0000-0000-000067630000}"/>
    <cellStyle name="Currency [0] 2 36 2 2 2 2 2 2" xfId="32824" xr:uid="{00000000-0005-0000-0000-000068630000}"/>
    <cellStyle name="Currency [0] 2 36 2 2 2 2 2 3" xfId="48316" xr:uid="{00000000-0005-0000-0000-000069630000}"/>
    <cellStyle name="Currency [0] 2 36 2 2 2 2 3" xfId="25084" xr:uid="{00000000-0005-0000-0000-00006A630000}"/>
    <cellStyle name="Currency [0] 2 36 2 2 2 2 4" xfId="40576" xr:uid="{00000000-0005-0000-0000-00006B630000}"/>
    <cellStyle name="Currency [0] 2 36 2 2 2 3" xfId="13362" xr:uid="{00000000-0005-0000-0000-00006C630000}"/>
    <cellStyle name="Currency [0] 2 36 2 2 2 3 2" xfId="28954" xr:uid="{00000000-0005-0000-0000-00006D630000}"/>
    <cellStyle name="Currency [0] 2 36 2 2 2 3 3" xfId="44446" xr:uid="{00000000-0005-0000-0000-00006E630000}"/>
    <cellStyle name="Currency [0] 2 36 2 2 2 4" xfId="21214" xr:uid="{00000000-0005-0000-0000-00006F630000}"/>
    <cellStyle name="Currency [0] 2 36 2 2 2 5" xfId="36706" xr:uid="{00000000-0005-0000-0000-000070630000}"/>
    <cellStyle name="Currency [0] 2 36 2 2 3" xfId="7560" xr:uid="{00000000-0005-0000-0000-000071630000}"/>
    <cellStyle name="Currency [0] 2 36 2 2 3 2" xfId="15305" xr:uid="{00000000-0005-0000-0000-000072630000}"/>
    <cellStyle name="Currency [0] 2 36 2 2 3 2 2" xfId="30897" xr:uid="{00000000-0005-0000-0000-000073630000}"/>
    <cellStyle name="Currency [0] 2 36 2 2 3 2 3" xfId="46389" xr:uid="{00000000-0005-0000-0000-000074630000}"/>
    <cellStyle name="Currency [0] 2 36 2 2 3 3" xfId="23157" xr:uid="{00000000-0005-0000-0000-000075630000}"/>
    <cellStyle name="Currency [0] 2 36 2 2 3 4" xfId="38649" xr:uid="{00000000-0005-0000-0000-000076630000}"/>
    <cellStyle name="Currency [0] 2 36 2 2 4" xfId="11435" xr:uid="{00000000-0005-0000-0000-000077630000}"/>
    <cellStyle name="Currency [0] 2 36 2 2 4 2" xfId="27027" xr:uid="{00000000-0005-0000-0000-000078630000}"/>
    <cellStyle name="Currency [0] 2 36 2 2 4 3" xfId="42519" xr:uid="{00000000-0005-0000-0000-000079630000}"/>
    <cellStyle name="Currency [0] 2 36 2 2 5" xfId="19287" xr:uid="{00000000-0005-0000-0000-00007A630000}"/>
    <cellStyle name="Currency [0] 2 36 2 2 6" xfId="34779" xr:uid="{00000000-0005-0000-0000-00007B630000}"/>
    <cellStyle name="Currency [0] 2 36 2 3" xfId="4668" xr:uid="{00000000-0005-0000-0000-00007C630000}"/>
    <cellStyle name="Currency [0] 2 36 2 3 2" xfId="8539" xr:uid="{00000000-0005-0000-0000-00007D630000}"/>
    <cellStyle name="Currency [0] 2 36 2 3 2 2" xfId="16284" xr:uid="{00000000-0005-0000-0000-00007E630000}"/>
    <cellStyle name="Currency [0] 2 36 2 3 2 2 2" xfId="31876" xr:uid="{00000000-0005-0000-0000-00007F630000}"/>
    <cellStyle name="Currency [0] 2 36 2 3 2 2 3" xfId="47368" xr:uid="{00000000-0005-0000-0000-000080630000}"/>
    <cellStyle name="Currency [0] 2 36 2 3 2 3" xfId="24136" xr:uid="{00000000-0005-0000-0000-000081630000}"/>
    <cellStyle name="Currency [0] 2 36 2 3 2 4" xfId="39628" xr:uid="{00000000-0005-0000-0000-000082630000}"/>
    <cellStyle name="Currency [0] 2 36 2 3 3" xfId="12414" xr:uid="{00000000-0005-0000-0000-000083630000}"/>
    <cellStyle name="Currency [0] 2 36 2 3 3 2" xfId="28006" xr:uid="{00000000-0005-0000-0000-000084630000}"/>
    <cellStyle name="Currency [0] 2 36 2 3 3 3" xfId="43498" xr:uid="{00000000-0005-0000-0000-000085630000}"/>
    <cellStyle name="Currency [0] 2 36 2 3 4" xfId="20266" xr:uid="{00000000-0005-0000-0000-000086630000}"/>
    <cellStyle name="Currency [0] 2 36 2 3 5" xfId="35758" xr:uid="{00000000-0005-0000-0000-000087630000}"/>
    <cellStyle name="Currency [0] 2 36 2 4" xfId="6612" xr:uid="{00000000-0005-0000-0000-000088630000}"/>
    <cellStyle name="Currency [0] 2 36 2 4 2" xfId="14357" xr:uid="{00000000-0005-0000-0000-000089630000}"/>
    <cellStyle name="Currency [0] 2 36 2 4 2 2" xfId="29949" xr:uid="{00000000-0005-0000-0000-00008A630000}"/>
    <cellStyle name="Currency [0] 2 36 2 4 2 3" xfId="45441" xr:uid="{00000000-0005-0000-0000-00008B630000}"/>
    <cellStyle name="Currency [0] 2 36 2 4 3" xfId="22209" xr:uid="{00000000-0005-0000-0000-00008C630000}"/>
    <cellStyle name="Currency [0] 2 36 2 4 4" xfId="37701" xr:uid="{00000000-0005-0000-0000-00008D630000}"/>
    <cellStyle name="Currency [0] 2 36 2 5" xfId="10487" xr:uid="{00000000-0005-0000-0000-00008E630000}"/>
    <cellStyle name="Currency [0] 2 36 2 5 2" xfId="26079" xr:uid="{00000000-0005-0000-0000-00008F630000}"/>
    <cellStyle name="Currency [0] 2 36 2 5 3" xfId="41571" xr:uid="{00000000-0005-0000-0000-000090630000}"/>
    <cellStyle name="Currency [0] 2 36 2 6" xfId="18339" xr:uid="{00000000-0005-0000-0000-000091630000}"/>
    <cellStyle name="Currency [0] 2 36 2 7" xfId="33831" xr:uid="{00000000-0005-0000-0000-000092630000}"/>
    <cellStyle name="Currency [0] 2 36 3" xfId="3368" xr:uid="{00000000-0005-0000-0000-000093630000}"/>
    <cellStyle name="Currency [0] 2 36 3 2" xfId="5307" xr:uid="{00000000-0005-0000-0000-000094630000}"/>
    <cellStyle name="Currency [0] 2 36 3 2 2" xfId="9178" xr:uid="{00000000-0005-0000-0000-000095630000}"/>
    <cellStyle name="Currency [0] 2 36 3 2 2 2" xfId="16923" xr:uid="{00000000-0005-0000-0000-000096630000}"/>
    <cellStyle name="Currency [0] 2 36 3 2 2 2 2" xfId="32515" xr:uid="{00000000-0005-0000-0000-000097630000}"/>
    <cellStyle name="Currency [0] 2 36 3 2 2 2 3" xfId="48007" xr:uid="{00000000-0005-0000-0000-000098630000}"/>
    <cellStyle name="Currency [0] 2 36 3 2 2 3" xfId="24775" xr:uid="{00000000-0005-0000-0000-000099630000}"/>
    <cellStyle name="Currency [0] 2 36 3 2 2 4" xfId="40267" xr:uid="{00000000-0005-0000-0000-00009A630000}"/>
    <cellStyle name="Currency [0] 2 36 3 2 3" xfId="13053" xr:uid="{00000000-0005-0000-0000-00009B630000}"/>
    <cellStyle name="Currency [0] 2 36 3 2 3 2" xfId="28645" xr:uid="{00000000-0005-0000-0000-00009C630000}"/>
    <cellStyle name="Currency [0] 2 36 3 2 3 3" xfId="44137" xr:uid="{00000000-0005-0000-0000-00009D630000}"/>
    <cellStyle name="Currency [0] 2 36 3 2 4" xfId="20905" xr:uid="{00000000-0005-0000-0000-00009E630000}"/>
    <cellStyle name="Currency [0] 2 36 3 2 5" xfId="36397" xr:uid="{00000000-0005-0000-0000-00009F630000}"/>
    <cellStyle name="Currency [0] 2 36 3 3" xfId="7251" xr:uid="{00000000-0005-0000-0000-0000A0630000}"/>
    <cellStyle name="Currency [0] 2 36 3 3 2" xfId="14996" xr:uid="{00000000-0005-0000-0000-0000A1630000}"/>
    <cellStyle name="Currency [0] 2 36 3 3 2 2" xfId="30588" xr:uid="{00000000-0005-0000-0000-0000A2630000}"/>
    <cellStyle name="Currency [0] 2 36 3 3 2 3" xfId="46080" xr:uid="{00000000-0005-0000-0000-0000A3630000}"/>
    <cellStyle name="Currency [0] 2 36 3 3 3" xfId="22848" xr:uid="{00000000-0005-0000-0000-0000A4630000}"/>
    <cellStyle name="Currency [0] 2 36 3 3 4" xfId="38340" xr:uid="{00000000-0005-0000-0000-0000A5630000}"/>
    <cellStyle name="Currency [0] 2 36 3 4" xfId="11126" xr:uid="{00000000-0005-0000-0000-0000A6630000}"/>
    <cellStyle name="Currency [0] 2 36 3 4 2" xfId="26718" xr:uid="{00000000-0005-0000-0000-0000A7630000}"/>
    <cellStyle name="Currency [0] 2 36 3 4 3" xfId="42210" xr:uid="{00000000-0005-0000-0000-0000A8630000}"/>
    <cellStyle name="Currency [0] 2 36 3 5" xfId="18978" xr:uid="{00000000-0005-0000-0000-0000A9630000}"/>
    <cellStyle name="Currency [0] 2 36 3 6" xfId="34470" xr:uid="{00000000-0005-0000-0000-0000AA630000}"/>
    <cellStyle name="Currency [0] 2 36 4" xfId="4359" xr:uid="{00000000-0005-0000-0000-0000AB630000}"/>
    <cellStyle name="Currency [0] 2 36 4 2" xfId="8230" xr:uid="{00000000-0005-0000-0000-0000AC630000}"/>
    <cellStyle name="Currency [0] 2 36 4 2 2" xfId="15975" xr:uid="{00000000-0005-0000-0000-0000AD630000}"/>
    <cellStyle name="Currency [0] 2 36 4 2 2 2" xfId="31567" xr:uid="{00000000-0005-0000-0000-0000AE630000}"/>
    <cellStyle name="Currency [0] 2 36 4 2 2 3" xfId="47059" xr:uid="{00000000-0005-0000-0000-0000AF630000}"/>
    <cellStyle name="Currency [0] 2 36 4 2 3" xfId="23827" xr:uid="{00000000-0005-0000-0000-0000B0630000}"/>
    <cellStyle name="Currency [0] 2 36 4 2 4" xfId="39319" xr:uid="{00000000-0005-0000-0000-0000B1630000}"/>
    <cellStyle name="Currency [0] 2 36 4 3" xfId="12105" xr:uid="{00000000-0005-0000-0000-0000B2630000}"/>
    <cellStyle name="Currency [0] 2 36 4 3 2" xfId="27697" xr:uid="{00000000-0005-0000-0000-0000B3630000}"/>
    <cellStyle name="Currency [0] 2 36 4 3 3" xfId="43189" xr:uid="{00000000-0005-0000-0000-0000B4630000}"/>
    <cellStyle name="Currency [0] 2 36 4 4" xfId="19957" xr:uid="{00000000-0005-0000-0000-0000B5630000}"/>
    <cellStyle name="Currency [0] 2 36 4 5" xfId="35449" xr:uid="{00000000-0005-0000-0000-0000B6630000}"/>
    <cellStyle name="Currency [0] 2 36 5" xfId="6303" xr:uid="{00000000-0005-0000-0000-0000B7630000}"/>
    <cellStyle name="Currency [0] 2 36 5 2" xfId="14048" xr:uid="{00000000-0005-0000-0000-0000B8630000}"/>
    <cellStyle name="Currency [0] 2 36 5 2 2" xfId="29640" xr:uid="{00000000-0005-0000-0000-0000B9630000}"/>
    <cellStyle name="Currency [0] 2 36 5 2 3" xfId="45132" xr:uid="{00000000-0005-0000-0000-0000BA630000}"/>
    <cellStyle name="Currency [0] 2 36 5 3" xfId="21900" xr:uid="{00000000-0005-0000-0000-0000BB630000}"/>
    <cellStyle name="Currency [0] 2 36 5 4" xfId="37392" xr:uid="{00000000-0005-0000-0000-0000BC630000}"/>
    <cellStyle name="Currency [0] 2 36 6" xfId="10178" xr:uid="{00000000-0005-0000-0000-0000BD630000}"/>
    <cellStyle name="Currency [0] 2 36 6 2" xfId="25770" xr:uid="{00000000-0005-0000-0000-0000BE630000}"/>
    <cellStyle name="Currency [0] 2 36 6 3" xfId="41262" xr:uid="{00000000-0005-0000-0000-0000BF630000}"/>
    <cellStyle name="Currency [0] 2 36 7" xfId="18030" xr:uid="{00000000-0005-0000-0000-0000C0630000}"/>
    <cellStyle name="Currency [0] 2 36 8" xfId="33522" xr:uid="{00000000-0005-0000-0000-0000C1630000}"/>
    <cellStyle name="Currency [0] 2 37" xfId="2393" xr:uid="{00000000-0005-0000-0000-0000C2630000}"/>
    <cellStyle name="Currency [0] 2 37 2" xfId="2705" xr:uid="{00000000-0005-0000-0000-0000C3630000}"/>
    <cellStyle name="Currency [0] 2 37 2 2" xfId="3713" xr:uid="{00000000-0005-0000-0000-0000C4630000}"/>
    <cellStyle name="Currency [0] 2 37 2 2 2" xfId="5652" xr:uid="{00000000-0005-0000-0000-0000C5630000}"/>
    <cellStyle name="Currency [0] 2 37 2 2 2 2" xfId="9523" xr:uid="{00000000-0005-0000-0000-0000C6630000}"/>
    <cellStyle name="Currency [0] 2 37 2 2 2 2 2" xfId="17268" xr:uid="{00000000-0005-0000-0000-0000C7630000}"/>
    <cellStyle name="Currency [0] 2 37 2 2 2 2 2 2" xfId="32860" xr:uid="{00000000-0005-0000-0000-0000C8630000}"/>
    <cellStyle name="Currency [0] 2 37 2 2 2 2 2 3" xfId="48352" xr:uid="{00000000-0005-0000-0000-0000C9630000}"/>
    <cellStyle name="Currency [0] 2 37 2 2 2 2 3" xfId="25120" xr:uid="{00000000-0005-0000-0000-0000CA630000}"/>
    <cellStyle name="Currency [0] 2 37 2 2 2 2 4" xfId="40612" xr:uid="{00000000-0005-0000-0000-0000CB630000}"/>
    <cellStyle name="Currency [0] 2 37 2 2 2 3" xfId="13398" xr:uid="{00000000-0005-0000-0000-0000CC630000}"/>
    <cellStyle name="Currency [0] 2 37 2 2 2 3 2" xfId="28990" xr:uid="{00000000-0005-0000-0000-0000CD630000}"/>
    <cellStyle name="Currency [0] 2 37 2 2 2 3 3" xfId="44482" xr:uid="{00000000-0005-0000-0000-0000CE630000}"/>
    <cellStyle name="Currency [0] 2 37 2 2 2 4" xfId="21250" xr:uid="{00000000-0005-0000-0000-0000CF630000}"/>
    <cellStyle name="Currency [0] 2 37 2 2 2 5" xfId="36742" xr:uid="{00000000-0005-0000-0000-0000D0630000}"/>
    <cellStyle name="Currency [0] 2 37 2 2 3" xfId="7596" xr:uid="{00000000-0005-0000-0000-0000D1630000}"/>
    <cellStyle name="Currency [0] 2 37 2 2 3 2" xfId="15341" xr:uid="{00000000-0005-0000-0000-0000D2630000}"/>
    <cellStyle name="Currency [0] 2 37 2 2 3 2 2" xfId="30933" xr:uid="{00000000-0005-0000-0000-0000D3630000}"/>
    <cellStyle name="Currency [0] 2 37 2 2 3 2 3" xfId="46425" xr:uid="{00000000-0005-0000-0000-0000D4630000}"/>
    <cellStyle name="Currency [0] 2 37 2 2 3 3" xfId="23193" xr:uid="{00000000-0005-0000-0000-0000D5630000}"/>
    <cellStyle name="Currency [0] 2 37 2 2 3 4" xfId="38685" xr:uid="{00000000-0005-0000-0000-0000D6630000}"/>
    <cellStyle name="Currency [0] 2 37 2 2 4" xfId="11471" xr:uid="{00000000-0005-0000-0000-0000D7630000}"/>
    <cellStyle name="Currency [0] 2 37 2 2 4 2" xfId="27063" xr:uid="{00000000-0005-0000-0000-0000D8630000}"/>
    <cellStyle name="Currency [0] 2 37 2 2 4 3" xfId="42555" xr:uid="{00000000-0005-0000-0000-0000D9630000}"/>
    <cellStyle name="Currency [0] 2 37 2 2 5" xfId="19323" xr:uid="{00000000-0005-0000-0000-0000DA630000}"/>
    <cellStyle name="Currency [0] 2 37 2 2 6" xfId="34815" xr:uid="{00000000-0005-0000-0000-0000DB630000}"/>
    <cellStyle name="Currency [0] 2 37 2 3" xfId="4704" xr:uid="{00000000-0005-0000-0000-0000DC630000}"/>
    <cellStyle name="Currency [0] 2 37 2 3 2" xfId="8575" xr:uid="{00000000-0005-0000-0000-0000DD630000}"/>
    <cellStyle name="Currency [0] 2 37 2 3 2 2" xfId="16320" xr:uid="{00000000-0005-0000-0000-0000DE630000}"/>
    <cellStyle name="Currency [0] 2 37 2 3 2 2 2" xfId="31912" xr:uid="{00000000-0005-0000-0000-0000DF630000}"/>
    <cellStyle name="Currency [0] 2 37 2 3 2 2 3" xfId="47404" xr:uid="{00000000-0005-0000-0000-0000E0630000}"/>
    <cellStyle name="Currency [0] 2 37 2 3 2 3" xfId="24172" xr:uid="{00000000-0005-0000-0000-0000E1630000}"/>
    <cellStyle name="Currency [0] 2 37 2 3 2 4" xfId="39664" xr:uid="{00000000-0005-0000-0000-0000E2630000}"/>
    <cellStyle name="Currency [0] 2 37 2 3 3" xfId="12450" xr:uid="{00000000-0005-0000-0000-0000E3630000}"/>
    <cellStyle name="Currency [0] 2 37 2 3 3 2" xfId="28042" xr:uid="{00000000-0005-0000-0000-0000E4630000}"/>
    <cellStyle name="Currency [0] 2 37 2 3 3 3" xfId="43534" xr:uid="{00000000-0005-0000-0000-0000E5630000}"/>
    <cellStyle name="Currency [0] 2 37 2 3 4" xfId="20302" xr:uid="{00000000-0005-0000-0000-0000E6630000}"/>
    <cellStyle name="Currency [0] 2 37 2 3 5" xfId="35794" xr:uid="{00000000-0005-0000-0000-0000E7630000}"/>
    <cellStyle name="Currency [0] 2 37 2 4" xfId="6648" xr:uid="{00000000-0005-0000-0000-0000E8630000}"/>
    <cellStyle name="Currency [0] 2 37 2 4 2" xfId="14393" xr:uid="{00000000-0005-0000-0000-0000E9630000}"/>
    <cellStyle name="Currency [0] 2 37 2 4 2 2" xfId="29985" xr:uid="{00000000-0005-0000-0000-0000EA630000}"/>
    <cellStyle name="Currency [0] 2 37 2 4 2 3" xfId="45477" xr:uid="{00000000-0005-0000-0000-0000EB630000}"/>
    <cellStyle name="Currency [0] 2 37 2 4 3" xfId="22245" xr:uid="{00000000-0005-0000-0000-0000EC630000}"/>
    <cellStyle name="Currency [0] 2 37 2 4 4" xfId="37737" xr:uid="{00000000-0005-0000-0000-0000ED630000}"/>
    <cellStyle name="Currency [0] 2 37 2 5" xfId="10523" xr:uid="{00000000-0005-0000-0000-0000EE630000}"/>
    <cellStyle name="Currency [0] 2 37 2 5 2" xfId="26115" xr:uid="{00000000-0005-0000-0000-0000EF630000}"/>
    <cellStyle name="Currency [0] 2 37 2 5 3" xfId="41607" xr:uid="{00000000-0005-0000-0000-0000F0630000}"/>
    <cellStyle name="Currency [0] 2 37 2 6" xfId="18375" xr:uid="{00000000-0005-0000-0000-0000F1630000}"/>
    <cellStyle name="Currency [0] 2 37 2 7" xfId="33867" xr:uid="{00000000-0005-0000-0000-0000F2630000}"/>
    <cellStyle name="Currency [0] 2 37 3" xfId="3404" xr:uid="{00000000-0005-0000-0000-0000F3630000}"/>
    <cellStyle name="Currency [0] 2 37 3 2" xfId="5343" xr:uid="{00000000-0005-0000-0000-0000F4630000}"/>
    <cellStyle name="Currency [0] 2 37 3 2 2" xfId="9214" xr:uid="{00000000-0005-0000-0000-0000F5630000}"/>
    <cellStyle name="Currency [0] 2 37 3 2 2 2" xfId="16959" xr:uid="{00000000-0005-0000-0000-0000F6630000}"/>
    <cellStyle name="Currency [0] 2 37 3 2 2 2 2" xfId="32551" xr:uid="{00000000-0005-0000-0000-0000F7630000}"/>
    <cellStyle name="Currency [0] 2 37 3 2 2 2 3" xfId="48043" xr:uid="{00000000-0005-0000-0000-0000F8630000}"/>
    <cellStyle name="Currency [0] 2 37 3 2 2 3" xfId="24811" xr:uid="{00000000-0005-0000-0000-0000F9630000}"/>
    <cellStyle name="Currency [0] 2 37 3 2 2 4" xfId="40303" xr:uid="{00000000-0005-0000-0000-0000FA630000}"/>
    <cellStyle name="Currency [0] 2 37 3 2 3" xfId="13089" xr:uid="{00000000-0005-0000-0000-0000FB630000}"/>
    <cellStyle name="Currency [0] 2 37 3 2 3 2" xfId="28681" xr:uid="{00000000-0005-0000-0000-0000FC630000}"/>
    <cellStyle name="Currency [0] 2 37 3 2 3 3" xfId="44173" xr:uid="{00000000-0005-0000-0000-0000FD630000}"/>
    <cellStyle name="Currency [0] 2 37 3 2 4" xfId="20941" xr:uid="{00000000-0005-0000-0000-0000FE630000}"/>
    <cellStyle name="Currency [0] 2 37 3 2 5" xfId="36433" xr:uid="{00000000-0005-0000-0000-0000FF630000}"/>
    <cellStyle name="Currency [0] 2 37 3 3" xfId="7287" xr:uid="{00000000-0005-0000-0000-000000640000}"/>
    <cellStyle name="Currency [0] 2 37 3 3 2" xfId="15032" xr:uid="{00000000-0005-0000-0000-000001640000}"/>
    <cellStyle name="Currency [0] 2 37 3 3 2 2" xfId="30624" xr:uid="{00000000-0005-0000-0000-000002640000}"/>
    <cellStyle name="Currency [0] 2 37 3 3 2 3" xfId="46116" xr:uid="{00000000-0005-0000-0000-000003640000}"/>
    <cellStyle name="Currency [0] 2 37 3 3 3" xfId="22884" xr:uid="{00000000-0005-0000-0000-000004640000}"/>
    <cellStyle name="Currency [0] 2 37 3 3 4" xfId="38376" xr:uid="{00000000-0005-0000-0000-000005640000}"/>
    <cellStyle name="Currency [0] 2 37 3 4" xfId="11162" xr:uid="{00000000-0005-0000-0000-000006640000}"/>
    <cellStyle name="Currency [0] 2 37 3 4 2" xfId="26754" xr:uid="{00000000-0005-0000-0000-000007640000}"/>
    <cellStyle name="Currency [0] 2 37 3 4 3" xfId="42246" xr:uid="{00000000-0005-0000-0000-000008640000}"/>
    <cellStyle name="Currency [0] 2 37 3 5" xfId="19014" xr:uid="{00000000-0005-0000-0000-000009640000}"/>
    <cellStyle name="Currency [0] 2 37 3 6" xfId="34506" xr:uid="{00000000-0005-0000-0000-00000A640000}"/>
    <cellStyle name="Currency [0] 2 37 4" xfId="4395" xr:uid="{00000000-0005-0000-0000-00000B640000}"/>
    <cellStyle name="Currency [0] 2 37 4 2" xfId="8266" xr:uid="{00000000-0005-0000-0000-00000C640000}"/>
    <cellStyle name="Currency [0] 2 37 4 2 2" xfId="16011" xr:uid="{00000000-0005-0000-0000-00000D640000}"/>
    <cellStyle name="Currency [0] 2 37 4 2 2 2" xfId="31603" xr:uid="{00000000-0005-0000-0000-00000E640000}"/>
    <cellStyle name="Currency [0] 2 37 4 2 2 3" xfId="47095" xr:uid="{00000000-0005-0000-0000-00000F640000}"/>
    <cellStyle name="Currency [0] 2 37 4 2 3" xfId="23863" xr:uid="{00000000-0005-0000-0000-000010640000}"/>
    <cellStyle name="Currency [0] 2 37 4 2 4" xfId="39355" xr:uid="{00000000-0005-0000-0000-000011640000}"/>
    <cellStyle name="Currency [0] 2 37 4 3" xfId="12141" xr:uid="{00000000-0005-0000-0000-000012640000}"/>
    <cellStyle name="Currency [0] 2 37 4 3 2" xfId="27733" xr:uid="{00000000-0005-0000-0000-000013640000}"/>
    <cellStyle name="Currency [0] 2 37 4 3 3" xfId="43225" xr:uid="{00000000-0005-0000-0000-000014640000}"/>
    <cellStyle name="Currency [0] 2 37 4 4" xfId="19993" xr:uid="{00000000-0005-0000-0000-000015640000}"/>
    <cellStyle name="Currency [0] 2 37 4 5" xfId="35485" xr:uid="{00000000-0005-0000-0000-000016640000}"/>
    <cellStyle name="Currency [0] 2 37 5" xfId="6339" xr:uid="{00000000-0005-0000-0000-000017640000}"/>
    <cellStyle name="Currency [0] 2 37 5 2" xfId="14084" xr:uid="{00000000-0005-0000-0000-000018640000}"/>
    <cellStyle name="Currency [0] 2 37 5 2 2" xfId="29676" xr:uid="{00000000-0005-0000-0000-000019640000}"/>
    <cellStyle name="Currency [0] 2 37 5 2 3" xfId="45168" xr:uid="{00000000-0005-0000-0000-00001A640000}"/>
    <cellStyle name="Currency [0] 2 37 5 3" xfId="21936" xr:uid="{00000000-0005-0000-0000-00001B640000}"/>
    <cellStyle name="Currency [0] 2 37 5 4" xfId="37428" xr:uid="{00000000-0005-0000-0000-00001C640000}"/>
    <cellStyle name="Currency [0] 2 37 6" xfId="10214" xr:uid="{00000000-0005-0000-0000-00001D640000}"/>
    <cellStyle name="Currency [0] 2 37 6 2" xfId="25806" xr:uid="{00000000-0005-0000-0000-00001E640000}"/>
    <cellStyle name="Currency [0] 2 37 6 3" xfId="41298" xr:uid="{00000000-0005-0000-0000-00001F640000}"/>
    <cellStyle name="Currency [0] 2 37 7" xfId="18066" xr:uid="{00000000-0005-0000-0000-000020640000}"/>
    <cellStyle name="Currency [0] 2 37 8" xfId="33558" xr:uid="{00000000-0005-0000-0000-000021640000}"/>
    <cellStyle name="Currency [0] 2 38" xfId="2431" xr:uid="{00000000-0005-0000-0000-000022640000}"/>
    <cellStyle name="Currency [0] 2 38 2" xfId="2741" xr:uid="{00000000-0005-0000-0000-000023640000}"/>
    <cellStyle name="Currency [0] 2 38 2 2" xfId="3749" xr:uid="{00000000-0005-0000-0000-000024640000}"/>
    <cellStyle name="Currency [0] 2 38 2 2 2" xfId="5688" xr:uid="{00000000-0005-0000-0000-000025640000}"/>
    <cellStyle name="Currency [0] 2 38 2 2 2 2" xfId="9559" xr:uid="{00000000-0005-0000-0000-000026640000}"/>
    <cellStyle name="Currency [0] 2 38 2 2 2 2 2" xfId="17304" xr:uid="{00000000-0005-0000-0000-000027640000}"/>
    <cellStyle name="Currency [0] 2 38 2 2 2 2 2 2" xfId="32896" xr:uid="{00000000-0005-0000-0000-000028640000}"/>
    <cellStyle name="Currency [0] 2 38 2 2 2 2 2 3" xfId="48388" xr:uid="{00000000-0005-0000-0000-000029640000}"/>
    <cellStyle name="Currency [0] 2 38 2 2 2 2 3" xfId="25156" xr:uid="{00000000-0005-0000-0000-00002A640000}"/>
    <cellStyle name="Currency [0] 2 38 2 2 2 2 4" xfId="40648" xr:uid="{00000000-0005-0000-0000-00002B640000}"/>
    <cellStyle name="Currency [0] 2 38 2 2 2 3" xfId="13434" xr:uid="{00000000-0005-0000-0000-00002C640000}"/>
    <cellStyle name="Currency [0] 2 38 2 2 2 3 2" xfId="29026" xr:uid="{00000000-0005-0000-0000-00002D640000}"/>
    <cellStyle name="Currency [0] 2 38 2 2 2 3 3" xfId="44518" xr:uid="{00000000-0005-0000-0000-00002E640000}"/>
    <cellStyle name="Currency [0] 2 38 2 2 2 4" xfId="21286" xr:uid="{00000000-0005-0000-0000-00002F640000}"/>
    <cellStyle name="Currency [0] 2 38 2 2 2 5" xfId="36778" xr:uid="{00000000-0005-0000-0000-000030640000}"/>
    <cellStyle name="Currency [0] 2 38 2 2 3" xfId="7632" xr:uid="{00000000-0005-0000-0000-000031640000}"/>
    <cellStyle name="Currency [0] 2 38 2 2 3 2" xfId="15377" xr:uid="{00000000-0005-0000-0000-000032640000}"/>
    <cellStyle name="Currency [0] 2 38 2 2 3 2 2" xfId="30969" xr:uid="{00000000-0005-0000-0000-000033640000}"/>
    <cellStyle name="Currency [0] 2 38 2 2 3 2 3" xfId="46461" xr:uid="{00000000-0005-0000-0000-000034640000}"/>
    <cellStyle name="Currency [0] 2 38 2 2 3 3" xfId="23229" xr:uid="{00000000-0005-0000-0000-000035640000}"/>
    <cellStyle name="Currency [0] 2 38 2 2 3 4" xfId="38721" xr:uid="{00000000-0005-0000-0000-000036640000}"/>
    <cellStyle name="Currency [0] 2 38 2 2 4" xfId="11507" xr:uid="{00000000-0005-0000-0000-000037640000}"/>
    <cellStyle name="Currency [0] 2 38 2 2 4 2" xfId="27099" xr:uid="{00000000-0005-0000-0000-000038640000}"/>
    <cellStyle name="Currency [0] 2 38 2 2 4 3" xfId="42591" xr:uid="{00000000-0005-0000-0000-000039640000}"/>
    <cellStyle name="Currency [0] 2 38 2 2 5" xfId="19359" xr:uid="{00000000-0005-0000-0000-00003A640000}"/>
    <cellStyle name="Currency [0] 2 38 2 2 6" xfId="34851" xr:uid="{00000000-0005-0000-0000-00003B640000}"/>
    <cellStyle name="Currency [0] 2 38 2 3" xfId="4740" xr:uid="{00000000-0005-0000-0000-00003C640000}"/>
    <cellStyle name="Currency [0] 2 38 2 3 2" xfId="8611" xr:uid="{00000000-0005-0000-0000-00003D640000}"/>
    <cellStyle name="Currency [0] 2 38 2 3 2 2" xfId="16356" xr:uid="{00000000-0005-0000-0000-00003E640000}"/>
    <cellStyle name="Currency [0] 2 38 2 3 2 2 2" xfId="31948" xr:uid="{00000000-0005-0000-0000-00003F640000}"/>
    <cellStyle name="Currency [0] 2 38 2 3 2 2 3" xfId="47440" xr:uid="{00000000-0005-0000-0000-000040640000}"/>
    <cellStyle name="Currency [0] 2 38 2 3 2 3" xfId="24208" xr:uid="{00000000-0005-0000-0000-000041640000}"/>
    <cellStyle name="Currency [0] 2 38 2 3 2 4" xfId="39700" xr:uid="{00000000-0005-0000-0000-000042640000}"/>
    <cellStyle name="Currency [0] 2 38 2 3 3" xfId="12486" xr:uid="{00000000-0005-0000-0000-000043640000}"/>
    <cellStyle name="Currency [0] 2 38 2 3 3 2" xfId="28078" xr:uid="{00000000-0005-0000-0000-000044640000}"/>
    <cellStyle name="Currency [0] 2 38 2 3 3 3" xfId="43570" xr:uid="{00000000-0005-0000-0000-000045640000}"/>
    <cellStyle name="Currency [0] 2 38 2 3 4" xfId="20338" xr:uid="{00000000-0005-0000-0000-000046640000}"/>
    <cellStyle name="Currency [0] 2 38 2 3 5" xfId="35830" xr:uid="{00000000-0005-0000-0000-000047640000}"/>
    <cellStyle name="Currency [0] 2 38 2 4" xfId="6684" xr:uid="{00000000-0005-0000-0000-000048640000}"/>
    <cellStyle name="Currency [0] 2 38 2 4 2" xfId="14429" xr:uid="{00000000-0005-0000-0000-000049640000}"/>
    <cellStyle name="Currency [0] 2 38 2 4 2 2" xfId="30021" xr:uid="{00000000-0005-0000-0000-00004A640000}"/>
    <cellStyle name="Currency [0] 2 38 2 4 2 3" xfId="45513" xr:uid="{00000000-0005-0000-0000-00004B640000}"/>
    <cellStyle name="Currency [0] 2 38 2 4 3" xfId="22281" xr:uid="{00000000-0005-0000-0000-00004C640000}"/>
    <cellStyle name="Currency [0] 2 38 2 4 4" xfId="37773" xr:uid="{00000000-0005-0000-0000-00004D640000}"/>
    <cellStyle name="Currency [0] 2 38 2 5" xfId="10559" xr:uid="{00000000-0005-0000-0000-00004E640000}"/>
    <cellStyle name="Currency [0] 2 38 2 5 2" xfId="26151" xr:uid="{00000000-0005-0000-0000-00004F640000}"/>
    <cellStyle name="Currency [0] 2 38 2 5 3" xfId="41643" xr:uid="{00000000-0005-0000-0000-000050640000}"/>
    <cellStyle name="Currency [0] 2 38 2 6" xfId="18411" xr:uid="{00000000-0005-0000-0000-000051640000}"/>
    <cellStyle name="Currency [0] 2 38 2 7" xfId="33903" xr:uid="{00000000-0005-0000-0000-000052640000}"/>
    <cellStyle name="Currency [0] 2 38 3" xfId="3440" xr:uid="{00000000-0005-0000-0000-000053640000}"/>
    <cellStyle name="Currency [0] 2 38 3 2" xfId="5379" xr:uid="{00000000-0005-0000-0000-000054640000}"/>
    <cellStyle name="Currency [0] 2 38 3 2 2" xfId="9250" xr:uid="{00000000-0005-0000-0000-000055640000}"/>
    <cellStyle name="Currency [0] 2 38 3 2 2 2" xfId="16995" xr:uid="{00000000-0005-0000-0000-000056640000}"/>
    <cellStyle name="Currency [0] 2 38 3 2 2 2 2" xfId="32587" xr:uid="{00000000-0005-0000-0000-000057640000}"/>
    <cellStyle name="Currency [0] 2 38 3 2 2 2 3" xfId="48079" xr:uid="{00000000-0005-0000-0000-000058640000}"/>
    <cellStyle name="Currency [0] 2 38 3 2 2 3" xfId="24847" xr:uid="{00000000-0005-0000-0000-000059640000}"/>
    <cellStyle name="Currency [0] 2 38 3 2 2 4" xfId="40339" xr:uid="{00000000-0005-0000-0000-00005A640000}"/>
    <cellStyle name="Currency [0] 2 38 3 2 3" xfId="13125" xr:uid="{00000000-0005-0000-0000-00005B640000}"/>
    <cellStyle name="Currency [0] 2 38 3 2 3 2" xfId="28717" xr:uid="{00000000-0005-0000-0000-00005C640000}"/>
    <cellStyle name="Currency [0] 2 38 3 2 3 3" xfId="44209" xr:uid="{00000000-0005-0000-0000-00005D640000}"/>
    <cellStyle name="Currency [0] 2 38 3 2 4" xfId="20977" xr:uid="{00000000-0005-0000-0000-00005E640000}"/>
    <cellStyle name="Currency [0] 2 38 3 2 5" xfId="36469" xr:uid="{00000000-0005-0000-0000-00005F640000}"/>
    <cellStyle name="Currency [0] 2 38 3 3" xfId="7323" xr:uid="{00000000-0005-0000-0000-000060640000}"/>
    <cellStyle name="Currency [0] 2 38 3 3 2" xfId="15068" xr:uid="{00000000-0005-0000-0000-000061640000}"/>
    <cellStyle name="Currency [0] 2 38 3 3 2 2" xfId="30660" xr:uid="{00000000-0005-0000-0000-000062640000}"/>
    <cellStyle name="Currency [0] 2 38 3 3 2 3" xfId="46152" xr:uid="{00000000-0005-0000-0000-000063640000}"/>
    <cellStyle name="Currency [0] 2 38 3 3 3" xfId="22920" xr:uid="{00000000-0005-0000-0000-000064640000}"/>
    <cellStyle name="Currency [0] 2 38 3 3 4" xfId="38412" xr:uid="{00000000-0005-0000-0000-000065640000}"/>
    <cellStyle name="Currency [0] 2 38 3 4" xfId="11198" xr:uid="{00000000-0005-0000-0000-000066640000}"/>
    <cellStyle name="Currency [0] 2 38 3 4 2" xfId="26790" xr:uid="{00000000-0005-0000-0000-000067640000}"/>
    <cellStyle name="Currency [0] 2 38 3 4 3" xfId="42282" xr:uid="{00000000-0005-0000-0000-000068640000}"/>
    <cellStyle name="Currency [0] 2 38 3 5" xfId="19050" xr:uid="{00000000-0005-0000-0000-000069640000}"/>
    <cellStyle name="Currency [0] 2 38 3 6" xfId="34542" xr:uid="{00000000-0005-0000-0000-00006A640000}"/>
    <cellStyle name="Currency [0] 2 38 4" xfId="4431" xr:uid="{00000000-0005-0000-0000-00006B640000}"/>
    <cellStyle name="Currency [0] 2 38 4 2" xfId="8302" xr:uid="{00000000-0005-0000-0000-00006C640000}"/>
    <cellStyle name="Currency [0] 2 38 4 2 2" xfId="16047" xr:uid="{00000000-0005-0000-0000-00006D640000}"/>
    <cellStyle name="Currency [0] 2 38 4 2 2 2" xfId="31639" xr:uid="{00000000-0005-0000-0000-00006E640000}"/>
    <cellStyle name="Currency [0] 2 38 4 2 2 3" xfId="47131" xr:uid="{00000000-0005-0000-0000-00006F640000}"/>
    <cellStyle name="Currency [0] 2 38 4 2 3" xfId="23899" xr:uid="{00000000-0005-0000-0000-000070640000}"/>
    <cellStyle name="Currency [0] 2 38 4 2 4" xfId="39391" xr:uid="{00000000-0005-0000-0000-000071640000}"/>
    <cellStyle name="Currency [0] 2 38 4 3" xfId="12177" xr:uid="{00000000-0005-0000-0000-000072640000}"/>
    <cellStyle name="Currency [0] 2 38 4 3 2" xfId="27769" xr:uid="{00000000-0005-0000-0000-000073640000}"/>
    <cellStyle name="Currency [0] 2 38 4 3 3" xfId="43261" xr:uid="{00000000-0005-0000-0000-000074640000}"/>
    <cellStyle name="Currency [0] 2 38 4 4" xfId="20029" xr:uid="{00000000-0005-0000-0000-000075640000}"/>
    <cellStyle name="Currency [0] 2 38 4 5" xfId="35521" xr:uid="{00000000-0005-0000-0000-000076640000}"/>
    <cellStyle name="Currency [0] 2 38 5" xfId="6375" xr:uid="{00000000-0005-0000-0000-000077640000}"/>
    <cellStyle name="Currency [0] 2 38 5 2" xfId="14120" xr:uid="{00000000-0005-0000-0000-000078640000}"/>
    <cellStyle name="Currency [0] 2 38 5 2 2" xfId="29712" xr:uid="{00000000-0005-0000-0000-000079640000}"/>
    <cellStyle name="Currency [0] 2 38 5 2 3" xfId="45204" xr:uid="{00000000-0005-0000-0000-00007A640000}"/>
    <cellStyle name="Currency [0] 2 38 5 3" xfId="21972" xr:uid="{00000000-0005-0000-0000-00007B640000}"/>
    <cellStyle name="Currency [0] 2 38 5 4" xfId="37464" xr:uid="{00000000-0005-0000-0000-00007C640000}"/>
    <cellStyle name="Currency [0] 2 38 6" xfId="10250" xr:uid="{00000000-0005-0000-0000-00007D640000}"/>
    <cellStyle name="Currency [0] 2 38 6 2" xfId="25842" xr:uid="{00000000-0005-0000-0000-00007E640000}"/>
    <cellStyle name="Currency [0] 2 38 6 3" xfId="41334" xr:uid="{00000000-0005-0000-0000-00007F640000}"/>
    <cellStyle name="Currency [0] 2 38 7" xfId="18102" xr:uid="{00000000-0005-0000-0000-000080640000}"/>
    <cellStyle name="Currency [0] 2 38 8" xfId="33594" xr:uid="{00000000-0005-0000-0000-000081640000}"/>
    <cellStyle name="Currency [0] 2 39" xfId="2468" xr:uid="{00000000-0005-0000-0000-000082640000}"/>
    <cellStyle name="Currency [0] 2 39 2" xfId="2777" xr:uid="{00000000-0005-0000-0000-000083640000}"/>
    <cellStyle name="Currency [0] 2 39 2 2" xfId="3785" xr:uid="{00000000-0005-0000-0000-000084640000}"/>
    <cellStyle name="Currency [0] 2 39 2 2 2" xfId="5724" xr:uid="{00000000-0005-0000-0000-000085640000}"/>
    <cellStyle name="Currency [0] 2 39 2 2 2 2" xfId="9595" xr:uid="{00000000-0005-0000-0000-000086640000}"/>
    <cellStyle name="Currency [0] 2 39 2 2 2 2 2" xfId="17340" xr:uid="{00000000-0005-0000-0000-000087640000}"/>
    <cellStyle name="Currency [0] 2 39 2 2 2 2 2 2" xfId="32932" xr:uid="{00000000-0005-0000-0000-000088640000}"/>
    <cellStyle name="Currency [0] 2 39 2 2 2 2 2 3" xfId="48424" xr:uid="{00000000-0005-0000-0000-000089640000}"/>
    <cellStyle name="Currency [0] 2 39 2 2 2 2 3" xfId="25192" xr:uid="{00000000-0005-0000-0000-00008A640000}"/>
    <cellStyle name="Currency [0] 2 39 2 2 2 2 4" xfId="40684" xr:uid="{00000000-0005-0000-0000-00008B640000}"/>
    <cellStyle name="Currency [0] 2 39 2 2 2 3" xfId="13470" xr:uid="{00000000-0005-0000-0000-00008C640000}"/>
    <cellStyle name="Currency [0] 2 39 2 2 2 3 2" xfId="29062" xr:uid="{00000000-0005-0000-0000-00008D640000}"/>
    <cellStyle name="Currency [0] 2 39 2 2 2 3 3" xfId="44554" xr:uid="{00000000-0005-0000-0000-00008E640000}"/>
    <cellStyle name="Currency [0] 2 39 2 2 2 4" xfId="21322" xr:uid="{00000000-0005-0000-0000-00008F640000}"/>
    <cellStyle name="Currency [0] 2 39 2 2 2 5" xfId="36814" xr:uid="{00000000-0005-0000-0000-000090640000}"/>
    <cellStyle name="Currency [0] 2 39 2 2 3" xfId="7668" xr:uid="{00000000-0005-0000-0000-000091640000}"/>
    <cellStyle name="Currency [0] 2 39 2 2 3 2" xfId="15413" xr:uid="{00000000-0005-0000-0000-000092640000}"/>
    <cellStyle name="Currency [0] 2 39 2 2 3 2 2" xfId="31005" xr:uid="{00000000-0005-0000-0000-000093640000}"/>
    <cellStyle name="Currency [0] 2 39 2 2 3 2 3" xfId="46497" xr:uid="{00000000-0005-0000-0000-000094640000}"/>
    <cellStyle name="Currency [0] 2 39 2 2 3 3" xfId="23265" xr:uid="{00000000-0005-0000-0000-000095640000}"/>
    <cellStyle name="Currency [0] 2 39 2 2 3 4" xfId="38757" xr:uid="{00000000-0005-0000-0000-000096640000}"/>
    <cellStyle name="Currency [0] 2 39 2 2 4" xfId="11543" xr:uid="{00000000-0005-0000-0000-000097640000}"/>
    <cellStyle name="Currency [0] 2 39 2 2 4 2" xfId="27135" xr:uid="{00000000-0005-0000-0000-000098640000}"/>
    <cellStyle name="Currency [0] 2 39 2 2 4 3" xfId="42627" xr:uid="{00000000-0005-0000-0000-000099640000}"/>
    <cellStyle name="Currency [0] 2 39 2 2 5" xfId="19395" xr:uid="{00000000-0005-0000-0000-00009A640000}"/>
    <cellStyle name="Currency [0] 2 39 2 2 6" xfId="34887" xr:uid="{00000000-0005-0000-0000-00009B640000}"/>
    <cellStyle name="Currency [0] 2 39 2 3" xfId="4776" xr:uid="{00000000-0005-0000-0000-00009C640000}"/>
    <cellStyle name="Currency [0] 2 39 2 3 2" xfId="8647" xr:uid="{00000000-0005-0000-0000-00009D640000}"/>
    <cellStyle name="Currency [0] 2 39 2 3 2 2" xfId="16392" xr:uid="{00000000-0005-0000-0000-00009E640000}"/>
    <cellStyle name="Currency [0] 2 39 2 3 2 2 2" xfId="31984" xr:uid="{00000000-0005-0000-0000-00009F640000}"/>
    <cellStyle name="Currency [0] 2 39 2 3 2 2 3" xfId="47476" xr:uid="{00000000-0005-0000-0000-0000A0640000}"/>
    <cellStyle name="Currency [0] 2 39 2 3 2 3" xfId="24244" xr:uid="{00000000-0005-0000-0000-0000A1640000}"/>
    <cellStyle name="Currency [0] 2 39 2 3 2 4" xfId="39736" xr:uid="{00000000-0005-0000-0000-0000A2640000}"/>
    <cellStyle name="Currency [0] 2 39 2 3 3" xfId="12522" xr:uid="{00000000-0005-0000-0000-0000A3640000}"/>
    <cellStyle name="Currency [0] 2 39 2 3 3 2" xfId="28114" xr:uid="{00000000-0005-0000-0000-0000A4640000}"/>
    <cellStyle name="Currency [0] 2 39 2 3 3 3" xfId="43606" xr:uid="{00000000-0005-0000-0000-0000A5640000}"/>
    <cellStyle name="Currency [0] 2 39 2 3 4" xfId="20374" xr:uid="{00000000-0005-0000-0000-0000A6640000}"/>
    <cellStyle name="Currency [0] 2 39 2 3 5" xfId="35866" xr:uid="{00000000-0005-0000-0000-0000A7640000}"/>
    <cellStyle name="Currency [0] 2 39 2 4" xfId="6720" xr:uid="{00000000-0005-0000-0000-0000A8640000}"/>
    <cellStyle name="Currency [0] 2 39 2 4 2" xfId="14465" xr:uid="{00000000-0005-0000-0000-0000A9640000}"/>
    <cellStyle name="Currency [0] 2 39 2 4 2 2" xfId="30057" xr:uid="{00000000-0005-0000-0000-0000AA640000}"/>
    <cellStyle name="Currency [0] 2 39 2 4 2 3" xfId="45549" xr:uid="{00000000-0005-0000-0000-0000AB640000}"/>
    <cellStyle name="Currency [0] 2 39 2 4 3" xfId="22317" xr:uid="{00000000-0005-0000-0000-0000AC640000}"/>
    <cellStyle name="Currency [0] 2 39 2 4 4" xfId="37809" xr:uid="{00000000-0005-0000-0000-0000AD640000}"/>
    <cellStyle name="Currency [0] 2 39 2 5" xfId="10595" xr:uid="{00000000-0005-0000-0000-0000AE640000}"/>
    <cellStyle name="Currency [0] 2 39 2 5 2" xfId="26187" xr:uid="{00000000-0005-0000-0000-0000AF640000}"/>
    <cellStyle name="Currency [0] 2 39 2 5 3" xfId="41679" xr:uid="{00000000-0005-0000-0000-0000B0640000}"/>
    <cellStyle name="Currency [0] 2 39 2 6" xfId="18447" xr:uid="{00000000-0005-0000-0000-0000B1640000}"/>
    <cellStyle name="Currency [0] 2 39 2 7" xfId="33939" xr:uid="{00000000-0005-0000-0000-0000B2640000}"/>
    <cellStyle name="Currency [0] 2 39 3" xfId="3476" xr:uid="{00000000-0005-0000-0000-0000B3640000}"/>
    <cellStyle name="Currency [0] 2 39 3 2" xfId="5415" xr:uid="{00000000-0005-0000-0000-0000B4640000}"/>
    <cellStyle name="Currency [0] 2 39 3 2 2" xfId="9286" xr:uid="{00000000-0005-0000-0000-0000B5640000}"/>
    <cellStyle name="Currency [0] 2 39 3 2 2 2" xfId="17031" xr:uid="{00000000-0005-0000-0000-0000B6640000}"/>
    <cellStyle name="Currency [0] 2 39 3 2 2 2 2" xfId="32623" xr:uid="{00000000-0005-0000-0000-0000B7640000}"/>
    <cellStyle name="Currency [0] 2 39 3 2 2 2 3" xfId="48115" xr:uid="{00000000-0005-0000-0000-0000B8640000}"/>
    <cellStyle name="Currency [0] 2 39 3 2 2 3" xfId="24883" xr:uid="{00000000-0005-0000-0000-0000B9640000}"/>
    <cellStyle name="Currency [0] 2 39 3 2 2 4" xfId="40375" xr:uid="{00000000-0005-0000-0000-0000BA640000}"/>
    <cellStyle name="Currency [0] 2 39 3 2 3" xfId="13161" xr:uid="{00000000-0005-0000-0000-0000BB640000}"/>
    <cellStyle name="Currency [0] 2 39 3 2 3 2" xfId="28753" xr:uid="{00000000-0005-0000-0000-0000BC640000}"/>
    <cellStyle name="Currency [0] 2 39 3 2 3 3" xfId="44245" xr:uid="{00000000-0005-0000-0000-0000BD640000}"/>
    <cellStyle name="Currency [0] 2 39 3 2 4" xfId="21013" xr:uid="{00000000-0005-0000-0000-0000BE640000}"/>
    <cellStyle name="Currency [0] 2 39 3 2 5" xfId="36505" xr:uid="{00000000-0005-0000-0000-0000BF640000}"/>
    <cellStyle name="Currency [0] 2 39 3 3" xfId="7359" xr:uid="{00000000-0005-0000-0000-0000C0640000}"/>
    <cellStyle name="Currency [0] 2 39 3 3 2" xfId="15104" xr:uid="{00000000-0005-0000-0000-0000C1640000}"/>
    <cellStyle name="Currency [0] 2 39 3 3 2 2" xfId="30696" xr:uid="{00000000-0005-0000-0000-0000C2640000}"/>
    <cellStyle name="Currency [0] 2 39 3 3 2 3" xfId="46188" xr:uid="{00000000-0005-0000-0000-0000C3640000}"/>
    <cellStyle name="Currency [0] 2 39 3 3 3" xfId="22956" xr:uid="{00000000-0005-0000-0000-0000C4640000}"/>
    <cellStyle name="Currency [0] 2 39 3 3 4" xfId="38448" xr:uid="{00000000-0005-0000-0000-0000C5640000}"/>
    <cellStyle name="Currency [0] 2 39 3 4" xfId="11234" xr:uid="{00000000-0005-0000-0000-0000C6640000}"/>
    <cellStyle name="Currency [0] 2 39 3 4 2" xfId="26826" xr:uid="{00000000-0005-0000-0000-0000C7640000}"/>
    <cellStyle name="Currency [0] 2 39 3 4 3" xfId="42318" xr:uid="{00000000-0005-0000-0000-0000C8640000}"/>
    <cellStyle name="Currency [0] 2 39 3 5" xfId="19086" xr:uid="{00000000-0005-0000-0000-0000C9640000}"/>
    <cellStyle name="Currency [0] 2 39 3 6" xfId="34578" xr:uid="{00000000-0005-0000-0000-0000CA640000}"/>
    <cellStyle name="Currency [0] 2 39 4" xfId="4467" xr:uid="{00000000-0005-0000-0000-0000CB640000}"/>
    <cellStyle name="Currency [0] 2 39 4 2" xfId="8338" xr:uid="{00000000-0005-0000-0000-0000CC640000}"/>
    <cellStyle name="Currency [0] 2 39 4 2 2" xfId="16083" xr:uid="{00000000-0005-0000-0000-0000CD640000}"/>
    <cellStyle name="Currency [0] 2 39 4 2 2 2" xfId="31675" xr:uid="{00000000-0005-0000-0000-0000CE640000}"/>
    <cellStyle name="Currency [0] 2 39 4 2 2 3" xfId="47167" xr:uid="{00000000-0005-0000-0000-0000CF640000}"/>
    <cellStyle name="Currency [0] 2 39 4 2 3" xfId="23935" xr:uid="{00000000-0005-0000-0000-0000D0640000}"/>
    <cellStyle name="Currency [0] 2 39 4 2 4" xfId="39427" xr:uid="{00000000-0005-0000-0000-0000D1640000}"/>
    <cellStyle name="Currency [0] 2 39 4 3" xfId="12213" xr:uid="{00000000-0005-0000-0000-0000D2640000}"/>
    <cellStyle name="Currency [0] 2 39 4 3 2" xfId="27805" xr:uid="{00000000-0005-0000-0000-0000D3640000}"/>
    <cellStyle name="Currency [0] 2 39 4 3 3" xfId="43297" xr:uid="{00000000-0005-0000-0000-0000D4640000}"/>
    <cellStyle name="Currency [0] 2 39 4 4" xfId="20065" xr:uid="{00000000-0005-0000-0000-0000D5640000}"/>
    <cellStyle name="Currency [0] 2 39 4 5" xfId="35557" xr:uid="{00000000-0005-0000-0000-0000D6640000}"/>
    <cellStyle name="Currency [0] 2 39 5" xfId="6411" xr:uid="{00000000-0005-0000-0000-0000D7640000}"/>
    <cellStyle name="Currency [0] 2 39 5 2" xfId="14156" xr:uid="{00000000-0005-0000-0000-0000D8640000}"/>
    <cellStyle name="Currency [0] 2 39 5 2 2" xfId="29748" xr:uid="{00000000-0005-0000-0000-0000D9640000}"/>
    <cellStyle name="Currency [0] 2 39 5 2 3" xfId="45240" xr:uid="{00000000-0005-0000-0000-0000DA640000}"/>
    <cellStyle name="Currency [0] 2 39 5 3" xfId="22008" xr:uid="{00000000-0005-0000-0000-0000DB640000}"/>
    <cellStyle name="Currency [0] 2 39 5 4" xfId="37500" xr:uid="{00000000-0005-0000-0000-0000DC640000}"/>
    <cellStyle name="Currency [0] 2 39 6" xfId="10286" xr:uid="{00000000-0005-0000-0000-0000DD640000}"/>
    <cellStyle name="Currency [0] 2 39 6 2" xfId="25878" xr:uid="{00000000-0005-0000-0000-0000DE640000}"/>
    <cellStyle name="Currency [0] 2 39 6 3" xfId="41370" xr:uid="{00000000-0005-0000-0000-0000DF640000}"/>
    <cellStyle name="Currency [0] 2 39 7" xfId="18138" xr:uid="{00000000-0005-0000-0000-0000E0640000}"/>
    <cellStyle name="Currency [0] 2 39 8" xfId="33630" xr:uid="{00000000-0005-0000-0000-0000E1640000}"/>
    <cellStyle name="Currency [0] 2 4" xfId="1682" xr:uid="{00000000-0005-0000-0000-0000E2640000}"/>
    <cellStyle name="Currency [0] 2 4 10" xfId="1683" xr:uid="{00000000-0005-0000-0000-0000E3640000}"/>
    <cellStyle name="Currency [0] 2 4 11" xfId="1684" xr:uid="{00000000-0005-0000-0000-0000E4640000}"/>
    <cellStyle name="Currency [0] 2 4 12" xfId="1685" xr:uid="{00000000-0005-0000-0000-0000E5640000}"/>
    <cellStyle name="Currency [0] 2 4 13" xfId="1686" xr:uid="{00000000-0005-0000-0000-0000E6640000}"/>
    <cellStyle name="Currency [0] 2 4 14" xfId="1687" xr:uid="{00000000-0005-0000-0000-0000E7640000}"/>
    <cellStyle name="Currency [0] 2 4 15" xfId="1688" xr:uid="{00000000-0005-0000-0000-0000E8640000}"/>
    <cellStyle name="Currency [0] 2 4 16" xfId="1689" xr:uid="{00000000-0005-0000-0000-0000E9640000}"/>
    <cellStyle name="Currency [0] 2 4 17" xfId="1690" xr:uid="{00000000-0005-0000-0000-0000EA640000}"/>
    <cellStyle name="Currency [0] 2 4 18" xfId="1691" xr:uid="{00000000-0005-0000-0000-0000EB640000}"/>
    <cellStyle name="Currency [0] 2 4 19" xfId="1692" xr:uid="{00000000-0005-0000-0000-0000EC640000}"/>
    <cellStyle name="Currency [0] 2 4 2" xfId="1693" xr:uid="{00000000-0005-0000-0000-0000ED640000}"/>
    <cellStyle name="Currency [0] 2 4 20" xfId="1694" xr:uid="{00000000-0005-0000-0000-0000EE640000}"/>
    <cellStyle name="Currency [0] 2 4 21" xfId="1695" xr:uid="{00000000-0005-0000-0000-0000EF640000}"/>
    <cellStyle name="Currency [0] 2 4 22" xfId="1696" xr:uid="{00000000-0005-0000-0000-0000F0640000}"/>
    <cellStyle name="Currency [0] 2 4 23" xfId="1697" xr:uid="{00000000-0005-0000-0000-0000F1640000}"/>
    <cellStyle name="Currency [0] 2 4 24" xfId="1698" xr:uid="{00000000-0005-0000-0000-0000F2640000}"/>
    <cellStyle name="Currency [0] 2 4 25" xfId="1699" xr:uid="{00000000-0005-0000-0000-0000F3640000}"/>
    <cellStyle name="Currency [0] 2 4 26" xfId="1700" xr:uid="{00000000-0005-0000-0000-0000F4640000}"/>
    <cellStyle name="Currency [0] 2 4 27" xfId="1701" xr:uid="{00000000-0005-0000-0000-0000F5640000}"/>
    <cellStyle name="Currency [0] 2 4 28" xfId="1702" xr:uid="{00000000-0005-0000-0000-0000F6640000}"/>
    <cellStyle name="Currency [0] 2 4 3" xfId="1703" xr:uid="{00000000-0005-0000-0000-0000F7640000}"/>
    <cellStyle name="Currency [0] 2 4 4" xfId="1704" xr:uid="{00000000-0005-0000-0000-0000F8640000}"/>
    <cellStyle name="Currency [0] 2 4 5" xfId="1705" xr:uid="{00000000-0005-0000-0000-0000F9640000}"/>
    <cellStyle name="Currency [0] 2 4 6" xfId="1706" xr:uid="{00000000-0005-0000-0000-0000FA640000}"/>
    <cellStyle name="Currency [0] 2 4 7" xfId="1707" xr:uid="{00000000-0005-0000-0000-0000FB640000}"/>
    <cellStyle name="Currency [0] 2 4 8" xfId="1708" xr:uid="{00000000-0005-0000-0000-0000FC640000}"/>
    <cellStyle name="Currency [0] 2 4 9" xfId="1709" xr:uid="{00000000-0005-0000-0000-0000FD640000}"/>
    <cellStyle name="Currency [0] 2 40" xfId="2814" xr:uid="{00000000-0005-0000-0000-0000FE640000}"/>
    <cellStyle name="Currency [0] 2 40 2" xfId="3821" xr:uid="{00000000-0005-0000-0000-0000FF640000}"/>
    <cellStyle name="Currency [0] 2 40 2 2" xfId="5760" xr:uid="{00000000-0005-0000-0000-000000650000}"/>
    <cellStyle name="Currency [0] 2 40 2 2 2" xfId="9631" xr:uid="{00000000-0005-0000-0000-000001650000}"/>
    <cellStyle name="Currency [0] 2 40 2 2 2 2" xfId="17376" xr:uid="{00000000-0005-0000-0000-000002650000}"/>
    <cellStyle name="Currency [0] 2 40 2 2 2 2 2" xfId="32968" xr:uid="{00000000-0005-0000-0000-000003650000}"/>
    <cellStyle name="Currency [0] 2 40 2 2 2 2 3" xfId="48460" xr:uid="{00000000-0005-0000-0000-000004650000}"/>
    <cellStyle name="Currency [0] 2 40 2 2 2 3" xfId="25228" xr:uid="{00000000-0005-0000-0000-000005650000}"/>
    <cellStyle name="Currency [0] 2 40 2 2 2 4" xfId="40720" xr:uid="{00000000-0005-0000-0000-000006650000}"/>
    <cellStyle name="Currency [0] 2 40 2 2 3" xfId="13506" xr:uid="{00000000-0005-0000-0000-000007650000}"/>
    <cellStyle name="Currency [0] 2 40 2 2 3 2" xfId="29098" xr:uid="{00000000-0005-0000-0000-000008650000}"/>
    <cellStyle name="Currency [0] 2 40 2 2 3 3" xfId="44590" xr:uid="{00000000-0005-0000-0000-000009650000}"/>
    <cellStyle name="Currency [0] 2 40 2 2 4" xfId="21358" xr:uid="{00000000-0005-0000-0000-00000A650000}"/>
    <cellStyle name="Currency [0] 2 40 2 2 5" xfId="36850" xr:uid="{00000000-0005-0000-0000-00000B650000}"/>
    <cellStyle name="Currency [0] 2 40 2 3" xfId="7704" xr:uid="{00000000-0005-0000-0000-00000C650000}"/>
    <cellStyle name="Currency [0] 2 40 2 3 2" xfId="15449" xr:uid="{00000000-0005-0000-0000-00000D650000}"/>
    <cellStyle name="Currency [0] 2 40 2 3 2 2" xfId="31041" xr:uid="{00000000-0005-0000-0000-00000E650000}"/>
    <cellStyle name="Currency [0] 2 40 2 3 2 3" xfId="46533" xr:uid="{00000000-0005-0000-0000-00000F650000}"/>
    <cellStyle name="Currency [0] 2 40 2 3 3" xfId="23301" xr:uid="{00000000-0005-0000-0000-000010650000}"/>
    <cellStyle name="Currency [0] 2 40 2 3 4" xfId="38793" xr:uid="{00000000-0005-0000-0000-000011650000}"/>
    <cellStyle name="Currency [0] 2 40 2 4" xfId="11579" xr:uid="{00000000-0005-0000-0000-000012650000}"/>
    <cellStyle name="Currency [0] 2 40 2 4 2" xfId="27171" xr:uid="{00000000-0005-0000-0000-000013650000}"/>
    <cellStyle name="Currency [0] 2 40 2 4 3" xfId="42663" xr:uid="{00000000-0005-0000-0000-000014650000}"/>
    <cellStyle name="Currency [0] 2 40 2 5" xfId="19431" xr:uid="{00000000-0005-0000-0000-000015650000}"/>
    <cellStyle name="Currency [0] 2 40 2 6" xfId="34923" xr:uid="{00000000-0005-0000-0000-000016650000}"/>
    <cellStyle name="Currency [0] 2 40 3" xfId="4812" xr:uid="{00000000-0005-0000-0000-000017650000}"/>
    <cellStyle name="Currency [0] 2 40 3 2" xfId="8683" xr:uid="{00000000-0005-0000-0000-000018650000}"/>
    <cellStyle name="Currency [0] 2 40 3 2 2" xfId="16428" xr:uid="{00000000-0005-0000-0000-000019650000}"/>
    <cellStyle name="Currency [0] 2 40 3 2 2 2" xfId="32020" xr:uid="{00000000-0005-0000-0000-00001A650000}"/>
    <cellStyle name="Currency [0] 2 40 3 2 2 3" xfId="47512" xr:uid="{00000000-0005-0000-0000-00001B650000}"/>
    <cellStyle name="Currency [0] 2 40 3 2 3" xfId="24280" xr:uid="{00000000-0005-0000-0000-00001C650000}"/>
    <cellStyle name="Currency [0] 2 40 3 2 4" xfId="39772" xr:uid="{00000000-0005-0000-0000-00001D650000}"/>
    <cellStyle name="Currency [0] 2 40 3 3" xfId="12558" xr:uid="{00000000-0005-0000-0000-00001E650000}"/>
    <cellStyle name="Currency [0] 2 40 3 3 2" xfId="28150" xr:uid="{00000000-0005-0000-0000-00001F650000}"/>
    <cellStyle name="Currency [0] 2 40 3 3 3" xfId="43642" xr:uid="{00000000-0005-0000-0000-000020650000}"/>
    <cellStyle name="Currency [0] 2 40 3 4" xfId="20410" xr:uid="{00000000-0005-0000-0000-000021650000}"/>
    <cellStyle name="Currency [0] 2 40 3 5" xfId="35902" xr:uid="{00000000-0005-0000-0000-000022650000}"/>
    <cellStyle name="Currency [0] 2 40 4" xfId="6756" xr:uid="{00000000-0005-0000-0000-000023650000}"/>
    <cellStyle name="Currency [0] 2 40 4 2" xfId="14501" xr:uid="{00000000-0005-0000-0000-000024650000}"/>
    <cellStyle name="Currency [0] 2 40 4 2 2" xfId="30093" xr:uid="{00000000-0005-0000-0000-000025650000}"/>
    <cellStyle name="Currency [0] 2 40 4 2 3" xfId="45585" xr:uid="{00000000-0005-0000-0000-000026650000}"/>
    <cellStyle name="Currency [0] 2 40 4 3" xfId="22353" xr:uid="{00000000-0005-0000-0000-000027650000}"/>
    <cellStyle name="Currency [0] 2 40 4 4" xfId="37845" xr:uid="{00000000-0005-0000-0000-000028650000}"/>
    <cellStyle name="Currency [0] 2 40 5" xfId="10631" xr:uid="{00000000-0005-0000-0000-000029650000}"/>
    <cellStyle name="Currency [0] 2 40 5 2" xfId="26223" xr:uid="{00000000-0005-0000-0000-00002A650000}"/>
    <cellStyle name="Currency [0] 2 40 5 3" xfId="41715" xr:uid="{00000000-0005-0000-0000-00002B650000}"/>
    <cellStyle name="Currency [0] 2 40 6" xfId="18483" xr:uid="{00000000-0005-0000-0000-00002C650000}"/>
    <cellStyle name="Currency [0] 2 40 7" xfId="33975" xr:uid="{00000000-0005-0000-0000-00002D650000}"/>
    <cellStyle name="Currency [0] 2 41" xfId="2853" xr:uid="{00000000-0005-0000-0000-00002E650000}"/>
    <cellStyle name="Currency [0] 2 41 2" xfId="3859" xr:uid="{00000000-0005-0000-0000-00002F650000}"/>
    <cellStyle name="Currency [0] 2 41 2 2" xfId="5798" xr:uid="{00000000-0005-0000-0000-000030650000}"/>
    <cellStyle name="Currency [0] 2 41 2 2 2" xfId="9669" xr:uid="{00000000-0005-0000-0000-000031650000}"/>
    <cellStyle name="Currency [0] 2 41 2 2 2 2" xfId="17414" xr:uid="{00000000-0005-0000-0000-000032650000}"/>
    <cellStyle name="Currency [0] 2 41 2 2 2 2 2" xfId="33006" xr:uid="{00000000-0005-0000-0000-000033650000}"/>
    <cellStyle name="Currency [0] 2 41 2 2 2 2 3" xfId="48498" xr:uid="{00000000-0005-0000-0000-000034650000}"/>
    <cellStyle name="Currency [0] 2 41 2 2 2 3" xfId="25266" xr:uid="{00000000-0005-0000-0000-000035650000}"/>
    <cellStyle name="Currency [0] 2 41 2 2 2 4" xfId="40758" xr:uid="{00000000-0005-0000-0000-000036650000}"/>
    <cellStyle name="Currency [0] 2 41 2 2 3" xfId="13544" xr:uid="{00000000-0005-0000-0000-000037650000}"/>
    <cellStyle name="Currency [0] 2 41 2 2 3 2" xfId="29136" xr:uid="{00000000-0005-0000-0000-000038650000}"/>
    <cellStyle name="Currency [0] 2 41 2 2 3 3" xfId="44628" xr:uid="{00000000-0005-0000-0000-000039650000}"/>
    <cellStyle name="Currency [0] 2 41 2 2 4" xfId="21396" xr:uid="{00000000-0005-0000-0000-00003A650000}"/>
    <cellStyle name="Currency [0] 2 41 2 2 5" xfId="36888" xr:uid="{00000000-0005-0000-0000-00003B650000}"/>
    <cellStyle name="Currency [0] 2 41 2 3" xfId="7742" xr:uid="{00000000-0005-0000-0000-00003C650000}"/>
    <cellStyle name="Currency [0] 2 41 2 3 2" xfId="15487" xr:uid="{00000000-0005-0000-0000-00003D650000}"/>
    <cellStyle name="Currency [0] 2 41 2 3 2 2" xfId="31079" xr:uid="{00000000-0005-0000-0000-00003E650000}"/>
    <cellStyle name="Currency [0] 2 41 2 3 2 3" xfId="46571" xr:uid="{00000000-0005-0000-0000-00003F650000}"/>
    <cellStyle name="Currency [0] 2 41 2 3 3" xfId="23339" xr:uid="{00000000-0005-0000-0000-000040650000}"/>
    <cellStyle name="Currency [0] 2 41 2 3 4" xfId="38831" xr:uid="{00000000-0005-0000-0000-000041650000}"/>
    <cellStyle name="Currency [0] 2 41 2 4" xfId="11617" xr:uid="{00000000-0005-0000-0000-000042650000}"/>
    <cellStyle name="Currency [0] 2 41 2 4 2" xfId="27209" xr:uid="{00000000-0005-0000-0000-000043650000}"/>
    <cellStyle name="Currency [0] 2 41 2 4 3" xfId="42701" xr:uid="{00000000-0005-0000-0000-000044650000}"/>
    <cellStyle name="Currency [0] 2 41 2 5" xfId="19469" xr:uid="{00000000-0005-0000-0000-000045650000}"/>
    <cellStyle name="Currency [0] 2 41 2 6" xfId="34961" xr:uid="{00000000-0005-0000-0000-000046650000}"/>
    <cellStyle name="Currency [0] 2 41 3" xfId="4850" xr:uid="{00000000-0005-0000-0000-000047650000}"/>
    <cellStyle name="Currency [0] 2 41 3 2" xfId="8721" xr:uid="{00000000-0005-0000-0000-000048650000}"/>
    <cellStyle name="Currency [0] 2 41 3 2 2" xfId="16466" xr:uid="{00000000-0005-0000-0000-000049650000}"/>
    <cellStyle name="Currency [0] 2 41 3 2 2 2" xfId="32058" xr:uid="{00000000-0005-0000-0000-00004A650000}"/>
    <cellStyle name="Currency [0] 2 41 3 2 2 3" xfId="47550" xr:uid="{00000000-0005-0000-0000-00004B650000}"/>
    <cellStyle name="Currency [0] 2 41 3 2 3" xfId="24318" xr:uid="{00000000-0005-0000-0000-00004C650000}"/>
    <cellStyle name="Currency [0] 2 41 3 2 4" xfId="39810" xr:uid="{00000000-0005-0000-0000-00004D650000}"/>
    <cellStyle name="Currency [0] 2 41 3 3" xfId="12596" xr:uid="{00000000-0005-0000-0000-00004E650000}"/>
    <cellStyle name="Currency [0] 2 41 3 3 2" xfId="28188" xr:uid="{00000000-0005-0000-0000-00004F650000}"/>
    <cellStyle name="Currency [0] 2 41 3 3 3" xfId="43680" xr:uid="{00000000-0005-0000-0000-000050650000}"/>
    <cellStyle name="Currency [0] 2 41 3 4" xfId="20448" xr:uid="{00000000-0005-0000-0000-000051650000}"/>
    <cellStyle name="Currency [0] 2 41 3 5" xfId="35940" xr:uid="{00000000-0005-0000-0000-000052650000}"/>
    <cellStyle name="Currency [0] 2 41 4" xfId="6794" xr:uid="{00000000-0005-0000-0000-000053650000}"/>
    <cellStyle name="Currency [0] 2 41 4 2" xfId="14539" xr:uid="{00000000-0005-0000-0000-000054650000}"/>
    <cellStyle name="Currency [0] 2 41 4 2 2" xfId="30131" xr:uid="{00000000-0005-0000-0000-000055650000}"/>
    <cellStyle name="Currency [0] 2 41 4 2 3" xfId="45623" xr:uid="{00000000-0005-0000-0000-000056650000}"/>
    <cellStyle name="Currency [0] 2 41 4 3" xfId="22391" xr:uid="{00000000-0005-0000-0000-000057650000}"/>
    <cellStyle name="Currency [0] 2 41 4 4" xfId="37883" xr:uid="{00000000-0005-0000-0000-000058650000}"/>
    <cellStyle name="Currency [0] 2 41 5" xfId="10669" xr:uid="{00000000-0005-0000-0000-000059650000}"/>
    <cellStyle name="Currency [0] 2 41 5 2" xfId="26261" xr:uid="{00000000-0005-0000-0000-00005A650000}"/>
    <cellStyle name="Currency [0] 2 41 5 3" xfId="41753" xr:uid="{00000000-0005-0000-0000-00005B650000}"/>
    <cellStyle name="Currency [0] 2 41 6" xfId="18521" xr:uid="{00000000-0005-0000-0000-00005C650000}"/>
    <cellStyle name="Currency [0] 2 41 7" xfId="34013" xr:uid="{00000000-0005-0000-0000-00005D650000}"/>
    <cellStyle name="Currency [0] 2 42" xfId="2890" xr:uid="{00000000-0005-0000-0000-00005E650000}"/>
    <cellStyle name="Currency [0] 2 42 2" xfId="3895" xr:uid="{00000000-0005-0000-0000-00005F650000}"/>
    <cellStyle name="Currency [0] 2 42 2 2" xfId="5834" xr:uid="{00000000-0005-0000-0000-000060650000}"/>
    <cellStyle name="Currency [0] 2 42 2 2 2" xfId="9705" xr:uid="{00000000-0005-0000-0000-000061650000}"/>
    <cellStyle name="Currency [0] 2 42 2 2 2 2" xfId="17450" xr:uid="{00000000-0005-0000-0000-000062650000}"/>
    <cellStyle name="Currency [0] 2 42 2 2 2 2 2" xfId="33042" xr:uid="{00000000-0005-0000-0000-000063650000}"/>
    <cellStyle name="Currency [0] 2 42 2 2 2 2 3" xfId="48534" xr:uid="{00000000-0005-0000-0000-000064650000}"/>
    <cellStyle name="Currency [0] 2 42 2 2 2 3" xfId="25302" xr:uid="{00000000-0005-0000-0000-000065650000}"/>
    <cellStyle name="Currency [0] 2 42 2 2 2 4" xfId="40794" xr:uid="{00000000-0005-0000-0000-000066650000}"/>
    <cellStyle name="Currency [0] 2 42 2 2 3" xfId="13580" xr:uid="{00000000-0005-0000-0000-000067650000}"/>
    <cellStyle name="Currency [0] 2 42 2 2 3 2" xfId="29172" xr:uid="{00000000-0005-0000-0000-000068650000}"/>
    <cellStyle name="Currency [0] 2 42 2 2 3 3" xfId="44664" xr:uid="{00000000-0005-0000-0000-000069650000}"/>
    <cellStyle name="Currency [0] 2 42 2 2 4" xfId="21432" xr:uid="{00000000-0005-0000-0000-00006A650000}"/>
    <cellStyle name="Currency [0] 2 42 2 2 5" xfId="36924" xr:uid="{00000000-0005-0000-0000-00006B650000}"/>
    <cellStyle name="Currency [0] 2 42 2 3" xfId="7778" xr:uid="{00000000-0005-0000-0000-00006C650000}"/>
    <cellStyle name="Currency [0] 2 42 2 3 2" xfId="15523" xr:uid="{00000000-0005-0000-0000-00006D650000}"/>
    <cellStyle name="Currency [0] 2 42 2 3 2 2" xfId="31115" xr:uid="{00000000-0005-0000-0000-00006E650000}"/>
    <cellStyle name="Currency [0] 2 42 2 3 2 3" xfId="46607" xr:uid="{00000000-0005-0000-0000-00006F650000}"/>
    <cellStyle name="Currency [0] 2 42 2 3 3" xfId="23375" xr:uid="{00000000-0005-0000-0000-000070650000}"/>
    <cellStyle name="Currency [0] 2 42 2 3 4" xfId="38867" xr:uid="{00000000-0005-0000-0000-000071650000}"/>
    <cellStyle name="Currency [0] 2 42 2 4" xfId="11653" xr:uid="{00000000-0005-0000-0000-000072650000}"/>
    <cellStyle name="Currency [0] 2 42 2 4 2" xfId="27245" xr:uid="{00000000-0005-0000-0000-000073650000}"/>
    <cellStyle name="Currency [0] 2 42 2 4 3" xfId="42737" xr:uid="{00000000-0005-0000-0000-000074650000}"/>
    <cellStyle name="Currency [0] 2 42 2 5" xfId="19505" xr:uid="{00000000-0005-0000-0000-000075650000}"/>
    <cellStyle name="Currency [0] 2 42 2 6" xfId="34997" xr:uid="{00000000-0005-0000-0000-000076650000}"/>
    <cellStyle name="Currency [0] 2 42 3" xfId="4886" xr:uid="{00000000-0005-0000-0000-000077650000}"/>
    <cellStyle name="Currency [0] 2 42 3 2" xfId="8757" xr:uid="{00000000-0005-0000-0000-000078650000}"/>
    <cellStyle name="Currency [0] 2 42 3 2 2" xfId="16502" xr:uid="{00000000-0005-0000-0000-000079650000}"/>
    <cellStyle name="Currency [0] 2 42 3 2 2 2" xfId="32094" xr:uid="{00000000-0005-0000-0000-00007A650000}"/>
    <cellStyle name="Currency [0] 2 42 3 2 2 3" xfId="47586" xr:uid="{00000000-0005-0000-0000-00007B650000}"/>
    <cellStyle name="Currency [0] 2 42 3 2 3" xfId="24354" xr:uid="{00000000-0005-0000-0000-00007C650000}"/>
    <cellStyle name="Currency [0] 2 42 3 2 4" xfId="39846" xr:uid="{00000000-0005-0000-0000-00007D650000}"/>
    <cellStyle name="Currency [0] 2 42 3 3" xfId="12632" xr:uid="{00000000-0005-0000-0000-00007E650000}"/>
    <cellStyle name="Currency [0] 2 42 3 3 2" xfId="28224" xr:uid="{00000000-0005-0000-0000-00007F650000}"/>
    <cellStyle name="Currency [0] 2 42 3 3 3" xfId="43716" xr:uid="{00000000-0005-0000-0000-000080650000}"/>
    <cellStyle name="Currency [0] 2 42 3 4" xfId="20484" xr:uid="{00000000-0005-0000-0000-000081650000}"/>
    <cellStyle name="Currency [0] 2 42 3 5" xfId="35976" xr:uid="{00000000-0005-0000-0000-000082650000}"/>
    <cellStyle name="Currency [0] 2 42 4" xfId="6830" xr:uid="{00000000-0005-0000-0000-000083650000}"/>
    <cellStyle name="Currency [0] 2 42 4 2" xfId="14575" xr:uid="{00000000-0005-0000-0000-000084650000}"/>
    <cellStyle name="Currency [0] 2 42 4 2 2" xfId="30167" xr:uid="{00000000-0005-0000-0000-000085650000}"/>
    <cellStyle name="Currency [0] 2 42 4 2 3" xfId="45659" xr:uid="{00000000-0005-0000-0000-000086650000}"/>
    <cellStyle name="Currency [0] 2 42 4 3" xfId="22427" xr:uid="{00000000-0005-0000-0000-000087650000}"/>
    <cellStyle name="Currency [0] 2 42 4 4" xfId="37919" xr:uid="{00000000-0005-0000-0000-000088650000}"/>
    <cellStyle name="Currency [0] 2 42 5" xfId="10705" xr:uid="{00000000-0005-0000-0000-000089650000}"/>
    <cellStyle name="Currency [0] 2 42 5 2" xfId="26297" xr:uid="{00000000-0005-0000-0000-00008A650000}"/>
    <cellStyle name="Currency [0] 2 42 5 3" xfId="41789" xr:uid="{00000000-0005-0000-0000-00008B650000}"/>
    <cellStyle name="Currency [0] 2 42 6" xfId="18557" xr:uid="{00000000-0005-0000-0000-00008C650000}"/>
    <cellStyle name="Currency [0] 2 42 7" xfId="34049" xr:uid="{00000000-0005-0000-0000-00008D650000}"/>
    <cellStyle name="Currency [0] 2 43" xfId="2927" xr:uid="{00000000-0005-0000-0000-00008E650000}"/>
    <cellStyle name="Currency [0] 2 43 2" xfId="3931" xr:uid="{00000000-0005-0000-0000-00008F650000}"/>
    <cellStyle name="Currency [0] 2 43 2 2" xfId="5870" xr:uid="{00000000-0005-0000-0000-000090650000}"/>
    <cellStyle name="Currency [0] 2 43 2 2 2" xfId="9741" xr:uid="{00000000-0005-0000-0000-000091650000}"/>
    <cellStyle name="Currency [0] 2 43 2 2 2 2" xfId="17486" xr:uid="{00000000-0005-0000-0000-000092650000}"/>
    <cellStyle name="Currency [0] 2 43 2 2 2 2 2" xfId="33078" xr:uid="{00000000-0005-0000-0000-000093650000}"/>
    <cellStyle name="Currency [0] 2 43 2 2 2 2 3" xfId="48570" xr:uid="{00000000-0005-0000-0000-000094650000}"/>
    <cellStyle name="Currency [0] 2 43 2 2 2 3" xfId="25338" xr:uid="{00000000-0005-0000-0000-000095650000}"/>
    <cellStyle name="Currency [0] 2 43 2 2 2 4" xfId="40830" xr:uid="{00000000-0005-0000-0000-000096650000}"/>
    <cellStyle name="Currency [0] 2 43 2 2 3" xfId="13616" xr:uid="{00000000-0005-0000-0000-000097650000}"/>
    <cellStyle name="Currency [0] 2 43 2 2 3 2" xfId="29208" xr:uid="{00000000-0005-0000-0000-000098650000}"/>
    <cellStyle name="Currency [0] 2 43 2 2 3 3" xfId="44700" xr:uid="{00000000-0005-0000-0000-000099650000}"/>
    <cellStyle name="Currency [0] 2 43 2 2 4" xfId="21468" xr:uid="{00000000-0005-0000-0000-00009A650000}"/>
    <cellStyle name="Currency [0] 2 43 2 2 5" xfId="36960" xr:uid="{00000000-0005-0000-0000-00009B650000}"/>
    <cellStyle name="Currency [0] 2 43 2 3" xfId="7814" xr:uid="{00000000-0005-0000-0000-00009C650000}"/>
    <cellStyle name="Currency [0] 2 43 2 3 2" xfId="15559" xr:uid="{00000000-0005-0000-0000-00009D650000}"/>
    <cellStyle name="Currency [0] 2 43 2 3 2 2" xfId="31151" xr:uid="{00000000-0005-0000-0000-00009E650000}"/>
    <cellStyle name="Currency [0] 2 43 2 3 2 3" xfId="46643" xr:uid="{00000000-0005-0000-0000-00009F650000}"/>
    <cellStyle name="Currency [0] 2 43 2 3 3" xfId="23411" xr:uid="{00000000-0005-0000-0000-0000A0650000}"/>
    <cellStyle name="Currency [0] 2 43 2 3 4" xfId="38903" xr:uid="{00000000-0005-0000-0000-0000A1650000}"/>
    <cellStyle name="Currency [0] 2 43 2 4" xfId="11689" xr:uid="{00000000-0005-0000-0000-0000A2650000}"/>
    <cellStyle name="Currency [0] 2 43 2 4 2" xfId="27281" xr:uid="{00000000-0005-0000-0000-0000A3650000}"/>
    <cellStyle name="Currency [0] 2 43 2 4 3" xfId="42773" xr:uid="{00000000-0005-0000-0000-0000A4650000}"/>
    <cellStyle name="Currency [0] 2 43 2 5" xfId="19541" xr:uid="{00000000-0005-0000-0000-0000A5650000}"/>
    <cellStyle name="Currency [0] 2 43 2 6" xfId="35033" xr:uid="{00000000-0005-0000-0000-0000A6650000}"/>
    <cellStyle name="Currency [0] 2 43 3" xfId="4922" xr:uid="{00000000-0005-0000-0000-0000A7650000}"/>
    <cellStyle name="Currency [0] 2 43 3 2" xfId="8793" xr:uid="{00000000-0005-0000-0000-0000A8650000}"/>
    <cellStyle name="Currency [0] 2 43 3 2 2" xfId="16538" xr:uid="{00000000-0005-0000-0000-0000A9650000}"/>
    <cellStyle name="Currency [0] 2 43 3 2 2 2" xfId="32130" xr:uid="{00000000-0005-0000-0000-0000AA650000}"/>
    <cellStyle name="Currency [0] 2 43 3 2 2 3" xfId="47622" xr:uid="{00000000-0005-0000-0000-0000AB650000}"/>
    <cellStyle name="Currency [0] 2 43 3 2 3" xfId="24390" xr:uid="{00000000-0005-0000-0000-0000AC650000}"/>
    <cellStyle name="Currency [0] 2 43 3 2 4" xfId="39882" xr:uid="{00000000-0005-0000-0000-0000AD650000}"/>
    <cellStyle name="Currency [0] 2 43 3 3" xfId="12668" xr:uid="{00000000-0005-0000-0000-0000AE650000}"/>
    <cellStyle name="Currency [0] 2 43 3 3 2" xfId="28260" xr:uid="{00000000-0005-0000-0000-0000AF650000}"/>
    <cellStyle name="Currency [0] 2 43 3 3 3" xfId="43752" xr:uid="{00000000-0005-0000-0000-0000B0650000}"/>
    <cellStyle name="Currency [0] 2 43 3 4" xfId="20520" xr:uid="{00000000-0005-0000-0000-0000B1650000}"/>
    <cellStyle name="Currency [0] 2 43 3 5" xfId="36012" xr:uid="{00000000-0005-0000-0000-0000B2650000}"/>
    <cellStyle name="Currency [0] 2 43 4" xfId="6866" xr:uid="{00000000-0005-0000-0000-0000B3650000}"/>
    <cellStyle name="Currency [0] 2 43 4 2" xfId="14611" xr:uid="{00000000-0005-0000-0000-0000B4650000}"/>
    <cellStyle name="Currency [0] 2 43 4 2 2" xfId="30203" xr:uid="{00000000-0005-0000-0000-0000B5650000}"/>
    <cellStyle name="Currency [0] 2 43 4 2 3" xfId="45695" xr:uid="{00000000-0005-0000-0000-0000B6650000}"/>
    <cellStyle name="Currency [0] 2 43 4 3" xfId="22463" xr:uid="{00000000-0005-0000-0000-0000B7650000}"/>
    <cellStyle name="Currency [0] 2 43 4 4" xfId="37955" xr:uid="{00000000-0005-0000-0000-0000B8650000}"/>
    <cellStyle name="Currency [0] 2 43 5" xfId="10741" xr:uid="{00000000-0005-0000-0000-0000B9650000}"/>
    <cellStyle name="Currency [0] 2 43 5 2" xfId="26333" xr:uid="{00000000-0005-0000-0000-0000BA650000}"/>
    <cellStyle name="Currency [0] 2 43 5 3" xfId="41825" xr:uid="{00000000-0005-0000-0000-0000BB650000}"/>
    <cellStyle name="Currency [0] 2 43 6" xfId="18593" xr:uid="{00000000-0005-0000-0000-0000BC650000}"/>
    <cellStyle name="Currency [0] 2 43 7" xfId="34085" xr:uid="{00000000-0005-0000-0000-0000BD650000}"/>
    <cellStyle name="Currency [0] 2 44" xfId="2966" xr:uid="{00000000-0005-0000-0000-0000BE650000}"/>
    <cellStyle name="Currency [0] 2 44 2" xfId="3967" xr:uid="{00000000-0005-0000-0000-0000BF650000}"/>
    <cellStyle name="Currency [0] 2 44 2 2" xfId="5906" xr:uid="{00000000-0005-0000-0000-0000C0650000}"/>
    <cellStyle name="Currency [0] 2 44 2 2 2" xfId="9777" xr:uid="{00000000-0005-0000-0000-0000C1650000}"/>
    <cellStyle name="Currency [0] 2 44 2 2 2 2" xfId="17522" xr:uid="{00000000-0005-0000-0000-0000C2650000}"/>
    <cellStyle name="Currency [0] 2 44 2 2 2 2 2" xfId="33114" xr:uid="{00000000-0005-0000-0000-0000C3650000}"/>
    <cellStyle name="Currency [0] 2 44 2 2 2 2 3" xfId="48606" xr:uid="{00000000-0005-0000-0000-0000C4650000}"/>
    <cellStyle name="Currency [0] 2 44 2 2 2 3" xfId="25374" xr:uid="{00000000-0005-0000-0000-0000C5650000}"/>
    <cellStyle name="Currency [0] 2 44 2 2 2 4" xfId="40866" xr:uid="{00000000-0005-0000-0000-0000C6650000}"/>
    <cellStyle name="Currency [0] 2 44 2 2 3" xfId="13652" xr:uid="{00000000-0005-0000-0000-0000C7650000}"/>
    <cellStyle name="Currency [0] 2 44 2 2 3 2" xfId="29244" xr:uid="{00000000-0005-0000-0000-0000C8650000}"/>
    <cellStyle name="Currency [0] 2 44 2 2 3 3" xfId="44736" xr:uid="{00000000-0005-0000-0000-0000C9650000}"/>
    <cellStyle name="Currency [0] 2 44 2 2 4" xfId="21504" xr:uid="{00000000-0005-0000-0000-0000CA650000}"/>
    <cellStyle name="Currency [0] 2 44 2 2 5" xfId="36996" xr:uid="{00000000-0005-0000-0000-0000CB650000}"/>
    <cellStyle name="Currency [0] 2 44 2 3" xfId="7850" xr:uid="{00000000-0005-0000-0000-0000CC650000}"/>
    <cellStyle name="Currency [0] 2 44 2 3 2" xfId="15595" xr:uid="{00000000-0005-0000-0000-0000CD650000}"/>
    <cellStyle name="Currency [0] 2 44 2 3 2 2" xfId="31187" xr:uid="{00000000-0005-0000-0000-0000CE650000}"/>
    <cellStyle name="Currency [0] 2 44 2 3 2 3" xfId="46679" xr:uid="{00000000-0005-0000-0000-0000CF650000}"/>
    <cellStyle name="Currency [0] 2 44 2 3 3" xfId="23447" xr:uid="{00000000-0005-0000-0000-0000D0650000}"/>
    <cellStyle name="Currency [0] 2 44 2 3 4" xfId="38939" xr:uid="{00000000-0005-0000-0000-0000D1650000}"/>
    <cellStyle name="Currency [0] 2 44 2 4" xfId="11725" xr:uid="{00000000-0005-0000-0000-0000D2650000}"/>
    <cellStyle name="Currency [0] 2 44 2 4 2" xfId="27317" xr:uid="{00000000-0005-0000-0000-0000D3650000}"/>
    <cellStyle name="Currency [0] 2 44 2 4 3" xfId="42809" xr:uid="{00000000-0005-0000-0000-0000D4650000}"/>
    <cellStyle name="Currency [0] 2 44 2 5" xfId="19577" xr:uid="{00000000-0005-0000-0000-0000D5650000}"/>
    <cellStyle name="Currency [0] 2 44 2 6" xfId="35069" xr:uid="{00000000-0005-0000-0000-0000D6650000}"/>
    <cellStyle name="Currency [0] 2 44 3" xfId="4958" xr:uid="{00000000-0005-0000-0000-0000D7650000}"/>
    <cellStyle name="Currency [0] 2 44 3 2" xfId="8829" xr:uid="{00000000-0005-0000-0000-0000D8650000}"/>
    <cellStyle name="Currency [0] 2 44 3 2 2" xfId="16574" xr:uid="{00000000-0005-0000-0000-0000D9650000}"/>
    <cellStyle name="Currency [0] 2 44 3 2 2 2" xfId="32166" xr:uid="{00000000-0005-0000-0000-0000DA650000}"/>
    <cellStyle name="Currency [0] 2 44 3 2 2 3" xfId="47658" xr:uid="{00000000-0005-0000-0000-0000DB650000}"/>
    <cellStyle name="Currency [0] 2 44 3 2 3" xfId="24426" xr:uid="{00000000-0005-0000-0000-0000DC650000}"/>
    <cellStyle name="Currency [0] 2 44 3 2 4" xfId="39918" xr:uid="{00000000-0005-0000-0000-0000DD650000}"/>
    <cellStyle name="Currency [0] 2 44 3 3" xfId="12704" xr:uid="{00000000-0005-0000-0000-0000DE650000}"/>
    <cellStyle name="Currency [0] 2 44 3 3 2" xfId="28296" xr:uid="{00000000-0005-0000-0000-0000DF650000}"/>
    <cellStyle name="Currency [0] 2 44 3 3 3" xfId="43788" xr:uid="{00000000-0005-0000-0000-0000E0650000}"/>
    <cellStyle name="Currency [0] 2 44 3 4" xfId="20556" xr:uid="{00000000-0005-0000-0000-0000E1650000}"/>
    <cellStyle name="Currency [0] 2 44 3 5" xfId="36048" xr:uid="{00000000-0005-0000-0000-0000E2650000}"/>
    <cellStyle name="Currency [0] 2 44 4" xfId="6902" xr:uid="{00000000-0005-0000-0000-0000E3650000}"/>
    <cellStyle name="Currency [0] 2 44 4 2" xfId="14647" xr:uid="{00000000-0005-0000-0000-0000E4650000}"/>
    <cellStyle name="Currency [0] 2 44 4 2 2" xfId="30239" xr:uid="{00000000-0005-0000-0000-0000E5650000}"/>
    <cellStyle name="Currency [0] 2 44 4 2 3" xfId="45731" xr:uid="{00000000-0005-0000-0000-0000E6650000}"/>
    <cellStyle name="Currency [0] 2 44 4 3" xfId="22499" xr:uid="{00000000-0005-0000-0000-0000E7650000}"/>
    <cellStyle name="Currency [0] 2 44 4 4" xfId="37991" xr:uid="{00000000-0005-0000-0000-0000E8650000}"/>
    <cellStyle name="Currency [0] 2 44 5" xfId="10777" xr:uid="{00000000-0005-0000-0000-0000E9650000}"/>
    <cellStyle name="Currency [0] 2 44 5 2" xfId="26369" xr:uid="{00000000-0005-0000-0000-0000EA650000}"/>
    <cellStyle name="Currency [0] 2 44 5 3" xfId="41861" xr:uid="{00000000-0005-0000-0000-0000EB650000}"/>
    <cellStyle name="Currency [0] 2 44 6" xfId="18629" xr:uid="{00000000-0005-0000-0000-0000EC650000}"/>
    <cellStyle name="Currency [0] 2 44 7" xfId="34121" xr:uid="{00000000-0005-0000-0000-0000ED650000}"/>
    <cellStyle name="Currency [0] 2 45" xfId="3006" xr:uid="{00000000-0005-0000-0000-0000EE650000}"/>
    <cellStyle name="Currency [0] 2 45 2" xfId="4003" xr:uid="{00000000-0005-0000-0000-0000EF650000}"/>
    <cellStyle name="Currency [0] 2 45 2 2" xfId="5942" xr:uid="{00000000-0005-0000-0000-0000F0650000}"/>
    <cellStyle name="Currency [0] 2 45 2 2 2" xfId="9813" xr:uid="{00000000-0005-0000-0000-0000F1650000}"/>
    <cellStyle name="Currency [0] 2 45 2 2 2 2" xfId="17558" xr:uid="{00000000-0005-0000-0000-0000F2650000}"/>
    <cellStyle name="Currency [0] 2 45 2 2 2 2 2" xfId="33150" xr:uid="{00000000-0005-0000-0000-0000F3650000}"/>
    <cellStyle name="Currency [0] 2 45 2 2 2 2 3" xfId="48642" xr:uid="{00000000-0005-0000-0000-0000F4650000}"/>
    <cellStyle name="Currency [0] 2 45 2 2 2 3" xfId="25410" xr:uid="{00000000-0005-0000-0000-0000F5650000}"/>
    <cellStyle name="Currency [0] 2 45 2 2 2 4" xfId="40902" xr:uid="{00000000-0005-0000-0000-0000F6650000}"/>
    <cellStyle name="Currency [0] 2 45 2 2 3" xfId="13688" xr:uid="{00000000-0005-0000-0000-0000F7650000}"/>
    <cellStyle name="Currency [0] 2 45 2 2 3 2" xfId="29280" xr:uid="{00000000-0005-0000-0000-0000F8650000}"/>
    <cellStyle name="Currency [0] 2 45 2 2 3 3" xfId="44772" xr:uid="{00000000-0005-0000-0000-0000F9650000}"/>
    <cellStyle name="Currency [0] 2 45 2 2 4" xfId="21540" xr:uid="{00000000-0005-0000-0000-0000FA650000}"/>
    <cellStyle name="Currency [0] 2 45 2 2 5" xfId="37032" xr:uid="{00000000-0005-0000-0000-0000FB650000}"/>
    <cellStyle name="Currency [0] 2 45 2 3" xfId="7886" xr:uid="{00000000-0005-0000-0000-0000FC650000}"/>
    <cellStyle name="Currency [0] 2 45 2 3 2" xfId="15631" xr:uid="{00000000-0005-0000-0000-0000FD650000}"/>
    <cellStyle name="Currency [0] 2 45 2 3 2 2" xfId="31223" xr:uid="{00000000-0005-0000-0000-0000FE650000}"/>
    <cellStyle name="Currency [0] 2 45 2 3 2 3" xfId="46715" xr:uid="{00000000-0005-0000-0000-0000FF650000}"/>
    <cellStyle name="Currency [0] 2 45 2 3 3" xfId="23483" xr:uid="{00000000-0005-0000-0000-000000660000}"/>
    <cellStyle name="Currency [0] 2 45 2 3 4" xfId="38975" xr:uid="{00000000-0005-0000-0000-000001660000}"/>
    <cellStyle name="Currency [0] 2 45 2 4" xfId="11761" xr:uid="{00000000-0005-0000-0000-000002660000}"/>
    <cellStyle name="Currency [0] 2 45 2 4 2" xfId="27353" xr:uid="{00000000-0005-0000-0000-000003660000}"/>
    <cellStyle name="Currency [0] 2 45 2 4 3" xfId="42845" xr:uid="{00000000-0005-0000-0000-000004660000}"/>
    <cellStyle name="Currency [0] 2 45 2 5" xfId="19613" xr:uid="{00000000-0005-0000-0000-000005660000}"/>
    <cellStyle name="Currency [0] 2 45 2 6" xfId="35105" xr:uid="{00000000-0005-0000-0000-000006660000}"/>
    <cellStyle name="Currency [0] 2 45 3" xfId="4994" xr:uid="{00000000-0005-0000-0000-000007660000}"/>
    <cellStyle name="Currency [0] 2 45 3 2" xfId="8865" xr:uid="{00000000-0005-0000-0000-000008660000}"/>
    <cellStyle name="Currency [0] 2 45 3 2 2" xfId="16610" xr:uid="{00000000-0005-0000-0000-000009660000}"/>
    <cellStyle name="Currency [0] 2 45 3 2 2 2" xfId="32202" xr:uid="{00000000-0005-0000-0000-00000A660000}"/>
    <cellStyle name="Currency [0] 2 45 3 2 2 3" xfId="47694" xr:uid="{00000000-0005-0000-0000-00000B660000}"/>
    <cellStyle name="Currency [0] 2 45 3 2 3" xfId="24462" xr:uid="{00000000-0005-0000-0000-00000C660000}"/>
    <cellStyle name="Currency [0] 2 45 3 2 4" xfId="39954" xr:uid="{00000000-0005-0000-0000-00000D660000}"/>
    <cellStyle name="Currency [0] 2 45 3 3" xfId="12740" xr:uid="{00000000-0005-0000-0000-00000E660000}"/>
    <cellStyle name="Currency [0] 2 45 3 3 2" xfId="28332" xr:uid="{00000000-0005-0000-0000-00000F660000}"/>
    <cellStyle name="Currency [0] 2 45 3 3 3" xfId="43824" xr:uid="{00000000-0005-0000-0000-000010660000}"/>
    <cellStyle name="Currency [0] 2 45 3 4" xfId="20592" xr:uid="{00000000-0005-0000-0000-000011660000}"/>
    <cellStyle name="Currency [0] 2 45 3 5" xfId="36084" xr:uid="{00000000-0005-0000-0000-000012660000}"/>
    <cellStyle name="Currency [0] 2 45 4" xfId="6938" xr:uid="{00000000-0005-0000-0000-000013660000}"/>
    <cellStyle name="Currency [0] 2 45 4 2" xfId="14683" xr:uid="{00000000-0005-0000-0000-000014660000}"/>
    <cellStyle name="Currency [0] 2 45 4 2 2" xfId="30275" xr:uid="{00000000-0005-0000-0000-000015660000}"/>
    <cellStyle name="Currency [0] 2 45 4 2 3" xfId="45767" xr:uid="{00000000-0005-0000-0000-000016660000}"/>
    <cellStyle name="Currency [0] 2 45 4 3" xfId="22535" xr:uid="{00000000-0005-0000-0000-000017660000}"/>
    <cellStyle name="Currency [0] 2 45 4 4" xfId="38027" xr:uid="{00000000-0005-0000-0000-000018660000}"/>
    <cellStyle name="Currency [0] 2 45 5" xfId="10813" xr:uid="{00000000-0005-0000-0000-000019660000}"/>
    <cellStyle name="Currency [0] 2 45 5 2" xfId="26405" xr:uid="{00000000-0005-0000-0000-00001A660000}"/>
    <cellStyle name="Currency [0] 2 45 5 3" xfId="41897" xr:uid="{00000000-0005-0000-0000-00001B660000}"/>
    <cellStyle name="Currency [0] 2 45 6" xfId="18665" xr:uid="{00000000-0005-0000-0000-00001C660000}"/>
    <cellStyle name="Currency [0] 2 45 7" xfId="34157" xr:uid="{00000000-0005-0000-0000-00001D660000}"/>
    <cellStyle name="Currency [0] 2 46" xfId="3044" xr:uid="{00000000-0005-0000-0000-00001E660000}"/>
    <cellStyle name="Currency [0] 2 46 2" xfId="4039" xr:uid="{00000000-0005-0000-0000-00001F660000}"/>
    <cellStyle name="Currency [0] 2 46 2 2" xfId="5978" xr:uid="{00000000-0005-0000-0000-000020660000}"/>
    <cellStyle name="Currency [0] 2 46 2 2 2" xfId="9849" xr:uid="{00000000-0005-0000-0000-000021660000}"/>
    <cellStyle name="Currency [0] 2 46 2 2 2 2" xfId="17594" xr:uid="{00000000-0005-0000-0000-000022660000}"/>
    <cellStyle name="Currency [0] 2 46 2 2 2 2 2" xfId="33186" xr:uid="{00000000-0005-0000-0000-000023660000}"/>
    <cellStyle name="Currency [0] 2 46 2 2 2 2 3" xfId="48678" xr:uid="{00000000-0005-0000-0000-000024660000}"/>
    <cellStyle name="Currency [0] 2 46 2 2 2 3" xfId="25446" xr:uid="{00000000-0005-0000-0000-000025660000}"/>
    <cellStyle name="Currency [0] 2 46 2 2 2 4" xfId="40938" xr:uid="{00000000-0005-0000-0000-000026660000}"/>
    <cellStyle name="Currency [0] 2 46 2 2 3" xfId="13724" xr:uid="{00000000-0005-0000-0000-000027660000}"/>
    <cellStyle name="Currency [0] 2 46 2 2 3 2" xfId="29316" xr:uid="{00000000-0005-0000-0000-000028660000}"/>
    <cellStyle name="Currency [0] 2 46 2 2 3 3" xfId="44808" xr:uid="{00000000-0005-0000-0000-000029660000}"/>
    <cellStyle name="Currency [0] 2 46 2 2 4" xfId="21576" xr:uid="{00000000-0005-0000-0000-00002A660000}"/>
    <cellStyle name="Currency [0] 2 46 2 2 5" xfId="37068" xr:uid="{00000000-0005-0000-0000-00002B660000}"/>
    <cellStyle name="Currency [0] 2 46 2 3" xfId="7922" xr:uid="{00000000-0005-0000-0000-00002C660000}"/>
    <cellStyle name="Currency [0] 2 46 2 3 2" xfId="15667" xr:uid="{00000000-0005-0000-0000-00002D660000}"/>
    <cellStyle name="Currency [0] 2 46 2 3 2 2" xfId="31259" xr:uid="{00000000-0005-0000-0000-00002E660000}"/>
    <cellStyle name="Currency [0] 2 46 2 3 2 3" xfId="46751" xr:uid="{00000000-0005-0000-0000-00002F660000}"/>
    <cellStyle name="Currency [0] 2 46 2 3 3" xfId="23519" xr:uid="{00000000-0005-0000-0000-000030660000}"/>
    <cellStyle name="Currency [0] 2 46 2 3 4" xfId="39011" xr:uid="{00000000-0005-0000-0000-000031660000}"/>
    <cellStyle name="Currency [0] 2 46 2 4" xfId="11797" xr:uid="{00000000-0005-0000-0000-000032660000}"/>
    <cellStyle name="Currency [0] 2 46 2 4 2" xfId="27389" xr:uid="{00000000-0005-0000-0000-000033660000}"/>
    <cellStyle name="Currency [0] 2 46 2 4 3" xfId="42881" xr:uid="{00000000-0005-0000-0000-000034660000}"/>
    <cellStyle name="Currency [0] 2 46 2 5" xfId="19649" xr:uid="{00000000-0005-0000-0000-000035660000}"/>
    <cellStyle name="Currency [0] 2 46 2 6" xfId="35141" xr:uid="{00000000-0005-0000-0000-000036660000}"/>
    <cellStyle name="Currency [0] 2 46 3" xfId="5030" xr:uid="{00000000-0005-0000-0000-000037660000}"/>
    <cellStyle name="Currency [0] 2 46 3 2" xfId="8901" xr:uid="{00000000-0005-0000-0000-000038660000}"/>
    <cellStyle name="Currency [0] 2 46 3 2 2" xfId="16646" xr:uid="{00000000-0005-0000-0000-000039660000}"/>
    <cellStyle name="Currency [0] 2 46 3 2 2 2" xfId="32238" xr:uid="{00000000-0005-0000-0000-00003A660000}"/>
    <cellStyle name="Currency [0] 2 46 3 2 2 3" xfId="47730" xr:uid="{00000000-0005-0000-0000-00003B660000}"/>
    <cellStyle name="Currency [0] 2 46 3 2 3" xfId="24498" xr:uid="{00000000-0005-0000-0000-00003C660000}"/>
    <cellStyle name="Currency [0] 2 46 3 2 4" xfId="39990" xr:uid="{00000000-0005-0000-0000-00003D660000}"/>
    <cellStyle name="Currency [0] 2 46 3 3" xfId="12776" xr:uid="{00000000-0005-0000-0000-00003E660000}"/>
    <cellStyle name="Currency [0] 2 46 3 3 2" xfId="28368" xr:uid="{00000000-0005-0000-0000-00003F660000}"/>
    <cellStyle name="Currency [0] 2 46 3 3 3" xfId="43860" xr:uid="{00000000-0005-0000-0000-000040660000}"/>
    <cellStyle name="Currency [0] 2 46 3 4" xfId="20628" xr:uid="{00000000-0005-0000-0000-000041660000}"/>
    <cellStyle name="Currency [0] 2 46 3 5" xfId="36120" xr:uid="{00000000-0005-0000-0000-000042660000}"/>
    <cellStyle name="Currency [0] 2 46 4" xfId="6974" xr:uid="{00000000-0005-0000-0000-000043660000}"/>
    <cellStyle name="Currency [0] 2 46 4 2" xfId="14719" xr:uid="{00000000-0005-0000-0000-000044660000}"/>
    <cellStyle name="Currency [0] 2 46 4 2 2" xfId="30311" xr:uid="{00000000-0005-0000-0000-000045660000}"/>
    <cellStyle name="Currency [0] 2 46 4 2 3" xfId="45803" xr:uid="{00000000-0005-0000-0000-000046660000}"/>
    <cellStyle name="Currency [0] 2 46 4 3" xfId="22571" xr:uid="{00000000-0005-0000-0000-000047660000}"/>
    <cellStyle name="Currency [0] 2 46 4 4" xfId="38063" xr:uid="{00000000-0005-0000-0000-000048660000}"/>
    <cellStyle name="Currency [0] 2 46 5" xfId="10849" xr:uid="{00000000-0005-0000-0000-000049660000}"/>
    <cellStyle name="Currency [0] 2 46 5 2" xfId="26441" xr:uid="{00000000-0005-0000-0000-00004A660000}"/>
    <cellStyle name="Currency [0] 2 46 5 3" xfId="41933" xr:uid="{00000000-0005-0000-0000-00004B660000}"/>
    <cellStyle name="Currency [0] 2 46 6" xfId="18701" xr:uid="{00000000-0005-0000-0000-00004C660000}"/>
    <cellStyle name="Currency [0] 2 46 7" xfId="34193" xr:uid="{00000000-0005-0000-0000-00004D660000}"/>
    <cellStyle name="Currency [0] 2 47" xfId="3081" xr:uid="{00000000-0005-0000-0000-00004E660000}"/>
    <cellStyle name="Currency [0] 2 47 2" xfId="4075" xr:uid="{00000000-0005-0000-0000-00004F660000}"/>
    <cellStyle name="Currency [0] 2 47 2 2" xfId="6014" xr:uid="{00000000-0005-0000-0000-000050660000}"/>
    <cellStyle name="Currency [0] 2 47 2 2 2" xfId="9885" xr:uid="{00000000-0005-0000-0000-000051660000}"/>
    <cellStyle name="Currency [0] 2 47 2 2 2 2" xfId="17630" xr:uid="{00000000-0005-0000-0000-000052660000}"/>
    <cellStyle name="Currency [0] 2 47 2 2 2 2 2" xfId="33222" xr:uid="{00000000-0005-0000-0000-000053660000}"/>
    <cellStyle name="Currency [0] 2 47 2 2 2 2 3" xfId="48714" xr:uid="{00000000-0005-0000-0000-000054660000}"/>
    <cellStyle name="Currency [0] 2 47 2 2 2 3" xfId="25482" xr:uid="{00000000-0005-0000-0000-000055660000}"/>
    <cellStyle name="Currency [0] 2 47 2 2 2 4" xfId="40974" xr:uid="{00000000-0005-0000-0000-000056660000}"/>
    <cellStyle name="Currency [0] 2 47 2 2 3" xfId="13760" xr:uid="{00000000-0005-0000-0000-000057660000}"/>
    <cellStyle name="Currency [0] 2 47 2 2 3 2" xfId="29352" xr:uid="{00000000-0005-0000-0000-000058660000}"/>
    <cellStyle name="Currency [0] 2 47 2 2 3 3" xfId="44844" xr:uid="{00000000-0005-0000-0000-000059660000}"/>
    <cellStyle name="Currency [0] 2 47 2 2 4" xfId="21612" xr:uid="{00000000-0005-0000-0000-00005A660000}"/>
    <cellStyle name="Currency [0] 2 47 2 2 5" xfId="37104" xr:uid="{00000000-0005-0000-0000-00005B660000}"/>
    <cellStyle name="Currency [0] 2 47 2 3" xfId="7958" xr:uid="{00000000-0005-0000-0000-00005C660000}"/>
    <cellStyle name="Currency [0] 2 47 2 3 2" xfId="15703" xr:uid="{00000000-0005-0000-0000-00005D660000}"/>
    <cellStyle name="Currency [0] 2 47 2 3 2 2" xfId="31295" xr:uid="{00000000-0005-0000-0000-00005E660000}"/>
    <cellStyle name="Currency [0] 2 47 2 3 2 3" xfId="46787" xr:uid="{00000000-0005-0000-0000-00005F660000}"/>
    <cellStyle name="Currency [0] 2 47 2 3 3" xfId="23555" xr:uid="{00000000-0005-0000-0000-000060660000}"/>
    <cellStyle name="Currency [0] 2 47 2 3 4" xfId="39047" xr:uid="{00000000-0005-0000-0000-000061660000}"/>
    <cellStyle name="Currency [0] 2 47 2 4" xfId="11833" xr:uid="{00000000-0005-0000-0000-000062660000}"/>
    <cellStyle name="Currency [0] 2 47 2 4 2" xfId="27425" xr:uid="{00000000-0005-0000-0000-000063660000}"/>
    <cellStyle name="Currency [0] 2 47 2 4 3" xfId="42917" xr:uid="{00000000-0005-0000-0000-000064660000}"/>
    <cellStyle name="Currency [0] 2 47 2 5" xfId="19685" xr:uid="{00000000-0005-0000-0000-000065660000}"/>
    <cellStyle name="Currency [0] 2 47 2 6" xfId="35177" xr:uid="{00000000-0005-0000-0000-000066660000}"/>
    <cellStyle name="Currency [0] 2 47 3" xfId="5066" xr:uid="{00000000-0005-0000-0000-000067660000}"/>
    <cellStyle name="Currency [0] 2 47 3 2" xfId="8937" xr:uid="{00000000-0005-0000-0000-000068660000}"/>
    <cellStyle name="Currency [0] 2 47 3 2 2" xfId="16682" xr:uid="{00000000-0005-0000-0000-000069660000}"/>
    <cellStyle name="Currency [0] 2 47 3 2 2 2" xfId="32274" xr:uid="{00000000-0005-0000-0000-00006A660000}"/>
    <cellStyle name="Currency [0] 2 47 3 2 2 3" xfId="47766" xr:uid="{00000000-0005-0000-0000-00006B660000}"/>
    <cellStyle name="Currency [0] 2 47 3 2 3" xfId="24534" xr:uid="{00000000-0005-0000-0000-00006C660000}"/>
    <cellStyle name="Currency [0] 2 47 3 2 4" xfId="40026" xr:uid="{00000000-0005-0000-0000-00006D660000}"/>
    <cellStyle name="Currency [0] 2 47 3 3" xfId="12812" xr:uid="{00000000-0005-0000-0000-00006E660000}"/>
    <cellStyle name="Currency [0] 2 47 3 3 2" xfId="28404" xr:uid="{00000000-0005-0000-0000-00006F660000}"/>
    <cellStyle name="Currency [0] 2 47 3 3 3" xfId="43896" xr:uid="{00000000-0005-0000-0000-000070660000}"/>
    <cellStyle name="Currency [0] 2 47 3 4" xfId="20664" xr:uid="{00000000-0005-0000-0000-000071660000}"/>
    <cellStyle name="Currency [0] 2 47 3 5" xfId="36156" xr:uid="{00000000-0005-0000-0000-000072660000}"/>
    <cellStyle name="Currency [0] 2 47 4" xfId="7010" xr:uid="{00000000-0005-0000-0000-000073660000}"/>
    <cellStyle name="Currency [0] 2 47 4 2" xfId="14755" xr:uid="{00000000-0005-0000-0000-000074660000}"/>
    <cellStyle name="Currency [0] 2 47 4 2 2" xfId="30347" xr:uid="{00000000-0005-0000-0000-000075660000}"/>
    <cellStyle name="Currency [0] 2 47 4 2 3" xfId="45839" xr:uid="{00000000-0005-0000-0000-000076660000}"/>
    <cellStyle name="Currency [0] 2 47 4 3" xfId="22607" xr:uid="{00000000-0005-0000-0000-000077660000}"/>
    <cellStyle name="Currency [0] 2 47 4 4" xfId="38099" xr:uid="{00000000-0005-0000-0000-000078660000}"/>
    <cellStyle name="Currency [0] 2 47 5" xfId="10885" xr:uid="{00000000-0005-0000-0000-000079660000}"/>
    <cellStyle name="Currency [0] 2 47 5 2" xfId="26477" xr:uid="{00000000-0005-0000-0000-00007A660000}"/>
    <cellStyle name="Currency [0] 2 47 5 3" xfId="41969" xr:uid="{00000000-0005-0000-0000-00007B660000}"/>
    <cellStyle name="Currency [0] 2 47 6" xfId="18737" xr:uid="{00000000-0005-0000-0000-00007C660000}"/>
    <cellStyle name="Currency [0] 2 47 7" xfId="34229" xr:uid="{00000000-0005-0000-0000-00007D660000}"/>
    <cellStyle name="Currency [0] 2 48" xfId="3128" xr:uid="{00000000-0005-0000-0000-00007E660000}"/>
    <cellStyle name="Currency [0] 2 48 2" xfId="4111" xr:uid="{00000000-0005-0000-0000-00007F660000}"/>
    <cellStyle name="Currency [0] 2 48 2 2" xfId="6050" xr:uid="{00000000-0005-0000-0000-000080660000}"/>
    <cellStyle name="Currency [0] 2 48 2 2 2" xfId="9921" xr:uid="{00000000-0005-0000-0000-000081660000}"/>
    <cellStyle name="Currency [0] 2 48 2 2 2 2" xfId="17666" xr:uid="{00000000-0005-0000-0000-000082660000}"/>
    <cellStyle name="Currency [0] 2 48 2 2 2 2 2" xfId="33258" xr:uid="{00000000-0005-0000-0000-000083660000}"/>
    <cellStyle name="Currency [0] 2 48 2 2 2 2 3" xfId="48750" xr:uid="{00000000-0005-0000-0000-000084660000}"/>
    <cellStyle name="Currency [0] 2 48 2 2 2 3" xfId="25518" xr:uid="{00000000-0005-0000-0000-000085660000}"/>
    <cellStyle name="Currency [0] 2 48 2 2 2 4" xfId="41010" xr:uid="{00000000-0005-0000-0000-000086660000}"/>
    <cellStyle name="Currency [0] 2 48 2 2 3" xfId="13796" xr:uid="{00000000-0005-0000-0000-000087660000}"/>
    <cellStyle name="Currency [0] 2 48 2 2 3 2" xfId="29388" xr:uid="{00000000-0005-0000-0000-000088660000}"/>
    <cellStyle name="Currency [0] 2 48 2 2 3 3" xfId="44880" xr:uid="{00000000-0005-0000-0000-000089660000}"/>
    <cellStyle name="Currency [0] 2 48 2 2 4" xfId="21648" xr:uid="{00000000-0005-0000-0000-00008A660000}"/>
    <cellStyle name="Currency [0] 2 48 2 2 5" xfId="37140" xr:uid="{00000000-0005-0000-0000-00008B660000}"/>
    <cellStyle name="Currency [0] 2 48 2 3" xfId="7994" xr:uid="{00000000-0005-0000-0000-00008C660000}"/>
    <cellStyle name="Currency [0] 2 48 2 3 2" xfId="15739" xr:uid="{00000000-0005-0000-0000-00008D660000}"/>
    <cellStyle name="Currency [0] 2 48 2 3 2 2" xfId="31331" xr:uid="{00000000-0005-0000-0000-00008E660000}"/>
    <cellStyle name="Currency [0] 2 48 2 3 2 3" xfId="46823" xr:uid="{00000000-0005-0000-0000-00008F660000}"/>
    <cellStyle name="Currency [0] 2 48 2 3 3" xfId="23591" xr:uid="{00000000-0005-0000-0000-000090660000}"/>
    <cellStyle name="Currency [0] 2 48 2 3 4" xfId="39083" xr:uid="{00000000-0005-0000-0000-000091660000}"/>
    <cellStyle name="Currency [0] 2 48 2 4" xfId="11869" xr:uid="{00000000-0005-0000-0000-000092660000}"/>
    <cellStyle name="Currency [0] 2 48 2 4 2" xfId="27461" xr:uid="{00000000-0005-0000-0000-000093660000}"/>
    <cellStyle name="Currency [0] 2 48 2 4 3" xfId="42953" xr:uid="{00000000-0005-0000-0000-000094660000}"/>
    <cellStyle name="Currency [0] 2 48 2 5" xfId="19721" xr:uid="{00000000-0005-0000-0000-000095660000}"/>
    <cellStyle name="Currency [0] 2 48 2 6" xfId="35213" xr:uid="{00000000-0005-0000-0000-000096660000}"/>
    <cellStyle name="Currency [0] 2 48 3" xfId="5102" xr:uid="{00000000-0005-0000-0000-000097660000}"/>
    <cellStyle name="Currency [0] 2 48 3 2" xfId="8973" xr:uid="{00000000-0005-0000-0000-000098660000}"/>
    <cellStyle name="Currency [0] 2 48 3 2 2" xfId="16718" xr:uid="{00000000-0005-0000-0000-000099660000}"/>
    <cellStyle name="Currency [0] 2 48 3 2 2 2" xfId="32310" xr:uid="{00000000-0005-0000-0000-00009A660000}"/>
    <cellStyle name="Currency [0] 2 48 3 2 2 3" xfId="47802" xr:uid="{00000000-0005-0000-0000-00009B660000}"/>
    <cellStyle name="Currency [0] 2 48 3 2 3" xfId="24570" xr:uid="{00000000-0005-0000-0000-00009C660000}"/>
    <cellStyle name="Currency [0] 2 48 3 2 4" xfId="40062" xr:uid="{00000000-0005-0000-0000-00009D660000}"/>
    <cellStyle name="Currency [0] 2 48 3 3" xfId="12848" xr:uid="{00000000-0005-0000-0000-00009E660000}"/>
    <cellStyle name="Currency [0] 2 48 3 3 2" xfId="28440" xr:uid="{00000000-0005-0000-0000-00009F660000}"/>
    <cellStyle name="Currency [0] 2 48 3 3 3" xfId="43932" xr:uid="{00000000-0005-0000-0000-0000A0660000}"/>
    <cellStyle name="Currency [0] 2 48 3 4" xfId="20700" xr:uid="{00000000-0005-0000-0000-0000A1660000}"/>
    <cellStyle name="Currency [0] 2 48 3 5" xfId="36192" xr:uid="{00000000-0005-0000-0000-0000A2660000}"/>
    <cellStyle name="Currency [0] 2 48 4" xfId="7046" xr:uid="{00000000-0005-0000-0000-0000A3660000}"/>
    <cellStyle name="Currency [0] 2 48 4 2" xfId="14791" xr:uid="{00000000-0005-0000-0000-0000A4660000}"/>
    <cellStyle name="Currency [0] 2 48 4 2 2" xfId="30383" xr:uid="{00000000-0005-0000-0000-0000A5660000}"/>
    <cellStyle name="Currency [0] 2 48 4 2 3" xfId="45875" xr:uid="{00000000-0005-0000-0000-0000A6660000}"/>
    <cellStyle name="Currency [0] 2 48 4 3" xfId="22643" xr:uid="{00000000-0005-0000-0000-0000A7660000}"/>
    <cellStyle name="Currency [0] 2 48 4 4" xfId="38135" xr:uid="{00000000-0005-0000-0000-0000A8660000}"/>
    <cellStyle name="Currency [0] 2 48 5" xfId="10921" xr:uid="{00000000-0005-0000-0000-0000A9660000}"/>
    <cellStyle name="Currency [0] 2 48 5 2" xfId="26513" xr:uid="{00000000-0005-0000-0000-0000AA660000}"/>
    <cellStyle name="Currency [0] 2 48 5 3" xfId="42005" xr:uid="{00000000-0005-0000-0000-0000AB660000}"/>
    <cellStyle name="Currency [0] 2 48 6" xfId="18773" xr:uid="{00000000-0005-0000-0000-0000AC660000}"/>
    <cellStyle name="Currency [0] 2 48 7" xfId="34265" xr:uid="{00000000-0005-0000-0000-0000AD660000}"/>
    <cellStyle name="Currency [0] 2 49" xfId="48850" xr:uid="{00000000-0005-0000-0000-0000AE660000}"/>
    <cellStyle name="Currency [0] 2 5" xfId="1710" xr:uid="{00000000-0005-0000-0000-0000AF660000}"/>
    <cellStyle name="Currency [0] 2 5 10" xfId="1711" xr:uid="{00000000-0005-0000-0000-0000B0660000}"/>
    <cellStyle name="Currency [0] 2 5 11" xfId="1712" xr:uid="{00000000-0005-0000-0000-0000B1660000}"/>
    <cellStyle name="Currency [0] 2 5 12" xfId="1713" xr:uid="{00000000-0005-0000-0000-0000B2660000}"/>
    <cellStyle name="Currency [0] 2 5 13" xfId="1714" xr:uid="{00000000-0005-0000-0000-0000B3660000}"/>
    <cellStyle name="Currency [0] 2 5 14" xfId="1715" xr:uid="{00000000-0005-0000-0000-0000B4660000}"/>
    <cellStyle name="Currency [0] 2 5 15" xfId="1716" xr:uid="{00000000-0005-0000-0000-0000B5660000}"/>
    <cellStyle name="Currency [0] 2 5 16" xfId="1717" xr:uid="{00000000-0005-0000-0000-0000B6660000}"/>
    <cellStyle name="Currency [0] 2 5 17" xfId="1718" xr:uid="{00000000-0005-0000-0000-0000B7660000}"/>
    <cellStyle name="Currency [0] 2 5 18" xfId="1719" xr:uid="{00000000-0005-0000-0000-0000B8660000}"/>
    <cellStyle name="Currency [0] 2 5 19" xfId="1720" xr:uid="{00000000-0005-0000-0000-0000B9660000}"/>
    <cellStyle name="Currency [0] 2 5 2" xfId="1721" xr:uid="{00000000-0005-0000-0000-0000BA660000}"/>
    <cellStyle name="Currency [0] 2 5 20" xfId="1722" xr:uid="{00000000-0005-0000-0000-0000BB660000}"/>
    <cellStyle name="Currency [0] 2 5 21" xfId="1723" xr:uid="{00000000-0005-0000-0000-0000BC660000}"/>
    <cellStyle name="Currency [0] 2 5 22" xfId="1724" xr:uid="{00000000-0005-0000-0000-0000BD660000}"/>
    <cellStyle name="Currency [0] 2 5 23" xfId="1725" xr:uid="{00000000-0005-0000-0000-0000BE660000}"/>
    <cellStyle name="Currency [0] 2 5 24" xfId="1726" xr:uid="{00000000-0005-0000-0000-0000BF660000}"/>
    <cellStyle name="Currency [0] 2 5 25" xfId="1727" xr:uid="{00000000-0005-0000-0000-0000C0660000}"/>
    <cellStyle name="Currency [0] 2 5 26" xfId="1728" xr:uid="{00000000-0005-0000-0000-0000C1660000}"/>
    <cellStyle name="Currency [0] 2 5 27" xfId="1729" xr:uid="{00000000-0005-0000-0000-0000C2660000}"/>
    <cellStyle name="Currency [0] 2 5 28" xfId="1730" xr:uid="{00000000-0005-0000-0000-0000C3660000}"/>
    <cellStyle name="Currency [0] 2 5 3" xfId="1731" xr:uid="{00000000-0005-0000-0000-0000C4660000}"/>
    <cellStyle name="Currency [0] 2 5 4" xfId="1732" xr:uid="{00000000-0005-0000-0000-0000C5660000}"/>
    <cellStyle name="Currency [0] 2 5 5" xfId="1733" xr:uid="{00000000-0005-0000-0000-0000C6660000}"/>
    <cellStyle name="Currency [0] 2 5 6" xfId="1734" xr:uid="{00000000-0005-0000-0000-0000C7660000}"/>
    <cellStyle name="Currency [0] 2 5 7" xfId="1735" xr:uid="{00000000-0005-0000-0000-0000C8660000}"/>
    <cellStyle name="Currency [0] 2 5 8" xfId="1736" xr:uid="{00000000-0005-0000-0000-0000C9660000}"/>
    <cellStyle name="Currency [0] 2 5 9" xfId="1737" xr:uid="{00000000-0005-0000-0000-0000CA660000}"/>
    <cellStyle name="Currency [0] 2 50" xfId="49074" xr:uid="{A21A4A0F-60FF-4231-8C35-6326083BB4F5}"/>
    <cellStyle name="Currency [0] 2 6" xfId="1738" xr:uid="{00000000-0005-0000-0000-0000CB660000}"/>
    <cellStyle name="Currency [0] 2 6 10" xfId="1739" xr:uid="{00000000-0005-0000-0000-0000CC660000}"/>
    <cellStyle name="Currency [0] 2 6 11" xfId="1740" xr:uid="{00000000-0005-0000-0000-0000CD660000}"/>
    <cellStyle name="Currency [0] 2 6 12" xfId="1741" xr:uid="{00000000-0005-0000-0000-0000CE660000}"/>
    <cellStyle name="Currency [0] 2 6 13" xfId="1742" xr:uid="{00000000-0005-0000-0000-0000CF660000}"/>
    <cellStyle name="Currency [0] 2 6 14" xfId="1743" xr:uid="{00000000-0005-0000-0000-0000D0660000}"/>
    <cellStyle name="Currency [0] 2 6 15" xfId="1744" xr:uid="{00000000-0005-0000-0000-0000D1660000}"/>
    <cellStyle name="Currency [0] 2 6 16" xfId="1745" xr:uid="{00000000-0005-0000-0000-0000D2660000}"/>
    <cellStyle name="Currency [0] 2 6 17" xfId="1746" xr:uid="{00000000-0005-0000-0000-0000D3660000}"/>
    <cellStyle name="Currency [0] 2 6 18" xfId="1747" xr:uid="{00000000-0005-0000-0000-0000D4660000}"/>
    <cellStyle name="Currency [0] 2 6 19" xfId="1748" xr:uid="{00000000-0005-0000-0000-0000D5660000}"/>
    <cellStyle name="Currency [0] 2 6 2" xfId="1749" xr:uid="{00000000-0005-0000-0000-0000D6660000}"/>
    <cellStyle name="Currency [0] 2 6 20" xfId="1750" xr:uid="{00000000-0005-0000-0000-0000D7660000}"/>
    <cellStyle name="Currency [0] 2 6 21" xfId="1751" xr:uid="{00000000-0005-0000-0000-0000D8660000}"/>
    <cellStyle name="Currency [0] 2 6 22" xfId="1752" xr:uid="{00000000-0005-0000-0000-0000D9660000}"/>
    <cellStyle name="Currency [0] 2 6 23" xfId="1753" xr:uid="{00000000-0005-0000-0000-0000DA660000}"/>
    <cellStyle name="Currency [0] 2 6 24" xfId="1754" xr:uid="{00000000-0005-0000-0000-0000DB660000}"/>
    <cellStyle name="Currency [0] 2 6 25" xfId="1755" xr:uid="{00000000-0005-0000-0000-0000DC660000}"/>
    <cellStyle name="Currency [0] 2 6 26" xfId="1756" xr:uid="{00000000-0005-0000-0000-0000DD660000}"/>
    <cellStyle name="Currency [0] 2 6 27" xfId="1757" xr:uid="{00000000-0005-0000-0000-0000DE660000}"/>
    <cellStyle name="Currency [0] 2 6 28" xfId="1758" xr:uid="{00000000-0005-0000-0000-0000DF660000}"/>
    <cellStyle name="Currency [0] 2 6 3" xfId="1759" xr:uid="{00000000-0005-0000-0000-0000E0660000}"/>
    <cellStyle name="Currency [0] 2 6 4" xfId="1760" xr:uid="{00000000-0005-0000-0000-0000E1660000}"/>
    <cellStyle name="Currency [0] 2 6 5" xfId="1761" xr:uid="{00000000-0005-0000-0000-0000E2660000}"/>
    <cellStyle name="Currency [0] 2 6 6" xfId="1762" xr:uid="{00000000-0005-0000-0000-0000E3660000}"/>
    <cellStyle name="Currency [0] 2 6 7" xfId="1763" xr:uid="{00000000-0005-0000-0000-0000E4660000}"/>
    <cellStyle name="Currency [0] 2 6 8" xfId="1764" xr:uid="{00000000-0005-0000-0000-0000E5660000}"/>
    <cellStyle name="Currency [0] 2 6 9" xfId="1765" xr:uid="{00000000-0005-0000-0000-0000E6660000}"/>
    <cellStyle name="Currency [0] 2 7" xfId="1766" xr:uid="{00000000-0005-0000-0000-0000E7660000}"/>
    <cellStyle name="Currency [0] 2 7 10" xfId="1767" xr:uid="{00000000-0005-0000-0000-0000E8660000}"/>
    <cellStyle name="Currency [0] 2 7 11" xfId="1768" xr:uid="{00000000-0005-0000-0000-0000E9660000}"/>
    <cellStyle name="Currency [0] 2 7 12" xfId="1769" xr:uid="{00000000-0005-0000-0000-0000EA660000}"/>
    <cellStyle name="Currency [0] 2 7 13" xfId="1770" xr:uid="{00000000-0005-0000-0000-0000EB660000}"/>
    <cellStyle name="Currency [0] 2 7 14" xfId="1771" xr:uid="{00000000-0005-0000-0000-0000EC660000}"/>
    <cellStyle name="Currency [0] 2 7 15" xfId="1772" xr:uid="{00000000-0005-0000-0000-0000ED660000}"/>
    <cellStyle name="Currency [0] 2 7 16" xfId="1773" xr:uid="{00000000-0005-0000-0000-0000EE660000}"/>
    <cellStyle name="Currency [0] 2 7 17" xfId="1774" xr:uid="{00000000-0005-0000-0000-0000EF660000}"/>
    <cellStyle name="Currency [0] 2 7 18" xfId="1775" xr:uid="{00000000-0005-0000-0000-0000F0660000}"/>
    <cellStyle name="Currency [0] 2 7 19" xfId="1776" xr:uid="{00000000-0005-0000-0000-0000F1660000}"/>
    <cellStyle name="Currency [0] 2 7 2" xfId="1777" xr:uid="{00000000-0005-0000-0000-0000F2660000}"/>
    <cellStyle name="Currency [0] 2 7 20" xfId="1778" xr:uid="{00000000-0005-0000-0000-0000F3660000}"/>
    <cellStyle name="Currency [0] 2 7 21" xfId="1779" xr:uid="{00000000-0005-0000-0000-0000F4660000}"/>
    <cellStyle name="Currency [0] 2 7 22" xfId="1780" xr:uid="{00000000-0005-0000-0000-0000F5660000}"/>
    <cellStyle name="Currency [0] 2 7 23" xfId="1781" xr:uid="{00000000-0005-0000-0000-0000F6660000}"/>
    <cellStyle name="Currency [0] 2 7 24" xfId="1782" xr:uid="{00000000-0005-0000-0000-0000F7660000}"/>
    <cellStyle name="Currency [0] 2 7 25" xfId="1783" xr:uid="{00000000-0005-0000-0000-0000F8660000}"/>
    <cellStyle name="Currency [0] 2 7 26" xfId="1784" xr:uid="{00000000-0005-0000-0000-0000F9660000}"/>
    <cellStyle name="Currency [0] 2 7 27" xfId="1785" xr:uid="{00000000-0005-0000-0000-0000FA660000}"/>
    <cellStyle name="Currency [0] 2 7 28" xfId="1786" xr:uid="{00000000-0005-0000-0000-0000FB660000}"/>
    <cellStyle name="Currency [0] 2 7 3" xfId="1787" xr:uid="{00000000-0005-0000-0000-0000FC660000}"/>
    <cellStyle name="Currency [0] 2 7 4" xfId="1788" xr:uid="{00000000-0005-0000-0000-0000FD660000}"/>
    <cellStyle name="Currency [0] 2 7 5" xfId="1789" xr:uid="{00000000-0005-0000-0000-0000FE660000}"/>
    <cellStyle name="Currency [0] 2 7 6" xfId="1790" xr:uid="{00000000-0005-0000-0000-0000FF660000}"/>
    <cellStyle name="Currency [0] 2 7 7" xfId="1791" xr:uid="{00000000-0005-0000-0000-000000670000}"/>
    <cellStyle name="Currency [0] 2 7 8" xfId="1792" xr:uid="{00000000-0005-0000-0000-000001670000}"/>
    <cellStyle name="Currency [0] 2 7 9" xfId="1793" xr:uid="{00000000-0005-0000-0000-000002670000}"/>
    <cellStyle name="Currency [0] 2 8" xfId="1794" xr:uid="{00000000-0005-0000-0000-000003670000}"/>
    <cellStyle name="Currency [0] 2 8 10" xfId="1795" xr:uid="{00000000-0005-0000-0000-000004670000}"/>
    <cellStyle name="Currency [0] 2 8 11" xfId="1796" xr:uid="{00000000-0005-0000-0000-000005670000}"/>
    <cellStyle name="Currency [0] 2 8 12" xfId="1797" xr:uid="{00000000-0005-0000-0000-000006670000}"/>
    <cellStyle name="Currency [0] 2 8 13" xfId="1798" xr:uid="{00000000-0005-0000-0000-000007670000}"/>
    <cellStyle name="Currency [0] 2 8 14" xfId="1799" xr:uid="{00000000-0005-0000-0000-000008670000}"/>
    <cellStyle name="Currency [0] 2 8 15" xfId="1800" xr:uid="{00000000-0005-0000-0000-000009670000}"/>
    <cellStyle name="Currency [0] 2 8 16" xfId="1801" xr:uid="{00000000-0005-0000-0000-00000A670000}"/>
    <cellStyle name="Currency [0] 2 8 17" xfId="1802" xr:uid="{00000000-0005-0000-0000-00000B670000}"/>
    <cellStyle name="Currency [0] 2 8 18" xfId="1803" xr:uid="{00000000-0005-0000-0000-00000C670000}"/>
    <cellStyle name="Currency [0] 2 8 19" xfId="1804" xr:uid="{00000000-0005-0000-0000-00000D670000}"/>
    <cellStyle name="Currency [0] 2 8 2" xfId="1805" xr:uid="{00000000-0005-0000-0000-00000E670000}"/>
    <cellStyle name="Currency [0] 2 8 20" xfId="1806" xr:uid="{00000000-0005-0000-0000-00000F670000}"/>
    <cellStyle name="Currency [0] 2 8 21" xfId="1807" xr:uid="{00000000-0005-0000-0000-000010670000}"/>
    <cellStyle name="Currency [0] 2 8 22" xfId="1808" xr:uid="{00000000-0005-0000-0000-000011670000}"/>
    <cellStyle name="Currency [0] 2 8 23" xfId="1809" xr:uid="{00000000-0005-0000-0000-000012670000}"/>
    <cellStyle name="Currency [0] 2 8 24" xfId="1810" xr:uid="{00000000-0005-0000-0000-000013670000}"/>
    <cellStyle name="Currency [0] 2 8 25" xfId="1811" xr:uid="{00000000-0005-0000-0000-000014670000}"/>
    <cellStyle name="Currency [0] 2 8 26" xfId="1812" xr:uid="{00000000-0005-0000-0000-000015670000}"/>
    <cellStyle name="Currency [0] 2 8 27" xfId="1813" xr:uid="{00000000-0005-0000-0000-000016670000}"/>
    <cellStyle name="Currency [0] 2 8 28" xfId="1814" xr:uid="{00000000-0005-0000-0000-000017670000}"/>
    <cellStyle name="Currency [0] 2 8 3" xfId="1815" xr:uid="{00000000-0005-0000-0000-000018670000}"/>
    <cellStyle name="Currency [0] 2 8 4" xfId="1816" xr:uid="{00000000-0005-0000-0000-000019670000}"/>
    <cellStyle name="Currency [0] 2 8 5" xfId="1817" xr:uid="{00000000-0005-0000-0000-00001A670000}"/>
    <cellStyle name="Currency [0] 2 8 6" xfId="1818" xr:uid="{00000000-0005-0000-0000-00001B670000}"/>
    <cellStyle name="Currency [0] 2 8 7" xfId="1819" xr:uid="{00000000-0005-0000-0000-00001C670000}"/>
    <cellStyle name="Currency [0] 2 8 8" xfId="1820" xr:uid="{00000000-0005-0000-0000-00001D670000}"/>
    <cellStyle name="Currency [0] 2 8 9" xfId="1821" xr:uid="{00000000-0005-0000-0000-00001E670000}"/>
    <cellStyle name="Currency [0] 2 9" xfId="1822" xr:uid="{00000000-0005-0000-0000-00001F670000}"/>
    <cellStyle name="Currency [0] 2 9 10" xfId="1823" xr:uid="{00000000-0005-0000-0000-000020670000}"/>
    <cellStyle name="Currency [0] 2 9 11" xfId="1824" xr:uid="{00000000-0005-0000-0000-000021670000}"/>
    <cellStyle name="Currency [0] 2 9 12" xfId="1825" xr:uid="{00000000-0005-0000-0000-000022670000}"/>
    <cellStyle name="Currency [0] 2 9 13" xfId="1826" xr:uid="{00000000-0005-0000-0000-000023670000}"/>
    <cellStyle name="Currency [0] 2 9 14" xfId="1827" xr:uid="{00000000-0005-0000-0000-000024670000}"/>
    <cellStyle name="Currency [0] 2 9 15" xfId="1828" xr:uid="{00000000-0005-0000-0000-000025670000}"/>
    <cellStyle name="Currency [0] 2 9 16" xfId="1829" xr:uid="{00000000-0005-0000-0000-000026670000}"/>
    <cellStyle name="Currency [0] 2 9 17" xfId="1830" xr:uid="{00000000-0005-0000-0000-000027670000}"/>
    <cellStyle name="Currency [0] 2 9 18" xfId="1831" xr:uid="{00000000-0005-0000-0000-000028670000}"/>
    <cellStyle name="Currency [0] 2 9 19" xfId="1832" xr:uid="{00000000-0005-0000-0000-000029670000}"/>
    <cellStyle name="Currency [0] 2 9 2" xfId="1833" xr:uid="{00000000-0005-0000-0000-00002A670000}"/>
    <cellStyle name="Currency [0] 2 9 20" xfId="1834" xr:uid="{00000000-0005-0000-0000-00002B670000}"/>
    <cellStyle name="Currency [0] 2 9 21" xfId="1835" xr:uid="{00000000-0005-0000-0000-00002C670000}"/>
    <cellStyle name="Currency [0] 2 9 22" xfId="1836" xr:uid="{00000000-0005-0000-0000-00002D670000}"/>
    <cellStyle name="Currency [0] 2 9 23" xfId="1837" xr:uid="{00000000-0005-0000-0000-00002E670000}"/>
    <cellStyle name="Currency [0] 2 9 24" xfId="1838" xr:uid="{00000000-0005-0000-0000-00002F670000}"/>
    <cellStyle name="Currency [0] 2 9 25" xfId="1839" xr:uid="{00000000-0005-0000-0000-000030670000}"/>
    <cellStyle name="Currency [0] 2 9 26" xfId="1840" xr:uid="{00000000-0005-0000-0000-000031670000}"/>
    <cellStyle name="Currency [0] 2 9 27" xfId="1841" xr:uid="{00000000-0005-0000-0000-000032670000}"/>
    <cellStyle name="Currency [0] 2 9 28" xfId="1842" xr:uid="{00000000-0005-0000-0000-000033670000}"/>
    <cellStyle name="Currency [0] 2 9 3" xfId="1843" xr:uid="{00000000-0005-0000-0000-000034670000}"/>
    <cellStyle name="Currency [0] 2 9 4" xfId="1844" xr:uid="{00000000-0005-0000-0000-000035670000}"/>
    <cellStyle name="Currency [0] 2 9 5" xfId="1845" xr:uid="{00000000-0005-0000-0000-000036670000}"/>
    <cellStyle name="Currency [0] 2 9 6" xfId="1846" xr:uid="{00000000-0005-0000-0000-000037670000}"/>
    <cellStyle name="Currency [0] 2 9 7" xfId="1847" xr:uid="{00000000-0005-0000-0000-000038670000}"/>
    <cellStyle name="Currency [0] 2 9 8" xfId="1848" xr:uid="{00000000-0005-0000-0000-000039670000}"/>
    <cellStyle name="Currency [0] 2 9 9" xfId="1849" xr:uid="{00000000-0005-0000-0000-00003A670000}"/>
    <cellStyle name="Currency [0] 3" xfId="1850" xr:uid="{00000000-0005-0000-0000-00003B670000}"/>
    <cellStyle name="Currency [0] 4" xfId="1851" xr:uid="{00000000-0005-0000-0000-00003C670000}"/>
    <cellStyle name="Currency [0] 5" xfId="48991" xr:uid="{00000000-0005-0000-0000-00003D670000}"/>
    <cellStyle name="Currency [0] 9" xfId="1852" xr:uid="{00000000-0005-0000-0000-00003E670000}"/>
    <cellStyle name="Currency [0] 9 2" xfId="1853" xr:uid="{00000000-0005-0000-0000-00003F670000}"/>
    <cellStyle name="Currency 10" xfId="17836" xr:uid="{00000000-0005-0000-0000-000040670000}"/>
    <cellStyle name="Currency 11" xfId="17838" xr:uid="{00000000-0005-0000-0000-000041670000}"/>
    <cellStyle name="Currency 12" xfId="17840" xr:uid="{00000000-0005-0000-0000-000042670000}"/>
    <cellStyle name="Currency 13" xfId="17843" xr:uid="{00000000-0005-0000-0000-000043670000}"/>
    <cellStyle name="Currency 14" xfId="17845" xr:uid="{00000000-0005-0000-0000-000044670000}"/>
    <cellStyle name="Currency 2" xfId="1854" xr:uid="{00000000-0005-0000-0000-000045670000}"/>
    <cellStyle name="Currency 2 2" xfId="17740" xr:uid="{00000000-0005-0000-0000-000046670000}"/>
    <cellStyle name="Currency 2 2 2" xfId="33327" xr:uid="{00000000-0005-0000-0000-000047670000}"/>
    <cellStyle name="Currency 2 2 3" xfId="48819" xr:uid="{00000000-0005-0000-0000-000048670000}"/>
    <cellStyle name="Currency 2 2 4" xfId="49079" xr:uid="{92C2C42E-056F-4306-BC59-0375AA4870D0}"/>
    <cellStyle name="Currency 2 3" xfId="48838" xr:uid="{00000000-0005-0000-0000-000049670000}"/>
    <cellStyle name="Currency 3" xfId="3108" xr:uid="{00000000-0005-0000-0000-00004A670000}"/>
    <cellStyle name="Currency 3 2" xfId="17794" xr:uid="{00000000-0005-0000-0000-00004B670000}"/>
    <cellStyle name="Currency 3 2 2" xfId="33336" xr:uid="{00000000-0005-0000-0000-00004C670000}"/>
    <cellStyle name="Currency 3 2 3" xfId="48828" xr:uid="{00000000-0005-0000-0000-00004D670000}"/>
    <cellStyle name="Currency 3 3" xfId="48842" xr:uid="{00000000-0005-0000-0000-00004E670000}"/>
    <cellStyle name="Currency 4" xfId="4175" xr:uid="{00000000-0005-0000-0000-00004F670000}"/>
    <cellStyle name="Currency 5" xfId="9992" xr:uid="{00000000-0005-0000-0000-000050670000}"/>
    <cellStyle name="Currency 6" xfId="9994" xr:uid="{00000000-0005-0000-0000-000051670000}"/>
    <cellStyle name="Currency 7" xfId="17802" xr:uid="{00000000-0005-0000-0000-000052670000}"/>
    <cellStyle name="Currency 8" xfId="17804" xr:uid="{00000000-0005-0000-0000-000053670000}"/>
    <cellStyle name="Currency 9" xfId="17834" xr:uid="{00000000-0005-0000-0000-000054670000}"/>
    <cellStyle name="Explanatory Text 2" xfId="48906" xr:uid="{00000000-0005-0000-0000-000055670000}"/>
    <cellStyle name="Good 2" xfId="1855" xr:uid="{00000000-0005-0000-0000-000056670000}"/>
    <cellStyle name="Good 2 2" xfId="3147" xr:uid="{00000000-0005-0000-0000-000057670000}"/>
    <cellStyle name="Good 2 2 2" xfId="49081" xr:uid="{22E6D8CF-514A-4D1D-92DD-396E2FFB32DB}"/>
    <cellStyle name="Good 2 3" xfId="48986" xr:uid="{00000000-0005-0000-0000-000058670000}"/>
    <cellStyle name="Good 2 3 2" xfId="49082" xr:uid="{94E4235E-DFDC-4DC3-A62A-F1ABBE040CFF}"/>
    <cellStyle name="Good 2 4" xfId="49080" xr:uid="{4391EE14-CB3C-415A-8CD0-04E16EC60020}"/>
    <cellStyle name="Good 3" xfId="3153" xr:uid="{00000000-0005-0000-0000-000059670000}"/>
    <cellStyle name="Good 3 2" xfId="48907" xr:uid="{00000000-0005-0000-0000-00005A670000}"/>
    <cellStyle name="Good 3 2 2" xfId="49083" xr:uid="{01A8D1C0-2EDF-419F-A73A-D2DEBC21F90D}"/>
    <cellStyle name="Good 4" xfId="17816" xr:uid="{00000000-0005-0000-0000-00005B670000}"/>
    <cellStyle name="Heading 1 2" xfId="48908" xr:uid="{00000000-0005-0000-0000-00005C670000}"/>
    <cellStyle name="Heading 2 2" xfId="48909" xr:uid="{00000000-0005-0000-0000-00005D670000}"/>
    <cellStyle name="Heading 3 2" xfId="48910" xr:uid="{00000000-0005-0000-0000-00005E670000}"/>
    <cellStyle name="Heading 4 2" xfId="48911" xr:uid="{00000000-0005-0000-0000-00005F670000}"/>
    <cellStyle name="Input 2" xfId="2219" xr:uid="{00000000-0005-0000-0000-000060670000}"/>
    <cellStyle name="Input 2 2" xfId="49084" xr:uid="{0E40666E-EE44-484D-B068-FC8393791186}"/>
    <cellStyle name="Input 3" xfId="48912" xr:uid="{00000000-0005-0000-0000-000061670000}"/>
    <cellStyle name="Input 3 2" xfId="49085" xr:uid="{9AE8CF3E-A1F0-43AE-BF03-DAB2BB88C6DF}"/>
    <cellStyle name="Linked Cell 2" xfId="48913" xr:uid="{00000000-0005-0000-0000-000062670000}"/>
    <cellStyle name="Neutral 2" xfId="3100" xr:uid="{00000000-0005-0000-0000-000063670000}"/>
    <cellStyle name="Neutral 2 2" xfId="48914" xr:uid="{00000000-0005-0000-0000-000064670000}"/>
    <cellStyle name="Neutral 2 2 2" xfId="49087" xr:uid="{8198D11C-3A93-4CD7-B56A-B1FE74FFF438}"/>
    <cellStyle name="Neutral 2 3" xfId="49086" xr:uid="{1E116B1F-00D3-4AB7-A30C-7BA3F0D94CB2}"/>
    <cellStyle name="Normal" xfId="0" builtinId="0"/>
    <cellStyle name="Normal 10" xfId="1856" xr:uid="{00000000-0005-0000-0000-000066670000}"/>
    <cellStyle name="Normal 10 2" xfId="1857" xr:uid="{00000000-0005-0000-0000-000067670000}"/>
    <cellStyle name="Normal 10 2 10" xfId="2486" xr:uid="{00000000-0005-0000-0000-000068670000}"/>
    <cellStyle name="Normal 10 2 10 2" xfId="3494" xr:uid="{00000000-0005-0000-0000-000069670000}"/>
    <cellStyle name="Normal 10 2 10 2 2" xfId="5433" xr:uid="{00000000-0005-0000-0000-00006A670000}"/>
    <cellStyle name="Normal 10 2 10 2 2 2" xfId="9304" xr:uid="{00000000-0005-0000-0000-00006B670000}"/>
    <cellStyle name="Normal 10 2 10 2 2 2 2" xfId="17049" xr:uid="{00000000-0005-0000-0000-00006C670000}"/>
    <cellStyle name="Normal 10 2 10 2 2 2 2 2" xfId="32641" xr:uid="{00000000-0005-0000-0000-00006D670000}"/>
    <cellStyle name="Normal 10 2 10 2 2 2 2 3" xfId="48133" xr:uid="{00000000-0005-0000-0000-00006E670000}"/>
    <cellStyle name="Normal 10 2 10 2 2 2 3" xfId="24901" xr:uid="{00000000-0005-0000-0000-00006F670000}"/>
    <cellStyle name="Normal 10 2 10 2 2 2 4" xfId="40393" xr:uid="{00000000-0005-0000-0000-000070670000}"/>
    <cellStyle name="Normal 10 2 10 2 2 3" xfId="13179" xr:uid="{00000000-0005-0000-0000-000071670000}"/>
    <cellStyle name="Normal 10 2 10 2 2 3 2" xfId="28771" xr:uid="{00000000-0005-0000-0000-000072670000}"/>
    <cellStyle name="Normal 10 2 10 2 2 3 3" xfId="44263" xr:uid="{00000000-0005-0000-0000-000073670000}"/>
    <cellStyle name="Normal 10 2 10 2 2 4" xfId="21031" xr:uid="{00000000-0005-0000-0000-000074670000}"/>
    <cellStyle name="Normal 10 2 10 2 2 5" xfId="36523" xr:uid="{00000000-0005-0000-0000-000075670000}"/>
    <cellStyle name="Normal 10 2 10 2 3" xfId="7377" xr:uid="{00000000-0005-0000-0000-000076670000}"/>
    <cellStyle name="Normal 10 2 10 2 3 2" xfId="15122" xr:uid="{00000000-0005-0000-0000-000077670000}"/>
    <cellStyle name="Normal 10 2 10 2 3 2 2" xfId="30714" xr:uid="{00000000-0005-0000-0000-000078670000}"/>
    <cellStyle name="Normal 10 2 10 2 3 2 3" xfId="46206" xr:uid="{00000000-0005-0000-0000-000079670000}"/>
    <cellStyle name="Normal 10 2 10 2 3 3" xfId="22974" xr:uid="{00000000-0005-0000-0000-00007A670000}"/>
    <cellStyle name="Normal 10 2 10 2 3 4" xfId="38466" xr:uid="{00000000-0005-0000-0000-00007B670000}"/>
    <cellStyle name="Normal 10 2 10 2 4" xfId="11252" xr:uid="{00000000-0005-0000-0000-00007C670000}"/>
    <cellStyle name="Normal 10 2 10 2 4 2" xfId="26844" xr:uid="{00000000-0005-0000-0000-00007D670000}"/>
    <cellStyle name="Normal 10 2 10 2 4 3" xfId="42336" xr:uid="{00000000-0005-0000-0000-00007E670000}"/>
    <cellStyle name="Normal 10 2 10 2 5" xfId="19104" xr:uid="{00000000-0005-0000-0000-00007F670000}"/>
    <cellStyle name="Normal 10 2 10 2 6" xfId="34596" xr:uid="{00000000-0005-0000-0000-000080670000}"/>
    <cellStyle name="Normal 10 2 10 3" xfId="4485" xr:uid="{00000000-0005-0000-0000-000081670000}"/>
    <cellStyle name="Normal 10 2 10 3 2" xfId="8356" xr:uid="{00000000-0005-0000-0000-000082670000}"/>
    <cellStyle name="Normal 10 2 10 3 2 2" xfId="16101" xr:uid="{00000000-0005-0000-0000-000083670000}"/>
    <cellStyle name="Normal 10 2 10 3 2 2 2" xfId="31693" xr:uid="{00000000-0005-0000-0000-000084670000}"/>
    <cellStyle name="Normal 10 2 10 3 2 2 3" xfId="47185" xr:uid="{00000000-0005-0000-0000-000085670000}"/>
    <cellStyle name="Normal 10 2 10 3 2 3" xfId="23953" xr:uid="{00000000-0005-0000-0000-000086670000}"/>
    <cellStyle name="Normal 10 2 10 3 2 4" xfId="39445" xr:uid="{00000000-0005-0000-0000-000087670000}"/>
    <cellStyle name="Normal 10 2 10 3 3" xfId="12231" xr:uid="{00000000-0005-0000-0000-000088670000}"/>
    <cellStyle name="Normal 10 2 10 3 3 2" xfId="27823" xr:uid="{00000000-0005-0000-0000-000089670000}"/>
    <cellStyle name="Normal 10 2 10 3 3 3" xfId="43315" xr:uid="{00000000-0005-0000-0000-00008A670000}"/>
    <cellStyle name="Normal 10 2 10 3 4" xfId="20083" xr:uid="{00000000-0005-0000-0000-00008B670000}"/>
    <cellStyle name="Normal 10 2 10 3 5" xfId="35575" xr:uid="{00000000-0005-0000-0000-00008C670000}"/>
    <cellStyle name="Normal 10 2 10 4" xfId="6429" xr:uid="{00000000-0005-0000-0000-00008D670000}"/>
    <cellStyle name="Normal 10 2 10 4 2" xfId="14174" xr:uid="{00000000-0005-0000-0000-00008E670000}"/>
    <cellStyle name="Normal 10 2 10 4 2 2" xfId="29766" xr:uid="{00000000-0005-0000-0000-00008F670000}"/>
    <cellStyle name="Normal 10 2 10 4 2 3" xfId="45258" xr:uid="{00000000-0005-0000-0000-000090670000}"/>
    <cellStyle name="Normal 10 2 10 4 3" xfId="22026" xr:uid="{00000000-0005-0000-0000-000091670000}"/>
    <cellStyle name="Normal 10 2 10 4 4" xfId="37518" xr:uid="{00000000-0005-0000-0000-000092670000}"/>
    <cellStyle name="Normal 10 2 10 5" xfId="10304" xr:uid="{00000000-0005-0000-0000-000093670000}"/>
    <cellStyle name="Normal 10 2 10 5 2" xfId="25896" xr:uid="{00000000-0005-0000-0000-000094670000}"/>
    <cellStyle name="Normal 10 2 10 5 3" xfId="41388" xr:uid="{00000000-0005-0000-0000-000095670000}"/>
    <cellStyle name="Normal 10 2 10 6" xfId="18156" xr:uid="{00000000-0005-0000-0000-000096670000}"/>
    <cellStyle name="Normal 10 2 10 7" xfId="33648" xr:uid="{00000000-0005-0000-0000-000097670000}"/>
    <cellStyle name="Normal 10 2 11" xfId="2816" xr:uid="{00000000-0005-0000-0000-000098670000}"/>
    <cellStyle name="Normal 10 2 11 2" xfId="3823" xr:uid="{00000000-0005-0000-0000-000099670000}"/>
    <cellStyle name="Normal 10 2 11 2 2" xfId="5762" xr:uid="{00000000-0005-0000-0000-00009A670000}"/>
    <cellStyle name="Normal 10 2 11 2 2 2" xfId="9633" xr:uid="{00000000-0005-0000-0000-00009B670000}"/>
    <cellStyle name="Normal 10 2 11 2 2 2 2" xfId="17378" xr:uid="{00000000-0005-0000-0000-00009C670000}"/>
    <cellStyle name="Normal 10 2 11 2 2 2 2 2" xfId="32970" xr:uid="{00000000-0005-0000-0000-00009D670000}"/>
    <cellStyle name="Normal 10 2 11 2 2 2 2 3" xfId="48462" xr:uid="{00000000-0005-0000-0000-00009E670000}"/>
    <cellStyle name="Normal 10 2 11 2 2 2 3" xfId="25230" xr:uid="{00000000-0005-0000-0000-00009F670000}"/>
    <cellStyle name="Normal 10 2 11 2 2 2 4" xfId="40722" xr:uid="{00000000-0005-0000-0000-0000A0670000}"/>
    <cellStyle name="Normal 10 2 11 2 2 3" xfId="13508" xr:uid="{00000000-0005-0000-0000-0000A1670000}"/>
    <cellStyle name="Normal 10 2 11 2 2 3 2" xfId="29100" xr:uid="{00000000-0005-0000-0000-0000A2670000}"/>
    <cellStyle name="Normal 10 2 11 2 2 3 3" xfId="44592" xr:uid="{00000000-0005-0000-0000-0000A3670000}"/>
    <cellStyle name="Normal 10 2 11 2 2 4" xfId="21360" xr:uid="{00000000-0005-0000-0000-0000A4670000}"/>
    <cellStyle name="Normal 10 2 11 2 2 5" xfId="36852" xr:uid="{00000000-0005-0000-0000-0000A5670000}"/>
    <cellStyle name="Normal 10 2 11 2 3" xfId="7706" xr:uid="{00000000-0005-0000-0000-0000A6670000}"/>
    <cellStyle name="Normal 10 2 11 2 3 2" xfId="15451" xr:uid="{00000000-0005-0000-0000-0000A7670000}"/>
    <cellStyle name="Normal 10 2 11 2 3 2 2" xfId="31043" xr:uid="{00000000-0005-0000-0000-0000A8670000}"/>
    <cellStyle name="Normal 10 2 11 2 3 2 3" xfId="46535" xr:uid="{00000000-0005-0000-0000-0000A9670000}"/>
    <cellStyle name="Normal 10 2 11 2 3 3" xfId="23303" xr:uid="{00000000-0005-0000-0000-0000AA670000}"/>
    <cellStyle name="Normal 10 2 11 2 3 4" xfId="38795" xr:uid="{00000000-0005-0000-0000-0000AB670000}"/>
    <cellStyle name="Normal 10 2 11 2 4" xfId="11581" xr:uid="{00000000-0005-0000-0000-0000AC670000}"/>
    <cellStyle name="Normal 10 2 11 2 4 2" xfId="27173" xr:uid="{00000000-0005-0000-0000-0000AD670000}"/>
    <cellStyle name="Normal 10 2 11 2 4 3" xfId="42665" xr:uid="{00000000-0005-0000-0000-0000AE670000}"/>
    <cellStyle name="Normal 10 2 11 2 5" xfId="19433" xr:uid="{00000000-0005-0000-0000-0000AF670000}"/>
    <cellStyle name="Normal 10 2 11 2 6" xfId="34925" xr:uid="{00000000-0005-0000-0000-0000B0670000}"/>
    <cellStyle name="Normal 10 2 11 3" xfId="4814" xr:uid="{00000000-0005-0000-0000-0000B1670000}"/>
    <cellStyle name="Normal 10 2 11 3 2" xfId="8685" xr:uid="{00000000-0005-0000-0000-0000B2670000}"/>
    <cellStyle name="Normal 10 2 11 3 2 2" xfId="16430" xr:uid="{00000000-0005-0000-0000-0000B3670000}"/>
    <cellStyle name="Normal 10 2 11 3 2 2 2" xfId="32022" xr:uid="{00000000-0005-0000-0000-0000B4670000}"/>
    <cellStyle name="Normal 10 2 11 3 2 2 3" xfId="47514" xr:uid="{00000000-0005-0000-0000-0000B5670000}"/>
    <cellStyle name="Normal 10 2 11 3 2 3" xfId="24282" xr:uid="{00000000-0005-0000-0000-0000B6670000}"/>
    <cellStyle name="Normal 10 2 11 3 2 4" xfId="39774" xr:uid="{00000000-0005-0000-0000-0000B7670000}"/>
    <cellStyle name="Normal 10 2 11 3 3" xfId="12560" xr:uid="{00000000-0005-0000-0000-0000B8670000}"/>
    <cellStyle name="Normal 10 2 11 3 3 2" xfId="28152" xr:uid="{00000000-0005-0000-0000-0000B9670000}"/>
    <cellStyle name="Normal 10 2 11 3 3 3" xfId="43644" xr:uid="{00000000-0005-0000-0000-0000BA670000}"/>
    <cellStyle name="Normal 10 2 11 3 4" xfId="20412" xr:uid="{00000000-0005-0000-0000-0000BB670000}"/>
    <cellStyle name="Normal 10 2 11 3 5" xfId="35904" xr:uid="{00000000-0005-0000-0000-0000BC670000}"/>
    <cellStyle name="Normal 10 2 11 4" xfId="6758" xr:uid="{00000000-0005-0000-0000-0000BD670000}"/>
    <cellStyle name="Normal 10 2 11 4 2" xfId="14503" xr:uid="{00000000-0005-0000-0000-0000BE670000}"/>
    <cellStyle name="Normal 10 2 11 4 2 2" xfId="30095" xr:uid="{00000000-0005-0000-0000-0000BF670000}"/>
    <cellStyle name="Normal 10 2 11 4 2 3" xfId="45587" xr:uid="{00000000-0005-0000-0000-0000C0670000}"/>
    <cellStyle name="Normal 10 2 11 4 3" xfId="22355" xr:uid="{00000000-0005-0000-0000-0000C1670000}"/>
    <cellStyle name="Normal 10 2 11 4 4" xfId="37847" xr:uid="{00000000-0005-0000-0000-0000C2670000}"/>
    <cellStyle name="Normal 10 2 11 5" xfId="10633" xr:uid="{00000000-0005-0000-0000-0000C3670000}"/>
    <cellStyle name="Normal 10 2 11 5 2" xfId="26225" xr:uid="{00000000-0005-0000-0000-0000C4670000}"/>
    <cellStyle name="Normal 10 2 11 5 3" xfId="41717" xr:uid="{00000000-0005-0000-0000-0000C5670000}"/>
    <cellStyle name="Normal 10 2 11 6" xfId="18485" xr:uid="{00000000-0005-0000-0000-0000C6670000}"/>
    <cellStyle name="Normal 10 2 11 7" xfId="33977" xr:uid="{00000000-0005-0000-0000-0000C7670000}"/>
    <cellStyle name="Normal 10 2 12" xfId="2855" xr:uid="{00000000-0005-0000-0000-0000C8670000}"/>
    <cellStyle name="Normal 10 2 12 2" xfId="3861" xr:uid="{00000000-0005-0000-0000-0000C9670000}"/>
    <cellStyle name="Normal 10 2 12 2 2" xfId="5800" xr:uid="{00000000-0005-0000-0000-0000CA670000}"/>
    <cellStyle name="Normal 10 2 12 2 2 2" xfId="9671" xr:uid="{00000000-0005-0000-0000-0000CB670000}"/>
    <cellStyle name="Normal 10 2 12 2 2 2 2" xfId="17416" xr:uid="{00000000-0005-0000-0000-0000CC670000}"/>
    <cellStyle name="Normal 10 2 12 2 2 2 2 2" xfId="33008" xr:uid="{00000000-0005-0000-0000-0000CD670000}"/>
    <cellStyle name="Normal 10 2 12 2 2 2 2 3" xfId="48500" xr:uid="{00000000-0005-0000-0000-0000CE670000}"/>
    <cellStyle name="Normal 10 2 12 2 2 2 3" xfId="25268" xr:uid="{00000000-0005-0000-0000-0000CF670000}"/>
    <cellStyle name="Normal 10 2 12 2 2 2 4" xfId="40760" xr:uid="{00000000-0005-0000-0000-0000D0670000}"/>
    <cellStyle name="Normal 10 2 12 2 2 3" xfId="13546" xr:uid="{00000000-0005-0000-0000-0000D1670000}"/>
    <cellStyle name="Normal 10 2 12 2 2 3 2" xfId="29138" xr:uid="{00000000-0005-0000-0000-0000D2670000}"/>
    <cellStyle name="Normal 10 2 12 2 2 3 3" xfId="44630" xr:uid="{00000000-0005-0000-0000-0000D3670000}"/>
    <cellStyle name="Normal 10 2 12 2 2 4" xfId="21398" xr:uid="{00000000-0005-0000-0000-0000D4670000}"/>
    <cellStyle name="Normal 10 2 12 2 2 5" xfId="36890" xr:uid="{00000000-0005-0000-0000-0000D5670000}"/>
    <cellStyle name="Normal 10 2 12 2 3" xfId="7744" xr:uid="{00000000-0005-0000-0000-0000D6670000}"/>
    <cellStyle name="Normal 10 2 12 2 3 2" xfId="15489" xr:uid="{00000000-0005-0000-0000-0000D7670000}"/>
    <cellStyle name="Normal 10 2 12 2 3 2 2" xfId="31081" xr:uid="{00000000-0005-0000-0000-0000D8670000}"/>
    <cellStyle name="Normal 10 2 12 2 3 2 3" xfId="46573" xr:uid="{00000000-0005-0000-0000-0000D9670000}"/>
    <cellStyle name="Normal 10 2 12 2 3 3" xfId="23341" xr:uid="{00000000-0005-0000-0000-0000DA670000}"/>
    <cellStyle name="Normal 10 2 12 2 3 4" xfId="38833" xr:uid="{00000000-0005-0000-0000-0000DB670000}"/>
    <cellStyle name="Normal 10 2 12 2 4" xfId="11619" xr:uid="{00000000-0005-0000-0000-0000DC670000}"/>
    <cellStyle name="Normal 10 2 12 2 4 2" xfId="27211" xr:uid="{00000000-0005-0000-0000-0000DD670000}"/>
    <cellStyle name="Normal 10 2 12 2 4 3" xfId="42703" xr:uid="{00000000-0005-0000-0000-0000DE670000}"/>
    <cellStyle name="Normal 10 2 12 2 5" xfId="19471" xr:uid="{00000000-0005-0000-0000-0000DF670000}"/>
    <cellStyle name="Normal 10 2 12 2 6" xfId="34963" xr:uid="{00000000-0005-0000-0000-0000E0670000}"/>
    <cellStyle name="Normal 10 2 12 3" xfId="4852" xr:uid="{00000000-0005-0000-0000-0000E1670000}"/>
    <cellStyle name="Normal 10 2 12 3 2" xfId="8723" xr:uid="{00000000-0005-0000-0000-0000E2670000}"/>
    <cellStyle name="Normal 10 2 12 3 2 2" xfId="16468" xr:uid="{00000000-0005-0000-0000-0000E3670000}"/>
    <cellStyle name="Normal 10 2 12 3 2 2 2" xfId="32060" xr:uid="{00000000-0005-0000-0000-0000E4670000}"/>
    <cellStyle name="Normal 10 2 12 3 2 2 3" xfId="47552" xr:uid="{00000000-0005-0000-0000-0000E5670000}"/>
    <cellStyle name="Normal 10 2 12 3 2 3" xfId="24320" xr:uid="{00000000-0005-0000-0000-0000E6670000}"/>
    <cellStyle name="Normal 10 2 12 3 2 4" xfId="39812" xr:uid="{00000000-0005-0000-0000-0000E7670000}"/>
    <cellStyle name="Normal 10 2 12 3 3" xfId="12598" xr:uid="{00000000-0005-0000-0000-0000E8670000}"/>
    <cellStyle name="Normal 10 2 12 3 3 2" xfId="28190" xr:uid="{00000000-0005-0000-0000-0000E9670000}"/>
    <cellStyle name="Normal 10 2 12 3 3 3" xfId="43682" xr:uid="{00000000-0005-0000-0000-0000EA670000}"/>
    <cellStyle name="Normal 10 2 12 3 4" xfId="20450" xr:uid="{00000000-0005-0000-0000-0000EB670000}"/>
    <cellStyle name="Normal 10 2 12 3 5" xfId="35942" xr:uid="{00000000-0005-0000-0000-0000EC670000}"/>
    <cellStyle name="Normal 10 2 12 4" xfId="6796" xr:uid="{00000000-0005-0000-0000-0000ED670000}"/>
    <cellStyle name="Normal 10 2 12 4 2" xfId="14541" xr:uid="{00000000-0005-0000-0000-0000EE670000}"/>
    <cellStyle name="Normal 10 2 12 4 2 2" xfId="30133" xr:uid="{00000000-0005-0000-0000-0000EF670000}"/>
    <cellStyle name="Normal 10 2 12 4 2 3" xfId="45625" xr:uid="{00000000-0005-0000-0000-0000F0670000}"/>
    <cellStyle name="Normal 10 2 12 4 3" xfId="22393" xr:uid="{00000000-0005-0000-0000-0000F1670000}"/>
    <cellStyle name="Normal 10 2 12 4 4" xfId="37885" xr:uid="{00000000-0005-0000-0000-0000F2670000}"/>
    <cellStyle name="Normal 10 2 12 5" xfId="10671" xr:uid="{00000000-0005-0000-0000-0000F3670000}"/>
    <cellStyle name="Normal 10 2 12 5 2" xfId="26263" xr:uid="{00000000-0005-0000-0000-0000F4670000}"/>
    <cellStyle name="Normal 10 2 12 5 3" xfId="41755" xr:uid="{00000000-0005-0000-0000-0000F5670000}"/>
    <cellStyle name="Normal 10 2 12 6" xfId="18523" xr:uid="{00000000-0005-0000-0000-0000F6670000}"/>
    <cellStyle name="Normal 10 2 12 7" xfId="34015" xr:uid="{00000000-0005-0000-0000-0000F7670000}"/>
    <cellStyle name="Normal 10 2 13" xfId="2892" xr:uid="{00000000-0005-0000-0000-0000F8670000}"/>
    <cellStyle name="Normal 10 2 13 2" xfId="3897" xr:uid="{00000000-0005-0000-0000-0000F9670000}"/>
    <cellStyle name="Normal 10 2 13 2 2" xfId="5836" xr:uid="{00000000-0005-0000-0000-0000FA670000}"/>
    <cellStyle name="Normal 10 2 13 2 2 2" xfId="9707" xr:uid="{00000000-0005-0000-0000-0000FB670000}"/>
    <cellStyle name="Normal 10 2 13 2 2 2 2" xfId="17452" xr:uid="{00000000-0005-0000-0000-0000FC670000}"/>
    <cellStyle name="Normal 10 2 13 2 2 2 2 2" xfId="33044" xr:uid="{00000000-0005-0000-0000-0000FD670000}"/>
    <cellStyle name="Normal 10 2 13 2 2 2 2 3" xfId="48536" xr:uid="{00000000-0005-0000-0000-0000FE670000}"/>
    <cellStyle name="Normal 10 2 13 2 2 2 3" xfId="25304" xr:uid="{00000000-0005-0000-0000-0000FF670000}"/>
    <cellStyle name="Normal 10 2 13 2 2 2 4" xfId="40796" xr:uid="{00000000-0005-0000-0000-000000680000}"/>
    <cellStyle name="Normal 10 2 13 2 2 3" xfId="13582" xr:uid="{00000000-0005-0000-0000-000001680000}"/>
    <cellStyle name="Normal 10 2 13 2 2 3 2" xfId="29174" xr:uid="{00000000-0005-0000-0000-000002680000}"/>
    <cellStyle name="Normal 10 2 13 2 2 3 3" xfId="44666" xr:uid="{00000000-0005-0000-0000-000003680000}"/>
    <cellStyle name="Normal 10 2 13 2 2 4" xfId="21434" xr:uid="{00000000-0005-0000-0000-000004680000}"/>
    <cellStyle name="Normal 10 2 13 2 2 5" xfId="36926" xr:uid="{00000000-0005-0000-0000-000005680000}"/>
    <cellStyle name="Normal 10 2 13 2 3" xfId="7780" xr:uid="{00000000-0005-0000-0000-000006680000}"/>
    <cellStyle name="Normal 10 2 13 2 3 2" xfId="15525" xr:uid="{00000000-0005-0000-0000-000007680000}"/>
    <cellStyle name="Normal 10 2 13 2 3 2 2" xfId="31117" xr:uid="{00000000-0005-0000-0000-000008680000}"/>
    <cellStyle name="Normal 10 2 13 2 3 2 3" xfId="46609" xr:uid="{00000000-0005-0000-0000-000009680000}"/>
    <cellStyle name="Normal 10 2 13 2 3 3" xfId="23377" xr:uid="{00000000-0005-0000-0000-00000A680000}"/>
    <cellStyle name="Normal 10 2 13 2 3 4" xfId="38869" xr:uid="{00000000-0005-0000-0000-00000B680000}"/>
    <cellStyle name="Normal 10 2 13 2 4" xfId="11655" xr:uid="{00000000-0005-0000-0000-00000C680000}"/>
    <cellStyle name="Normal 10 2 13 2 4 2" xfId="27247" xr:uid="{00000000-0005-0000-0000-00000D680000}"/>
    <cellStyle name="Normal 10 2 13 2 4 3" xfId="42739" xr:uid="{00000000-0005-0000-0000-00000E680000}"/>
    <cellStyle name="Normal 10 2 13 2 5" xfId="19507" xr:uid="{00000000-0005-0000-0000-00000F680000}"/>
    <cellStyle name="Normal 10 2 13 2 6" xfId="34999" xr:uid="{00000000-0005-0000-0000-000010680000}"/>
    <cellStyle name="Normal 10 2 13 3" xfId="4888" xr:uid="{00000000-0005-0000-0000-000011680000}"/>
    <cellStyle name="Normal 10 2 13 3 2" xfId="8759" xr:uid="{00000000-0005-0000-0000-000012680000}"/>
    <cellStyle name="Normal 10 2 13 3 2 2" xfId="16504" xr:uid="{00000000-0005-0000-0000-000013680000}"/>
    <cellStyle name="Normal 10 2 13 3 2 2 2" xfId="32096" xr:uid="{00000000-0005-0000-0000-000014680000}"/>
    <cellStyle name="Normal 10 2 13 3 2 2 3" xfId="47588" xr:uid="{00000000-0005-0000-0000-000015680000}"/>
    <cellStyle name="Normal 10 2 13 3 2 3" xfId="24356" xr:uid="{00000000-0005-0000-0000-000016680000}"/>
    <cellStyle name="Normal 10 2 13 3 2 4" xfId="39848" xr:uid="{00000000-0005-0000-0000-000017680000}"/>
    <cellStyle name="Normal 10 2 13 3 3" xfId="12634" xr:uid="{00000000-0005-0000-0000-000018680000}"/>
    <cellStyle name="Normal 10 2 13 3 3 2" xfId="28226" xr:uid="{00000000-0005-0000-0000-000019680000}"/>
    <cellStyle name="Normal 10 2 13 3 3 3" xfId="43718" xr:uid="{00000000-0005-0000-0000-00001A680000}"/>
    <cellStyle name="Normal 10 2 13 3 4" xfId="20486" xr:uid="{00000000-0005-0000-0000-00001B680000}"/>
    <cellStyle name="Normal 10 2 13 3 5" xfId="35978" xr:uid="{00000000-0005-0000-0000-00001C680000}"/>
    <cellStyle name="Normal 10 2 13 4" xfId="6832" xr:uid="{00000000-0005-0000-0000-00001D680000}"/>
    <cellStyle name="Normal 10 2 13 4 2" xfId="14577" xr:uid="{00000000-0005-0000-0000-00001E680000}"/>
    <cellStyle name="Normal 10 2 13 4 2 2" xfId="30169" xr:uid="{00000000-0005-0000-0000-00001F680000}"/>
    <cellStyle name="Normal 10 2 13 4 2 3" xfId="45661" xr:uid="{00000000-0005-0000-0000-000020680000}"/>
    <cellStyle name="Normal 10 2 13 4 3" xfId="22429" xr:uid="{00000000-0005-0000-0000-000021680000}"/>
    <cellStyle name="Normal 10 2 13 4 4" xfId="37921" xr:uid="{00000000-0005-0000-0000-000022680000}"/>
    <cellStyle name="Normal 10 2 13 5" xfId="10707" xr:uid="{00000000-0005-0000-0000-000023680000}"/>
    <cellStyle name="Normal 10 2 13 5 2" xfId="26299" xr:uid="{00000000-0005-0000-0000-000024680000}"/>
    <cellStyle name="Normal 10 2 13 5 3" xfId="41791" xr:uid="{00000000-0005-0000-0000-000025680000}"/>
    <cellStyle name="Normal 10 2 13 6" xfId="18559" xr:uid="{00000000-0005-0000-0000-000026680000}"/>
    <cellStyle name="Normal 10 2 13 7" xfId="34051" xr:uid="{00000000-0005-0000-0000-000027680000}"/>
    <cellStyle name="Normal 10 2 14" xfId="2929" xr:uid="{00000000-0005-0000-0000-000028680000}"/>
    <cellStyle name="Normal 10 2 14 2" xfId="3933" xr:uid="{00000000-0005-0000-0000-000029680000}"/>
    <cellStyle name="Normal 10 2 14 2 2" xfId="5872" xr:uid="{00000000-0005-0000-0000-00002A680000}"/>
    <cellStyle name="Normal 10 2 14 2 2 2" xfId="9743" xr:uid="{00000000-0005-0000-0000-00002B680000}"/>
    <cellStyle name="Normal 10 2 14 2 2 2 2" xfId="17488" xr:uid="{00000000-0005-0000-0000-00002C680000}"/>
    <cellStyle name="Normal 10 2 14 2 2 2 2 2" xfId="33080" xr:uid="{00000000-0005-0000-0000-00002D680000}"/>
    <cellStyle name="Normal 10 2 14 2 2 2 2 3" xfId="48572" xr:uid="{00000000-0005-0000-0000-00002E680000}"/>
    <cellStyle name="Normal 10 2 14 2 2 2 3" xfId="25340" xr:uid="{00000000-0005-0000-0000-00002F680000}"/>
    <cellStyle name="Normal 10 2 14 2 2 2 4" xfId="40832" xr:uid="{00000000-0005-0000-0000-000030680000}"/>
    <cellStyle name="Normal 10 2 14 2 2 3" xfId="13618" xr:uid="{00000000-0005-0000-0000-000031680000}"/>
    <cellStyle name="Normal 10 2 14 2 2 3 2" xfId="29210" xr:uid="{00000000-0005-0000-0000-000032680000}"/>
    <cellStyle name="Normal 10 2 14 2 2 3 3" xfId="44702" xr:uid="{00000000-0005-0000-0000-000033680000}"/>
    <cellStyle name="Normal 10 2 14 2 2 4" xfId="21470" xr:uid="{00000000-0005-0000-0000-000034680000}"/>
    <cellStyle name="Normal 10 2 14 2 2 5" xfId="36962" xr:uid="{00000000-0005-0000-0000-000035680000}"/>
    <cellStyle name="Normal 10 2 14 2 3" xfId="7816" xr:uid="{00000000-0005-0000-0000-000036680000}"/>
    <cellStyle name="Normal 10 2 14 2 3 2" xfId="15561" xr:uid="{00000000-0005-0000-0000-000037680000}"/>
    <cellStyle name="Normal 10 2 14 2 3 2 2" xfId="31153" xr:uid="{00000000-0005-0000-0000-000038680000}"/>
    <cellStyle name="Normal 10 2 14 2 3 2 3" xfId="46645" xr:uid="{00000000-0005-0000-0000-000039680000}"/>
    <cellStyle name="Normal 10 2 14 2 3 3" xfId="23413" xr:uid="{00000000-0005-0000-0000-00003A680000}"/>
    <cellStyle name="Normal 10 2 14 2 3 4" xfId="38905" xr:uid="{00000000-0005-0000-0000-00003B680000}"/>
    <cellStyle name="Normal 10 2 14 2 4" xfId="11691" xr:uid="{00000000-0005-0000-0000-00003C680000}"/>
    <cellStyle name="Normal 10 2 14 2 4 2" xfId="27283" xr:uid="{00000000-0005-0000-0000-00003D680000}"/>
    <cellStyle name="Normal 10 2 14 2 4 3" xfId="42775" xr:uid="{00000000-0005-0000-0000-00003E680000}"/>
    <cellStyle name="Normal 10 2 14 2 5" xfId="19543" xr:uid="{00000000-0005-0000-0000-00003F680000}"/>
    <cellStyle name="Normal 10 2 14 2 6" xfId="35035" xr:uid="{00000000-0005-0000-0000-000040680000}"/>
    <cellStyle name="Normal 10 2 14 3" xfId="4924" xr:uid="{00000000-0005-0000-0000-000041680000}"/>
    <cellStyle name="Normal 10 2 14 3 2" xfId="8795" xr:uid="{00000000-0005-0000-0000-000042680000}"/>
    <cellStyle name="Normal 10 2 14 3 2 2" xfId="16540" xr:uid="{00000000-0005-0000-0000-000043680000}"/>
    <cellStyle name="Normal 10 2 14 3 2 2 2" xfId="32132" xr:uid="{00000000-0005-0000-0000-000044680000}"/>
    <cellStyle name="Normal 10 2 14 3 2 2 3" xfId="47624" xr:uid="{00000000-0005-0000-0000-000045680000}"/>
    <cellStyle name="Normal 10 2 14 3 2 3" xfId="24392" xr:uid="{00000000-0005-0000-0000-000046680000}"/>
    <cellStyle name="Normal 10 2 14 3 2 4" xfId="39884" xr:uid="{00000000-0005-0000-0000-000047680000}"/>
    <cellStyle name="Normal 10 2 14 3 3" xfId="12670" xr:uid="{00000000-0005-0000-0000-000048680000}"/>
    <cellStyle name="Normal 10 2 14 3 3 2" xfId="28262" xr:uid="{00000000-0005-0000-0000-000049680000}"/>
    <cellStyle name="Normal 10 2 14 3 3 3" xfId="43754" xr:uid="{00000000-0005-0000-0000-00004A680000}"/>
    <cellStyle name="Normal 10 2 14 3 4" xfId="20522" xr:uid="{00000000-0005-0000-0000-00004B680000}"/>
    <cellStyle name="Normal 10 2 14 3 5" xfId="36014" xr:uid="{00000000-0005-0000-0000-00004C680000}"/>
    <cellStyle name="Normal 10 2 14 4" xfId="6868" xr:uid="{00000000-0005-0000-0000-00004D680000}"/>
    <cellStyle name="Normal 10 2 14 4 2" xfId="14613" xr:uid="{00000000-0005-0000-0000-00004E680000}"/>
    <cellStyle name="Normal 10 2 14 4 2 2" xfId="30205" xr:uid="{00000000-0005-0000-0000-00004F680000}"/>
    <cellStyle name="Normal 10 2 14 4 2 3" xfId="45697" xr:uid="{00000000-0005-0000-0000-000050680000}"/>
    <cellStyle name="Normal 10 2 14 4 3" xfId="22465" xr:uid="{00000000-0005-0000-0000-000051680000}"/>
    <cellStyle name="Normal 10 2 14 4 4" xfId="37957" xr:uid="{00000000-0005-0000-0000-000052680000}"/>
    <cellStyle name="Normal 10 2 14 5" xfId="10743" xr:uid="{00000000-0005-0000-0000-000053680000}"/>
    <cellStyle name="Normal 10 2 14 5 2" xfId="26335" xr:uid="{00000000-0005-0000-0000-000054680000}"/>
    <cellStyle name="Normal 10 2 14 5 3" xfId="41827" xr:uid="{00000000-0005-0000-0000-000055680000}"/>
    <cellStyle name="Normal 10 2 14 6" xfId="18595" xr:uid="{00000000-0005-0000-0000-000056680000}"/>
    <cellStyle name="Normal 10 2 14 7" xfId="34087" xr:uid="{00000000-0005-0000-0000-000057680000}"/>
    <cellStyle name="Normal 10 2 15" xfId="2968" xr:uid="{00000000-0005-0000-0000-000058680000}"/>
    <cellStyle name="Normal 10 2 15 2" xfId="3969" xr:uid="{00000000-0005-0000-0000-000059680000}"/>
    <cellStyle name="Normal 10 2 15 2 2" xfId="5908" xr:uid="{00000000-0005-0000-0000-00005A680000}"/>
    <cellStyle name="Normal 10 2 15 2 2 2" xfId="9779" xr:uid="{00000000-0005-0000-0000-00005B680000}"/>
    <cellStyle name="Normal 10 2 15 2 2 2 2" xfId="17524" xr:uid="{00000000-0005-0000-0000-00005C680000}"/>
    <cellStyle name="Normal 10 2 15 2 2 2 2 2" xfId="33116" xr:uid="{00000000-0005-0000-0000-00005D680000}"/>
    <cellStyle name="Normal 10 2 15 2 2 2 2 3" xfId="48608" xr:uid="{00000000-0005-0000-0000-00005E680000}"/>
    <cellStyle name="Normal 10 2 15 2 2 2 3" xfId="25376" xr:uid="{00000000-0005-0000-0000-00005F680000}"/>
    <cellStyle name="Normal 10 2 15 2 2 2 4" xfId="40868" xr:uid="{00000000-0005-0000-0000-000060680000}"/>
    <cellStyle name="Normal 10 2 15 2 2 3" xfId="13654" xr:uid="{00000000-0005-0000-0000-000061680000}"/>
    <cellStyle name="Normal 10 2 15 2 2 3 2" xfId="29246" xr:uid="{00000000-0005-0000-0000-000062680000}"/>
    <cellStyle name="Normal 10 2 15 2 2 3 3" xfId="44738" xr:uid="{00000000-0005-0000-0000-000063680000}"/>
    <cellStyle name="Normal 10 2 15 2 2 4" xfId="21506" xr:uid="{00000000-0005-0000-0000-000064680000}"/>
    <cellStyle name="Normal 10 2 15 2 2 5" xfId="36998" xr:uid="{00000000-0005-0000-0000-000065680000}"/>
    <cellStyle name="Normal 10 2 15 2 3" xfId="7852" xr:uid="{00000000-0005-0000-0000-000066680000}"/>
    <cellStyle name="Normal 10 2 15 2 3 2" xfId="15597" xr:uid="{00000000-0005-0000-0000-000067680000}"/>
    <cellStyle name="Normal 10 2 15 2 3 2 2" xfId="31189" xr:uid="{00000000-0005-0000-0000-000068680000}"/>
    <cellStyle name="Normal 10 2 15 2 3 2 3" xfId="46681" xr:uid="{00000000-0005-0000-0000-000069680000}"/>
    <cellStyle name="Normal 10 2 15 2 3 3" xfId="23449" xr:uid="{00000000-0005-0000-0000-00006A680000}"/>
    <cellStyle name="Normal 10 2 15 2 3 4" xfId="38941" xr:uid="{00000000-0005-0000-0000-00006B680000}"/>
    <cellStyle name="Normal 10 2 15 2 4" xfId="11727" xr:uid="{00000000-0005-0000-0000-00006C680000}"/>
    <cellStyle name="Normal 10 2 15 2 4 2" xfId="27319" xr:uid="{00000000-0005-0000-0000-00006D680000}"/>
    <cellStyle name="Normal 10 2 15 2 4 3" xfId="42811" xr:uid="{00000000-0005-0000-0000-00006E680000}"/>
    <cellStyle name="Normal 10 2 15 2 5" xfId="19579" xr:uid="{00000000-0005-0000-0000-00006F680000}"/>
    <cellStyle name="Normal 10 2 15 2 6" xfId="35071" xr:uid="{00000000-0005-0000-0000-000070680000}"/>
    <cellStyle name="Normal 10 2 15 3" xfId="4960" xr:uid="{00000000-0005-0000-0000-000071680000}"/>
    <cellStyle name="Normal 10 2 15 3 2" xfId="8831" xr:uid="{00000000-0005-0000-0000-000072680000}"/>
    <cellStyle name="Normal 10 2 15 3 2 2" xfId="16576" xr:uid="{00000000-0005-0000-0000-000073680000}"/>
    <cellStyle name="Normal 10 2 15 3 2 2 2" xfId="32168" xr:uid="{00000000-0005-0000-0000-000074680000}"/>
    <cellStyle name="Normal 10 2 15 3 2 2 3" xfId="47660" xr:uid="{00000000-0005-0000-0000-000075680000}"/>
    <cellStyle name="Normal 10 2 15 3 2 3" xfId="24428" xr:uid="{00000000-0005-0000-0000-000076680000}"/>
    <cellStyle name="Normal 10 2 15 3 2 4" xfId="39920" xr:uid="{00000000-0005-0000-0000-000077680000}"/>
    <cellStyle name="Normal 10 2 15 3 3" xfId="12706" xr:uid="{00000000-0005-0000-0000-000078680000}"/>
    <cellStyle name="Normal 10 2 15 3 3 2" xfId="28298" xr:uid="{00000000-0005-0000-0000-000079680000}"/>
    <cellStyle name="Normal 10 2 15 3 3 3" xfId="43790" xr:uid="{00000000-0005-0000-0000-00007A680000}"/>
    <cellStyle name="Normal 10 2 15 3 4" xfId="20558" xr:uid="{00000000-0005-0000-0000-00007B680000}"/>
    <cellStyle name="Normal 10 2 15 3 5" xfId="36050" xr:uid="{00000000-0005-0000-0000-00007C680000}"/>
    <cellStyle name="Normal 10 2 15 4" xfId="6904" xr:uid="{00000000-0005-0000-0000-00007D680000}"/>
    <cellStyle name="Normal 10 2 15 4 2" xfId="14649" xr:uid="{00000000-0005-0000-0000-00007E680000}"/>
    <cellStyle name="Normal 10 2 15 4 2 2" xfId="30241" xr:uid="{00000000-0005-0000-0000-00007F680000}"/>
    <cellStyle name="Normal 10 2 15 4 2 3" xfId="45733" xr:uid="{00000000-0005-0000-0000-000080680000}"/>
    <cellStyle name="Normal 10 2 15 4 3" xfId="22501" xr:uid="{00000000-0005-0000-0000-000081680000}"/>
    <cellStyle name="Normal 10 2 15 4 4" xfId="37993" xr:uid="{00000000-0005-0000-0000-000082680000}"/>
    <cellStyle name="Normal 10 2 15 5" xfId="10779" xr:uid="{00000000-0005-0000-0000-000083680000}"/>
    <cellStyle name="Normal 10 2 15 5 2" xfId="26371" xr:uid="{00000000-0005-0000-0000-000084680000}"/>
    <cellStyle name="Normal 10 2 15 5 3" xfId="41863" xr:uid="{00000000-0005-0000-0000-000085680000}"/>
    <cellStyle name="Normal 10 2 15 6" xfId="18631" xr:uid="{00000000-0005-0000-0000-000086680000}"/>
    <cellStyle name="Normal 10 2 15 7" xfId="34123" xr:uid="{00000000-0005-0000-0000-000087680000}"/>
    <cellStyle name="Normal 10 2 16" xfId="3008" xr:uid="{00000000-0005-0000-0000-000088680000}"/>
    <cellStyle name="Normal 10 2 16 2" xfId="4005" xr:uid="{00000000-0005-0000-0000-000089680000}"/>
    <cellStyle name="Normal 10 2 16 2 2" xfId="5944" xr:uid="{00000000-0005-0000-0000-00008A680000}"/>
    <cellStyle name="Normal 10 2 16 2 2 2" xfId="9815" xr:uid="{00000000-0005-0000-0000-00008B680000}"/>
    <cellStyle name="Normal 10 2 16 2 2 2 2" xfId="17560" xr:uid="{00000000-0005-0000-0000-00008C680000}"/>
    <cellStyle name="Normal 10 2 16 2 2 2 2 2" xfId="33152" xr:uid="{00000000-0005-0000-0000-00008D680000}"/>
    <cellStyle name="Normal 10 2 16 2 2 2 2 3" xfId="48644" xr:uid="{00000000-0005-0000-0000-00008E680000}"/>
    <cellStyle name="Normal 10 2 16 2 2 2 3" xfId="25412" xr:uid="{00000000-0005-0000-0000-00008F680000}"/>
    <cellStyle name="Normal 10 2 16 2 2 2 4" xfId="40904" xr:uid="{00000000-0005-0000-0000-000090680000}"/>
    <cellStyle name="Normal 10 2 16 2 2 3" xfId="13690" xr:uid="{00000000-0005-0000-0000-000091680000}"/>
    <cellStyle name="Normal 10 2 16 2 2 3 2" xfId="29282" xr:uid="{00000000-0005-0000-0000-000092680000}"/>
    <cellStyle name="Normal 10 2 16 2 2 3 3" xfId="44774" xr:uid="{00000000-0005-0000-0000-000093680000}"/>
    <cellStyle name="Normal 10 2 16 2 2 4" xfId="21542" xr:uid="{00000000-0005-0000-0000-000094680000}"/>
    <cellStyle name="Normal 10 2 16 2 2 5" xfId="37034" xr:uid="{00000000-0005-0000-0000-000095680000}"/>
    <cellStyle name="Normal 10 2 16 2 3" xfId="7888" xr:uid="{00000000-0005-0000-0000-000096680000}"/>
    <cellStyle name="Normal 10 2 16 2 3 2" xfId="15633" xr:uid="{00000000-0005-0000-0000-000097680000}"/>
    <cellStyle name="Normal 10 2 16 2 3 2 2" xfId="31225" xr:uid="{00000000-0005-0000-0000-000098680000}"/>
    <cellStyle name="Normal 10 2 16 2 3 2 3" xfId="46717" xr:uid="{00000000-0005-0000-0000-000099680000}"/>
    <cellStyle name="Normal 10 2 16 2 3 3" xfId="23485" xr:uid="{00000000-0005-0000-0000-00009A680000}"/>
    <cellStyle name="Normal 10 2 16 2 3 4" xfId="38977" xr:uid="{00000000-0005-0000-0000-00009B680000}"/>
    <cellStyle name="Normal 10 2 16 2 4" xfId="11763" xr:uid="{00000000-0005-0000-0000-00009C680000}"/>
    <cellStyle name="Normal 10 2 16 2 4 2" xfId="27355" xr:uid="{00000000-0005-0000-0000-00009D680000}"/>
    <cellStyle name="Normal 10 2 16 2 4 3" xfId="42847" xr:uid="{00000000-0005-0000-0000-00009E680000}"/>
    <cellStyle name="Normal 10 2 16 2 5" xfId="19615" xr:uid="{00000000-0005-0000-0000-00009F680000}"/>
    <cellStyle name="Normal 10 2 16 2 6" xfId="35107" xr:uid="{00000000-0005-0000-0000-0000A0680000}"/>
    <cellStyle name="Normal 10 2 16 3" xfId="4996" xr:uid="{00000000-0005-0000-0000-0000A1680000}"/>
    <cellStyle name="Normal 10 2 16 3 2" xfId="8867" xr:uid="{00000000-0005-0000-0000-0000A2680000}"/>
    <cellStyle name="Normal 10 2 16 3 2 2" xfId="16612" xr:uid="{00000000-0005-0000-0000-0000A3680000}"/>
    <cellStyle name="Normal 10 2 16 3 2 2 2" xfId="32204" xr:uid="{00000000-0005-0000-0000-0000A4680000}"/>
    <cellStyle name="Normal 10 2 16 3 2 2 3" xfId="47696" xr:uid="{00000000-0005-0000-0000-0000A5680000}"/>
    <cellStyle name="Normal 10 2 16 3 2 3" xfId="24464" xr:uid="{00000000-0005-0000-0000-0000A6680000}"/>
    <cellStyle name="Normal 10 2 16 3 2 4" xfId="39956" xr:uid="{00000000-0005-0000-0000-0000A7680000}"/>
    <cellStyle name="Normal 10 2 16 3 3" xfId="12742" xr:uid="{00000000-0005-0000-0000-0000A8680000}"/>
    <cellStyle name="Normal 10 2 16 3 3 2" xfId="28334" xr:uid="{00000000-0005-0000-0000-0000A9680000}"/>
    <cellStyle name="Normal 10 2 16 3 3 3" xfId="43826" xr:uid="{00000000-0005-0000-0000-0000AA680000}"/>
    <cellStyle name="Normal 10 2 16 3 4" xfId="20594" xr:uid="{00000000-0005-0000-0000-0000AB680000}"/>
    <cellStyle name="Normal 10 2 16 3 5" xfId="36086" xr:uid="{00000000-0005-0000-0000-0000AC680000}"/>
    <cellStyle name="Normal 10 2 16 4" xfId="6940" xr:uid="{00000000-0005-0000-0000-0000AD680000}"/>
    <cellStyle name="Normal 10 2 16 4 2" xfId="14685" xr:uid="{00000000-0005-0000-0000-0000AE680000}"/>
    <cellStyle name="Normal 10 2 16 4 2 2" xfId="30277" xr:uid="{00000000-0005-0000-0000-0000AF680000}"/>
    <cellStyle name="Normal 10 2 16 4 2 3" xfId="45769" xr:uid="{00000000-0005-0000-0000-0000B0680000}"/>
    <cellStyle name="Normal 10 2 16 4 3" xfId="22537" xr:uid="{00000000-0005-0000-0000-0000B1680000}"/>
    <cellStyle name="Normal 10 2 16 4 4" xfId="38029" xr:uid="{00000000-0005-0000-0000-0000B2680000}"/>
    <cellStyle name="Normal 10 2 16 5" xfId="10815" xr:uid="{00000000-0005-0000-0000-0000B3680000}"/>
    <cellStyle name="Normal 10 2 16 5 2" xfId="26407" xr:uid="{00000000-0005-0000-0000-0000B4680000}"/>
    <cellStyle name="Normal 10 2 16 5 3" xfId="41899" xr:uid="{00000000-0005-0000-0000-0000B5680000}"/>
    <cellStyle name="Normal 10 2 16 6" xfId="18667" xr:uid="{00000000-0005-0000-0000-0000B6680000}"/>
    <cellStyle name="Normal 10 2 16 7" xfId="34159" xr:uid="{00000000-0005-0000-0000-0000B7680000}"/>
    <cellStyle name="Normal 10 2 17" xfId="3046" xr:uid="{00000000-0005-0000-0000-0000B8680000}"/>
    <cellStyle name="Normal 10 2 17 2" xfId="4041" xr:uid="{00000000-0005-0000-0000-0000B9680000}"/>
    <cellStyle name="Normal 10 2 17 2 2" xfId="5980" xr:uid="{00000000-0005-0000-0000-0000BA680000}"/>
    <cellStyle name="Normal 10 2 17 2 2 2" xfId="9851" xr:uid="{00000000-0005-0000-0000-0000BB680000}"/>
    <cellStyle name="Normal 10 2 17 2 2 2 2" xfId="17596" xr:uid="{00000000-0005-0000-0000-0000BC680000}"/>
    <cellStyle name="Normal 10 2 17 2 2 2 2 2" xfId="33188" xr:uid="{00000000-0005-0000-0000-0000BD680000}"/>
    <cellStyle name="Normal 10 2 17 2 2 2 2 3" xfId="48680" xr:uid="{00000000-0005-0000-0000-0000BE680000}"/>
    <cellStyle name="Normal 10 2 17 2 2 2 3" xfId="25448" xr:uid="{00000000-0005-0000-0000-0000BF680000}"/>
    <cellStyle name="Normal 10 2 17 2 2 2 4" xfId="40940" xr:uid="{00000000-0005-0000-0000-0000C0680000}"/>
    <cellStyle name="Normal 10 2 17 2 2 3" xfId="13726" xr:uid="{00000000-0005-0000-0000-0000C1680000}"/>
    <cellStyle name="Normal 10 2 17 2 2 3 2" xfId="29318" xr:uid="{00000000-0005-0000-0000-0000C2680000}"/>
    <cellStyle name="Normal 10 2 17 2 2 3 3" xfId="44810" xr:uid="{00000000-0005-0000-0000-0000C3680000}"/>
    <cellStyle name="Normal 10 2 17 2 2 4" xfId="21578" xr:uid="{00000000-0005-0000-0000-0000C4680000}"/>
    <cellStyle name="Normal 10 2 17 2 2 5" xfId="37070" xr:uid="{00000000-0005-0000-0000-0000C5680000}"/>
    <cellStyle name="Normal 10 2 17 2 3" xfId="7924" xr:uid="{00000000-0005-0000-0000-0000C6680000}"/>
    <cellStyle name="Normal 10 2 17 2 3 2" xfId="15669" xr:uid="{00000000-0005-0000-0000-0000C7680000}"/>
    <cellStyle name="Normal 10 2 17 2 3 2 2" xfId="31261" xr:uid="{00000000-0005-0000-0000-0000C8680000}"/>
    <cellStyle name="Normal 10 2 17 2 3 2 3" xfId="46753" xr:uid="{00000000-0005-0000-0000-0000C9680000}"/>
    <cellStyle name="Normal 10 2 17 2 3 3" xfId="23521" xr:uid="{00000000-0005-0000-0000-0000CA680000}"/>
    <cellStyle name="Normal 10 2 17 2 3 4" xfId="39013" xr:uid="{00000000-0005-0000-0000-0000CB680000}"/>
    <cellStyle name="Normal 10 2 17 2 4" xfId="11799" xr:uid="{00000000-0005-0000-0000-0000CC680000}"/>
    <cellStyle name="Normal 10 2 17 2 4 2" xfId="27391" xr:uid="{00000000-0005-0000-0000-0000CD680000}"/>
    <cellStyle name="Normal 10 2 17 2 4 3" xfId="42883" xr:uid="{00000000-0005-0000-0000-0000CE680000}"/>
    <cellStyle name="Normal 10 2 17 2 5" xfId="19651" xr:uid="{00000000-0005-0000-0000-0000CF680000}"/>
    <cellStyle name="Normal 10 2 17 2 6" xfId="35143" xr:uid="{00000000-0005-0000-0000-0000D0680000}"/>
    <cellStyle name="Normal 10 2 17 3" xfId="5032" xr:uid="{00000000-0005-0000-0000-0000D1680000}"/>
    <cellStyle name="Normal 10 2 17 3 2" xfId="8903" xr:uid="{00000000-0005-0000-0000-0000D2680000}"/>
    <cellStyle name="Normal 10 2 17 3 2 2" xfId="16648" xr:uid="{00000000-0005-0000-0000-0000D3680000}"/>
    <cellStyle name="Normal 10 2 17 3 2 2 2" xfId="32240" xr:uid="{00000000-0005-0000-0000-0000D4680000}"/>
    <cellStyle name="Normal 10 2 17 3 2 2 3" xfId="47732" xr:uid="{00000000-0005-0000-0000-0000D5680000}"/>
    <cellStyle name="Normal 10 2 17 3 2 3" xfId="24500" xr:uid="{00000000-0005-0000-0000-0000D6680000}"/>
    <cellStyle name="Normal 10 2 17 3 2 4" xfId="39992" xr:uid="{00000000-0005-0000-0000-0000D7680000}"/>
    <cellStyle name="Normal 10 2 17 3 3" xfId="12778" xr:uid="{00000000-0005-0000-0000-0000D8680000}"/>
    <cellStyle name="Normal 10 2 17 3 3 2" xfId="28370" xr:uid="{00000000-0005-0000-0000-0000D9680000}"/>
    <cellStyle name="Normal 10 2 17 3 3 3" xfId="43862" xr:uid="{00000000-0005-0000-0000-0000DA680000}"/>
    <cellStyle name="Normal 10 2 17 3 4" xfId="20630" xr:uid="{00000000-0005-0000-0000-0000DB680000}"/>
    <cellStyle name="Normal 10 2 17 3 5" xfId="36122" xr:uid="{00000000-0005-0000-0000-0000DC680000}"/>
    <cellStyle name="Normal 10 2 17 4" xfId="6976" xr:uid="{00000000-0005-0000-0000-0000DD680000}"/>
    <cellStyle name="Normal 10 2 17 4 2" xfId="14721" xr:uid="{00000000-0005-0000-0000-0000DE680000}"/>
    <cellStyle name="Normal 10 2 17 4 2 2" xfId="30313" xr:uid="{00000000-0005-0000-0000-0000DF680000}"/>
    <cellStyle name="Normal 10 2 17 4 2 3" xfId="45805" xr:uid="{00000000-0005-0000-0000-0000E0680000}"/>
    <cellStyle name="Normal 10 2 17 4 3" xfId="22573" xr:uid="{00000000-0005-0000-0000-0000E1680000}"/>
    <cellStyle name="Normal 10 2 17 4 4" xfId="38065" xr:uid="{00000000-0005-0000-0000-0000E2680000}"/>
    <cellStyle name="Normal 10 2 17 5" xfId="10851" xr:uid="{00000000-0005-0000-0000-0000E3680000}"/>
    <cellStyle name="Normal 10 2 17 5 2" xfId="26443" xr:uid="{00000000-0005-0000-0000-0000E4680000}"/>
    <cellStyle name="Normal 10 2 17 5 3" xfId="41935" xr:uid="{00000000-0005-0000-0000-0000E5680000}"/>
    <cellStyle name="Normal 10 2 17 6" xfId="18703" xr:uid="{00000000-0005-0000-0000-0000E6680000}"/>
    <cellStyle name="Normal 10 2 17 7" xfId="34195" xr:uid="{00000000-0005-0000-0000-0000E7680000}"/>
    <cellStyle name="Normal 10 2 18" xfId="3083" xr:uid="{00000000-0005-0000-0000-0000E8680000}"/>
    <cellStyle name="Normal 10 2 18 2" xfId="4077" xr:uid="{00000000-0005-0000-0000-0000E9680000}"/>
    <cellStyle name="Normal 10 2 18 2 2" xfId="6016" xr:uid="{00000000-0005-0000-0000-0000EA680000}"/>
    <cellStyle name="Normal 10 2 18 2 2 2" xfId="9887" xr:uid="{00000000-0005-0000-0000-0000EB680000}"/>
    <cellStyle name="Normal 10 2 18 2 2 2 2" xfId="17632" xr:uid="{00000000-0005-0000-0000-0000EC680000}"/>
    <cellStyle name="Normal 10 2 18 2 2 2 2 2" xfId="33224" xr:uid="{00000000-0005-0000-0000-0000ED680000}"/>
    <cellStyle name="Normal 10 2 18 2 2 2 2 3" xfId="48716" xr:uid="{00000000-0005-0000-0000-0000EE680000}"/>
    <cellStyle name="Normal 10 2 18 2 2 2 3" xfId="25484" xr:uid="{00000000-0005-0000-0000-0000EF680000}"/>
    <cellStyle name="Normal 10 2 18 2 2 2 4" xfId="40976" xr:uid="{00000000-0005-0000-0000-0000F0680000}"/>
    <cellStyle name="Normal 10 2 18 2 2 3" xfId="13762" xr:uid="{00000000-0005-0000-0000-0000F1680000}"/>
    <cellStyle name="Normal 10 2 18 2 2 3 2" xfId="29354" xr:uid="{00000000-0005-0000-0000-0000F2680000}"/>
    <cellStyle name="Normal 10 2 18 2 2 3 3" xfId="44846" xr:uid="{00000000-0005-0000-0000-0000F3680000}"/>
    <cellStyle name="Normal 10 2 18 2 2 4" xfId="21614" xr:uid="{00000000-0005-0000-0000-0000F4680000}"/>
    <cellStyle name="Normal 10 2 18 2 2 5" xfId="37106" xr:uid="{00000000-0005-0000-0000-0000F5680000}"/>
    <cellStyle name="Normal 10 2 18 2 3" xfId="7960" xr:uid="{00000000-0005-0000-0000-0000F6680000}"/>
    <cellStyle name="Normal 10 2 18 2 3 2" xfId="15705" xr:uid="{00000000-0005-0000-0000-0000F7680000}"/>
    <cellStyle name="Normal 10 2 18 2 3 2 2" xfId="31297" xr:uid="{00000000-0005-0000-0000-0000F8680000}"/>
    <cellStyle name="Normal 10 2 18 2 3 2 3" xfId="46789" xr:uid="{00000000-0005-0000-0000-0000F9680000}"/>
    <cellStyle name="Normal 10 2 18 2 3 3" xfId="23557" xr:uid="{00000000-0005-0000-0000-0000FA680000}"/>
    <cellStyle name="Normal 10 2 18 2 3 4" xfId="39049" xr:uid="{00000000-0005-0000-0000-0000FB680000}"/>
    <cellStyle name="Normal 10 2 18 2 4" xfId="11835" xr:uid="{00000000-0005-0000-0000-0000FC680000}"/>
    <cellStyle name="Normal 10 2 18 2 4 2" xfId="27427" xr:uid="{00000000-0005-0000-0000-0000FD680000}"/>
    <cellStyle name="Normal 10 2 18 2 4 3" xfId="42919" xr:uid="{00000000-0005-0000-0000-0000FE680000}"/>
    <cellStyle name="Normal 10 2 18 2 5" xfId="19687" xr:uid="{00000000-0005-0000-0000-0000FF680000}"/>
    <cellStyle name="Normal 10 2 18 2 6" xfId="35179" xr:uid="{00000000-0005-0000-0000-000000690000}"/>
    <cellStyle name="Normal 10 2 18 3" xfId="5068" xr:uid="{00000000-0005-0000-0000-000001690000}"/>
    <cellStyle name="Normal 10 2 18 3 2" xfId="8939" xr:uid="{00000000-0005-0000-0000-000002690000}"/>
    <cellStyle name="Normal 10 2 18 3 2 2" xfId="16684" xr:uid="{00000000-0005-0000-0000-000003690000}"/>
    <cellStyle name="Normal 10 2 18 3 2 2 2" xfId="32276" xr:uid="{00000000-0005-0000-0000-000004690000}"/>
    <cellStyle name="Normal 10 2 18 3 2 2 3" xfId="47768" xr:uid="{00000000-0005-0000-0000-000005690000}"/>
    <cellStyle name="Normal 10 2 18 3 2 3" xfId="24536" xr:uid="{00000000-0005-0000-0000-000006690000}"/>
    <cellStyle name="Normal 10 2 18 3 2 4" xfId="40028" xr:uid="{00000000-0005-0000-0000-000007690000}"/>
    <cellStyle name="Normal 10 2 18 3 3" xfId="12814" xr:uid="{00000000-0005-0000-0000-000008690000}"/>
    <cellStyle name="Normal 10 2 18 3 3 2" xfId="28406" xr:uid="{00000000-0005-0000-0000-000009690000}"/>
    <cellStyle name="Normal 10 2 18 3 3 3" xfId="43898" xr:uid="{00000000-0005-0000-0000-00000A690000}"/>
    <cellStyle name="Normal 10 2 18 3 4" xfId="20666" xr:uid="{00000000-0005-0000-0000-00000B690000}"/>
    <cellStyle name="Normal 10 2 18 3 5" xfId="36158" xr:uid="{00000000-0005-0000-0000-00000C690000}"/>
    <cellStyle name="Normal 10 2 18 4" xfId="7012" xr:uid="{00000000-0005-0000-0000-00000D690000}"/>
    <cellStyle name="Normal 10 2 18 4 2" xfId="14757" xr:uid="{00000000-0005-0000-0000-00000E690000}"/>
    <cellStyle name="Normal 10 2 18 4 2 2" xfId="30349" xr:uid="{00000000-0005-0000-0000-00000F690000}"/>
    <cellStyle name="Normal 10 2 18 4 2 3" xfId="45841" xr:uid="{00000000-0005-0000-0000-000010690000}"/>
    <cellStyle name="Normal 10 2 18 4 3" xfId="22609" xr:uid="{00000000-0005-0000-0000-000011690000}"/>
    <cellStyle name="Normal 10 2 18 4 4" xfId="38101" xr:uid="{00000000-0005-0000-0000-000012690000}"/>
    <cellStyle name="Normal 10 2 18 5" xfId="10887" xr:uid="{00000000-0005-0000-0000-000013690000}"/>
    <cellStyle name="Normal 10 2 18 5 2" xfId="26479" xr:uid="{00000000-0005-0000-0000-000014690000}"/>
    <cellStyle name="Normal 10 2 18 5 3" xfId="41971" xr:uid="{00000000-0005-0000-0000-000015690000}"/>
    <cellStyle name="Normal 10 2 18 6" xfId="18739" xr:uid="{00000000-0005-0000-0000-000016690000}"/>
    <cellStyle name="Normal 10 2 18 7" xfId="34231" xr:uid="{00000000-0005-0000-0000-000017690000}"/>
    <cellStyle name="Normal 10 2 19" xfId="3130" xr:uid="{00000000-0005-0000-0000-000018690000}"/>
    <cellStyle name="Normal 10 2 19 2" xfId="4113" xr:uid="{00000000-0005-0000-0000-000019690000}"/>
    <cellStyle name="Normal 10 2 19 2 2" xfId="6052" xr:uid="{00000000-0005-0000-0000-00001A690000}"/>
    <cellStyle name="Normal 10 2 19 2 2 2" xfId="9923" xr:uid="{00000000-0005-0000-0000-00001B690000}"/>
    <cellStyle name="Normal 10 2 19 2 2 2 2" xfId="17668" xr:uid="{00000000-0005-0000-0000-00001C690000}"/>
    <cellStyle name="Normal 10 2 19 2 2 2 2 2" xfId="33260" xr:uid="{00000000-0005-0000-0000-00001D690000}"/>
    <cellStyle name="Normal 10 2 19 2 2 2 2 3" xfId="48752" xr:uid="{00000000-0005-0000-0000-00001E690000}"/>
    <cellStyle name="Normal 10 2 19 2 2 2 3" xfId="25520" xr:uid="{00000000-0005-0000-0000-00001F690000}"/>
    <cellStyle name="Normal 10 2 19 2 2 2 4" xfId="41012" xr:uid="{00000000-0005-0000-0000-000020690000}"/>
    <cellStyle name="Normal 10 2 19 2 2 3" xfId="13798" xr:uid="{00000000-0005-0000-0000-000021690000}"/>
    <cellStyle name="Normal 10 2 19 2 2 3 2" xfId="29390" xr:uid="{00000000-0005-0000-0000-000022690000}"/>
    <cellStyle name="Normal 10 2 19 2 2 3 3" xfId="44882" xr:uid="{00000000-0005-0000-0000-000023690000}"/>
    <cellStyle name="Normal 10 2 19 2 2 4" xfId="21650" xr:uid="{00000000-0005-0000-0000-000024690000}"/>
    <cellStyle name="Normal 10 2 19 2 2 5" xfId="37142" xr:uid="{00000000-0005-0000-0000-000025690000}"/>
    <cellStyle name="Normal 10 2 19 2 3" xfId="7996" xr:uid="{00000000-0005-0000-0000-000026690000}"/>
    <cellStyle name="Normal 10 2 19 2 3 2" xfId="15741" xr:uid="{00000000-0005-0000-0000-000027690000}"/>
    <cellStyle name="Normal 10 2 19 2 3 2 2" xfId="31333" xr:uid="{00000000-0005-0000-0000-000028690000}"/>
    <cellStyle name="Normal 10 2 19 2 3 2 3" xfId="46825" xr:uid="{00000000-0005-0000-0000-000029690000}"/>
    <cellStyle name="Normal 10 2 19 2 3 3" xfId="23593" xr:uid="{00000000-0005-0000-0000-00002A690000}"/>
    <cellStyle name="Normal 10 2 19 2 3 4" xfId="39085" xr:uid="{00000000-0005-0000-0000-00002B690000}"/>
    <cellStyle name="Normal 10 2 19 2 4" xfId="11871" xr:uid="{00000000-0005-0000-0000-00002C690000}"/>
    <cellStyle name="Normal 10 2 19 2 4 2" xfId="27463" xr:uid="{00000000-0005-0000-0000-00002D690000}"/>
    <cellStyle name="Normal 10 2 19 2 4 3" xfId="42955" xr:uid="{00000000-0005-0000-0000-00002E690000}"/>
    <cellStyle name="Normal 10 2 19 2 5" xfId="19723" xr:uid="{00000000-0005-0000-0000-00002F690000}"/>
    <cellStyle name="Normal 10 2 19 2 6" xfId="35215" xr:uid="{00000000-0005-0000-0000-000030690000}"/>
    <cellStyle name="Normal 10 2 19 3" xfId="5104" xr:uid="{00000000-0005-0000-0000-000031690000}"/>
    <cellStyle name="Normal 10 2 19 3 2" xfId="8975" xr:uid="{00000000-0005-0000-0000-000032690000}"/>
    <cellStyle name="Normal 10 2 19 3 2 2" xfId="16720" xr:uid="{00000000-0005-0000-0000-000033690000}"/>
    <cellStyle name="Normal 10 2 19 3 2 2 2" xfId="32312" xr:uid="{00000000-0005-0000-0000-000034690000}"/>
    <cellStyle name="Normal 10 2 19 3 2 2 3" xfId="47804" xr:uid="{00000000-0005-0000-0000-000035690000}"/>
    <cellStyle name="Normal 10 2 19 3 2 3" xfId="24572" xr:uid="{00000000-0005-0000-0000-000036690000}"/>
    <cellStyle name="Normal 10 2 19 3 2 4" xfId="40064" xr:uid="{00000000-0005-0000-0000-000037690000}"/>
    <cellStyle name="Normal 10 2 19 3 3" xfId="12850" xr:uid="{00000000-0005-0000-0000-000038690000}"/>
    <cellStyle name="Normal 10 2 19 3 3 2" xfId="28442" xr:uid="{00000000-0005-0000-0000-000039690000}"/>
    <cellStyle name="Normal 10 2 19 3 3 3" xfId="43934" xr:uid="{00000000-0005-0000-0000-00003A690000}"/>
    <cellStyle name="Normal 10 2 19 3 4" xfId="20702" xr:uid="{00000000-0005-0000-0000-00003B690000}"/>
    <cellStyle name="Normal 10 2 19 3 5" xfId="36194" xr:uid="{00000000-0005-0000-0000-00003C690000}"/>
    <cellStyle name="Normal 10 2 19 4" xfId="7048" xr:uid="{00000000-0005-0000-0000-00003D690000}"/>
    <cellStyle name="Normal 10 2 19 4 2" xfId="14793" xr:uid="{00000000-0005-0000-0000-00003E690000}"/>
    <cellStyle name="Normal 10 2 19 4 2 2" xfId="30385" xr:uid="{00000000-0005-0000-0000-00003F690000}"/>
    <cellStyle name="Normal 10 2 19 4 2 3" xfId="45877" xr:uid="{00000000-0005-0000-0000-000040690000}"/>
    <cellStyle name="Normal 10 2 19 4 3" xfId="22645" xr:uid="{00000000-0005-0000-0000-000041690000}"/>
    <cellStyle name="Normal 10 2 19 4 4" xfId="38137" xr:uid="{00000000-0005-0000-0000-000042690000}"/>
    <cellStyle name="Normal 10 2 19 5" xfId="10923" xr:uid="{00000000-0005-0000-0000-000043690000}"/>
    <cellStyle name="Normal 10 2 19 5 2" xfId="26515" xr:uid="{00000000-0005-0000-0000-000044690000}"/>
    <cellStyle name="Normal 10 2 19 5 3" xfId="42007" xr:uid="{00000000-0005-0000-0000-000045690000}"/>
    <cellStyle name="Normal 10 2 19 6" xfId="18775" xr:uid="{00000000-0005-0000-0000-000046690000}"/>
    <cellStyle name="Normal 10 2 19 7" xfId="34267" xr:uid="{00000000-0005-0000-0000-000047690000}"/>
    <cellStyle name="Normal 10 2 2" xfId="2192" xr:uid="{00000000-0005-0000-0000-000048690000}"/>
    <cellStyle name="Normal 10 2 2 2" xfId="2525" xr:uid="{00000000-0005-0000-0000-000049690000}"/>
    <cellStyle name="Normal 10 2 2 2 2" xfId="3533" xr:uid="{00000000-0005-0000-0000-00004A690000}"/>
    <cellStyle name="Normal 10 2 2 2 2 2" xfId="5472" xr:uid="{00000000-0005-0000-0000-00004B690000}"/>
    <cellStyle name="Normal 10 2 2 2 2 2 2" xfId="9343" xr:uid="{00000000-0005-0000-0000-00004C690000}"/>
    <cellStyle name="Normal 10 2 2 2 2 2 2 2" xfId="17088" xr:uid="{00000000-0005-0000-0000-00004D690000}"/>
    <cellStyle name="Normal 10 2 2 2 2 2 2 2 2" xfId="32680" xr:uid="{00000000-0005-0000-0000-00004E690000}"/>
    <cellStyle name="Normal 10 2 2 2 2 2 2 2 3" xfId="48172" xr:uid="{00000000-0005-0000-0000-00004F690000}"/>
    <cellStyle name="Normal 10 2 2 2 2 2 2 3" xfId="24940" xr:uid="{00000000-0005-0000-0000-000050690000}"/>
    <cellStyle name="Normal 10 2 2 2 2 2 2 4" xfId="40432" xr:uid="{00000000-0005-0000-0000-000051690000}"/>
    <cellStyle name="Normal 10 2 2 2 2 2 3" xfId="13218" xr:uid="{00000000-0005-0000-0000-000052690000}"/>
    <cellStyle name="Normal 10 2 2 2 2 2 3 2" xfId="28810" xr:uid="{00000000-0005-0000-0000-000053690000}"/>
    <cellStyle name="Normal 10 2 2 2 2 2 3 3" xfId="44302" xr:uid="{00000000-0005-0000-0000-000054690000}"/>
    <cellStyle name="Normal 10 2 2 2 2 2 4" xfId="21070" xr:uid="{00000000-0005-0000-0000-000055690000}"/>
    <cellStyle name="Normal 10 2 2 2 2 2 5" xfId="36562" xr:uid="{00000000-0005-0000-0000-000056690000}"/>
    <cellStyle name="Normal 10 2 2 2 2 3" xfId="7416" xr:uid="{00000000-0005-0000-0000-000057690000}"/>
    <cellStyle name="Normal 10 2 2 2 2 3 2" xfId="15161" xr:uid="{00000000-0005-0000-0000-000058690000}"/>
    <cellStyle name="Normal 10 2 2 2 2 3 2 2" xfId="30753" xr:uid="{00000000-0005-0000-0000-000059690000}"/>
    <cellStyle name="Normal 10 2 2 2 2 3 2 3" xfId="46245" xr:uid="{00000000-0005-0000-0000-00005A690000}"/>
    <cellStyle name="Normal 10 2 2 2 2 3 3" xfId="23013" xr:uid="{00000000-0005-0000-0000-00005B690000}"/>
    <cellStyle name="Normal 10 2 2 2 2 3 4" xfId="38505" xr:uid="{00000000-0005-0000-0000-00005C690000}"/>
    <cellStyle name="Normal 10 2 2 2 2 4" xfId="11291" xr:uid="{00000000-0005-0000-0000-00005D690000}"/>
    <cellStyle name="Normal 10 2 2 2 2 4 2" xfId="26883" xr:uid="{00000000-0005-0000-0000-00005E690000}"/>
    <cellStyle name="Normal 10 2 2 2 2 4 3" xfId="42375" xr:uid="{00000000-0005-0000-0000-00005F690000}"/>
    <cellStyle name="Normal 10 2 2 2 2 5" xfId="19143" xr:uid="{00000000-0005-0000-0000-000060690000}"/>
    <cellStyle name="Normal 10 2 2 2 2 6" xfId="34635" xr:uid="{00000000-0005-0000-0000-000061690000}"/>
    <cellStyle name="Normal 10 2 2 2 3" xfId="4524" xr:uid="{00000000-0005-0000-0000-000062690000}"/>
    <cellStyle name="Normal 10 2 2 2 3 2" xfId="8395" xr:uid="{00000000-0005-0000-0000-000063690000}"/>
    <cellStyle name="Normal 10 2 2 2 3 2 2" xfId="16140" xr:uid="{00000000-0005-0000-0000-000064690000}"/>
    <cellStyle name="Normal 10 2 2 2 3 2 2 2" xfId="31732" xr:uid="{00000000-0005-0000-0000-000065690000}"/>
    <cellStyle name="Normal 10 2 2 2 3 2 2 3" xfId="47224" xr:uid="{00000000-0005-0000-0000-000066690000}"/>
    <cellStyle name="Normal 10 2 2 2 3 2 3" xfId="23992" xr:uid="{00000000-0005-0000-0000-000067690000}"/>
    <cellStyle name="Normal 10 2 2 2 3 2 4" xfId="39484" xr:uid="{00000000-0005-0000-0000-000068690000}"/>
    <cellStyle name="Normal 10 2 2 2 3 3" xfId="12270" xr:uid="{00000000-0005-0000-0000-000069690000}"/>
    <cellStyle name="Normal 10 2 2 2 3 3 2" xfId="27862" xr:uid="{00000000-0005-0000-0000-00006A690000}"/>
    <cellStyle name="Normal 10 2 2 2 3 3 3" xfId="43354" xr:uid="{00000000-0005-0000-0000-00006B690000}"/>
    <cellStyle name="Normal 10 2 2 2 3 4" xfId="20122" xr:uid="{00000000-0005-0000-0000-00006C690000}"/>
    <cellStyle name="Normal 10 2 2 2 3 5" xfId="35614" xr:uid="{00000000-0005-0000-0000-00006D690000}"/>
    <cellStyle name="Normal 10 2 2 2 4" xfId="6468" xr:uid="{00000000-0005-0000-0000-00006E690000}"/>
    <cellStyle name="Normal 10 2 2 2 4 2" xfId="14213" xr:uid="{00000000-0005-0000-0000-00006F690000}"/>
    <cellStyle name="Normal 10 2 2 2 4 2 2" xfId="29805" xr:uid="{00000000-0005-0000-0000-000070690000}"/>
    <cellStyle name="Normal 10 2 2 2 4 2 3" xfId="45297" xr:uid="{00000000-0005-0000-0000-000071690000}"/>
    <cellStyle name="Normal 10 2 2 2 4 3" xfId="22065" xr:uid="{00000000-0005-0000-0000-000072690000}"/>
    <cellStyle name="Normal 10 2 2 2 4 4" xfId="37557" xr:uid="{00000000-0005-0000-0000-000073690000}"/>
    <cellStyle name="Normal 10 2 2 2 5" xfId="10343" xr:uid="{00000000-0005-0000-0000-000074690000}"/>
    <cellStyle name="Normal 10 2 2 2 5 2" xfId="25935" xr:uid="{00000000-0005-0000-0000-000075690000}"/>
    <cellStyle name="Normal 10 2 2 2 5 3" xfId="41427" xr:uid="{00000000-0005-0000-0000-000076690000}"/>
    <cellStyle name="Normal 10 2 2 2 6" xfId="18195" xr:uid="{00000000-0005-0000-0000-000077690000}"/>
    <cellStyle name="Normal 10 2 2 2 7" xfId="33687" xr:uid="{00000000-0005-0000-0000-000078690000}"/>
    <cellStyle name="Normal 10 2 2 3" xfId="3224" xr:uid="{00000000-0005-0000-0000-000079690000}"/>
    <cellStyle name="Normal 10 2 2 3 2" xfId="5163" xr:uid="{00000000-0005-0000-0000-00007A690000}"/>
    <cellStyle name="Normal 10 2 2 3 2 2" xfId="9034" xr:uid="{00000000-0005-0000-0000-00007B690000}"/>
    <cellStyle name="Normal 10 2 2 3 2 2 2" xfId="16779" xr:uid="{00000000-0005-0000-0000-00007C690000}"/>
    <cellStyle name="Normal 10 2 2 3 2 2 2 2" xfId="32371" xr:uid="{00000000-0005-0000-0000-00007D690000}"/>
    <cellStyle name="Normal 10 2 2 3 2 2 2 3" xfId="47863" xr:uid="{00000000-0005-0000-0000-00007E690000}"/>
    <cellStyle name="Normal 10 2 2 3 2 2 3" xfId="24631" xr:uid="{00000000-0005-0000-0000-00007F690000}"/>
    <cellStyle name="Normal 10 2 2 3 2 2 4" xfId="40123" xr:uid="{00000000-0005-0000-0000-000080690000}"/>
    <cellStyle name="Normal 10 2 2 3 2 3" xfId="12909" xr:uid="{00000000-0005-0000-0000-000081690000}"/>
    <cellStyle name="Normal 10 2 2 3 2 3 2" xfId="28501" xr:uid="{00000000-0005-0000-0000-000082690000}"/>
    <cellStyle name="Normal 10 2 2 3 2 3 3" xfId="43993" xr:uid="{00000000-0005-0000-0000-000083690000}"/>
    <cellStyle name="Normal 10 2 2 3 2 4" xfId="20761" xr:uid="{00000000-0005-0000-0000-000084690000}"/>
    <cellStyle name="Normal 10 2 2 3 2 5" xfId="36253" xr:uid="{00000000-0005-0000-0000-000085690000}"/>
    <cellStyle name="Normal 10 2 2 3 3" xfId="7107" xr:uid="{00000000-0005-0000-0000-000086690000}"/>
    <cellStyle name="Normal 10 2 2 3 3 2" xfId="14852" xr:uid="{00000000-0005-0000-0000-000087690000}"/>
    <cellStyle name="Normal 10 2 2 3 3 2 2" xfId="30444" xr:uid="{00000000-0005-0000-0000-000088690000}"/>
    <cellStyle name="Normal 10 2 2 3 3 2 3" xfId="45936" xr:uid="{00000000-0005-0000-0000-000089690000}"/>
    <cellStyle name="Normal 10 2 2 3 3 3" xfId="22704" xr:uid="{00000000-0005-0000-0000-00008A690000}"/>
    <cellStyle name="Normal 10 2 2 3 3 4" xfId="38196" xr:uid="{00000000-0005-0000-0000-00008B690000}"/>
    <cellStyle name="Normal 10 2 2 3 4" xfId="10982" xr:uid="{00000000-0005-0000-0000-00008C690000}"/>
    <cellStyle name="Normal 10 2 2 3 4 2" xfId="26574" xr:uid="{00000000-0005-0000-0000-00008D690000}"/>
    <cellStyle name="Normal 10 2 2 3 4 3" xfId="42066" xr:uid="{00000000-0005-0000-0000-00008E690000}"/>
    <cellStyle name="Normal 10 2 2 3 5" xfId="18834" xr:uid="{00000000-0005-0000-0000-00008F690000}"/>
    <cellStyle name="Normal 10 2 2 3 6" xfId="34326" xr:uid="{00000000-0005-0000-0000-000090690000}"/>
    <cellStyle name="Normal 10 2 2 4" xfId="4215" xr:uid="{00000000-0005-0000-0000-000091690000}"/>
    <cellStyle name="Normal 10 2 2 4 2" xfId="8086" xr:uid="{00000000-0005-0000-0000-000092690000}"/>
    <cellStyle name="Normal 10 2 2 4 2 2" xfId="15831" xr:uid="{00000000-0005-0000-0000-000093690000}"/>
    <cellStyle name="Normal 10 2 2 4 2 2 2" xfId="31423" xr:uid="{00000000-0005-0000-0000-000094690000}"/>
    <cellStyle name="Normal 10 2 2 4 2 2 3" xfId="46915" xr:uid="{00000000-0005-0000-0000-000095690000}"/>
    <cellStyle name="Normal 10 2 2 4 2 3" xfId="23683" xr:uid="{00000000-0005-0000-0000-000096690000}"/>
    <cellStyle name="Normal 10 2 2 4 2 4" xfId="39175" xr:uid="{00000000-0005-0000-0000-000097690000}"/>
    <cellStyle name="Normal 10 2 2 4 3" xfId="11961" xr:uid="{00000000-0005-0000-0000-000098690000}"/>
    <cellStyle name="Normal 10 2 2 4 3 2" xfId="27553" xr:uid="{00000000-0005-0000-0000-000099690000}"/>
    <cellStyle name="Normal 10 2 2 4 3 3" xfId="43045" xr:uid="{00000000-0005-0000-0000-00009A690000}"/>
    <cellStyle name="Normal 10 2 2 4 4" xfId="19813" xr:uid="{00000000-0005-0000-0000-00009B690000}"/>
    <cellStyle name="Normal 10 2 2 4 5" xfId="35305" xr:uid="{00000000-0005-0000-0000-00009C690000}"/>
    <cellStyle name="Normal 10 2 2 5" xfId="6159" xr:uid="{00000000-0005-0000-0000-00009D690000}"/>
    <cellStyle name="Normal 10 2 2 5 2" xfId="13904" xr:uid="{00000000-0005-0000-0000-00009E690000}"/>
    <cellStyle name="Normal 10 2 2 5 2 2" xfId="29496" xr:uid="{00000000-0005-0000-0000-00009F690000}"/>
    <cellStyle name="Normal 10 2 2 5 2 3" xfId="44988" xr:uid="{00000000-0005-0000-0000-0000A0690000}"/>
    <cellStyle name="Normal 10 2 2 5 3" xfId="21756" xr:uid="{00000000-0005-0000-0000-0000A1690000}"/>
    <cellStyle name="Normal 10 2 2 5 4" xfId="37248" xr:uid="{00000000-0005-0000-0000-0000A2690000}"/>
    <cellStyle name="Normal 10 2 2 6" xfId="10034" xr:uid="{00000000-0005-0000-0000-0000A3690000}"/>
    <cellStyle name="Normal 10 2 2 6 2" xfId="25626" xr:uid="{00000000-0005-0000-0000-0000A4690000}"/>
    <cellStyle name="Normal 10 2 2 6 3" xfId="41118" xr:uid="{00000000-0005-0000-0000-0000A5690000}"/>
    <cellStyle name="Normal 10 2 2 7" xfId="17886" xr:uid="{00000000-0005-0000-0000-0000A6690000}"/>
    <cellStyle name="Normal 10 2 2 8" xfId="33378" xr:uid="{00000000-0005-0000-0000-0000A7690000}"/>
    <cellStyle name="Normal 10 2 20" xfId="3185" xr:uid="{00000000-0005-0000-0000-0000A8690000}"/>
    <cellStyle name="Normal 10 2 20 2" xfId="5124" xr:uid="{00000000-0005-0000-0000-0000A9690000}"/>
    <cellStyle name="Normal 10 2 20 2 2" xfId="8995" xr:uid="{00000000-0005-0000-0000-0000AA690000}"/>
    <cellStyle name="Normal 10 2 20 2 2 2" xfId="16740" xr:uid="{00000000-0005-0000-0000-0000AB690000}"/>
    <cellStyle name="Normal 10 2 20 2 2 2 2" xfId="32332" xr:uid="{00000000-0005-0000-0000-0000AC690000}"/>
    <cellStyle name="Normal 10 2 20 2 2 2 3" xfId="47824" xr:uid="{00000000-0005-0000-0000-0000AD690000}"/>
    <cellStyle name="Normal 10 2 20 2 2 3" xfId="24592" xr:uid="{00000000-0005-0000-0000-0000AE690000}"/>
    <cellStyle name="Normal 10 2 20 2 2 4" xfId="40084" xr:uid="{00000000-0005-0000-0000-0000AF690000}"/>
    <cellStyle name="Normal 10 2 20 2 3" xfId="12870" xr:uid="{00000000-0005-0000-0000-0000B0690000}"/>
    <cellStyle name="Normal 10 2 20 2 3 2" xfId="28462" xr:uid="{00000000-0005-0000-0000-0000B1690000}"/>
    <cellStyle name="Normal 10 2 20 2 3 3" xfId="43954" xr:uid="{00000000-0005-0000-0000-0000B2690000}"/>
    <cellStyle name="Normal 10 2 20 2 4" xfId="20722" xr:uid="{00000000-0005-0000-0000-0000B3690000}"/>
    <cellStyle name="Normal 10 2 20 2 5" xfId="36214" xr:uid="{00000000-0005-0000-0000-0000B4690000}"/>
    <cellStyle name="Normal 10 2 20 3" xfId="7068" xr:uid="{00000000-0005-0000-0000-0000B5690000}"/>
    <cellStyle name="Normal 10 2 20 3 2" xfId="14813" xr:uid="{00000000-0005-0000-0000-0000B6690000}"/>
    <cellStyle name="Normal 10 2 20 3 2 2" xfId="30405" xr:uid="{00000000-0005-0000-0000-0000B7690000}"/>
    <cellStyle name="Normal 10 2 20 3 2 3" xfId="45897" xr:uid="{00000000-0005-0000-0000-0000B8690000}"/>
    <cellStyle name="Normal 10 2 20 3 3" xfId="22665" xr:uid="{00000000-0005-0000-0000-0000B9690000}"/>
    <cellStyle name="Normal 10 2 20 3 4" xfId="38157" xr:uid="{00000000-0005-0000-0000-0000BA690000}"/>
    <cellStyle name="Normal 10 2 20 4" xfId="10943" xr:uid="{00000000-0005-0000-0000-0000BB690000}"/>
    <cellStyle name="Normal 10 2 20 4 2" xfId="26535" xr:uid="{00000000-0005-0000-0000-0000BC690000}"/>
    <cellStyle name="Normal 10 2 20 4 3" xfId="42027" xr:uid="{00000000-0005-0000-0000-0000BD690000}"/>
    <cellStyle name="Normal 10 2 20 5" xfId="18795" xr:uid="{00000000-0005-0000-0000-0000BE690000}"/>
    <cellStyle name="Normal 10 2 20 6" xfId="34287" xr:uid="{00000000-0005-0000-0000-0000BF690000}"/>
    <cellStyle name="Normal 10 2 21" xfId="4135" xr:uid="{00000000-0005-0000-0000-0000C0690000}"/>
    <cellStyle name="Normal 10 2 21 2" xfId="6073" xr:uid="{00000000-0005-0000-0000-0000C1690000}"/>
    <cellStyle name="Normal 10 2 21 2 2" xfId="9944" xr:uid="{00000000-0005-0000-0000-0000C2690000}"/>
    <cellStyle name="Normal 10 2 21 2 2 2" xfId="17689" xr:uid="{00000000-0005-0000-0000-0000C3690000}"/>
    <cellStyle name="Normal 10 2 21 2 2 2 2" xfId="33281" xr:uid="{00000000-0005-0000-0000-0000C4690000}"/>
    <cellStyle name="Normal 10 2 21 2 2 2 3" xfId="48773" xr:uid="{00000000-0005-0000-0000-0000C5690000}"/>
    <cellStyle name="Normal 10 2 21 2 2 3" xfId="25541" xr:uid="{00000000-0005-0000-0000-0000C6690000}"/>
    <cellStyle name="Normal 10 2 21 2 2 4" xfId="41033" xr:uid="{00000000-0005-0000-0000-0000C7690000}"/>
    <cellStyle name="Normal 10 2 21 2 3" xfId="13819" xr:uid="{00000000-0005-0000-0000-0000C8690000}"/>
    <cellStyle name="Normal 10 2 21 2 3 2" xfId="29411" xr:uid="{00000000-0005-0000-0000-0000C9690000}"/>
    <cellStyle name="Normal 10 2 21 2 3 3" xfId="44903" xr:uid="{00000000-0005-0000-0000-0000CA690000}"/>
    <cellStyle name="Normal 10 2 21 2 4" xfId="21671" xr:uid="{00000000-0005-0000-0000-0000CB690000}"/>
    <cellStyle name="Normal 10 2 21 2 5" xfId="37163" xr:uid="{00000000-0005-0000-0000-0000CC690000}"/>
    <cellStyle name="Normal 10 2 21 3" xfId="8017" xr:uid="{00000000-0005-0000-0000-0000CD690000}"/>
    <cellStyle name="Normal 10 2 21 3 2" xfId="15762" xr:uid="{00000000-0005-0000-0000-0000CE690000}"/>
    <cellStyle name="Normal 10 2 21 3 2 2" xfId="31354" xr:uid="{00000000-0005-0000-0000-0000CF690000}"/>
    <cellStyle name="Normal 10 2 21 3 2 3" xfId="46846" xr:uid="{00000000-0005-0000-0000-0000D0690000}"/>
    <cellStyle name="Normal 10 2 21 3 3" xfId="23614" xr:uid="{00000000-0005-0000-0000-0000D1690000}"/>
    <cellStyle name="Normal 10 2 21 3 4" xfId="39106" xr:uid="{00000000-0005-0000-0000-0000D2690000}"/>
    <cellStyle name="Normal 10 2 21 4" xfId="11892" xr:uid="{00000000-0005-0000-0000-0000D3690000}"/>
    <cellStyle name="Normal 10 2 21 4 2" xfId="27484" xr:uid="{00000000-0005-0000-0000-0000D4690000}"/>
    <cellStyle name="Normal 10 2 21 4 3" xfId="42976" xr:uid="{00000000-0005-0000-0000-0000D5690000}"/>
    <cellStyle name="Normal 10 2 21 5" xfId="19744" xr:uid="{00000000-0005-0000-0000-0000D6690000}"/>
    <cellStyle name="Normal 10 2 21 6" xfId="35236" xr:uid="{00000000-0005-0000-0000-0000D7690000}"/>
    <cellStyle name="Normal 10 2 22" xfId="4159" xr:uid="{00000000-0005-0000-0000-0000D8690000}"/>
    <cellStyle name="Normal 10 2 22 2" xfId="6088" xr:uid="{00000000-0005-0000-0000-0000D9690000}"/>
    <cellStyle name="Normal 10 2 22 2 2" xfId="9959" xr:uid="{00000000-0005-0000-0000-0000DA690000}"/>
    <cellStyle name="Normal 10 2 22 2 2 2" xfId="17704" xr:uid="{00000000-0005-0000-0000-0000DB690000}"/>
    <cellStyle name="Normal 10 2 22 2 2 2 2" xfId="33296" xr:uid="{00000000-0005-0000-0000-0000DC690000}"/>
    <cellStyle name="Normal 10 2 22 2 2 2 3" xfId="48788" xr:uid="{00000000-0005-0000-0000-0000DD690000}"/>
    <cellStyle name="Normal 10 2 22 2 2 3" xfId="25556" xr:uid="{00000000-0005-0000-0000-0000DE690000}"/>
    <cellStyle name="Normal 10 2 22 2 2 4" xfId="41048" xr:uid="{00000000-0005-0000-0000-0000DF690000}"/>
    <cellStyle name="Normal 10 2 22 2 3" xfId="13834" xr:uid="{00000000-0005-0000-0000-0000E0690000}"/>
    <cellStyle name="Normal 10 2 22 2 3 2" xfId="29426" xr:uid="{00000000-0005-0000-0000-0000E1690000}"/>
    <cellStyle name="Normal 10 2 22 2 3 3" xfId="44918" xr:uid="{00000000-0005-0000-0000-0000E2690000}"/>
    <cellStyle name="Normal 10 2 22 2 4" xfId="21686" xr:uid="{00000000-0005-0000-0000-0000E3690000}"/>
    <cellStyle name="Normal 10 2 22 2 5" xfId="37178" xr:uid="{00000000-0005-0000-0000-0000E4690000}"/>
    <cellStyle name="Normal 10 2 22 3" xfId="8032" xr:uid="{00000000-0005-0000-0000-0000E5690000}"/>
    <cellStyle name="Normal 10 2 22 3 2" xfId="15777" xr:uid="{00000000-0005-0000-0000-0000E6690000}"/>
    <cellStyle name="Normal 10 2 22 3 2 2" xfId="31369" xr:uid="{00000000-0005-0000-0000-0000E7690000}"/>
    <cellStyle name="Normal 10 2 22 3 2 3" xfId="46861" xr:uid="{00000000-0005-0000-0000-0000E8690000}"/>
    <cellStyle name="Normal 10 2 22 3 3" xfId="23629" xr:uid="{00000000-0005-0000-0000-0000E9690000}"/>
    <cellStyle name="Normal 10 2 22 3 4" xfId="39121" xr:uid="{00000000-0005-0000-0000-0000EA690000}"/>
    <cellStyle name="Normal 10 2 22 4" xfId="11907" xr:uid="{00000000-0005-0000-0000-0000EB690000}"/>
    <cellStyle name="Normal 10 2 22 4 2" xfId="27499" xr:uid="{00000000-0005-0000-0000-0000EC690000}"/>
    <cellStyle name="Normal 10 2 22 4 3" xfId="42991" xr:uid="{00000000-0005-0000-0000-0000ED690000}"/>
    <cellStyle name="Normal 10 2 22 5" xfId="19759" xr:uid="{00000000-0005-0000-0000-0000EE690000}"/>
    <cellStyle name="Normal 10 2 22 6" xfId="35251" xr:uid="{00000000-0005-0000-0000-0000EF690000}"/>
    <cellStyle name="Normal 10 2 23" xfId="4176" xr:uid="{00000000-0005-0000-0000-0000F0690000}"/>
    <cellStyle name="Normal 10 2 23 2" xfId="8047" xr:uid="{00000000-0005-0000-0000-0000F1690000}"/>
    <cellStyle name="Normal 10 2 23 2 2" xfId="15792" xr:uid="{00000000-0005-0000-0000-0000F2690000}"/>
    <cellStyle name="Normal 10 2 23 2 2 2" xfId="31384" xr:uid="{00000000-0005-0000-0000-0000F3690000}"/>
    <cellStyle name="Normal 10 2 23 2 2 3" xfId="46876" xr:uid="{00000000-0005-0000-0000-0000F4690000}"/>
    <cellStyle name="Normal 10 2 23 2 3" xfId="23644" xr:uid="{00000000-0005-0000-0000-0000F5690000}"/>
    <cellStyle name="Normal 10 2 23 2 4" xfId="39136" xr:uid="{00000000-0005-0000-0000-0000F6690000}"/>
    <cellStyle name="Normal 10 2 23 3" xfId="11922" xr:uid="{00000000-0005-0000-0000-0000F7690000}"/>
    <cellStyle name="Normal 10 2 23 3 2" xfId="27514" xr:uid="{00000000-0005-0000-0000-0000F8690000}"/>
    <cellStyle name="Normal 10 2 23 3 3" xfId="43006" xr:uid="{00000000-0005-0000-0000-0000F9690000}"/>
    <cellStyle name="Normal 10 2 23 4" xfId="19774" xr:uid="{00000000-0005-0000-0000-0000FA690000}"/>
    <cellStyle name="Normal 10 2 23 5" xfId="35266" xr:uid="{00000000-0005-0000-0000-0000FB690000}"/>
    <cellStyle name="Normal 10 2 24" xfId="6105" xr:uid="{00000000-0005-0000-0000-0000FC690000}"/>
    <cellStyle name="Normal 10 2 24 2" xfId="9975" xr:uid="{00000000-0005-0000-0000-0000FD690000}"/>
    <cellStyle name="Normal 10 2 24 2 2" xfId="17720" xr:uid="{00000000-0005-0000-0000-0000FE690000}"/>
    <cellStyle name="Normal 10 2 24 2 2 2" xfId="33312" xr:uid="{00000000-0005-0000-0000-0000FF690000}"/>
    <cellStyle name="Normal 10 2 24 2 2 3" xfId="48804" xr:uid="{00000000-0005-0000-0000-0000006A0000}"/>
    <cellStyle name="Normal 10 2 24 2 3" xfId="25572" xr:uid="{00000000-0005-0000-0000-0000016A0000}"/>
    <cellStyle name="Normal 10 2 24 2 4" xfId="41064" xr:uid="{00000000-0005-0000-0000-0000026A0000}"/>
    <cellStyle name="Normal 10 2 24 3" xfId="13850" xr:uid="{00000000-0005-0000-0000-0000036A0000}"/>
    <cellStyle name="Normal 10 2 24 3 2" xfId="29442" xr:uid="{00000000-0005-0000-0000-0000046A0000}"/>
    <cellStyle name="Normal 10 2 24 3 3" xfId="44934" xr:uid="{00000000-0005-0000-0000-0000056A0000}"/>
    <cellStyle name="Normal 10 2 24 4" xfId="21702" xr:uid="{00000000-0005-0000-0000-0000066A0000}"/>
    <cellStyle name="Normal 10 2 24 5" xfId="37194" xr:uid="{00000000-0005-0000-0000-0000076A0000}"/>
    <cellStyle name="Normal 10 2 25" xfId="6120" xr:uid="{00000000-0005-0000-0000-0000086A0000}"/>
    <cellStyle name="Normal 10 2 25 2" xfId="13865" xr:uid="{00000000-0005-0000-0000-0000096A0000}"/>
    <cellStyle name="Normal 10 2 25 2 2" xfId="29457" xr:uid="{00000000-0005-0000-0000-00000A6A0000}"/>
    <cellStyle name="Normal 10 2 25 2 3" xfId="44949" xr:uid="{00000000-0005-0000-0000-00000B6A0000}"/>
    <cellStyle name="Normal 10 2 25 3" xfId="21717" xr:uid="{00000000-0005-0000-0000-00000C6A0000}"/>
    <cellStyle name="Normal 10 2 25 4" xfId="37209" xr:uid="{00000000-0005-0000-0000-00000D6A0000}"/>
    <cellStyle name="Normal 10 2 26" xfId="9995" xr:uid="{00000000-0005-0000-0000-00000E6A0000}"/>
    <cellStyle name="Normal 10 2 26 2" xfId="25587" xr:uid="{00000000-0005-0000-0000-00000F6A0000}"/>
    <cellStyle name="Normal 10 2 26 3" xfId="41079" xr:uid="{00000000-0005-0000-0000-0000106A0000}"/>
    <cellStyle name="Normal 10 2 27" xfId="17847" xr:uid="{00000000-0005-0000-0000-0000116A0000}"/>
    <cellStyle name="Normal 10 2 28" xfId="33339" xr:uid="{00000000-0005-0000-0000-0000126A0000}"/>
    <cellStyle name="Normal 10 2 29" xfId="48852" xr:uid="{00000000-0005-0000-0000-0000136A0000}"/>
    <cellStyle name="Normal 10 2 3" xfId="2246" xr:uid="{00000000-0005-0000-0000-0000146A0000}"/>
    <cellStyle name="Normal 10 2 3 2" xfId="2563" xr:uid="{00000000-0005-0000-0000-0000156A0000}"/>
    <cellStyle name="Normal 10 2 3 2 2" xfId="3571" xr:uid="{00000000-0005-0000-0000-0000166A0000}"/>
    <cellStyle name="Normal 10 2 3 2 2 2" xfId="5510" xr:uid="{00000000-0005-0000-0000-0000176A0000}"/>
    <cellStyle name="Normal 10 2 3 2 2 2 2" xfId="9381" xr:uid="{00000000-0005-0000-0000-0000186A0000}"/>
    <cellStyle name="Normal 10 2 3 2 2 2 2 2" xfId="17126" xr:uid="{00000000-0005-0000-0000-0000196A0000}"/>
    <cellStyle name="Normal 10 2 3 2 2 2 2 2 2" xfId="32718" xr:uid="{00000000-0005-0000-0000-00001A6A0000}"/>
    <cellStyle name="Normal 10 2 3 2 2 2 2 2 3" xfId="48210" xr:uid="{00000000-0005-0000-0000-00001B6A0000}"/>
    <cellStyle name="Normal 10 2 3 2 2 2 2 3" xfId="24978" xr:uid="{00000000-0005-0000-0000-00001C6A0000}"/>
    <cellStyle name="Normal 10 2 3 2 2 2 2 4" xfId="40470" xr:uid="{00000000-0005-0000-0000-00001D6A0000}"/>
    <cellStyle name="Normal 10 2 3 2 2 2 3" xfId="13256" xr:uid="{00000000-0005-0000-0000-00001E6A0000}"/>
    <cellStyle name="Normal 10 2 3 2 2 2 3 2" xfId="28848" xr:uid="{00000000-0005-0000-0000-00001F6A0000}"/>
    <cellStyle name="Normal 10 2 3 2 2 2 3 3" xfId="44340" xr:uid="{00000000-0005-0000-0000-0000206A0000}"/>
    <cellStyle name="Normal 10 2 3 2 2 2 4" xfId="21108" xr:uid="{00000000-0005-0000-0000-0000216A0000}"/>
    <cellStyle name="Normal 10 2 3 2 2 2 5" xfId="36600" xr:uid="{00000000-0005-0000-0000-0000226A0000}"/>
    <cellStyle name="Normal 10 2 3 2 2 3" xfId="7454" xr:uid="{00000000-0005-0000-0000-0000236A0000}"/>
    <cellStyle name="Normal 10 2 3 2 2 3 2" xfId="15199" xr:uid="{00000000-0005-0000-0000-0000246A0000}"/>
    <cellStyle name="Normal 10 2 3 2 2 3 2 2" xfId="30791" xr:uid="{00000000-0005-0000-0000-0000256A0000}"/>
    <cellStyle name="Normal 10 2 3 2 2 3 2 3" xfId="46283" xr:uid="{00000000-0005-0000-0000-0000266A0000}"/>
    <cellStyle name="Normal 10 2 3 2 2 3 3" xfId="23051" xr:uid="{00000000-0005-0000-0000-0000276A0000}"/>
    <cellStyle name="Normal 10 2 3 2 2 3 4" xfId="38543" xr:uid="{00000000-0005-0000-0000-0000286A0000}"/>
    <cellStyle name="Normal 10 2 3 2 2 4" xfId="11329" xr:uid="{00000000-0005-0000-0000-0000296A0000}"/>
    <cellStyle name="Normal 10 2 3 2 2 4 2" xfId="26921" xr:uid="{00000000-0005-0000-0000-00002A6A0000}"/>
    <cellStyle name="Normal 10 2 3 2 2 4 3" xfId="42413" xr:uid="{00000000-0005-0000-0000-00002B6A0000}"/>
    <cellStyle name="Normal 10 2 3 2 2 5" xfId="19181" xr:uid="{00000000-0005-0000-0000-00002C6A0000}"/>
    <cellStyle name="Normal 10 2 3 2 2 6" xfId="34673" xr:uid="{00000000-0005-0000-0000-00002D6A0000}"/>
    <cellStyle name="Normal 10 2 3 2 3" xfId="4562" xr:uid="{00000000-0005-0000-0000-00002E6A0000}"/>
    <cellStyle name="Normal 10 2 3 2 3 2" xfId="8433" xr:uid="{00000000-0005-0000-0000-00002F6A0000}"/>
    <cellStyle name="Normal 10 2 3 2 3 2 2" xfId="16178" xr:uid="{00000000-0005-0000-0000-0000306A0000}"/>
    <cellStyle name="Normal 10 2 3 2 3 2 2 2" xfId="31770" xr:uid="{00000000-0005-0000-0000-0000316A0000}"/>
    <cellStyle name="Normal 10 2 3 2 3 2 2 3" xfId="47262" xr:uid="{00000000-0005-0000-0000-0000326A0000}"/>
    <cellStyle name="Normal 10 2 3 2 3 2 3" xfId="24030" xr:uid="{00000000-0005-0000-0000-0000336A0000}"/>
    <cellStyle name="Normal 10 2 3 2 3 2 4" xfId="39522" xr:uid="{00000000-0005-0000-0000-0000346A0000}"/>
    <cellStyle name="Normal 10 2 3 2 3 3" xfId="12308" xr:uid="{00000000-0005-0000-0000-0000356A0000}"/>
    <cellStyle name="Normal 10 2 3 2 3 3 2" xfId="27900" xr:uid="{00000000-0005-0000-0000-0000366A0000}"/>
    <cellStyle name="Normal 10 2 3 2 3 3 3" xfId="43392" xr:uid="{00000000-0005-0000-0000-0000376A0000}"/>
    <cellStyle name="Normal 10 2 3 2 3 4" xfId="20160" xr:uid="{00000000-0005-0000-0000-0000386A0000}"/>
    <cellStyle name="Normal 10 2 3 2 3 5" xfId="35652" xr:uid="{00000000-0005-0000-0000-0000396A0000}"/>
    <cellStyle name="Normal 10 2 3 2 4" xfId="6506" xr:uid="{00000000-0005-0000-0000-00003A6A0000}"/>
    <cellStyle name="Normal 10 2 3 2 4 2" xfId="14251" xr:uid="{00000000-0005-0000-0000-00003B6A0000}"/>
    <cellStyle name="Normal 10 2 3 2 4 2 2" xfId="29843" xr:uid="{00000000-0005-0000-0000-00003C6A0000}"/>
    <cellStyle name="Normal 10 2 3 2 4 2 3" xfId="45335" xr:uid="{00000000-0005-0000-0000-00003D6A0000}"/>
    <cellStyle name="Normal 10 2 3 2 4 3" xfId="22103" xr:uid="{00000000-0005-0000-0000-00003E6A0000}"/>
    <cellStyle name="Normal 10 2 3 2 4 4" xfId="37595" xr:uid="{00000000-0005-0000-0000-00003F6A0000}"/>
    <cellStyle name="Normal 10 2 3 2 5" xfId="10381" xr:uid="{00000000-0005-0000-0000-0000406A0000}"/>
    <cellStyle name="Normal 10 2 3 2 5 2" xfId="25973" xr:uid="{00000000-0005-0000-0000-0000416A0000}"/>
    <cellStyle name="Normal 10 2 3 2 5 3" xfId="41465" xr:uid="{00000000-0005-0000-0000-0000426A0000}"/>
    <cellStyle name="Normal 10 2 3 2 6" xfId="18233" xr:uid="{00000000-0005-0000-0000-0000436A0000}"/>
    <cellStyle name="Normal 10 2 3 2 7" xfId="33725" xr:uid="{00000000-0005-0000-0000-0000446A0000}"/>
    <cellStyle name="Normal 10 2 3 3" xfId="3262" xr:uid="{00000000-0005-0000-0000-0000456A0000}"/>
    <cellStyle name="Normal 10 2 3 3 2" xfId="5201" xr:uid="{00000000-0005-0000-0000-0000466A0000}"/>
    <cellStyle name="Normal 10 2 3 3 2 2" xfId="9072" xr:uid="{00000000-0005-0000-0000-0000476A0000}"/>
    <cellStyle name="Normal 10 2 3 3 2 2 2" xfId="16817" xr:uid="{00000000-0005-0000-0000-0000486A0000}"/>
    <cellStyle name="Normal 10 2 3 3 2 2 2 2" xfId="32409" xr:uid="{00000000-0005-0000-0000-0000496A0000}"/>
    <cellStyle name="Normal 10 2 3 3 2 2 2 3" xfId="47901" xr:uid="{00000000-0005-0000-0000-00004A6A0000}"/>
    <cellStyle name="Normal 10 2 3 3 2 2 3" xfId="24669" xr:uid="{00000000-0005-0000-0000-00004B6A0000}"/>
    <cellStyle name="Normal 10 2 3 3 2 2 4" xfId="40161" xr:uid="{00000000-0005-0000-0000-00004C6A0000}"/>
    <cellStyle name="Normal 10 2 3 3 2 3" xfId="12947" xr:uid="{00000000-0005-0000-0000-00004D6A0000}"/>
    <cellStyle name="Normal 10 2 3 3 2 3 2" xfId="28539" xr:uid="{00000000-0005-0000-0000-00004E6A0000}"/>
    <cellStyle name="Normal 10 2 3 3 2 3 3" xfId="44031" xr:uid="{00000000-0005-0000-0000-00004F6A0000}"/>
    <cellStyle name="Normal 10 2 3 3 2 4" xfId="20799" xr:uid="{00000000-0005-0000-0000-0000506A0000}"/>
    <cellStyle name="Normal 10 2 3 3 2 5" xfId="36291" xr:uid="{00000000-0005-0000-0000-0000516A0000}"/>
    <cellStyle name="Normal 10 2 3 3 3" xfId="7145" xr:uid="{00000000-0005-0000-0000-0000526A0000}"/>
    <cellStyle name="Normal 10 2 3 3 3 2" xfId="14890" xr:uid="{00000000-0005-0000-0000-0000536A0000}"/>
    <cellStyle name="Normal 10 2 3 3 3 2 2" xfId="30482" xr:uid="{00000000-0005-0000-0000-0000546A0000}"/>
    <cellStyle name="Normal 10 2 3 3 3 2 3" xfId="45974" xr:uid="{00000000-0005-0000-0000-0000556A0000}"/>
    <cellStyle name="Normal 10 2 3 3 3 3" xfId="22742" xr:uid="{00000000-0005-0000-0000-0000566A0000}"/>
    <cellStyle name="Normal 10 2 3 3 3 4" xfId="38234" xr:uid="{00000000-0005-0000-0000-0000576A0000}"/>
    <cellStyle name="Normal 10 2 3 3 4" xfId="11020" xr:uid="{00000000-0005-0000-0000-0000586A0000}"/>
    <cellStyle name="Normal 10 2 3 3 4 2" xfId="26612" xr:uid="{00000000-0005-0000-0000-0000596A0000}"/>
    <cellStyle name="Normal 10 2 3 3 4 3" xfId="42104" xr:uid="{00000000-0005-0000-0000-00005A6A0000}"/>
    <cellStyle name="Normal 10 2 3 3 5" xfId="18872" xr:uid="{00000000-0005-0000-0000-00005B6A0000}"/>
    <cellStyle name="Normal 10 2 3 3 6" xfId="34364" xr:uid="{00000000-0005-0000-0000-00005C6A0000}"/>
    <cellStyle name="Normal 10 2 3 4" xfId="4253" xr:uid="{00000000-0005-0000-0000-00005D6A0000}"/>
    <cellStyle name="Normal 10 2 3 4 2" xfId="8124" xr:uid="{00000000-0005-0000-0000-00005E6A0000}"/>
    <cellStyle name="Normal 10 2 3 4 2 2" xfId="15869" xr:uid="{00000000-0005-0000-0000-00005F6A0000}"/>
    <cellStyle name="Normal 10 2 3 4 2 2 2" xfId="31461" xr:uid="{00000000-0005-0000-0000-0000606A0000}"/>
    <cellStyle name="Normal 10 2 3 4 2 2 3" xfId="46953" xr:uid="{00000000-0005-0000-0000-0000616A0000}"/>
    <cellStyle name="Normal 10 2 3 4 2 3" xfId="23721" xr:uid="{00000000-0005-0000-0000-0000626A0000}"/>
    <cellStyle name="Normal 10 2 3 4 2 4" xfId="39213" xr:uid="{00000000-0005-0000-0000-0000636A0000}"/>
    <cellStyle name="Normal 10 2 3 4 3" xfId="11999" xr:uid="{00000000-0005-0000-0000-0000646A0000}"/>
    <cellStyle name="Normal 10 2 3 4 3 2" xfId="27591" xr:uid="{00000000-0005-0000-0000-0000656A0000}"/>
    <cellStyle name="Normal 10 2 3 4 3 3" xfId="43083" xr:uid="{00000000-0005-0000-0000-0000666A0000}"/>
    <cellStyle name="Normal 10 2 3 4 4" xfId="19851" xr:uid="{00000000-0005-0000-0000-0000676A0000}"/>
    <cellStyle name="Normal 10 2 3 4 5" xfId="35343" xr:uid="{00000000-0005-0000-0000-0000686A0000}"/>
    <cellStyle name="Normal 10 2 3 5" xfId="6197" xr:uid="{00000000-0005-0000-0000-0000696A0000}"/>
    <cellStyle name="Normal 10 2 3 5 2" xfId="13942" xr:uid="{00000000-0005-0000-0000-00006A6A0000}"/>
    <cellStyle name="Normal 10 2 3 5 2 2" xfId="29534" xr:uid="{00000000-0005-0000-0000-00006B6A0000}"/>
    <cellStyle name="Normal 10 2 3 5 2 3" xfId="45026" xr:uid="{00000000-0005-0000-0000-00006C6A0000}"/>
    <cellStyle name="Normal 10 2 3 5 3" xfId="21794" xr:uid="{00000000-0005-0000-0000-00006D6A0000}"/>
    <cellStyle name="Normal 10 2 3 5 4" xfId="37286" xr:uid="{00000000-0005-0000-0000-00006E6A0000}"/>
    <cellStyle name="Normal 10 2 3 6" xfId="10072" xr:uid="{00000000-0005-0000-0000-00006F6A0000}"/>
    <cellStyle name="Normal 10 2 3 6 2" xfId="25664" xr:uid="{00000000-0005-0000-0000-0000706A0000}"/>
    <cellStyle name="Normal 10 2 3 6 3" xfId="41156" xr:uid="{00000000-0005-0000-0000-0000716A0000}"/>
    <cellStyle name="Normal 10 2 3 7" xfId="17924" xr:uid="{00000000-0005-0000-0000-0000726A0000}"/>
    <cellStyle name="Normal 10 2 3 8" xfId="33416" xr:uid="{00000000-0005-0000-0000-0000736A0000}"/>
    <cellStyle name="Normal 10 2 30" xfId="49088" xr:uid="{39A159C9-BCA5-4023-85EF-43D5EF125604}"/>
    <cellStyle name="Normal 10 2 4" xfId="2283" xr:uid="{00000000-0005-0000-0000-0000746A0000}"/>
    <cellStyle name="Normal 10 2 4 2" xfId="2599" xr:uid="{00000000-0005-0000-0000-0000756A0000}"/>
    <cellStyle name="Normal 10 2 4 2 2" xfId="3607" xr:uid="{00000000-0005-0000-0000-0000766A0000}"/>
    <cellStyle name="Normal 10 2 4 2 2 2" xfId="5546" xr:uid="{00000000-0005-0000-0000-0000776A0000}"/>
    <cellStyle name="Normal 10 2 4 2 2 2 2" xfId="9417" xr:uid="{00000000-0005-0000-0000-0000786A0000}"/>
    <cellStyle name="Normal 10 2 4 2 2 2 2 2" xfId="17162" xr:uid="{00000000-0005-0000-0000-0000796A0000}"/>
    <cellStyle name="Normal 10 2 4 2 2 2 2 2 2" xfId="32754" xr:uid="{00000000-0005-0000-0000-00007A6A0000}"/>
    <cellStyle name="Normal 10 2 4 2 2 2 2 2 3" xfId="48246" xr:uid="{00000000-0005-0000-0000-00007B6A0000}"/>
    <cellStyle name="Normal 10 2 4 2 2 2 2 3" xfId="25014" xr:uid="{00000000-0005-0000-0000-00007C6A0000}"/>
    <cellStyle name="Normal 10 2 4 2 2 2 2 4" xfId="40506" xr:uid="{00000000-0005-0000-0000-00007D6A0000}"/>
    <cellStyle name="Normal 10 2 4 2 2 2 3" xfId="13292" xr:uid="{00000000-0005-0000-0000-00007E6A0000}"/>
    <cellStyle name="Normal 10 2 4 2 2 2 3 2" xfId="28884" xr:uid="{00000000-0005-0000-0000-00007F6A0000}"/>
    <cellStyle name="Normal 10 2 4 2 2 2 3 3" xfId="44376" xr:uid="{00000000-0005-0000-0000-0000806A0000}"/>
    <cellStyle name="Normal 10 2 4 2 2 2 4" xfId="21144" xr:uid="{00000000-0005-0000-0000-0000816A0000}"/>
    <cellStyle name="Normal 10 2 4 2 2 2 5" xfId="36636" xr:uid="{00000000-0005-0000-0000-0000826A0000}"/>
    <cellStyle name="Normal 10 2 4 2 2 3" xfId="7490" xr:uid="{00000000-0005-0000-0000-0000836A0000}"/>
    <cellStyle name="Normal 10 2 4 2 2 3 2" xfId="15235" xr:uid="{00000000-0005-0000-0000-0000846A0000}"/>
    <cellStyle name="Normal 10 2 4 2 2 3 2 2" xfId="30827" xr:uid="{00000000-0005-0000-0000-0000856A0000}"/>
    <cellStyle name="Normal 10 2 4 2 2 3 2 3" xfId="46319" xr:uid="{00000000-0005-0000-0000-0000866A0000}"/>
    <cellStyle name="Normal 10 2 4 2 2 3 3" xfId="23087" xr:uid="{00000000-0005-0000-0000-0000876A0000}"/>
    <cellStyle name="Normal 10 2 4 2 2 3 4" xfId="38579" xr:uid="{00000000-0005-0000-0000-0000886A0000}"/>
    <cellStyle name="Normal 10 2 4 2 2 4" xfId="11365" xr:uid="{00000000-0005-0000-0000-0000896A0000}"/>
    <cellStyle name="Normal 10 2 4 2 2 4 2" xfId="26957" xr:uid="{00000000-0005-0000-0000-00008A6A0000}"/>
    <cellStyle name="Normal 10 2 4 2 2 4 3" xfId="42449" xr:uid="{00000000-0005-0000-0000-00008B6A0000}"/>
    <cellStyle name="Normal 10 2 4 2 2 5" xfId="19217" xr:uid="{00000000-0005-0000-0000-00008C6A0000}"/>
    <cellStyle name="Normal 10 2 4 2 2 6" xfId="34709" xr:uid="{00000000-0005-0000-0000-00008D6A0000}"/>
    <cellStyle name="Normal 10 2 4 2 3" xfId="4598" xr:uid="{00000000-0005-0000-0000-00008E6A0000}"/>
    <cellStyle name="Normal 10 2 4 2 3 2" xfId="8469" xr:uid="{00000000-0005-0000-0000-00008F6A0000}"/>
    <cellStyle name="Normal 10 2 4 2 3 2 2" xfId="16214" xr:uid="{00000000-0005-0000-0000-0000906A0000}"/>
    <cellStyle name="Normal 10 2 4 2 3 2 2 2" xfId="31806" xr:uid="{00000000-0005-0000-0000-0000916A0000}"/>
    <cellStyle name="Normal 10 2 4 2 3 2 2 3" xfId="47298" xr:uid="{00000000-0005-0000-0000-0000926A0000}"/>
    <cellStyle name="Normal 10 2 4 2 3 2 3" xfId="24066" xr:uid="{00000000-0005-0000-0000-0000936A0000}"/>
    <cellStyle name="Normal 10 2 4 2 3 2 4" xfId="39558" xr:uid="{00000000-0005-0000-0000-0000946A0000}"/>
    <cellStyle name="Normal 10 2 4 2 3 3" xfId="12344" xr:uid="{00000000-0005-0000-0000-0000956A0000}"/>
    <cellStyle name="Normal 10 2 4 2 3 3 2" xfId="27936" xr:uid="{00000000-0005-0000-0000-0000966A0000}"/>
    <cellStyle name="Normal 10 2 4 2 3 3 3" xfId="43428" xr:uid="{00000000-0005-0000-0000-0000976A0000}"/>
    <cellStyle name="Normal 10 2 4 2 3 4" xfId="20196" xr:uid="{00000000-0005-0000-0000-0000986A0000}"/>
    <cellStyle name="Normal 10 2 4 2 3 5" xfId="35688" xr:uid="{00000000-0005-0000-0000-0000996A0000}"/>
    <cellStyle name="Normal 10 2 4 2 4" xfId="6542" xr:uid="{00000000-0005-0000-0000-00009A6A0000}"/>
    <cellStyle name="Normal 10 2 4 2 4 2" xfId="14287" xr:uid="{00000000-0005-0000-0000-00009B6A0000}"/>
    <cellStyle name="Normal 10 2 4 2 4 2 2" xfId="29879" xr:uid="{00000000-0005-0000-0000-00009C6A0000}"/>
    <cellStyle name="Normal 10 2 4 2 4 2 3" xfId="45371" xr:uid="{00000000-0005-0000-0000-00009D6A0000}"/>
    <cellStyle name="Normal 10 2 4 2 4 3" xfId="22139" xr:uid="{00000000-0005-0000-0000-00009E6A0000}"/>
    <cellStyle name="Normal 10 2 4 2 4 4" xfId="37631" xr:uid="{00000000-0005-0000-0000-00009F6A0000}"/>
    <cellStyle name="Normal 10 2 4 2 5" xfId="10417" xr:uid="{00000000-0005-0000-0000-0000A06A0000}"/>
    <cellStyle name="Normal 10 2 4 2 5 2" xfId="26009" xr:uid="{00000000-0005-0000-0000-0000A16A0000}"/>
    <cellStyle name="Normal 10 2 4 2 5 3" xfId="41501" xr:uid="{00000000-0005-0000-0000-0000A26A0000}"/>
    <cellStyle name="Normal 10 2 4 2 6" xfId="18269" xr:uid="{00000000-0005-0000-0000-0000A36A0000}"/>
    <cellStyle name="Normal 10 2 4 2 7" xfId="33761" xr:uid="{00000000-0005-0000-0000-0000A46A0000}"/>
    <cellStyle name="Normal 10 2 4 3" xfId="3298" xr:uid="{00000000-0005-0000-0000-0000A56A0000}"/>
    <cellStyle name="Normal 10 2 4 3 2" xfId="5237" xr:uid="{00000000-0005-0000-0000-0000A66A0000}"/>
    <cellStyle name="Normal 10 2 4 3 2 2" xfId="9108" xr:uid="{00000000-0005-0000-0000-0000A76A0000}"/>
    <cellStyle name="Normal 10 2 4 3 2 2 2" xfId="16853" xr:uid="{00000000-0005-0000-0000-0000A86A0000}"/>
    <cellStyle name="Normal 10 2 4 3 2 2 2 2" xfId="32445" xr:uid="{00000000-0005-0000-0000-0000A96A0000}"/>
    <cellStyle name="Normal 10 2 4 3 2 2 2 3" xfId="47937" xr:uid="{00000000-0005-0000-0000-0000AA6A0000}"/>
    <cellStyle name="Normal 10 2 4 3 2 2 3" xfId="24705" xr:uid="{00000000-0005-0000-0000-0000AB6A0000}"/>
    <cellStyle name="Normal 10 2 4 3 2 2 4" xfId="40197" xr:uid="{00000000-0005-0000-0000-0000AC6A0000}"/>
    <cellStyle name="Normal 10 2 4 3 2 3" xfId="12983" xr:uid="{00000000-0005-0000-0000-0000AD6A0000}"/>
    <cellStyle name="Normal 10 2 4 3 2 3 2" xfId="28575" xr:uid="{00000000-0005-0000-0000-0000AE6A0000}"/>
    <cellStyle name="Normal 10 2 4 3 2 3 3" xfId="44067" xr:uid="{00000000-0005-0000-0000-0000AF6A0000}"/>
    <cellStyle name="Normal 10 2 4 3 2 4" xfId="20835" xr:uid="{00000000-0005-0000-0000-0000B06A0000}"/>
    <cellStyle name="Normal 10 2 4 3 2 5" xfId="36327" xr:uid="{00000000-0005-0000-0000-0000B16A0000}"/>
    <cellStyle name="Normal 10 2 4 3 3" xfId="7181" xr:uid="{00000000-0005-0000-0000-0000B26A0000}"/>
    <cellStyle name="Normal 10 2 4 3 3 2" xfId="14926" xr:uid="{00000000-0005-0000-0000-0000B36A0000}"/>
    <cellStyle name="Normal 10 2 4 3 3 2 2" xfId="30518" xr:uid="{00000000-0005-0000-0000-0000B46A0000}"/>
    <cellStyle name="Normal 10 2 4 3 3 2 3" xfId="46010" xr:uid="{00000000-0005-0000-0000-0000B56A0000}"/>
    <cellStyle name="Normal 10 2 4 3 3 3" xfId="22778" xr:uid="{00000000-0005-0000-0000-0000B66A0000}"/>
    <cellStyle name="Normal 10 2 4 3 3 4" xfId="38270" xr:uid="{00000000-0005-0000-0000-0000B76A0000}"/>
    <cellStyle name="Normal 10 2 4 3 4" xfId="11056" xr:uid="{00000000-0005-0000-0000-0000B86A0000}"/>
    <cellStyle name="Normal 10 2 4 3 4 2" xfId="26648" xr:uid="{00000000-0005-0000-0000-0000B96A0000}"/>
    <cellStyle name="Normal 10 2 4 3 4 3" xfId="42140" xr:uid="{00000000-0005-0000-0000-0000BA6A0000}"/>
    <cellStyle name="Normal 10 2 4 3 5" xfId="18908" xr:uid="{00000000-0005-0000-0000-0000BB6A0000}"/>
    <cellStyle name="Normal 10 2 4 3 6" xfId="34400" xr:uid="{00000000-0005-0000-0000-0000BC6A0000}"/>
    <cellStyle name="Normal 10 2 4 4" xfId="4289" xr:uid="{00000000-0005-0000-0000-0000BD6A0000}"/>
    <cellStyle name="Normal 10 2 4 4 2" xfId="8160" xr:uid="{00000000-0005-0000-0000-0000BE6A0000}"/>
    <cellStyle name="Normal 10 2 4 4 2 2" xfId="15905" xr:uid="{00000000-0005-0000-0000-0000BF6A0000}"/>
    <cellStyle name="Normal 10 2 4 4 2 2 2" xfId="31497" xr:uid="{00000000-0005-0000-0000-0000C06A0000}"/>
    <cellStyle name="Normal 10 2 4 4 2 2 3" xfId="46989" xr:uid="{00000000-0005-0000-0000-0000C16A0000}"/>
    <cellStyle name="Normal 10 2 4 4 2 3" xfId="23757" xr:uid="{00000000-0005-0000-0000-0000C26A0000}"/>
    <cellStyle name="Normal 10 2 4 4 2 4" xfId="39249" xr:uid="{00000000-0005-0000-0000-0000C36A0000}"/>
    <cellStyle name="Normal 10 2 4 4 3" xfId="12035" xr:uid="{00000000-0005-0000-0000-0000C46A0000}"/>
    <cellStyle name="Normal 10 2 4 4 3 2" xfId="27627" xr:uid="{00000000-0005-0000-0000-0000C56A0000}"/>
    <cellStyle name="Normal 10 2 4 4 3 3" xfId="43119" xr:uid="{00000000-0005-0000-0000-0000C66A0000}"/>
    <cellStyle name="Normal 10 2 4 4 4" xfId="19887" xr:uid="{00000000-0005-0000-0000-0000C76A0000}"/>
    <cellStyle name="Normal 10 2 4 4 5" xfId="35379" xr:uid="{00000000-0005-0000-0000-0000C86A0000}"/>
    <cellStyle name="Normal 10 2 4 5" xfId="6233" xr:uid="{00000000-0005-0000-0000-0000C96A0000}"/>
    <cellStyle name="Normal 10 2 4 5 2" xfId="13978" xr:uid="{00000000-0005-0000-0000-0000CA6A0000}"/>
    <cellStyle name="Normal 10 2 4 5 2 2" xfId="29570" xr:uid="{00000000-0005-0000-0000-0000CB6A0000}"/>
    <cellStyle name="Normal 10 2 4 5 2 3" xfId="45062" xr:uid="{00000000-0005-0000-0000-0000CC6A0000}"/>
    <cellStyle name="Normal 10 2 4 5 3" xfId="21830" xr:uid="{00000000-0005-0000-0000-0000CD6A0000}"/>
    <cellStyle name="Normal 10 2 4 5 4" xfId="37322" xr:uid="{00000000-0005-0000-0000-0000CE6A0000}"/>
    <cellStyle name="Normal 10 2 4 6" xfId="10108" xr:uid="{00000000-0005-0000-0000-0000CF6A0000}"/>
    <cellStyle name="Normal 10 2 4 6 2" xfId="25700" xr:uid="{00000000-0005-0000-0000-0000D06A0000}"/>
    <cellStyle name="Normal 10 2 4 6 3" xfId="41192" xr:uid="{00000000-0005-0000-0000-0000D16A0000}"/>
    <cellStyle name="Normal 10 2 4 7" xfId="17960" xr:uid="{00000000-0005-0000-0000-0000D26A0000}"/>
    <cellStyle name="Normal 10 2 4 8" xfId="33452" xr:uid="{00000000-0005-0000-0000-0000D36A0000}"/>
    <cellStyle name="Normal 10 2 5" xfId="2320" xr:uid="{00000000-0005-0000-0000-0000D46A0000}"/>
    <cellStyle name="Normal 10 2 5 2" xfId="2635" xr:uid="{00000000-0005-0000-0000-0000D56A0000}"/>
    <cellStyle name="Normal 10 2 5 2 2" xfId="3643" xr:uid="{00000000-0005-0000-0000-0000D66A0000}"/>
    <cellStyle name="Normal 10 2 5 2 2 2" xfId="5582" xr:uid="{00000000-0005-0000-0000-0000D76A0000}"/>
    <cellStyle name="Normal 10 2 5 2 2 2 2" xfId="9453" xr:uid="{00000000-0005-0000-0000-0000D86A0000}"/>
    <cellStyle name="Normal 10 2 5 2 2 2 2 2" xfId="17198" xr:uid="{00000000-0005-0000-0000-0000D96A0000}"/>
    <cellStyle name="Normal 10 2 5 2 2 2 2 2 2" xfId="32790" xr:uid="{00000000-0005-0000-0000-0000DA6A0000}"/>
    <cellStyle name="Normal 10 2 5 2 2 2 2 2 3" xfId="48282" xr:uid="{00000000-0005-0000-0000-0000DB6A0000}"/>
    <cellStyle name="Normal 10 2 5 2 2 2 2 3" xfId="25050" xr:uid="{00000000-0005-0000-0000-0000DC6A0000}"/>
    <cellStyle name="Normal 10 2 5 2 2 2 2 4" xfId="40542" xr:uid="{00000000-0005-0000-0000-0000DD6A0000}"/>
    <cellStyle name="Normal 10 2 5 2 2 2 3" xfId="13328" xr:uid="{00000000-0005-0000-0000-0000DE6A0000}"/>
    <cellStyle name="Normal 10 2 5 2 2 2 3 2" xfId="28920" xr:uid="{00000000-0005-0000-0000-0000DF6A0000}"/>
    <cellStyle name="Normal 10 2 5 2 2 2 3 3" xfId="44412" xr:uid="{00000000-0005-0000-0000-0000E06A0000}"/>
    <cellStyle name="Normal 10 2 5 2 2 2 4" xfId="21180" xr:uid="{00000000-0005-0000-0000-0000E16A0000}"/>
    <cellStyle name="Normal 10 2 5 2 2 2 5" xfId="36672" xr:uid="{00000000-0005-0000-0000-0000E26A0000}"/>
    <cellStyle name="Normal 10 2 5 2 2 3" xfId="7526" xr:uid="{00000000-0005-0000-0000-0000E36A0000}"/>
    <cellStyle name="Normal 10 2 5 2 2 3 2" xfId="15271" xr:uid="{00000000-0005-0000-0000-0000E46A0000}"/>
    <cellStyle name="Normal 10 2 5 2 2 3 2 2" xfId="30863" xr:uid="{00000000-0005-0000-0000-0000E56A0000}"/>
    <cellStyle name="Normal 10 2 5 2 2 3 2 3" xfId="46355" xr:uid="{00000000-0005-0000-0000-0000E66A0000}"/>
    <cellStyle name="Normal 10 2 5 2 2 3 3" xfId="23123" xr:uid="{00000000-0005-0000-0000-0000E76A0000}"/>
    <cellStyle name="Normal 10 2 5 2 2 3 4" xfId="38615" xr:uid="{00000000-0005-0000-0000-0000E86A0000}"/>
    <cellStyle name="Normal 10 2 5 2 2 4" xfId="11401" xr:uid="{00000000-0005-0000-0000-0000E96A0000}"/>
    <cellStyle name="Normal 10 2 5 2 2 4 2" xfId="26993" xr:uid="{00000000-0005-0000-0000-0000EA6A0000}"/>
    <cellStyle name="Normal 10 2 5 2 2 4 3" xfId="42485" xr:uid="{00000000-0005-0000-0000-0000EB6A0000}"/>
    <cellStyle name="Normal 10 2 5 2 2 5" xfId="19253" xr:uid="{00000000-0005-0000-0000-0000EC6A0000}"/>
    <cellStyle name="Normal 10 2 5 2 2 6" xfId="34745" xr:uid="{00000000-0005-0000-0000-0000ED6A0000}"/>
    <cellStyle name="Normal 10 2 5 2 3" xfId="4634" xr:uid="{00000000-0005-0000-0000-0000EE6A0000}"/>
    <cellStyle name="Normal 10 2 5 2 3 2" xfId="8505" xr:uid="{00000000-0005-0000-0000-0000EF6A0000}"/>
    <cellStyle name="Normal 10 2 5 2 3 2 2" xfId="16250" xr:uid="{00000000-0005-0000-0000-0000F06A0000}"/>
    <cellStyle name="Normal 10 2 5 2 3 2 2 2" xfId="31842" xr:uid="{00000000-0005-0000-0000-0000F16A0000}"/>
    <cellStyle name="Normal 10 2 5 2 3 2 2 3" xfId="47334" xr:uid="{00000000-0005-0000-0000-0000F26A0000}"/>
    <cellStyle name="Normal 10 2 5 2 3 2 3" xfId="24102" xr:uid="{00000000-0005-0000-0000-0000F36A0000}"/>
    <cellStyle name="Normal 10 2 5 2 3 2 4" xfId="39594" xr:uid="{00000000-0005-0000-0000-0000F46A0000}"/>
    <cellStyle name="Normal 10 2 5 2 3 3" xfId="12380" xr:uid="{00000000-0005-0000-0000-0000F56A0000}"/>
    <cellStyle name="Normal 10 2 5 2 3 3 2" xfId="27972" xr:uid="{00000000-0005-0000-0000-0000F66A0000}"/>
    <cellStyle name="Normal 10 2 5 2 3 3 3" xfId="43464" xr:uid="{00000000-0005-0000-0000-0000F76A0000}"/>
    <cellStyle name="Normal 10 2 5 2 3 4" xfId="20232" xr:uid="{00000000-0005-0000-0000-0000F86A0000}"/>
    <cellStyle name="Normal 10 2 5 2 3 5" xfId="35724" xr:uid="{00000000-0005-0000-0000-0000F96A0000}"/>
    <cellStyle name="Normal 10 2 5 2 4" xfId="6578" xr:uid="{00000000-0005-0000-0000-0000FA6A0000}"/>
    <cellStyle name="Normal 10 2 5 2 4 2" xfId="14323" xr:uid="{00000000-0005-0000-0000-0000FB6A0000}"/>
    <cellStyle name="Normal 10 2 5 2 4 2 2" xfId="29915" xr:uid="{00000000-0005-0000-0000-0000FC6A0000}"/>
    <cellStyle name="Normal 10 2 5 2 4 2 3" xfId="45407" xr:uid="{00000000-0005-0000-0000-0000FD6A0000}"/>
    <cellStyle name="Normal 10 2 5 2 4 3" xfId="22175" xr:uid="{00000000-0005-0000-0000-0000FE6A0000}"/>
    <cellStyle name="Normal 10 2 5 2 4 4" xfId="37667" xr:uid="{00000000-0005-0000-0000-0000FF6A0000}"/>
    <cellStyle name="Normal 10 2 5 2 5" xfId="10453" xr:uid="{00000000-0005-0000-0000-0000006B0000}"/>
    <cellStyle name="Normal 10 2 5 2 5 2" xfId="26045" xr:uid="{00000000-0005-0000-0000-0000016B0000}"/>
    <cellStyle name="Normal 10 2 5 2 5 3" xfId="41537" xr:uid="{00000000-0005-0000-0000-0000026B0000}"/>
    <cellStyle name="Normal 10 2 5 2 6" xfId="18305" xr:uid="{00000000-0005-0000-0000-0000036B0000}"/>
    <cellStyle name="Normal 10 2 5 2 7" xfId="33797" xr:uid="{00000000-0005-0000-0000-0000046B0000}"/>
    <cellStyle name="Normal 10 2 5 3" xfId="3334" xr:uid="{00000000-0005-0000-0000-0000056B0000}"/>
    <cellStyle name="Normal 10 2 5 3 2" xfId="5273" xr:uid="{00000000-0005-0000-0000-0000066B0000}"/>
    <cellStyle name="Normal 10 2 5 3 2 2" xfId="9144" xr:uid="{00000000-0005-0000-0000-0000076B0000}"/>
    <cellStyle name="Normal 10 2 5 3 2 2 2" xfId="16889" xr:uid="{00000000-0005-0000-0000-0000086B0000}"/>
    <cellStyle name="Normal 10 2 5 3 2 2 2 2" xfId="32481" xr:uid="{00000000-0005-0000-0000-0000096B0000}"/>
    <cellStyle name="Normal 10 2 5 3 2 2 2 3" xfId="47973" xr:uid="{00000000-0005-0000-0000-00000A6B0000}"/>
    <cellStyle name="Normal 10 2 5 3 2 2 3" xfId="24741" xr:uid="{00000000-0005-0000-0000-00000B6B0000}"/>
    <cellStyle name="Normal 10 2 5 3 2 2 4" xfId="40233" xr:uid="{00000000-0005-0000-0000-00000C6B0000}"/>
    <cellStyle name="Normal 10 2 5 3 2 3" xfId="13019" xr:uid="{00000000-0005-0000-0000-00000D6B0000}"/>
    <cellStyle name="Normal 10 2 5 3 2 3 2" xfId="28611" xr:uid="{00000000-0005-0000-0000-00000E6B0000}"/>
    <cellStyle name="Normal 10 2 5 3 2 3 3" xfId="44103" xr:uid="{00000000-0005-0000-0000-00000F6B0000}"/>
    <cellStyle name="Normal 10 2 5 3 2 4" xfId="20871" xr:uid="{00000000-0005-0000-0000-0000106B0000}"/>
    <cellStyle name="Normal 10 2 5 3 2 5" xfId="36363" xr:uid="{00000000-0005-0000-0000-0000116B0000}"/>
    <cellStyle name="Normal 10 2 5 3 3" xfId="7217" xr:uid="{00000000-0005-0000-0000-0000126B0000}"/>
    <cellStyle name="Normal 10 2 5 3 3 2" xfId="14962" xr:uid="{00000000-0005-0000-0000-0000136B0000}"/>
    <cellStyle name="Normal 10 2 5 3 3 2 2" xfId="30554" xr:uid="{00000000-0005-0000-0000-0000146B0000}"/>
    <cellStyle name="Normal 10 2 5 3 3 2 3" xfId="46046" xr:uid="{00000000-0005-0000-0000-0000156B0000}"/>
    <cellStyle name="Normal 10 2 5 3 3 3" xfId="22814" xr:uid="{00000000-0005-0000-0000-0000166B0000}"/>
    <cellStyle name="Normal 10 2 5 3 3 4" xfId="38306" xr:uid="{00000000-0005-0000-0000-0000176B0000}"/>
    <cellStyle name="Normal 10 2 5 3 4" xfId="11092" xr:uid="{00000000-0005-0000-0000-0000186B0000}"/>
    <cellStyle name="Normal 10 2 5 3 4 2" xfId="26684" xr:uid="{00000000-0005-0000-0000-0000196B0000}"/>
    <cellStyle name="Normal 10 2 5 3 4 3" xfId="42176" xr:uid="{00000000-0005-0000-0000-00001A6B0000}"/>
    <cellStyle name="Normal 10 2 5 3 5" xfId="18944" xr:uid="{00000000-0005-0000-0000-00001B6B0000}"/>
    <cellStyle name="Normal 10 2 5 3 6" xfId="34436" xr:uid="{00000000-0005-0000-0000-00001C6B0000}"/>
    <cellStyle name="Normal 10 2 5 4" xfId="4325" xr:uid="{00000000-0005-0000-0000-00001D6B0000}"/>
    <cellStyle name="Normal 10 2 5 4 2" xfId="8196" xr:uid="{00000000-0005-0000-0000-00001E6B0000}"/>
    <cellStyle name="Normal 10 2 5 4 2 2" xfId="15941" xr:uid="{00000000-0005-0000-0000-00001F6B0000}"/>
    <cellStyle name="Normal 10 2 5 4 2 2 2" xfId="31533" xr:uid="{00000000-0005-0000-0000-0000206B0000}"/>
    <cellStyle name="Normal 10 2 5 4 2 2 3" xfId="47025" xr:uid="{00000000-0005-0000-0000-0000216B0000}"/>
    <cellStyle name="Normal 10 2 5 4 2 3" xfId="23793" xr:uid="{00000000-0005-0000-0000-0000226B0000}"/>
    <cellStyle name="Normal 10 2 5 4 2 4" xfId="39285" xr:uid="{00000000-0005-0000-0000-0000236B0000}"/>
    <cellStyle name="Normal 10 2 5 4 3" xfId="12071" xr:uid="{00000000-0005-0000-0000-0000246B0000}"/>
    <cellStyle name="Normal 10 2 5 4 3 2" xfId="27663" xr:uid="{00000000-0005-0000-0000-0000256B0000}"/>
    <cellStyle name="Normal 10 2 5 4 3 3" xfId="43155" xr:uid="{00000000-0005-0000-0000-0000266B0000}"/>
    <cellStyle name="Normal 10 2 5 4 4" xfId="19923" xr:uid="{00000000-0005-0000-0000-0000276B0000}"/>
    <cellStyle name="Normal 10 2 5 4 5" xfId="35415" xr:uid="{00000000-0005-0000-0000-0000286B0000}"/>
    <cellStyle name="Normal 10 2 5 5" xfId="6269" xr:uid="{00000000-0005-0000-0000-0000296B0000}"/>
    <cellStyle name="Normal 10 2 5 5 2" xfId="14014" xr:uid="{00000000-0005-0000-0000-00002A6B0000}"/>
    <cellStyle name="Normal 10 2 5 5 2 2" xfId="29606" xr:uid="{00000000-0005-0000-0000-00002B6B0000}"/>
    <cellStyle name="Normal 10 2 5 5 2 3" xfId="45098" xr:uid="{00000000-0005-0000-0000-00002C6B0000}"/>
    <cellStyle name="Normal 10 2 5 5 3" xfId="21866" xr:uid="{00000000-0005-0000-0000-00002D6B0000}"/>
    <cellStyle name="Normal 10 2 5 5 4" xfId="37358" xr:uid="{00000000-0005-0000-0000-00002E6B0000}"/>
    <cellStyle name="Normal 10 2 5 6" xfId="10144" xr:uid="{00000000-0005-0000-0000-00002F6B0000}"/>
    <cellStyle name="Normal 10 2 5 6 2" xfId="25736" xr:uid="{00000000-0005-0000-0000-0000306B0000}"/>
    <cellStyle name="Normal 10 2 5 6 3" xfId="41228" xr:uid="{00000000-0005-0000-0000-0000316B0000}"/>
    <cellStyle name="Normal 10 2 5 7" xfId="17996" xr:uid="{00000000-0005-0000-0000-0000326B0000}"/>
    <cellStyle name="Normal 10 2 5 8" xfId="33488" xr:uid="{00000000-0005-0000-0000-0000336B0000}"/>
    <cellStyle name="Normal 10 2 6" xfId="2358" xr:uid="{00000000-0005-0000-0000-0000346B0000}"/>
    <cellStyle name="Normal 10 2 6 2" xfId="2671" xr:uid="{00000000-0005-0000-0000-0000356B0000}"/>
    <cellStyle name="Normal 10 2 6 2 2" xfId="3679" xr:uid="{00000000-0005-0000-0000-0000366B0000}"/>
    <cellStyle name="Normal 10 2 6 2 2 2" xfId="5618" xr:uid="{00000000-0005-0000-0000-0000376B0000}"/>
    <cellStyle name="Normal 10 2 6 2 2 2 2" xfId="9489" xr:uid="{00000000-0005-0000-0000-0000386B0000}"/>
    <cellStyle name="Normal 10 2 6 2 2 2 2 2" xfId="17234" xr:uid="{00000000-0005-0000-0000-0000396B0000}"/>
    <cellStyle name="Normal 10 2 6 2 2 2 2 2 2" xfId="32826" xr:uid="{00000000-0005-0000-0000-00003A6B0000}"/>
    <cellStyle name="Normal 10 2 6 2 2 2 2 2 3" xfId="48318" xr:uid="{00000000-0005-0000-0000-00003B6B0000}"/>
    <cellStyle name="Normal 10 2 6 2 2 2 2 3" xfId="25086" xr:uid="{00000000-0005-0000-0000-00003C6B0000}"/>
    <cellStyle name="Normal 10 2 6 2 2 2 2 4" xfId="40578" xr:uid="{00000000-0005-0000-0000-00003D6B0000}"/>
    <cellStyle name="Normal 10 2 6 2 2 2 3" xfId="13364" xr:uid="{00000000-0005-0000-0000-00003E6B0000}"/>
    <cellStyle name="Normal 10 2 6 2 2 2 3 2" xfId="28956" xr:uid="{00000000-0005-0000-0000-00003F6B0000}"/>
    <cellStyle name="Normal 10 2 6 2 2 2 3 3" xfId="44448" xr:uid="{00000000-0005-0000-0000-0000406B0000}"/>
    <cellStyle name="Normal 10 2 6 2 2 2 4" xfId="21216" xr:uid="{00000000-0005-0000-0000-0000416B0000}"/>
    <cellStyle name="Normal 10 2 6 2 2 2 5" xfId="36708" xr:uid="{00000000-0005-0000-0000-0000426B0000}"/>
    <cellStyle name="Normal 10 2 6 2 2 3" xfId="7562" xr:uid="{00000000-0005-0000-0000-0000436B0000}"/>
    <cellStyle name="Normal 10 2 6 2 2 3 2" xfId="15307" xr:uid="{00000000-0005-0000-0000-0000446B0000}"/>
    <cellStyle name="Normal 10 2 6 2 2 3 2 2" xfId="30899" xr:uid="{00000000-0005-0000-0000-0000456B0000}"/>
    <cellStyle name="Normal 10 2 6 2 2 3 2 3" xfId="46391" xr:uid="{00000000-0005-0000-0000-0000466B0000}"/>
    <cellStyle name="Normal 10 2 6 2 2 3 3" xfId="23159" xr:uid="{00000000-0005-0000-0000-0000476B0000}"/>
    <cellStyle name="Normal 10 2 6 2 2 3 4" xfId="38651" xr:uid="{00000000-0005-0000-0000-0000486B0000}"/>
    <cellStyle name="Normal 10 2 6 2 2 4" xfId="11437" xr:uid="{00000000-0005-0000-0000-0000496B0000}"/>
    <cellStyle name="Normal 10 2 6 2 2 4 2" xfId="27029" xr:uid="{00000000-0005-0000-0000-00004A6B0000}"/>
    <cellStyle name="Normal 10 2 6 2 2 4 3" xfId="42521" xr:uid="{00000000-0005-0000-0000-00004B6B0000}"/>
    <cellStyle name="Normal 10 2 6 2 2 5" xfId="19289" xr:uid="{00000000-0005-0000-0000-00004C6B0000}"/>
    <cellStyle name="Normal 10 2 6 2 2 6" xfId="34781" xr:uid="{00000000-0005-0000-0000-00004D6B0000}"/>
    <cellStyle name="Normal 10 2 6 2 3" xfId="4670" xr:uid="{00000000-0005-0000-0000-00004E6B0000}"/>
    <cellStyle name="Normal 10 2 6 2 3 2" xfId="8541" xr:uid="{00000000-0005-0000-0000-00004F6B0000}"/>
    <cellStyle name="Normal 10 2 6 2 3 2 2" xfId="16286" xr:uid="{00000000-0005-0000-0000-0000506B0000}"/>
    <cellStyle name="Normal 10 2 6 2 3 2 2 2" xfId="31878" xr:uid="{00000000-0005-0000-0000-0000516B0000}"/>
    <cellStyle name="Normal 10 2 6 2 3 2 2 3" xfId="47370" xr:uid="{00000000-0005-0000-0000-0000526B0000}"/>
    <cellStyle name="Normal 10 2 6 2 3 2 3" xfId="24138" xr:uid="{00000000-0005-0000-0000-0000536B0000}"/>
    <cellStyle name="Normal 10 2 6 2 3 2 4" xfId="39630" xr:uid="{00000000-0005-0000-0000-0000546B0000}"/>
    <cellStyle name="Normal 10 2 6 2 3 3" xfId="12416" xr:uid="{00000000-0005-0000-0000-0000556B0000}"/>
    <cellStyle name="Normal 10 2 6 2 3 3 2" xfId="28008" xr:uid="{00000000-0005-0000-0000-0000566B0000}"/>
    <cellStyle name="Normal 10 2 6 2 3 3 3" xfId="43500" xr:uid="{00000000-0005-0000-0000-0000576B0000}"/>
    <cellStyle name="Normal 10 2 6 2 3 4" xfId="20268" xr:uid="{00000000-0005-0000-0000-0000586B0000}"/>
    <cellStyle name="Normal 10 2 6 2 3 5" xfId="35760" xr:uid="{00000000-0005-0000-0000-0000596B0000}"/>
    <cellStyle name="Normal 10 2 6 2 4" xfId="6614" xr:uid="{00000000-0005-0000-0000-00005A6B0000}"/>
    <cellStyle name="Normal 10 2 6 2 4 2" xfId="14359" xr:uid="{00000000-0005-0000-0000-00005B6B0000}"/>
    <cellStyle name="Normal 10 2 6 2 4 2 2" xfId="29951" xr:uid="{00000000-0005-0000-0000-00005C6B0000}"/>
    <cellStyle name="Normal 10 2 6 2 4 2 3" xfId="45443" xr:uid="{00000000-0005-0000-0000-00005D6B0000}"/>
    <cellStyle name="Normal 10 2 6 2 4 3" xfId="22211" xr:uid="{00000000-0005-0000-0000-00005E6B0000}"/>
    <cellStyle name="Normal 10 2 6 2 4 4" xfId="37703" xr:uid="{00000000-0005-0000-0000-00005F6B0000}"/>
    <cellStyle name="Normal 10 2 6 2 5" xfId="10489" xr:uid="{00000000-0005-0000-0000-0000606B0000}"/>
    <cellStyle name="Normal 10 2 6 2 5 2" xfId="26081" xr:uid="{00000000-0005-0000-0000-0000616B0000}"/>
    <cellStyle name="Normal 10 2 6 2 5 3" xfId="41573" xr:uid="{00000000-0005-0000-0000-0000626B0000}"/>
    <cellStyle name="Normal 10 2 6 2 6" xfId="18341" xr:uid="{00000000-0005-0000-0000-0000636B0000}"/>
    <cellStyle name="Normal 10 2 6 2 7" xfId="33833" xr:uid="{00000000-0005-0000-0000-0000646B0000}"/>
    <cellStyle name="Normal 10 2 6 3" xfId="3370" xr:uid="{00000000-0005-0000-0000-0000656B0000}"/>
    <cellStyle name="Normal 10 2 6 3 2" xfId="5309" xr:uid="{00000000-0005-0000-0000-0000666B0000}"/>
    <cellStyle name="Normal 10 2 6 3 2 2" xfId="9180" xr:uid="{00000000-0005-0000-0000-0000676B0000}"/>
    <cellStyle name="Normal 10 2 6 3 2 2 2" xfId="16925" xr:uid="{00000000-0005-0000-0000-0000686B0000}"/>
    <cellStyle name="Normal 10 2 6 3 2 2 2 2" xfId="32517" xr:uid="{00000000-0005-0000-0000-0000696B0000}"/>
    <cellStyle name="Normal 10 2 6 3 2 2 2 3" xfId="48009" xr:uid="{00000000-0005-0000-0000-00006A6B0000}"/>
    <cellStyle name="Normal 10 2 6 3 2 2 3" xfId="24777" xr:uid="{00000000-0005-0000-0000-00006B6B0000}"/>
    <cellStyle name="Normal 10 2 6 3 2 2 4" xfId="40269" xr:uid="{00000000-0005-0000-0000-00006C6B0000}"/>
    <cellStyle name="Normal 10 2 6 3 2 3" xfId="13055" xr:uid="{00000000-0005-0000-0000-00006D6B0000}"/>
    <cellStyle name="Normal 10 2 6 3 2 3 2" xfId="28647" xr:uid="{00000000-0005-0000-0000-00006E6B0000}"/>
    <cellStyle name="Normal 10 2 6 3 2 3 3" xfId="44139" xr:uid="{00000000-0005-0000-0000-00006F6B0000}"/>
    <cellStyle name="Normal 10 2 6 3 2 4" xfId="20907" xr:uid="{00000000-0005-0000-0000-0000706B0000}"/>
    <cellStyle name="Normal 10 2 6 3 2 5" xfId="36399" xr:uid="{00000000-0005-0000-0000-0000716B0000}"/>
    <cellStyle name="Normal 10 2 6 3 3" xfId="7253" xr:uid="{00000000-0005-0000-0000-0000726B0000}"/>
    <cellStyle name="Normal 10 2 6 3 3 2" xfId="14998" xr:uid="{00000000-0005-0000-0000-0000736B0000}"/>
    <cellStyle name="Normal 10 2 6 3 3 2 2" xfId="30590" xr:uid="{00000000-0005-0000-0000-0000746B0000}"/>
    <cellStyle name="Normal 10 2 6 3 3 2 3" xfId="46082" xr:uid="{00000000-0005-0000-0000-0000756B0000}"/>
    <cellStyle name="Normal 10 2 6 3 3 3" xfId="22850" xr:uid="{00000000-0005-0000-0000-0000766B0000}"/>
    <cellStyle name="Normal 10 2 6 3 3 4" xfId="38342" xr:uid="{00000000-0005-0000-0000-0000776B0000}"/>
    <cellStyle name="Normal 10 2 6 3 4" xfId="11128" xr:uid="{00000000-0005-0000-0000-0000786B0000}"/>
    <cellStyle name="Normal 10 2 6 3 4 2" xfId="26720" xr:uid="{00000000-0005-0000-0000-0000796B0000}"/>
    <cellStyle name="Normal 10 2 6 3 4 3" xfId="42212" xr:uid="{00000000-0005-0000-0000-00007A6B0000}"/>
    <cellStyle name="Normal 10 2 6 3 5" xfId="18980" xr:uid="{00000000-0005-0000-0000-00007B6B0000}"/>
    <cellStyle name="Normal 10 2 6 3 6" xfId="34472" xr:uid="{00000000-0005-0000-0000-00007C6B0000}"/>
    <cellStyle name="Normal 10 2 6 4" xfId="4361" xr:uid="{00000000-0005-0000-0000-00007D6B0000}"/>
    <cellStyle name="Normal 10 2 6 4 2" xfId="8232" xr:uid="{00000000-0005-0000-0000-00007E6B0000}"/>
    <cellStyle name="Normal 10 2 6 4 2 2" xfId="15977" xr:uid="{00000000-0005-0000-0000-00007F6B0000}"/>
    <cellStyle name="Normal 10 2 6 4 2 2 2" xfId="31569" xr:uid="{00000000-0005-0000-0000-0000806B0000}"/>
    <cellStyle name="Normal 10 2 6 4 2 2 3" xfId="47061" xr:uid="{00000000-0005-0000-0000-0000816B0000}"/>
    <cellStyle name="Normal 10 2 6 4 2 3" xfId="23829" xr:uid="{00000000-0005-0000-0000-0000826B0000}"/>
    <cellStyle name="Normal 10 2 6 4 2 4" xfId="39321" xr:uid="{00000000-0005-0000-0000-0000836B0000}"/>
    <cellStyle name="Normal 10 2 6 4 3" xfId="12107" xr:uid="{00000000-0005-0000-0000-0000846B0000}"/>
    <cellStyle name="Normal 10 2 6 4 3 2" xfId="27699" xr:uid="{00000000-0005-0000-0000-0000856B0000}"/>
    <cellStyle name="Normal 10 2 6 4 3 3" xfId="43191" xr:uid="{00000000-0005-0000-0000-0000866B0000}"/>
    <cellStyle name="Normal 10 2 6 4 4" xfId="19959" xr:uid="{00000000-0005-0000-0000-0000876B0000}"/>
    <cellStyle name="Normal 10 2 6 4 5" xfId="35451" xr:uid="{00000000-0005-0000-0000-0000886B0000}"/>
    <cellStyle name="Normal 10 2 6 5" xfId="6305" xr:uid="{00000000-0005-0000-0000-0000896B0000}"/>
    <cellStyle name="Normal 10 2 6 5 2" xfId="14050" xr:uid="{00000000-0005-0000-0000-00008A6B0000}"/>
    <cellStyle name="Normal 10 2 6 5 2 2" xfId="29642" xr:uid="{00000000-0005-0000-0000-00008B6B0000}"/>
    <cellStyle name="Normal 10 2 6 5 2 3" xfId="45134" xr:uid="{00000000-0005-0000-0000-00008C6B0000}"/>
    <cellStyle name="Normal 10 2 6 5 3" xfId="21902" xr:uid="{00000000-0005-0000-0000-00008D6B0000}"/>
    <cellStyle name="Normal 10 2 6 5 4" xfId="37394" xr:uid="{00000000-0005-0000-0000-00008E6B0000}"/>
    <cellStyle name="Normal 10 2 6 6" xfId="10180" xr:uid="{00000000-0005-0000-0000-00008F6B0000}"/>
    <cellStyle name="Normal 10 2 6 6 2" xfId="25772" xr:uid="{00000000-0005-0000-0000-0000906B0000}"/>
    <cellStyle name="Normal 10 2 6 6 3" xfId="41264" xr:uid="{00000000-0005-0000-0000-0000916B0000}"/>
    <cellStyle name="Normal 10 2 6 7" xfId="18032" xr:uid="{00000000-0005-0000-0000-0000926B0000}"/>
    <cellStyle name="Normal 10 2 6 8" xfId="33524" xr:uid="{00000000-0005-0000-0000-0000936B0000}"/>
    <cellStyle name="Normal 10 2 7" xfId="2395" xr:uid="{00000000-0005-0000-0000-0000946B0000}"/>
    <cellStyle name="Normal 10 2 7 2" xfId="2707" xr:uid="{00000000-0005-0000-0000-0000956B0000}"/>
    <cellStyle name="Normal 10 2 7 2 2" xfId="3715" xr:uid="{00000000-0005-0000-0000-0000966B0000}"/>
    <cellStyle name="Normal 10 2 7 2 2 2" xfId="5654" xr:uid="{00000000-0005-0000-0000-0000976B0000}"/>
    <cellStyle name="Normal 10 2 7 2 2 2 2" xfId="9525" xr:uid="{00000000-0005-0000-0000-0000986B0000}"/>
    <cellStyle name="Normal 10 2 7 2 2 2 2 2" xfId="17270" xr:uid="{00000000-0005-0000-0000-0000996B0000}"/>
    <cellStyle name="Normal 10 2 7 2 2 2 2 2 2" xfId="32862" xr:uid="{00000000-0005-0000-0000-00009A6B0000}"/>
    <cellStyle name="Normal 10 2 7 2 2 2 2 2 3" xfId="48354" xr:uid="{00000000-0005-0000-0000-00009B6B0000}"/>
    <cellStyle name="Normal 10 2 7 2 2 2 2 3" xfId="25122" xr:uid="{00000000-0005-0000-0000-00009C6B0000}"/>
    <cellStyle name="Normal 10 2 7 2 2 2 2 4" xfId="40614" xr:uid="{00000000-0005-0000-0000-00009D6B0000}"/>
    <cellStyle name="Normal 10 2 7 2 2 2 3" xfId="13400" xr:uid="{00000000-0005-0000-0000-00009E6B0000}"/>
    <cellStyle name="Normal 10 2 7 2 2 2 3 2" xfId="28992" xr:uid="{00000000-0005-0000-0000-00009F6B0000}"/>
    <cellStyle name="Normal 10 2 7 2 2 2 3 3" xfId="44484" xr:uid="{00000000-0005-0000-0000-0000A06B0000}"/>
    <cellStyle name="Normal 10 2 7 2 2 2 4" xfId="21252" xr:uid="{00000000-0005-0000-0000-0000A16B0000}"/>
    <cellStyle name="Normal 10 2 7 2 2 2 5" xfId="36744" xr:uid="{00000000-0005-0000-0000-0000A26B0000}"/>
    <cellStyle name="Normal 10 2 7 2 2 3" xfId="7598" xr:uid="{00000000-0005-0000-0000-0000A36B0000}"/>
    <cellStyle name="Normal 10 2 7 2 2 3 2" xfId="15343" xr:uid="{00000000-0005-0000-0000-0000A46B0000}"/>
    <cellStyle name="Normal 10 2 7 2 2 3 2 2" xfId="30935" xr:uid="{00000000-0005-0000-0000-0000A56B0000}"/>
    <cellStyle name="Normal 10 2 7 2 2 3 2 3" xfId="46427" xr:uid="{00000000-0005-0000-0000-0000A66B0000}"/>
    <cellStyle name="Normal 10 2 7 2 2 3 3" xfId="23195" xr:uid="{00000000-0005-0000-0000-0000A76B0000}"/>
    <cellStyle name="Normal 10 2 7 2 2 3 4" xfId="38687" xr:uid="{00000000-0005-0000-0000-0000A86B0000}"/>
    <cellStyle name="Normal 10 2 7 2 2 4" xfId="11473" xr:uid="{00000000-0005-0000-0000-0000A96B0000}"/>
    <cellStyle name="Normal 10 2 7 2 2 4 2" xfId="27065" xr:uid="{00000000-0005-0000-0000-0000AA6B0000}"/>
    <cellStyle name="Normal 10 2 7 2 2 4 3" xfId="42557" xr:uid="{00000000-0005-0000-0000-0000AB6B0000}"/>
    <cellStyle name="Normal 10 2 7 2 2 5" xfId="19325" xr:uid="{00000000-0005-0000-0000-0000AC6B0000}"/>
    <cellStyle name="Normal 10 2 7 2 2 6" xfId="34817" xr:uid="{00000000-0005-0000-0000-0000AD6B0000}"/>
    <cellStyle name="Normal 10 2 7 2 3" xfId="4706" xr:uid="{00000000-0005-0000-0000-0000AE6B0000}"/>
    <cellStyle name="Normal 10 2 7 2 3 2" xfId="8577" xr:uid="{00000000-0005-0000-0000-0000AF6B0000}"/>
    <cellStyle name="Normal 10 2 7 2 3 2 2" xfId="16322" xr:uid="{00000000-0005-0000-0000-0000B06B0000}"/>
    <cellStyle name="Normal 10 2 7 2 3 2 2 2" xfId="31914" xr:uid="{00000000-0005-0000-0000-0000B16B0000}"/>
    <cellStyle name="Normal 10 2 7 2 3 2 2 3" xfId="47406" xr:uid="{00000000-0005-0000-0000-0000B26B0000}"/>
    <cellStyle name="Normal 10 2 7 2 3 2 3" xfId="24174" xr:uid="{00000000-0005-0000-0000-0000B36B0000}"/>
    <cellStyle name="Normal 10 2 7 2 3 2 4" xfId="39666" xr:uid="{00000000-0005-0000-0000-0000B46B0000}"/>
    <cellStyle name="Normal 10 2 7 2 3 3" xfId="12452" xr:uid="{00000000-0005-0000-0000-0000B56B0000}"/>
    <cellStyle name="Normal 10 2 7 2 3 3 2" xfId="28044" xr:uid="{00000000-0005-0000-0000-0000B66B0000}"/>
    <cellStyle name="Normal 10 2 7 2 3 3 3" xfId="43536" xr:uid="{00000000-0005-0000-0000-0000B76B0000}"/>
    <cellStyle name="Normal 10 2 7 2 3 4" xfId="20304" xr:uid="{00000000-0005-0000-0000-0000B86B0000}"/>
    <cellStyle name="Normal 10 2 7 2 3 5" xfId="35796" xr:uid="{00000000-0005-0000-0000-0000B96B0000}"/>
    <cellStyle name="Normal 10 2 7 2 4" xfId="6650" xr:uid="{00000000-0005-0000-0000-0000BA6B0000}"/>
    <cellStyle name="Normal 10 2 7 2 4 2" xfId="14395" xr:uid="{00000000-0005-0000-0000-0000BB6B0000}"/>
    <cellStyle name="Normal 10 2 7 2 4 2 2" xfId="29987" xr:uid="{00000000-0005-0000-0000-0000BC6B0000}"/>
    <cellStyle name="Normal 10 2 7 2 4 2 3" xfId="45479" xr:uid="{00000000-0005-0000-0000-0000BD6B0000}"/>
    <cellStyle name="Normal 10 2 7 2 4 3" xfId="22247" xr:uid="{00000000-0005-0000-0000-0000BE6B0000}"/>
    <cellStyle name="Normal 10 2 7 2 4 4" xfId="37739" xr:uid="{00000000-0005-0000-0000-0000BF6B0000}"/>
    <cellStyle name="Normal 10 2 7 2 5" xfId="10525" xr:uid="{00000000-0005-0000-0000-0000C06B0000}"/>
    <cellStyle name="Normal 10 2 7 2 5 2" xfId="26117" xr:uid="{00000000-0005-0000-0000-0000C16B0000}"/>
    <cellStyle name="Normal 10 2 7 2 5 3" xfId="41609" xr:uid="{00000000-0005-0000-0000-0000C26B0000}"/>
    <cellStyle name="Normal 10 2 7 2 6" xfId="18377" xr:uid="{00000000-0005-0000-0000-0000C36B0000}"/>
    <cellStyle name="Normal 10 2 7 2 7" xfId="33869" xr:uid="{00000000-0005-0000-0000-0000C46B0000}"/>
    <cellStyle name="Normal 10 2 7 3" xfId="3406" xr:uid="{00000000-0005-0000-0000-0000C56B0000}"/>
    <cellStyle name="Normal 10 2 7 3 2" xfId="5345" xr:uid="{00000000-0005-0000-0000-0000C66B0000}"/>
    <cellStyle name="Normal 10 2 7 3 2 2" xfId="9216" xr:uid="{00000000-0005-0000-0000-0000C76B0000}"/>
    <cellStyle name="Normal 10 2 7 3 2 2 2" xfId="16961" xr:uid="{00000000-0005-0000-0000-0000C86B0000}"/>
    <cellStyle name="Normal 10 2 7 3 2 2 2 2" xfId="32553" xr:uid="{00000000-0005-0000-0000-0000C96B0000}"/>
    <cellStyle name="Normal 10 2 7 3 2 2 2 3" xfId="48045" xr:uid="{00000000-0005-0000-0000-0000CA6B0000}"/>
    <cellStyle name="Normal 10 2 7 3 2 2 3" xfId="24813" xr:uid="{00000000-0005-0000-0000-0000CB6B0000}"/>
    <cellStyle name="Normal 10 2 7 3 2 2 4" xfId="40305" xr:uid="{00000000-0005-0000-0000-0000CC6B0000}"/>
    <cellStyle name="Normal 10 2 7 3 2 3" xfId="13091" xr:uid="{00000000-0005-0000-0000-0000CD6B0000}"/>
    <cellStyle name="Normal 10 2 7 3 2 3 2" xfId="28683" xr:uid="{00000000-0005-0000-0000-0000CE6B0000}"/>
    <cellStyle name="Normal 10 2 7 3 2 3 3" xfId="44175" xr:uid="{00000000-0005-0000-0000-0000CF6B0000}"/>
    <cellStyle name="Normal 10 2 7 3 2 4" xfId="20943" xr:uid="{00000000-0005-0000-0000-0000D06B0000}"/>
    <cellStyle name="Normal 10 2 7 3 2 5" xfId="36435" xr:uid="{00000000-0005-0000-0000-0000D16B0000}"/>
    <cellStyle name="Normal 10 2 7 3 3" xfId="7289" xr:uid="{00000000-0005-0000-0000-0000D26B0000}"/>
    <cellStyle name="Normal 10 2 7 3 3 2" xfId="15034" xr:uid="{00000000-0005-0000-0000-0000D36B0000}"/>
    <cellStyle name="Normal 10 2 7 3 3 2 2" xfId="30626" xr:uid="{00000000-0005-0000-0000-0000D46B0000}"/>
    <cellStyle name="Normal 10 2 7 3 3 2 3" xfId="46118" xr:uid="{00000000-0005-0000-0000-0000D56B0000}"/>
    <cellStyle name="Normal 10 2 7 3 3 3" xfId="22886" xr:uid="{00000000-0005-0000-0000-0000D66B0000}"/>
    <cellStyle name="Normal 10 2 7 3 3 4" xfId="38378" xr:uid="{00000000-0005-0000-0000-0000D76B0000}"/>
    <cellStyle name="Normal 10 2 7 3 4" xfId="11164" xr:uid="{00000000-0005-0000-0000-0000D86B0000}"/>
    <cellStyle name="Normal 10 2 7 3 4 2" xfId="26756" xr:uid="{00000000-0005-0000-0000-0000D96B0000}"/>
    <cellStyle name="Normal 10 2 7 3 4 3" xfId="42248" xr:uid="{00000000-0005-0000-0000-0000DA6B0000}"/>
    <cellStyle name="Normal 10 2 7 3 5" xfId="19016" xr:uid="{00000000-0005-0000-0000-0000DB6B0000}"/>
    <cellStyle name="Normal 10 2 7 3 6" xfId="34508" xr:uid="{00000000-0005-0000-0000-0000DC6B0000}"/>
    <cellStyle name="Normal 10 2 7 4" xfId="4397" xr:uid="{00000000-0005-0000-0000-0000DD6B0000}"/>
    <cellStyle name="Normal 10 2 7 4 2" xfId="8268" xr:uid="{00000000-0005-0000-0000-0000DE6B0000}"/>
    <cellStyle name="Normal 10 2 7 4 2 2" xfId="16013" xr:uid="{00000000-0005-0000-0000-0000DF6B0000}"/>
    <cellStyle name="Normal 10 2 7 4 2 2 2" xfId="31605" xr:uid="{00000000-0005-0000-0000-0000E06B0000}"/>
    <cellStyle name="Normal 10 2 7 4 2 2 3" xfId="47097" xr:uid="{00000000-0005-0000-0000-0000E16B0000}"/>
    <cellStyle name="Normal 10 2 7 4 2 3" xfId="23865" xr:uid="{00000000-0005-0000-0000-0000E26B0000}"/>
    <cellStyle name="Normal 10 2 7 4 2 4" xfId="39357" xr:uid="{00000000-0005-0000-0000-0000E36B0000}"/>
    <cellStyle name="Normal 10 2 7 4 3" xfId="12143" xr:uid="{00000000-0005-0000-0000-0000E46B0000}"/>
    <cellStyle name="Normal 10 2 7 4 3 2" xfId="27735" xr:uid="{00000000-0005-0000-0000-0000E56B0000}"/>
    <cellStyle name="Normal 10 2 7 4 3 3" xfId="43227" xr:uid="{00000000-0005-0000-0000-0000E66B0000}"/>
    <cellStyle name="Normal 10 2 7 4 4" xfId="19995" xr:uid="{00000000-0005-0000-0000-0000E76B0000}"/>
    <cellStyle name="Normal 10 2 7 4 5" xfId="35487" xr:uid="{00000000-0005-0000-0000-0000E86B0000}"/>
    <cellStyle name="Normal 10 2 7 5" xfId="6341" xr:uid="{00000000-0005-0000-0000-0000E96B0000}"/>
    <cellStyle name="Normal 10 2 7 5 2" xfId="14086" xr:uid="{00000000-0005-0000-0000-0000EA6B0000}"/>
    <cellStyle name="Normal 10 2 7 5 2 2" xfId="29678" xr:uid="{00000000-0005-0000-0000-0000EB6B0000}"/>
    <cellStyle name="Normal 10 2 7 5 2 3" xfId="45170" xr:uid="{00000000-0005-0000-0000-0000EC6B0000}"/>
    <cellStyle name="Normal 10 2 7 5 3" xfId="21938" xr:uid="{00000000-0005-0000-0000-0000ED6B0000}"/>
    <cellStyle name="Normal 10 2 7 5 4" xfId="37430" xr:uid="{00000000-0005-0000-0000-0000EE6B0000}"/>
    <cellStyle name="Normal 10 2 7 6" xfId="10216" xr:uid="{00000000-0005-0000-0000-0000EF6B0000}"/>
    <cellStyle name="Normal 10 2 7 6 2" xfId="25808" xr:uid="{00000000-0005-0000-0000-0000F06B0000}"/>
    <cellStyle name="Normal 10 2 7 6 3" xfId="41300" xr:uid="{00000000-0005-0000-0000-0000F16B0000}"/>
    <cellStyle name="Normal 10 2 7 7" xfId="18068" xr:uid="{00000000-0005-0000-0000-0000F26B0000}"/>
    <cellStyle name="Normal 10 2 7 8" xfId="33560" xr:uid="{00000000-0005-0000-0000-0000F36B0000}"/>
    <cellStyle name="Normal 10 2 8" xfId="2433" xr:uid="{00000000-0005-0000-0000-0000F46B0000}"/>
    <cellStyle name="Normal 10 2 8 2" xfId="2743" xr:uid="{00000000-0005-0000-0000-0000F56B0000}"/>
    <cellStyle name="Normal 10 2 8 2 2" xfId="3751" xr:uid="{00000000-0005-0000-0000-0000F66B0000}"/>
    <cellStyle name="Normal 10 2 8 2 2 2" xfId="5690" xr:uid="{00000000-0005-0000-0000-0000F76B0000}"/>
    <cellStyle name="Normal 10 2 8 2 2 2 2" xfId="9561" xr:uid="{00000000-0005-0000-0000-0000F86B0000}"/>
    <cellStyle name="Normal 10 2 8 2 2 2 2 2" xfId="17306" xr:uid="{00000000-0005-0000-0000-0000F96B0000}"/>
    <cellStyle name="Normal 10 2 8 2 2 2 2 2 2" xfId="32898" xr:uid="{00000000-0005-0000-0000-0000FA6B0000}"/>
    <cellStyle name="Normal 10 2 8 2 2 2 2 2 3" xfId="48390" xr:uid="{00000000-0005-0000-0000-0000FB6B0000}"/>
    <cellStyle name="Normal 10 2 8 2 2 2 2 3" xfId="25158" xr:uid="{00000000-0005-0000-0000-0000FC6B0000}"/>
    <cellStyle name="Normal 10 2 8 2 2 2 2 4" xfId="40650" xr:uid="{00000000-0005-0000-0000-0000FD6B0000}"/>
    <cellStyle name="Normal 10 2 8 2 2 2 3" xfId="13436" xr:uid="{00000000-0005-0000-0000-0000FE6B0000}"/>
    <cellStyle name="Normal 10 2 8 2 2 2 3 2" xfId="29028" xr:uid="{00000000-0005-0000-0000-0000FF6B0000}"/>
    <cellStyle name="Normal 10 2 8 2 2 2 3 3" xfId="44520" xr:uid="{00000000-0005-0000-0000-0000006C0000}"/>
    <cellStyle name="Normal 10 2 8 2 2 2 4" xfId="21288" xr:uid="{00000000-0005-0000-0000-0000016C0000}"/>
    <cellStyle name="Normal 10 2 8 2 2 2 5" xfId="36780" xr:uid="{00000000-0005-0000-0000-0000026C0000}"/>
    <cellStyle name="Normal 10 2 8 2 2 3" xfId="7634" xr:uid="{00000000-0005-0000-0000-0000036C0000}"/>
    <cellStyle name="Normal 10 2 8 2 2 3 2" xfId="15379" xr:uid="{00000000-0005-0000-0000-0000046C0000}"/>
    <cellStyle name="Normal 10 2 8 2 2 3 2 2" xfId="30971" xr:uid="{00000000-0005-0000-0000-0000056C0000}"/>
    <cellStyle name="Normal 10 2 8 2 2 3 2 3" xfId="46463" xr:uid="{00000000-0005-0000-0000-0000066C0000}"/>
    <cellStyle name="Normal 10 2 8 2 2 3 3" xfId="23231" xr:uid="{00000000-0005-0000-0000-0000076C0000}"/>
    <cellStyle name="Normal 10 2 8 2 2 3 4" xfId="38723" xr:uid="{00000000-0005-0000-0000-0000086C0000}"/>
    <cellStyle name="Normal 10 2 8 2 2 4" xfId="11509" xr:uid="{00000000-0005-0000-0000-0000096C0000}"/>
    <cellStyle name="Normal 10 2 8 2 2 4 2" xfId="27101" xr:uid="{00000000-0005-0000-0000-00000A6C0000}"/>
    <cellStyle name="Normal 10 2 8 2 2 4 3" xfId="42593" xr:uid="{00000000-0005-0000-0000-00000B6C0000}"/>
    <cellStyle name="Normal 10 2 8 2 2 5" xfId="19361" xr:uid="{00000000-0005-0000-0000-00000C6C0000}"/>
    <cellStyle name="Normal 10 2 8 2 2 6" xfId="34853" xr:uid="{00000000-0005-0000-0000-00000D6C0000}"/>
    <cellStyle name="Normal 10 2 8 2 3" xfId="4742" xr:uid="{00000000-0005-0000-0000-00000E6C0000}"/>
    <cellStyle name="Normal 10 2 8 2 3 2" xfId="8613" xr:uid="{00000000-0005-0000-0000-00000F6C0000}"/>
    <cellStyle name="Normal 10 2 8 2 3 2 2" xfId="16358" xr:uid="{00000000-0005-0000-0000-0000106C0000}"/>
    <cellStyle name="Normal 10 2 8 2 3 2 2 2" xfId="31950" xr:uid="{00000000-0005-0000-0000-0000116C0000}"/>
    <cellStyle name="Normal 10 2 8 2 3 2 2 3" xfId="47442" xr:uid="{00000000-0005-0000-0000-0000126C0000}"/>
    <cellStyle name="Normal 10 2 8 2 3 2 3" xfId="24210" xr:uid="{00000000-0005-0000-0000-0000136C0000}"/>
    <cellStyle name="Normal 10 2 8 2 3 2 4" xfId="39702" xr:uid="{00000000-0005-0000-0000-0000146C0000}"/>
    <cellStyle name="Normal 10 2 8 2 3 3" xfId="12488" xr:uid="{00000000-0005-0000-0000-0000156C0000}"/>
    <cellStyle name="Normal 10 2 8 2 3 3 2" xfId="28080" xr:uid="{00000000-0005-0000-0000-0000166C0000}"/>
    <cellStyle name="Normal 10 2 8 2 3 3 3" xfId="43572" xr:uid="{00000000-0005-0000-0000-0000176C0000}"/>
    <cellStyle name="Normal 10 2 8 2 3 4" xfId="20340" xr:uid="{00000000-0005-0000-0000-0000186C0000}"/>
    <cellStyle name="Normal 10 2 8 2 3 5" xfId="35832" xr:uid="{00000000-0005-0000-0000-0000196C0000}"/>
    <cellStyle name="Normal 10 2 8 2 4" xfId="6686" xr:uid="{00000000-0005-0000-0000-00001A6C0000}"/>
    <cellStyle name="Normal 10 2 8 2 4 2" xfId="14431" xr:uid="{00000000-0005-0000-0000-00001B6C0000}"/>
    <cellStyle name="Normal 10 2 8 2 4 2 2" xfId="30023" xr:uid="{00000000-0005-0000-0000-00001C6C0000}"/>
    <cellStyle name="Normal 10 2 8 2 4 2 3" xfId="45515" xr:uid="{00000000-0005-0000-0000-00001D6C0000}"/>
    <cellStyle name="Normal 10 2 8 2 4 3" xfId="22283" xr:uid="{00000000-0005-0000-0000-00001E6C0000}"/>
    <cellStyle name="Normal 10 2 8 2 4 4" xfId="37775" xr:uid="{00000000-0005-0000-0000-00001F6C0000}"/>
    <cellStyle name="Normal 10 2 8 2 5" xfId="10561" xr:uid="{00000000-0005-0000-0000-0000206C0000}"/>
    <cellStyle name="Normal 10 2 8 2 5 2" xfId="26153" xr:uid="{00000000-0005-0000-0000-0000216C0000}"/>
    <cellStyle name="Normal 10 2 8 2 5 3" xfId="41645" xr:uid="{00000000-0005-0000-0000-0000226C0000}"/>
    <cellStyle name="Normal 10 2 8 2 6" xfId="18413" xr:uid="{00000000-0005-0000-0000-0000236C0000}"/>
    <cellStyle name="Normal 10 2 8 2 7" xfId="33905" xr:uid="{00000000-0005-0000-0000-0000246C0000}"/>
    <cellStyle name="Normal 10 2 8 3" xfId="3442" xr:uid="{00000000-0005-0000-0000-0000256C0000}"/>
    <cellStyle name="Normal 10 2 8 3 2" xfId="5381" xr:uid="{00000000-0005-0000-0000-0000266C0000}"/>
    <cellStyle name="Normal 10 2 8 3 2 2" xfId="9252" xr:uid="{00000000-0005-0000-0000-0000276C0000}"/>
    <cellStyle name="Normal 10 2 8 3 2 2 2" xfId="16997" xr:uid="{00000000-0005-0000-0000-0000286C0000}"/>
    <cellStyle name="Normal 10 2 8 3 2 2 2 2" xfId="32589" xr:uid="{00000000-0005-0000-0000-0000296C0000}"/>
    <cellStyle name="Normal 10 2 8 3 2 2 2 3" xfId="48081" xr:uid="{00000000-0005-0000-0000-00002A6C0000}"/>
    <cellStyle name="Normal 10 2 8 3 2 2 3" xfId="24849" xr:uid="{00000000-0005-0000-0000-00002B6C0000}"/>
    <cellStyle name="Normal 10 2 8 3 2 2 4" xfId="40341" xr:uid="{00000000-0005-0000-0000-00002C6C0000}"/>
    <cellStyle name="Normal 10 2 8 3 2 3" xfId="13127" xr:uid="{00000000-0005-0000-0000-00002D6C0000}"/>
    <cellStyle name="Normal 10 2 8 3 2 3 2" xfId="28719" xr:uid="{00000000-0005-0000-0000-00002E6C0000}"/>
    <cellStyle name="Normal 10 2 8 3 2 3 3" xfId="44211" xr:uid="{00000000-0005-0000-0000-00002F6C0000}"/>
    <cellStyle name="Normal 10 2 8 3 2 4" xfId="20979" xr:uid="{00000000-0005-0000-0000-0000306C0000}"/>
    <cellStyle name="Normal 10 2 8 3 2 5" xfId="36471" xr:uid="{00000000-0005-0000-0000-0000316C0000}"/>
    <cellStyle name="Normal 10 2 8 3 3" xfId="7325" xr:uid="{00000000-0005-0000-0000-0000326C0000}"/>
    <cellStyle name="Normal 10 2 8 3 3 2" xfId="15070" xr:uid="{00000000-0005-0000-0000-0000336C0000}"/>
    <cellStyle name="Normal 10 2 8 3 3 2 2" xfId="30662" xr:uid="{00000000-0005-0000-0000-0000346C0000}"/>
    <cellStyle name="Normal 10 2 8 3 3 2 3" xfId="46154" xr:uid="{00000000-0005-0000-0000-0000356C0000}"/>
    <cellStyle name="Normal 10 2 8 3 3 3" xfId="22922" xr:uid="{00000000-0005-0000-0000-0000366C0000}"/>
    <cellStyle name="Normal 10 2 8 3 3 4" xfId="38414" xr:uid="{00000000-0005-0000-0000-0000376C0000}"/>
    <cellStyle name="Normal 10 2 8 3 4" xfId="11200" xr:uid="{00000000-0005-0000-0000-0000386C0000}"/>
    <cellStyle name="Normal 10 2 8 3 4 2" xfId="26792" xr:uid="{00000000-0005-0000-0000-0000396C0000}"/>
    <cellStyle name="Normal 10 2 8 3 4 3" xfId="42284" xr:uid="{00000000-0005-0000-0000-00003A6C0000}"/>
    <cellStyle name="Normal 10 2 8 3 5" xfId="19052" xr:uid="{00000000-0005-0000-0000-00003B6C0000}"/>
    <cellStyle name="Normal 10 2 8 3 6" xfId="34544" xr:uid="{00000000-0005-0000-0000-00003C6C0000}"/>
    <cellStyle name="Normal 10 2 8 4" xfId="4433" xr:uid="{00000000-0005-0000-0000-00003D6C0000}"/>
    <cellStyle name="Normal 10 2 8 4 2" xfId="8304" xr:uid="{00000000-0005-0000-0000-00003E6C0000}"/>
    <cellStyle name="Normal 10 2 8 4 2 2" xfId="16049" xr:uid="{00000000-0005-0000-0000-00003F6C0000}"/>
    <cellStyle name="Normal 10 2 8 4 2 2 2" xfId="31641" xr:uid="{00000000-0005-0000-0000-0000406C0000}"/>
    <cellStyle name="Normal 10 2 8 4 2 2 3" xfId="47133" xr:uid="{00000000-0005-0000-0000-0000416C0000}"/>
    <cellStyle name="Normal 10 2 8 4 2 3" xfId="23901" xr:uid="{00000000-0005-0000-0000-0000426C0000}"/>
    <cellStyle name="Normal 10 2 8 4 2 4" xfId="39393" xr:uid="{00000000-0005-0000-0000-0000436C0000}"/>
    <cellStyle name="Normal 10 2 8 4 3" xfId="12179" xr:uid="{00000000-0005-0000-0000-0000446C0000}"/>
    <cellStyle name="Normal 10 2 8 4 3 2" xfId="27771" xr:uid="{00000000-0005-0000-0000-0000456C0000}"/>
    <cellStyle name="Normal 10 2 8 4 3 3" xfId="43263" xr:uid="{00000000-0005-0000-0000-0000466C0000}"/>
    <cellStyle name="Normal 10 2 8 4 4" xfId="20031" xr:uid="{00000000-0005-0000-0000-0000476C0000}"/>
    <cellStyle name="Normal 10 2 8 4 5" xfId="35523" xr:uid="{00000000-0005-0000-0000-0000486C0000}"/>
    <cellStyle name="Normal 10 2 8 5" xfId="6377" xr:uid="{00000000-0005-0000-0000-0000496C0000}"/>
    <cellStyle name="Normal 10 2 8 5 2" xfId="14122" xr:uid="{00000000-0005-0000-0000-00004A6C0000}"/>
    <cellStyle name="Normal 10 2 8 5 2 2" xfId="29714" xr:uid="{00000000-0005-0000-0000-00004B6C0000}"/>
    <cellStyle name="Normal 10 2 8 5 2 3" xfId="45206" xr:uid="{00000000-0005-0000-0000-00004C6C0000}"/>
    <cellStyle name="Normal 10 2 8 5 3" xfId="21974" xr:uid="{00000000-0005-0000-0000-00004D6C0000}"/>
    <cellStyle name="Normal 10 2 8 5 4" xfId="37466" xr:uid="{00000000-0005-0000-0000-00004E6C0000}"/>
    <cellStyle name="Normal 10 2 8 6" xfId="10252" xr:uid="{00000000-0005-0000-0000-00004F6C0000}"/>
    <cellStyle name="Normal 10 2 8 6 2" xfId="25844" xr:uid="{00000000-0005-0000-0000-0000506C0000}"/>
    <cellStyle name="Normal 10 2 8 6 3" xfId="41336" xr:uid="{00000000-0005-0000-0000-0000516C0000}"/>
    <cellStyle name="Normal 10 2 8 7" xfId="18104" xr:uid="{00000000-0005-0000-0000-0000526C0000}"/>
    <cellStyle name="Normal 10 2 8 8" xfId="33596" xr:uid="{00000000-0005-0000-0000-0000536C0000}"/>
    <cellStyle name="Normal 10 2 9" xfId="2470" xr:uid="{00000000-0005-0000-0000-0000546C0000}"/>
    <cellStyle name="Normal 10 2 9 2" xfId="2779" xr:uid="{00000000-0005-0000-0000-0000556C0000}"/>
    <cellStyle name="Normal 10 2 9 2 2" xfId="3787" xr:uid="{00000000-0005-0000-0000-0000566C0000}"/>
    <cellStyle name="Normal 10 2 9 2 2 2" xfId="5726" xr:uid="{00000000-0005-0000-0000-0000576C0000}"/>
    <cellStyle name="Normal 10 2 9 2 2 2 2" xfId="9597" xr:uid="{00000000-0005-0000-0000-0000586C0000}"/>
    <cellStyle name="Normal 10 2 9 2 2 2 2 2" xfId="17342" xr:uid="{00000000-0005-0000-0000-0000596C0000}"/>
    <cellStyle name="Normal 10 2 9 2 2 2 2 2 2" xfId="32934" xr:uid="{00000000-0005-0000-0000-00005A6C0000}"/>
    <cellStyle name="Normal 10 2 9 2 2 2 2 2 3" xfId="48426" xr:uid="{00000000-0005-0000-0000-00005B6C0000}"/>
    <cellStyle name="Normal 10 2 9 2 2 2 2 3" xfId="25194" xr:uid="{00000000-0005-0000-0000-00005C6C0000}"/>
    <cellStyle name="Normal 10 2 9 2 2 2 2 4" xfId="40686" xr:uid="{00000000-0005-0000-0000-00005D6C0000}"/>
    <cellStyle name="Normal 10 2 9 2 2 2 3" xfId="13472" xr:uid="{00000000-0005-0000-0000-00005E6C0000}"/>
    <cellStyle name="Normal 10 2 9 2 2 2 3 2" xfId="29064" xr:uid="{00000000-0005-0000-0000-00005F6C0000}"/>
    <cellStyle name="Normal 10 2 9 2 2 2 3 3" xfId="44556" xr:uid="{00000000-0005-0000-0000-0000606C0000}"/>
    <cellStyle name="Normal 10 2 9 2 2 2 4" xfId="21324" xr:uid="{00000000-0005-0000-0000-0000616C0000}"/>
    <cellStyle name="Normal 10 2 9 2 2 2 5" xfId="36816" xr:uid="{00000000-0005-0000-0000-0000626C0000}"/>
    <cellStyle name="Normal 10 2 9 2 2 3" xfId="7670" xr:uid="{00000000-0005-0000-0000-0000636C0000}"/>
    <cellStyle name="Normal 10 2 9 2 2 3 2" xfId="15415" xr:uid="{00000000-0005-0000-0000-0000646C0000}"/>
    <cellStyle name="Normal 10 2 9 2 2 3 2 2" xfId="31007" xr:uid="{00000000-0005-0000-0000-0000656C0000}"/>
    <cellStyle name="Normal 10 2 9 2 2 3 2 3" xfId="46499" xr:uid="{00000000-0005-0000-0000-0000666C0000}"/>
    <cellStyle name="Normal 10 2 9 2 2 3 3" xfId="23267" xr:uid="{00000000-0005-0000-0000-0000676C0000}"/>
    <cellStyle name="Normal 10 2 9 2 2 3 4" xfId="38759" xr:uid="{00000000-0005-0000-0000-0000686C0000}"/>
    <cellStyle name="Normal 10 2 9 2 2 4" xfId="11545" xr:uid="{00000000-0005-0000-0000-0000696C0000}"/>
    <cellStyle name="Normal 10 2 9 2 2 4 2" xfId="27137" xr:uid="{00000000-0005-0000-0000-00006A6C0000}"/>
    <cellStyle name="Normal 10 2 9 2 2 4 3" xfId="42629" xr:uid="{00000000-0005-0000-0000-00006B6C0000}"/>
    <cellStyle name="Normal 10 2 9 2 2 5" xfId="19397" xr:uid="{00000000-0005-0000-0000-00006C6C0000}"/>
    <cellStyle name="Normal 10 2 9 2 2 6" xfId="34889" xr:uid="{00000000-0005-0000-0000-00006D6C0000}"/>
    <cellStyle name="Normal 10 2 9 2 3" xfId="4778" xr:uid="{00000000-0005-0000-0000-00006E6C0000}"/>
    <cellStyle name="Normal 10 2 9 2 3 2" xfId="8649" xr:uid="{00000000-0005-0000-0000-00006F6C0000}"/>
    <cellStyle name="Normal 10 2 9 2 3 2 2" xfId="16394" xr:uid="{00000000-0005-0000-0000-0000706C0000}"/>
    <cellStyle name="Normal 10 2 9 2 3 2 2 2" xfId="31986" xr:uid="{00000000-0005-0000-0000-0000716C0000}"/>
    <cellStyle name="Normal 10 2 9 2 3 2 2 3" xfId="47478" xr:uid="{00000000-0005-0000-0000-0000726C0000}"/>
    <cellStyle name="Normal 10 2 9 2 3 2 3" xfId="24246" xr:uid="{00000000-0005-0000-0000-0000736C0000}"/>
    <cellStyle name="Normal 10 2 9 2 3 2 4" xfId="39738" xr:uid="{00000000-0005-0000-0000-0000746C0000}"/>
    <cellStyle name="Normal 10 2 9 2 3 3" xfId="12524" xr:uid="{00000000-0005-0000-0000-0000756C0000}"/>
    <cellStyle name="Normal 10 2 9 2 3 3 2" xfId="28116" xr:uid="{00000000-0005-0000-0000-0000766C0000}"/>
    <cellStyle name="Normal 10 2 9 2 3 3 3" xfId="43608" xr:uid="{00000000-0005-0000-0000-0000776C0000}"/>
    <cellStyle name="Normal 10 2 9 2 3 4" xfId="20376" xr:uid="{00000000-0005-0000-0000-0000786C0000}"/>
    <cellStyle name="Normal 10 2 9 2 3 5" xfId="35868" xr:uid="{00000000-0005-0000-0000-0000796C0000}"/>
    <cellStyle name="Normal 10 2 9 2 4" xfId="6722" xr:uid="{00000000-0005-0000-0000-00007A6C0000}"/>
    <cellStyle name="Normal 10 2 9 2 4 2" xfId="14467" xr:uid="{00000000-0005-0000-0000-00007B6C0000}"/>
    <cellStyle name="Normal 10 2 9 2 4 2 2" xfId="30059" xr:uid="{00000000-0005-0000-0000-00007C6C0000}"/>
    <cellStyle name="Normal 10 2 9 2 4 2 3" xfId="45551" xr:uid="{00000000-0005-0000-0000-00007D6C0000}"/>
    <cellStyle name="Normal 10 2 9 2 4 3" xfId="22319" xr:uid="{00000000-0005-0000-0000-00007E6C0000}"/>
    <cellStyle name="Normal 10 2 9 2 4 4" xfId="37811" xr:uid="{00000000-0005-0000-0000-00007F6C0000}"/>
    <cellStyle name="Normal 10 2 9 2 5" xfId="10597" xr:uid="{00000000-0005-0000-0000-0000806C0000}"/>
    <cellStyle name="Normal 10 2 9 2 5 2" xfId="26189" xr:uid="{00000000-0005-0000-0000-0000816C0000}"/>
    <cellStyle name="Normal 10 2 9 2 5 3" xfId="41681" xr:uid="{00000000-0005-0000-0000-0000826C0000}"/>
    <cellStyle name="Normal 10 2 9 2 6" xfId="18449" xr:uid="{00000000-0005-0000-0000-0000836C0000}"/>
    <cellStyle name="Normal 10 2 9 2 7" xfId="33941" xr:uid="{00000000-0005-0000-0000-0000846C0000}"/>
    <cellStyle name="Normal 10 2 9 3" xfId="3478" xr:uid="{00000000-0005-0000-0000-0000856C0000}"/>
    <cellStyle name="Normal 10 2 9 3 2" xfId="5417" xr:uid="{00000000-0005-0000-0000-0000866C0000}"/>
    <cellStyle name="Normal 10 2 9 3 2 2" xfId="9288" xr:uid="{00000000-0005-0000-0000-0000876C0000}"/>
    <cellStyle name="Normal 10 2 9 3 2 2 2" xfId="17033" xr:uid="{00000000-0005-0000-0000-0000886C0000}"/>
    <cellStyle name="Normal 10 2 9 3 2 2 2 2" xfId="32625" xr:uid="{00000000-0005-0000-0000-0000896C0000}"/>
    <cellStyle name="Normal 10 2 9 3 2 2 2 3" xfId="48117" xr:uid="{00000000-0005-0000-0000-00008A6C0000}"/>
    <cellStyle name="Normal 10 2 9 3 2 2 3" xfId="24885" xr:uid="{00000000-0005-0000-0000-00008B6C0000}"/>
    <cellStyle name="Normal 10 2 9 3 2 2 4" xfId="40377" xr:uid="{00000000-0005-0000-0000-00008C6C0000}"/>
    <cellStyle name="Normal 10 2 9 3 2 3" xfId="13163" xr:uid="{00000000-0005-0000-0000-00008D6C0000}"/>
    <cellStyle name="Normal 10 2 9 3 2 3 2" xfId="28755" xr:uid="{00000000-0005-0000-0000-00008E6C0000}"/>
    <cellStyle name="Normal 10 2 9 3 2 3 3" xfId="44247" xr:uid="{00000000-0005-0000-0000-00008F6C0000}"/>
    <cellStyle name="Normal 10 2 9 3 2 4" xfId="21015" xr:uid="{00000000-0005-0000-0000-0000906C0000}"/>
    <cellStyle name="Normal 10 2 9 3 2 5" xfId="36507" xr:uid="{00000000-0005-0000-0000-0000916C0000}"/>
    <cellStyle name="Normal 10 2 9 3 3" xfId="7361" xr:uid="{00000000-0005-0000-0000-0000926C0000}"/>
    <cellStyle name="Normal 10 2 9 3 3 2" xfId="15106" xr:uid="{00000000-0005-0000-0000-0000936C0000}"/>
    <cellStyle name="Normal 10 2 9 3 3 2 2" xfId="30698" xr:uid="{00000000-0005-0000-0000-0000946C0000}"/>
    <cellStyle name="Normal 10 2 9 3 3 2 3" xfId="46190" xr:uid="{00000000-0005-0000-0000-0000956C0000}"/>
    <cellStyle name="Normal 10 2 9 3 3 3" xfId="22958" xr:uid="{00000000-0005-0000-0000-0000966C0000}"/>
    <cellStyle name="Normal 10 2 9 3 3 4" xfId="38450" xr:uid="{00000000-0005-0000-0000-0000976C0000}"/>
    <cellStyle name="Normal 10 2 9 3 4" xfId="11236" xr:uid="{00000000-0005-0000-0000-0000986C0000}"/>
    <cellStyle name="Normal 10 2 9 3 4 2" xfId="26828" xr:uid="{00000000-0005-0000-0000-0000996C0000}"/>
    <cellStyle name="Normal 10 2 9 3 4 3" xfId="42320" xr:uid="{00000000-0005-0000-0000-00009A6C0000}"/>
    <cellStyle name="Normal 10 2 9 3 5" xfId="19088" xr:uid="{00000000-0005-0000-0000-00009B6C0000}"/>
    <cellStyle name="Normal 10 2 9 3 6" xfId="34580" xr:uid="{00000000-0005-0000-0000-00009C6C0000}"/>
    <cellStyle name="Normal 10 2 9 4" xfId="4469" xr:uid="{00000000-0005-0000-0000-00009D6C0000}"/>
    <cellStyle name="Normal 10 2 9 4 2" xfId="8340" xr:uid="{00000000-0005-0000-0000-00009E6C0000}"/>
    <cellStyle name="Normal 10 2 9 4 2 2" xfId="16085" xr:uid="{00000000-0005-0000-0000-00009F6C0000}"/>
    <cellStyle name="Normal 10 2 9 4 2 2 2" xfId="31677" xr:uid="{00000000-0005-0000-0000-0000A06C0000}"/>
    <cellStyle name="Normal 10 2 9 4 2 2 3" xfId="47169" xr:uid="{00000000-0005-0000-0000-0000A16C0000}"/>
    <cellStyle name="Normal 10 2 9 4 2 3" xfId="23937" xr:uid="{00000000-0005-0000-0000-0000A26C0000}"/>
    <cellStyle name="Normal 10 2 9 4 2 4" xfId="39429" xr:uid="{00000000-0005-0000-0000-0000A36C0000}"/>
    <cellStyle name="Normal 10 2 9 4 3" xfId="12215" xr:uid="{00000000-0005-0000-0000-0000A46C0000}"/>
    <cellStyle name="Normal 10 2 9 4 3 2" xfId="27807" xr:uid="{00000000-0005-0000-0000-0000A56C0000}"/>
    <cellStyle name="Normal 10 2 9 4 3 3" xfId="43299" xr:uid="{00000000-0005-0000-0000-0000A66C0000}"/>
    <cellStyle name="Normal 10 2 9 4 4" xfId="20067" xr:uid="{00000000-0005-0000-0000-0000A76C0000}"/>
    <cellStyle name="Normal 10 2 9 4 5" xfId="35559" xr:uid="{00000000-0005-0000-0000-0000A86C0000}"/>
    <cellStyle name="Normal 10 2 9 5" xfId="6413" xr:uid="{00000000-0005-0000-0000-0000A96C0000}"/>
    <cellStyle name="Normal 10 2 9 5 2" xfId="14158" xr:uid="{00000000-0005-0000-0000-0000AA6C0000}"/>
    <cellStyle name="Normal 10 2 9 5 2 2" xfId="29750" xr:uid="{00000000-0005-0000-0000-0000AB6C0000}"/>
    <cellStyle name="Normal 10 2 9 5 2 3" xfId="45242" xr:uid="{00000000-0005-0000-0000-0000AC6C0000}"/>
    <cellStyle name="Normal 10 2 9 5 3" xfId="22010" xr:uid="{00000000-0005-0000-0000-0000AD6C0000}"/>
    <cellStyle name="Normal 10 2 9 5 4" xfId="37502" xr:uid="{00000000-0005-0000-0000-0000AE6C0000}"/>
    <cellStyle name="Normal 10 2 9 6" xfId="10288" xr:uid="{00000000-0005-0000-0000-0000AF6C0000}"/>
    <cellStyle name="Normal 10 2 9 6 2" xfId="25880" xr:uid="{00000000-0005-0000-0000-0000B06C0000}"/>
    <cellStyle name="Normal 10 2 9 6 3" xfId="41372" xr:uid="{00000000-0005-0000-0000-0000B16C0000}"/>
    <cellStyle name="Normal 10 2 9 7" xfId="18140" xr:uid="{00000000-0005-0000-0000-0000B26C0000}"/>
    <cellStyle name="Normal 10 2 9 8" xfId="33632" xr:uid="{00000000-0005-0000-0000-0000B36C0000}"/>
    <cellStyle name="Normal 10 3" xfId="17759" xr:uid="{00000000-0005-0000-0000-0000B46C0000}"/>
    <cellStyle name="Normal 11" xfId="1858" xr:uid="{00000000-0005-0000-0000-0000B56C0000}"/>
    <cellStyle name="Normal 11 2" xfId="1859" xr:uid="{00000000-0005-0000-0000-0000B66C0000}"/>
    <cellStyle name="Normal 11 3" xfId="1860" xr:uid="{00000000-0005-0000-0000-0000B76C0000}"/>
    <cellStyle name="Normal 11 3 10" xfId="2487" xr:uid="{00000000-0005-0000-0000-0000B86C0000}"/>
    <cellStyle name="Normal 11 3 10 2" xfId="3495" xr:uid="{00000000-0005-0000-0000-0000B96C0000}"/>
    <cellStyle name="Normal 11 3 10 2 2" xfId="5434" xr:uid="{00000000-0005-0000-0000-0000BA6C0000}"/>
    <cellStyle name="Normal 11 3 10 2 2 2" xfId="9305" xr:uid="{00000000-0005-0000-0000-0000BB6C0000}"/>
    <cellStyle name="Normal 11 3 10 2 2 2 2" xfId="17050" xr:uid="{00000000-0005-0000-0000-0000BC6C0000}"/>
    <cellStyle name="Normal 11 3 10 2 2 2 2 2" xfId="32642" xr:uid="{00000000-0005-0000-0000-0000BD6C0000}"/>
    <cellStyle name="Normal 11 3 10 2 2 2 2 3" xfId="48134" xr:uid="{00000000-0005-0000-0000-0000BE6C0000}"/>
    <cellStyle name="Normal 11 3 10 2 2 2 3" xfId="24902" xr:uid="{00000000-0005-0000-0000-0000BF6C0000}"/>
    <cellStyle name="Normal 11 3 10 2 2 2 4" xfId="40394" xr:uid="{00000000-0005-0000-0000-0000C06C0000}"/>
    <cellStyle name="Normal 11 3 10 2 2 3" xfId="13180" xr:uid="{00000000-0005-0000-0000-0000C16C0000}"/>
    <cellStyle name="Normal 11 3 10 2 2 3 2" xfId="28772" xr:uid="{00000000-0005-0000-0000-0000C26C0000}"/>
    <cellStyle name="Normal 11 3 10 2 2 3 3" xfId="44264" xr:uid="{00000000-0005-0000-0000-0000C36C0000}"/>
    <cellStyle name="Normal 11 3 10 2 2 4" xfId="21032" xr:uid="{00000000-0005-0000-0000-0000C46C0000}"/>
    <cellStyle name="Normal 11 3 10 2 2 5" xfId="36524" xr:uid="{00000000-0005-0000-0000-0000C56C0000}"/>
    <cellStyle name="Normal 11 3 10 2 3" xfId="7378" xr:uid="{00000000-0005-0000-0000-0000C66C0000}"/>
    <cellStyle name="Normal 11 3 10 2 3 2" xfId="15123" xr:uid="{00000000-0005-0000-0000-0000C76C0000}"/>
    <cellStyle name="Normal 11 3 10 2 3 2 2" xfId="30715" xr:uid="{00000000-0005-0000-0000-0000C86C0000}"/>
    <cellStyle name="Normal 11 3 10 2 3 2 3" xfId="46207" xr:uid="{00000000-0005-0000-0000-0000C96C0000}"/>
    <cellStyle name="Normal 11 3 10 2 3 3" xfId="22975" xr:uid="{00000000-0005-0000-0000-0000CA6C0000}"/>
    <cellStyle name="Normal 11 3 10 2 3 4" xfId="38467" xr:uid="{00000000-0005-0000-0000-0000CB6C0000}"/>
    <cellStyle name="Normal 11 3 10 2 4" xfId="11253" xr:uid="{00000000-0005-0000-0000-0000CC6C0000}"/>
    <cellStyle name="Normal 11 3 10 2 4 2" xfId="26845" xr:uid="{00000000-0005-0000-0000-0000CD6C0000}"/>
    <cellStyle name="Normal 11 3 10 2 4 3" xfId="42337" xr:uid="{00000000-0005-0000-0000-0000CE6C0000}"/>
    <cellStyle name="Normal 11 3 10 2 5" xfId="19105" xr:uid="{00000000-0005-0000-0000-0000CF6C0000}"/>
    <cellStyle name="Normal 11 3 10 2 6" xfId="34597" xr:uid="{00000000-0005-0000-0000-0000D06C0000}"/>
    <cellStyle name="Normal 11 3 10 3" xfId="4486" xr:uid="{00000000-0005-0000-0000-0000D16C0000}"/>
    <cellStyle name="Normal 11 3 10 3 2" xfId="8357" xr:uid="{00000000-0005-0000-0000-0000D26C0000}"/>
    <cellStyle name="Normal 11 3 10 3 2 2" xfId="16102" xr:uid="{00000000-0005-0000-0000-0000D36C0000}"/>
    <cellStyle name="Normal 11 3 10 3 2 2 2" xfId="31694" xr:uid="{00000000-0005-0000-0000-0000D46C0000}"/>
    <cellStyle name="Normal 11 3 10 3 2 2 3" xfId="47186" xr:uid="{00000000-0005-0000-0000-0000D56C0000}"/>
    <cellStyle name="Normal 11 3 10 3 2 3" xfId="23954" xr:uid="{00000000-0005-0000-0000-0000D66C0000}"/>
    <cellStyle name="Normal 11 3 10 3 2 4" xfId="39446" xr:uid="{00000000-0005-0000-0000-0000D76C0000}"/>
    <cellStyle name="Normal 11 3 10 3 3" xfId="12232" xr:uid="{00000000-0005-0000-0000-0000D86C0000}"/>
    <cellStyle name="Normal 11 3 10 3 3 2" xfId="27824" xr:uid="{00000000-0005-0000-0000-0000D96C0000}"/>
    <cellStyle name="Normal 11 3 10 3 3 3" xfId="43316" xr:uid="{00000000-0005-0000-0000-0000DA6C0000}"/>
    <cellStyle name="Normal 11 3 10 3 4" xfId="20084" xr:uid="{00000000-0005-0000-0000-0000DB6C0000}"/>
    <cellStyle name="Normal 11 3 10 3 5" xfId="35576" xr:uid="{00000000-0005-0000-0000-0000DC6C0000}"/>
    <cellStyle name="Normal 11 3 10 4" xfId="6430" xr:uid="{00000000-0005-0000-0000-0000DD6C0000}"/>
    <cellStyle name="Normal 11 3 10 4 2" xfId="14175" xr:uid="{00000000-0005-0000-0000-0000DE6C0000}"/>
    <cellStyle name="Normal 11 3 10 4 2 2" xfId="29767" xr:uid="{00000000-0005-0000-0000-0000DF6C0000}"/>
    <cellStyle name="Normal 11 3 10 4 2 3" xfId="45259" xr:uid="{00000000-0005-0000-0000-0000E06C0000}"/>
    <cellStyle name="Normal 11 3 10 4 3" xfId="22027" xr:uid="{00000000-0005-0000-0000-0000E16C0000}"/>
    <cellStyle name="Normal 11 3 10 4 4" xfId="37519" xr:uid="{00000000-0005-0000-0000-0000E26C0000}"/>
    <cellStyle name="Normal 11 3 10 5" xfId="10305" xr:uid="{00000000-0005-0000-0000-0000E36C0000}"/>
    <cellStyle name="Normal 11 3 10 5 2" xfId="25897" xr:uid="{00000000-0005-0000-0000-0000E46C0000}"/>
    <cellStyle name="Normal 11 3 10 5 3" xfId="41389" xr:uid="{00000000-0005-0000-0000-0000E56C0000}"/>
    <cellStyle name="Normal 11 3 10 6" xfId="18157" xr:uid="{00000000-0005-0000-0000-0000E66C0000}"/>
    <cellStyle name="Normal 11 3 10 7" xfId="33649" xr:uid="{00000000-0005-0000-0000-0000E76C0000}"/>
    <cellStyle name="Normal 11 3 11" xfId="2817" xr:uid="{00000000-0005-0000-0000-0000E86C0000}"/>
    <cellStyle name="Normal 11 3 11 2" xfId="3824" xr:uid="{00000000-0005-0000-0000-0000E96C0000}"/>
    <cellStyle name="Normal 11 3 11 2 2" xfId="5763" xr:uid="{00000000-0005-0000-0000-0000EA6C0000}"/>
    <cellStyle name="Normal 11 3 11 2 2 2" xfId="9634" xr:uid="{00000000-0005-0000-0000-0000EB6C0000}"/>
    <cellStyle name="Normal 11 3 11 2 2 2 2" xfId="17379" xr:uid="{00000000-0005-0000-0000-0000EC6C0000}"/>
    <cellStyle name="Normal 11 3 11 2 2 2 2 2" xfId="32971" xr:uid="{00000000-0005-0000-0000-0000ED6C0000}"/>
    <cellStyle name="Normal 11 3 11 2 2 2 2 3" xfId="48463" xr:uid="{00000000-0005-0000-0000-0000EE6C0000}"/>
    <cellStyle name="Normal 11 3 11 2 2 2 3" xfId="25231" xr:uid="{00000000-0005-0000-0000-0000EF6C0000}"/>
    <cellStyle name="Normal 11 3 11 2 2 2 4" xfId="40723" xr:uid="{00000000-0005-0000-0000-0000F06C0000}"/>
    <cellStyle name="Normal 11 3 11 2 2 3" xfId="13509" xr:uid="{00000000-0005-0000-0000-0000F16C0000}"/>
    <cellStyle name="Normal 11 3 11 2 2 3 2" xfId="29101" xr:uid="{00000000-0005-0000-0000-0000F26C0000}"/>
    <cellStyle name="Normal 11 3 11 2 2 3 3" xfId="44593" xr:uid="{00000000-0005-0000-0000-0000F36C0000}"/>
    <cellStyle name="Normal 11 3 11 2 2 4" xfId="21361" xr:uid="{00000000-0005-0000-0000-0000F46C0000}"/>
    <cellStyle name="Normal 11 3 11 2 2 5" xfId="36853" xr:uid="{00000000-0005-0000-0000-0000F56C0000}"/>
    <cellStyle name="Normal 11 3 11 2 3" xfId="7707" xr:uid="{00000000-0005-0000-0000-0000F66C0000}"/>
    <cellStyle name="Normal 11 3 11 2 3 2" xfId="15452" xr:uid="{00000000-0005-0000-0000-0000F76C0000}"/>
    <cellStyle name="Normal 11 3 11 2 3 2 2" xfId="31044" xr:uid="{00000000-0005-0000-0000-0000F86C0000}"/>
    <cellStyle name="Normal 11 3 11 2 3 2 3" xfId="46536" xr:uid="{00000000-0005-0000-0000-0000F96C0000}"/>
    <cellStyle name="Normal 11 3 11 2 3 3" xfId="23304" xr:uid="{00000000-0005-0000-0000-0000FA6C0000}"/>
    <cellStyle name="Normal 11 3 11 2 3 4" xfId="38796" xr:uid="{00000000-0005-0000-0000-0000FB6C0000}"/>
    <cellStyle name="Normal 11 3 11 2 4" xfId="11582" xr:uid="{00000000-0005-0000-0000-0000FC6C0000}"/>
    <cellStyle name="Normal 11 3 11 2 4 2" xfId="27174" xr:uid="{00000000-0005-0000-0000-0000FD6C0000}"/>
    <cellStyle name="Normal 11 3 11 2 4 3" xfId="42666" xr:uid="{00000000-0005-0000-0000-0000FE6C0000}"/>
    <cellStyle name="Normal 11 3 11 2 5" xfId="19434" xr:uid="{00000000-0005-0000-0000-0000FF6C0000}"/>
    <cellStyle name="Normal 11 3 11 2 6" xfId="34926" xr:uid="{00000000-0005-0000-0000-0000006D0000}"/>
    <cellStyle name="Normal 11 3 11 3" xfId="4815" xr:uid="{00000000-0005-0000-0000-0000016D0000}"/>
    <cellStyle name="Normal 11 3 11 3 2" xfId="8686" xr:uid="{00000000-0005-0000-0000-0000026D0000}"/>
    <cellStyle name="Normal 11 3 11 3 2 2" xfId="16431" xr:uid="{00000000-0005-0000-0000-0000036D0000}"/>
    <cellStyle name="Normal 11 3 11 3 2 2 2" xfId="32023" xr:uid="{00000000-0005-0000-0000-0000046D0000}"/>
    <cellStyle name="Normal 11 3 11 3 2 2 3" xfId="47515" xr:uid="{00000000-0005-0000-0000-0000056D0000}"/>
    <cellStyle name="Normal 11 3 11 3 2 3" xfId="24283" xr:uid="{00000000-0005-0000-0000-0000066D0000}"/>
    <cellStyle name="Normal 11 3 11 3 2 4" xfId="39775" xr:uid="{00000000-0005-0000-0000-0000076D0000}"/>
    <cellStyle name="Normal 11 3 11 3 3" xfId="12561" xr:uid="{00000000-0005-0000-0000-0000086D0000}"/>
    <cellStyle name="Normal 11 3 11 3 3 2" xfId="28153" xr:uid="{00000000-0005-0000-0000-0000096D0000}"/>
    <cellStyle name="Normal 11 3 11 3 3 3" xfId="43645" xr:uid="{00000000-0005-0000-0000-00000A6D0000}"/>
    <cellStyle name="Normal 11 3 11 3 4" xfId="20413" xr:uid="{00000000-0005-0000-0000-00000B6D0000}"/>
    <cellStyle name="Normal 11 3 11 3 5" xfId="35905" xr:uid="{00000000-0005-0000-0000-00000C6D0000}"/>
    <cellStyle name="Normal 11 3 11 4" xfId="6759" xr:uid="{00000000-0005-0000-0000-00000D6D0000}"/>
    <cellStyle name="Normal 11 3 11 4 2" xfId="14504" xr:uid="{00000000-0005-0000-0000-00000E6D0000}"/>
    <cellStyle name="Normal 11 3 11 4 2 2" xfId="30096" xr:uid="{00000000-0005-0000-0000-00000F6D0000}"/>
    <cellStyle name="Normal 11 3 11 4 2 3" xfId="45588" xr:uid="{00000000-0005-0000-0000-0000106D0000}"/>
    <cellStyle name="Normal 11 3 11 4 3" xfId="22356" xr:uid="{00000000-0005-0000-0000-0000116D0000}"/>
    <cellStyle name="Normal 11 3 11 4 4" xfId="37848" xr:uid="{00000000-0005-0000-0000-0000126D0000}"/>
    <cellStyle name="Normal 11 3 11 5" xfId="10634" xr:uid="{00000000-0005-0000-0000-0000136D0000}"/>
    <cellStyle name="Normal 11 3 11 5 2" xfId="26226" xr:uid="{00000000-0005-0000-0000-0000146D0000}"/>
    <cellStyle name="Normal 11 3 11 5 3" xfId="41718" xr:uid="{00000000-0005-0000-0000-0000156D0000}"/>
    <cellStyle name="Normal 11 3 11 6" xfId="18486" xr:uid="{00000000-0005-0000-0000-0000166D0000}"/>
    <cellStyle name="Normal 11 3 11 7" xfId="33978" xr:uid="{00000000-0005-0000-0000-0000176D0000}"/>
    <cellStyle name="Normal 11 3 12" xfId="2856" xr:uid="{00000000-0005-0000-0000-0000186D0000}"/>
    <cellStyle name="Normal 11 3 12 2" xfId="3862" xr:uid="{00000000-0005-0000-0000-0000196D0000}"/>
    <cellStyle name="Normal 11 3 12 2 2" xfId="5801" xr:uid="{00000000-0005-0000-0000-00001A6D0000}"/>
    <cellStyle name="Normal 11 3 12 2 2 2" xfId="9672" xr:uid="{00000000-0005-0000-0000-00001B6D0000}"/>
    <cellStyle name="Normal 11 3 12 2 2 2 2" xfId="17417" xr:uid="{00000000-0005-0000-0000-00001C6D0000}"/>
    <cellStyle name="Normal 11 3 12 2 2 2 2 2" xfId="33009" xr:uid="{00000000-0005-0000-0000-00001D6D0000}"/>
    <cellStyle name="Normal 11 3 12 2 2 2 2 3" xfId="48501" xr:uid="{00000000-0005-0000-0000-00001E6D0000}"/>
    <cellStyle name="Normal 11 3 12 2 2 2 3" xfId="25269" xr:uid="{00000000-0005-0000-0000-00001F6D0000}"/>
    <cellStyle name="Normal 11 3 12 2 2 2 4" xfId="40761" xr:uid="{00000000-0005-0000-0000-0000206D0000}"/>
    <cellStyle name="Normal 11 3 12 2 2 3" xfId="13547" xr:uid="{00000000-0005-0000-0000-0000216D0000}"/>
    <cellStyle name="Normal 11 3 12 2 2 3 2" xfId="29139" xr:uid="{00000000-0005-0000-0000-0000226D0000}"/>
    <cellStyle name="Normal 11 3 12 2 2 3 3" xfId="44631" xr:uid="{00000000-0005-0000-0000-0000236D0000}"/>
    <cellStyle name="Normal 11 3 12 2 2 4" xfId="21399" xr:uid="{00000000-0005-0000-0000-0000246D0000}"/>
    <cellStyle name="Normal 11 3 12 2 2 5" xfId="36891" xr:uid="{00000000-0005-0000-0000-0000256D0000}"/>
    <cellStyle name="Normal 11 3 12 2 3" xfId="7745" xr:uid="{00000000-0005-0000-0000-0000266D0000}"/>
    <cellStyle name="Normal 11 3 12 2 3 2" xfId="15490" xr:uid="{00000000-0005-0000-0000-0000276D0000}"/>
    <cellStyle name="Normal 11 3 12 2 3 2 2" xfId="31082" xr:uid="{00000000-0005-0000-0000-0000286D0000}"/>
    <cellStyle name="Normal 11 3 12 2 3 2 3" xfId="46574" xr:uid="{00000000-0005-0000-0000-0000296D0000}"/>
    <cellStyle name="Normal 11 3 12 2 3 3" xfId="23342" xr:uid="{00000000-0005-0000-0000-00002A6D0000}"/>
    <cellStyle name="Normal 11 3 12 2 3 4" xfId="38834" xr:uid="{00000000-0005-0000-0000-00002B6D0000}"/>
    <cellStyle name="Normal 11 3 12 2 4" xfId="11620" xr:uid="{00000000-0005-0000-0000-00002C6D0000}"/>
    <cellStyle name="Normal 11 3 12 2 4 2" xfId="27212" xr:uid="{00000000-0005-0000-0000-00002D6D0000}"/>
    <cellStyle name="Normal 11 3 12 2 4 3" xfId="42704" xr:uid="{00000000-0005-0000-0000-00002E6D0000}"/>
    <cellStyle name="Normal 11 3 12 2 5" xfId="19472" xr:uid="{00000000-0005-0000-0000-00002F6D0000}"/>
    <cellStyle name="Normal 11 3 12 2 6" xfId="34964" xr:uid="{00000000-0005-0000-0000-0000306D0000}"/>
    <cellStyle name="Normal 11 3 12 3" xfId="4853" xr:uid="{00000000-0005-0000-0000-0000316D0000}"/>
    <cellStyle name="Normal 11 3 12 3 2" xfId="8724" xr:uid="{00000000-0005-0000-0000-0000326D0000}"/>
    <cellStyle name="Normal 11 3 12 3 2 2" xfId="16469" xr:uid="{00000000-0005-0000-0000-0000336D0000}"/>
    <cellStyle name="Normal 11 3 12 3 2 2 2" xfId="32061" xr:uid="{00000000-0005-0000-0000-0000346D0000}"/>
    <cellStyle name="Normal 11 3 12 3 2 2 3" xfId="47553" xr:uid="{00000000-0005-0000-0000-0000356D0000}"/>
    <cellStyle name="Normal 11 3 12 3 2 3" xfId="24321" xr:uid="{00000000-0005-0000-0000-0000366D0000}"/>
    <cellStyle name="Normal 11 3 12 3 2 4" xfId="39813" xr:uid="{00000000-0005-0000-0000-0000376D0000}"/>
    <cellStyle name="Normal 11 3 12 3 3" xfId="12599" xr:uid="{00000000-0005-0000-0000-0000386D0000}"/>
    <cellStyle name="Normal 11 3 12 3 3 2" xfId="28191" xr:uid="{00000000-0005-0000-0000-0000396D0000}"/>
    <cellStyle name="Normal 11 3 12 3 3 3" xfId="43683" xr:uid="{00000000-0005-0000-0000-00003A6D0000}"/>
    <cellStyle name="Normal 11 3 12 3 4" xfId="20451" xr:uid="{00000000-0005-0000-0000-00003B6D0000}"/>
    <cellStyle name="Normal 11 3 12 3 5" xfId="35943" xr:uid="{00000000-0005-0000-0000-00003C6D0000}"/>
    <cellStyle name="Normal 11 3 12 4" xfId="6797" xr:uid="{00000000-0005-0000-0000-00003D6D0000}"/>
    <cellStyle name="Normal 11 3 12 4 2" xfId="14542" xr:uid="{00000000-0005-0000-0000-00003E6D0000}"/>
    <cellStyle name="Normal 11 3 12 4 2 2" xfId="30134" xr:uid="{00000000-0005-0000-0000-00003F6D0000}"/>
    <cellStyle name="Normal 11 3 12 4 2 3" xfId="45626" xr:uid="{00000000-0005-0000-0000-0000406D0000}"/>
    <cellStyle name="Normal 11 3 12 4 3" xfId="22394" xr:uid="{00000000-0005-0000-0000-0000416D0000}"/>
    <cellStyle name="Normal 11 3 12 4 4" xfId="37886" xr:uid="{00000000-0005-0000-0000-0000426D0000}"/>
    <cellStyle name="Normal 11 3 12 5" xfId="10672" xr:uid="{00000000-0005-0000-0000-0000436D0000}"/>
    <cellStyle name="Normal 11 3 12 5 2" xfId="26264" xr:uid="{00000000-0005-0000-0000-0000446D0000}"/>
    <cellStyle name="Normal 11 3 12 5 3" xfId="41756" xr:uid="{00000000-0005-0000-0000-0000456D0000}"/>
    <cellStyle name="Normal 11 3 12 6" xfId="18524" xr:uid="{00000000-0005-0000-0000-0000466D0000}"/>
    <cellStyle name="Normal 11 3 12 7" xfId="34016" xr:uid="{00000000-0005-0000-0000-0000476D0000}"/>
    <cellStyle name="Normal 11 3 13" xfId="2893" xr:uid="{00000000-0005-0000-0000-0000486D0000}"/>
    <cellStyle name="Normal 11 3 13 2" xfId="3898" xr:uid="{00000000-0005-0000-0000-0000496D0000}"/>
    <cellStyle name="Normal 11 3 13 2 2" xfId="5837" xr:uid="{00000000-0005-0000-0000-00004A6D0000}"/>
    <cellStyle name="Normal 11 3 13 2 2 2" xfId="9708" xr:uid="{00000000-0005-0000-0000-00004B6D0000}"/>
    <cellStyle name="Normal 11 3 13 2 2 2 2" xfId="17453" xr:uid="{00000000-0005-0000-0000-00004C6D0000}"/>
    <cellStyle name="Normal 11 3 13 2 2 2 2 2" xfId="33045" xr:uid="{00000000-0005-0000-0000-00004D6D0000}"/>
    <cellStyle name="Normal 11 3 13 2 2 2 2 3" xfId="48537" xr:uid="{00000000-0005-0000-0000-00004E6D0000}"/>
    <cellStyle name="Normal 11 3 13 2 2 2 3" xfId="25305" xr:uid="{00000000-0005-0000-0000-00004F6D0000}"/>
    <cellStyle name="Normal 11 3 13 2 2 2 4" xfId="40797" xr:uid="{00000000-0005-0000-0000-0000506D0000}"/>
    <cellStyle name="Normal 11 3 13 2 2 3" xfId="13583" xr:uid="{00000000-0005-0000-0000-0000516D0000}"/>
    <cellStyle name="Normal 11 3 13 2 2 3 2" xfId="29175" xr:uid="{00000000-0005-0000-0000-0000526D0000}"/>
    <cellStyle name="Normal 11 3 13 2 2 3 3" xfId="44667" xr:uid="{00000000-0005-0000-0000-0000536D0000}"/>
    <cellStyle name="Normal 11 3 13 2 2 4" xfId="21435" xr:uid="{00000000-0005-0000-0000-0000546D0000}"/>
    <cellStyle name="Normal 11 3 13 2 2 5" xfId="36927" xr:uid="{00000000-0005-0000-0000-0000556D0000}"/>
    <cellStyle name="Normal 11 3 13 2 3" xfId="7781" xr:uid="{00000000-0005-0000-0000-0000566D0000}"/>
    <cellStyle name="Normal 11 3 13 2 3 2" xfId="15526" xr:uid="{00000000-0005-0000-0000-0000576D0000}"/>
    <cellStyle name="Normal 11 3 13 2 3 2 2" xfId="31118" xr:uid="{00000000-0005-0000-0000-0000586D0000}"/>
    <cellStyle name="Normal 11 3 13 2 3 2 3" xfId="46610" xr:uid="{00000000-0005-0000-0000-0000596D0000}"/>
    <cellStyle name="Normal 11 3 13 2 3 3" xfId="23378" xr:uid="{00000000-0005-0000-0000-00005A6D0000}"/>
    <cellStyle name="Normal 11 3 13 2 3 4" xfId="38870" xr:uid="{00000000-0005-0000-0000-00005B6D0000}"/>
    <cellStyle name="Normal 11 3 13 2 4" xfId="11656" xr:uid="{00000000-0005-0000-0000-00005C6D0000}"/>
    <cellStyle name="Normal 11 3 13 2 4 2" xfId="27248" xr:uid="{00000000-0005-0000-0000-00005D6D0000}"/>
    <cellStyle name="Normal 11 3 13 2 4 3" xfId="42740" xr:uid="{00000000-0005-0000-0000-00005E6D0000}"/>
    <cellStyle name="Normal 11 3 13 2 5" xfId="19508" xr:uid="{00000000-0005-0000-0000-00005F6D0000}"/>
    <cellStyle name="Normal 11 3 13 2 6" xfId="35000" xr:uid="{00000000-0005-0000-0000-0000606D0000}"/>
    <cellStyle name="Normal 11 3 13 3" xfId="4889" xr:uid="{00000000-0005-0000-0000-0000616D0000}"/>
    <cellStyle name="Normal 11 3 13 3 2" xfId="8760" xr:uid="{00000000-0005-0000-0000-0000626D0000}"/>
    <cellStyle name="Normal 11 3 13 3 2 2" xfId="16505" xr:uid="{00000000-0005-0000-0000-0000636D0000}"/>
    <cellStyle name="Normal 11 3 13 3 2 2 2" xfId="32097" xr:uid="{00000000-0005-0000-0000-0000646D0000}"/>
    <cellStyle name="Normal 11 3 13 3 2 2 3" xfId="47589" xr:uid="{00000000-0005-0000-0000-0000656D0000}"/>
    <cellStyle name="Normal 11 3 13 3 2 3" xfId="24357" xr:uid="{00000000-0005-0000-0000-0000666D0000}"/>
    <cellStyle name="Normal 11 3 13 3 2 4" xfId="39849" xr:uid="{00000000-0005-0000-0000-0000676D0000}"/>
    <cellStyle name="Normal 11 3 13 3 3" xfId="12635" xr:uid="{00000000-0005-0000-0000-0000686D0000}"/>
    <cellStyle name="Normal 11 3 13 3 3 2" xfId="28227" xr:uid="{00000000-0005-0000-0000-0000696D0000}"/>
    <cellStyle name="Normal 11 3 13 3 3 3" xfId="43719" xr:uid="{00000000-0005-0000-0000-00006A6D0000}"/>
    <cellStyle name="Normal 11 3 13 3 4" xfId="20487" xr:uid="{00000000-0005-0000-0000-00006B6D0000}"/>
    <cellStyle name="Normal 11 3 13 3 5" xfId="35979" xr:uid="{00000000-0005-0000-0000-00006C6D0000}"/>
    <cellStyle name="Normal 11 3 13 4" xfId="6833" xr:uid="{00000000-0005-0000-0000-00006D6D0000}"/>
    <cellStyle name="Normal 11 3 13 4 2" xfId="14578" xr:uid="{00000000-0005-0000-0000-00006E6D0000}"/>
    <cellStyle name="Normal 11 3 13 4 2 2" xfId="30170" xr:uid="{00000000-0005-0000-0000-00006F6D0000}"/>
    <cellStyle name="Normal 11 3 13 4 2 3" xfId="45662" xr:uid="{00000000-0005-0000-0000-0000706D0000}"/>
    <cellStyle name="Normal 11 3 13 4 3" xfId="22430" xr:uid="{00000000-0005-0000-0000-0000716D0000}"/>
    <cellStyle name="Normal 11 3 13 4 4" xfId="37922" xr:uid="{00000000-0005-0000-0000-0000726D0000}"/>
    <cellStyle name="Normal 11 3 13 5" xfId="10708" xr:uid="{00000000-0005-0000-0000-0000736D0000}"/>
    <cellStyle name="Normal 11 3 13 5 2" xfId="26300" xr:uid="{00000000-0005-0000-0000-0000746D0000}"/>
    <cellStyle name="Normal 11 3 13 5 3" xfId="41792" xr:uid="{00000000-0005-0000-0000-0000756D0000}"/>
    <cellStyle name="Normal 11 3 13 6" xfId="18560" xr:uid="{00000000-0005-0000-0000-0000766D0000}"/>
    <cellStyle name="Normal 11 3 13 7" xfId="34052" xr:uid="{00000000-0005-0000-0000-0000776D0000}"/>
    <cellStyle name="Normal 11 3 14" xfId="2930" xr:uid="{00000000-0005-0000-0000-0000786D0000}"/>
    <cellStyle name="Normal 11 3 14 2" xfId="3934" xr:uid="{00000000-0005-0000-0000-0000796D0000}"/>
    <cellStyle name="Normal 11 3 14 2 2" xfId="5873" xr:uid="{00000000-0005-0000-0000-00007A6D0000}"/>
    <cellStyle name="Normal 11 3 14 2 2 2" xfId="9744" xr:uid="{00000000-0005-0000-0000-00007B6D0000}"/>
    <cellStyle name="Normal 11 3 14 2 2 2 2" xfId="17489" xr:uid="{00000000-0005-0000-0000-00007C6D0000}"/>
    <cellStyle name="Normal 11 3 14 2 2 2 2 2" xfId="33081" xr:uid="{00000000-0005-0000-0000-00007D6D0000}"/>
    <cellStyle name="Normal 11 3 14 2 2 2 2 3" xfId="48573" xr:uid="{00000000-0005-0000-0000-00007E6D0000}"/>
    <cellStyle name="Normal 11 3 14 2 2 2 3" xfId="25341" xr:uid="{00000000-0005-0000-0000-00007F6D0000}"/>
    <cellStyle name="Normal 11 3 14 2 2 2 4" xfId="40833" xr:uid="{00000000-0005-0000-0000-0000806D0000}"/>
    <cellStyle name="Normal 11 3 14 2 2 3" xfId="13619" xr:uid="{00000000-0005-0000-0000-0000816D0000}"/>
    <cellStyle name="Normal 11 3 14 2 2 3 2" xfId="29211" xr:uid="{00000000-0005-0000-0000-0000826D0000}"/>
    <cellStyle name="Normal 11 3 14 2 2 3 3" xfId="44703" xr:uid="{00000000-0005-0000-0000-0000836D0000}"/>
    <cellStyle name="Normal 11 3 14 2 2 4" xfId="21471" xr:uid="{00000000-0005-0000-0000-0000846D0000}"/>
    <cellStyle name="Normal 11 3 14 2 2 5" xfId="36963" xr:uid="{00000000-0005-0000-0000-0000856D0000}"/>
    <cellStyle name="Normal 11 3 14 2 3" xfId="7817" xr:uid="{00000000-0005-0000-0000-0000866D0000}"/>
    <cellStyle name="Normal 11 3 14 2 3 2" xfId="15562" xr:uid="{00000000-0005-0000-0000-0000876D0000}"/>
    <cellStyle name="Normal 11 3 14 2 3 2 2" xfId="31154" xr:uid="{00000000-0005-0000-0000-0000886D0000}"/>
    <cellStyle name="Normal 11 3 14 2 3 2 3" xfId="46646" xr:uid="{00000000-0005-0000-0000-0000896D0000}"/>
    <cellStyle name="Normal 11 3 14 2 3 3" xfId="23414" xr:uid="{00000000-0005-0000-0000-00008A6D0000}"/>
    <cellStyle name="Normal 11 3 14 2 3 4" xfId="38906" xr:uid="{00000000-0005-0000-0000-00008B6D0000}"/>
    <cellStyle name="Normal 11 3 14 2 4" xfId="11692" xr:uid="{00000000-0005-0000-0000-00008C6D0000}"/>
    <cellStyle name="Normal 11 3 14 2 4 2" xfId="27284" xr:uid="{00000000-0005-0000-0000-00008D6D0000}"/>
    <cellStyle name="Normal 11 3 14 2 4 3" xfId="42776" xr:uid="{00000000-0005-0000-0000-00008E6D0000}"/>
    <cellStyle name="Normal 11 3 14 2 5" xfId="19544" xr:uid="{00000000-0005-0000-0000-00008F6D0000}"/>
    <cellStyle name="Normal 11 3 14 2 6" xfId="35036" xr:uid="{00000000-0005-0000-0000-0000906D0000}"/>
    <cellStyle name="Normal 11 3 14 3" xfId="4925" xr:uid="{00000000-0005-0000-0000-0000916D0000}"/>
    <cellStyle name="Normal 11 3 14 3 2" xfId="8796" xr:uid="{00000000-0005-0000-0000-0000926D0000}"/>
    <cellStyle name="Normal 11 3 14 3 2 2" xfId="16541" xr:uid="{00000000-0005-0000-0000-0000936D0000}"/>
    <cellStyle name="Normal 11 3 14 3 2 2 2" xfId="32133" xr:uid="{00000000-0005-0000-0000-0000946D0000}"/>
    <cellStyle name="Normal 11 3 14 3 2 2 3" xfId="47625" xr:uid="{00000000-0005-0000-0000-0000956D0000}"/>
    <cellStyle name="Normal 11 3 14 3 2 3" xfId="24393" xr:uid="{00000000-0005-0000-0000-0000966D0000}"/>
    <cellStyle name="Normal 11 3 14 3 2 4" xfId="39885" xr:uid="{00000000-0005-0000-0000-0000976D0000}"/>
    <cellStyle name="Normal 11 3 14 3 3" xfId="12671" xr:uid="{00000000-0005-0000-0000-0000986D0000}"/>
    <cellStyle name="Normal 11 3 14 3 3 2" xfId="28263" xr:uid="{00000000-0005-0000-0000-0000996D0000}"/>
    <cellStyle name="Normal 11 3 14 3 3 3" xfId="43755" xr:uid="{00000000-0005-0000-0000-00009A6D0000}"/>
    <cellStyle name="Normal 11 3 14 3 4" xfId="20523" xr:uid="{00000000-0005-0000-0000-00009B6D0000}"/>
    <cellStyle name="Normal 11 3 14 3 5" xfId="36015" xr:uid="{00000000-0005-0000-0000-00009C6D0000}"/>
    <cellStyle name="Normal 11 3 14 4" xfId="6869" xr:uid="{00000000-0005-0000-0000-00009D6D0000}"/>
    <cellStyle name="Normal 11 3 14 4 2" xfId="14614" xr:uid="{00000000-0005-0000-0000-00009E6D0000}"/>
    <cellStyle name="Normal 11 3 14 4 2 2" xfId="30206" xr:uid="{00000000-0005-0000-0000-00009F6D0000}"/>
    <cellStyle name="Normal 11 3 14 4 2 3" xfId="45698" xr:uid="{00000000-0005-0000-0000-0000A06D0000}"/>
    <cellStyle name="Normal 11 3 14 4 3" xfId="22466" xr:uid="{00000000-0005-0000-0000-0000A16D0000}"/>
    <cellStyle name="Normal 11 3 14 4 4" xfId="37958" xr:uid="{00000000-0005-0000-0000-0000A26D0000}"/>
    <cellStyle name="Normal 11 3 14 5" xfId="10744" xr:uid="{00000000-0005-0000-0000-0000A36D0000}"/>
    <cellStyle name="Normal 11 3 14 5 2" xfId="26336" xr:uid="{00000000-0005-0000-0000-0000A46D0000}"/>
    <cellStyle name="Normal 11 3 14 5 3" xfId="41828" xr:uid="{00000000-0005-0000-0000-0000A56D0000}"/>
    <cellStyle name="Normal 11 3 14 6" xfId="18596" xr:uid="{00000000-0005-0000-0000-0000A66D0000}"/>
    <cellStyle name="Normal 11 3 14 7" xfId="34088" xr:uid="{00000000-0005-0000-0000-0000A76D0000}"/>
    <cellStyle name="Normal 11 3 15" xfId="2969" xr:uid="{00000000-0005-0000-0000-0000A86D0000}"/>
    <cellStyle name="Normal 11 3 15 2" xfId="3970" xr:uid="{00000000-0005-0000-0000-0000A96D0000}"/>
    <cellStyle name="Normal 11 3 15 2 2" xfId="5909" xr:uid="{00000000-0005-0000-0000-0000AA6D0000}"/>
    <cellStyle name="Normal 11 3 15 2 2 2" xfId="9780" xr:uid="{00000000-0005-0000-0000-0000AB6D0000}"/>
    <cellStyle name="Normal 11 3 15 2 2 2 2" xfId="17525" xr:uid="{00000000-0005-0000-0000-0000AC6D0000}"/>
    <cellStyle name="Normal 11 3 15 2 2 2 2 2" xfId="33117" xr:uid="{00000000-0005-0000-0000-0000AD6D0000}"/>
    <cellStyle name="Normal 11 3 15 2 2 2 2 3" xfId="48609" xr:uid="{00000000-0005-0000-0000-0000AE6D0000}"/>
    <cellStyle name="Normal 11 3 15 2 2 2 3" xfId="25377" xr:uid="{00000000-0005-0000-0000-0000AF6D0000}"/>
    <cellStyle name="Normal 11 3 15 2 2 2 4" xfId="40869" xr:uid="{00000000-0005-0000-0000-0000B06D0000}"/>
    <cellStyle name="Normal 11 3 15 2 2 3" xfId="13655" xr:uid="{00000000-0005-0000-0000-0000B16D0000}"/>
    <cellStyle name="Normal 11 3 15 2 2 3 2" xfId="29247" xr:uid="{00000000-0005-0000-0000-0000B26D0000}"/>
    <cellStyle name="Normal 11 3 15 2 2 3 3" xfId="44739" xr:uid="{00000000-0005-0000-0000-0000B36D0000}"/>
    <cellStyle name="Normal 11 3 15 2 2 4" xfId="21507" xr:uid="{00000000-0005-0000-0000-0000B46D0000}"/>
    <cellStyle name="Normal 11 3 15 2 2 5" xfId="36999" xr:uid="{00000000-0005-0000-0000-0000B56D0000}"/>
    <cellStyle name="Normal 11 3 15 2 3" xfId="7853" xr:uid="{00000000-0005-0000-0000-0000B66D0000}"/>
    <cellStyle name="Normal 11 3 15 2 3 2" xfId="15598" xr:uid="{00000000-0005-0000-0000-0000B76D0000}"/>
    <cellStyle name="Normal 11 3 15 2 3 2 2" xfId="31190" xr:uid="{00000000-0005-0000-0000-0000B86D0000}"/>
    <cellStyle name="Normal 11 3 15 2 3 2 3" xfId="46682" xr:uid="{00000000-0005-0000-0000-0000B96D0000}"/>
    <cellStyle name="Normal 11 3 15 2 3 3" xfId="23450" xr:uid="{00000000-0005-0000-0000-0000BA6D0000}"/>
    <cellStyle name="Normal 11 3 15 2 3 4" xfId="38942" xr:uid="{00000000-0005-0000-0000-0000BB6D0000}"/>
    <cellStyle name="Normal 11 3 15 2 4" xfId="11728" xr:uid="{00000000-0005-0000-0000-0000BC6D0000}"/>
    <cellStyle name="Normal 11 3 15 2 4 2" xfId="27320" xr:uid="{00000000-0005-0000-0000-0000BD6D0000}"/>
    <cellStyle name="Normal 11 3 15 2 4 3" xfId="42812" xr:uid="{00000000-0005-0000-0000-0000BE6D0000}"/>
    <cellStyle name="Normal 11 3 15 2 5" xfId="19580" xr:uid="{00000000-0005-0000-0000-0000BF6D0000}"/>
    <cellStyle name="Normal 11 3 15 2 6" xfId="35072" xr:uid="{00000000-0005-0000-0000-0000C06D0000}"/>
    <cellStyle name="Normal 11 3 15 3" xfId="4961" xr:uid="{00000000-0005-0000-0000-0000C16D0000}"/>
    <cellStyle name="Normal 11 3 15 3 2" xfId="8832" xr:uid="{00000000-0005-0000-0000-0000C26D0000}"/>
    <cellStyle name="Normal 11 3 15 3 2 2" xfId="16577" xr:uid="{00000000-0005-0000-0000-0000C36D0000}"/>
    <cellStyle name="Normal 11 3 15 3 2 2 2" xfId="32169" xr:uid="{00000000-0005-0000-0000-0000C46D0000}"/>
    <cellStyle name="Normal 11 3 15 3 2 2 3" xfId="47661" xr:uid="{00000000-0005-0000-0000-0000C56D0000}"/>
    <cellStyle name="Normal 11 3 15 3 2 3" xfId="24429" xr:uid="{00000000-0005-0000-0000-0000C66D0000}"/>
    <cellStyle name="Normal 11 3 15 3 2 4" xfId="39921" xr:uid="{00000000-0005-0000-0000-0000C76D0000}"/>
    <cellStyle name="Normal 11 3 15 3 3" xfId="12707" xr:uid="{00000000-0005-0000-0000-0000C86D0000}"/>
    <cellStyle name="Normal 11 3 15 3 3 2" xfId="28299" xr:uid="{00000000-0005-0000-0000-0000C96D0000}"/>
    <cellStyle name="Normal 11 3 15 3 3 3" xfId="43791" xr:uid="{00000000-0005-0000-0000-0000CA6D0000}"/>
    <cellStyle name="Normal 11 3 15 3 4" xfId="20559" xr:uid="{00000000-0005-0000-0000-0000CB6D0000}"/>
    <cellStyle name="Normal 11 3 15 3 5" xfId="36051" xr:uid="{00000000-0005-0000-0000-0000CC6D0000}"/>
    <cellStyle name="Normal 11 3 15 4" xfId="6905" xr:uid="{00000000-0005-0000-0000-0000CD6D0000}"/>
    <cellStyle name="Normal 11 3 15 4 2" xfId="14650" xr:uid="{00000000-0005-0000-0000-0000CE6D0000}"/>
    <cellStyle name="Normal 11 3 15 4 2 2" xfId="30242" xr:uid="{00000000-0005-0000-0000-0000CF6D0000}"/>
    <cellStyle name="Normal 11 3 15 4 2 3" xfId="45734" xr:uid="{00000000-0005-0000-0000-0000D06D0000}"/>
    <cellStyle name="Normal 11 3 15 4 3" xfId="22502" xr:uid="{00000000-0005-0000-0000-0000D16D0000}"/>
    <cellStyle name="Normal 11 3 15 4 4" xfId="37994" xr:uid="{00000000-0005-0000-0000-0000D26D0000}"/>
    <cellStyle name="Normal 11 3 15 5" xfId="10780" xr:uid="{00000000-0005-0000-0000-0000D36D0000}"/>
    <cellStyle name="Normal 11 3 15 5 2" xfId="26372" xr:uid="{00000000-0005-0000-0000-0000D46D0000}"/>
    <cellStyle name="Normal 11 3 15 5 3" xfId="41864" xr:uid="{00000000-0005-0000-0000-0000D56D0000}"/>
    <cellStyle name="Normal 11 3 15 6" xfId="18632" xr:uid="{00000000-0005-0000-0000-0000D66D0000}"/>
    <cellStyle name="Normal 11 3 15 7" xfId="34124" xr:uid="{00000000-0005-0000-0000-0000D76D0000}"/>
    <cellStyle name="Normal 11 3 16" xfId="3009" xr:uid="{00000000-0005-0000-0000-0000D86D0000}"/>
    <cellStyle name="Normal 11 3 16 2" xfId="4006" xr:uid="{00000000-0005-0000-0000-0000D96D0000}"/>
    <cellStyle name="Normal 11 3 16 2 2" xfId="5945" xr:uid="{00000000-0005-0000-0000-0000DA6D0000}"/>
    <cellStyle name="Normal 11 3 16 2 2 2" xfId="9816" xr:uid="{00000000-0005-0000-0000-0000DB6D0000}"/>
    <cellStyle name="Normal 11 3 16 2 2 2 2" xfId="17561" xr:uid="{00000000-0005-0000-0000-0000DC6D0000}"/>
    <cellStyle name="Normal 11 3 16 2 2 2 2 2" xfId="33153" xr:uid="{00000000-0005-0000-0000-0000DD6D0000}"/>
    <cellStyle name="Normal 11 3 16 2 2 2 2 3" xfId="48645" xr:uid="{00000000-0005-0000-0000-0000DE6D0000}"/>
    <cellStyle name="Normal 11 3 16 2 2 2 3" xfId="25413" xr:uid="{00000000-0005-0000-0000-0000DF6D0000}"/>
    <cellStyle name="Normal 11 3 16 2 2 2 4" xfId="40905" xr:uid="{00000000-0005-0000-0000-0000E06D0000}"/>
    <cellStyle name="Normal 11 3 16 2 2 3" xfId="13691" xr:uid="{00000000-0005-0000-0000-0000E16D0000}"/>
    <cellStyle name="Normal 11 3 16 2 2 3 2" xfId="29283" xr:uid="{00000000-0005-0000-0000-0000E26D0000}"/>
    <cellStyle name="Normal 11 3 16 2 2 3 3" xfId="44775" xr:uid="{00000000-0005-0000-0000-0000E36D0000}"/>
    <cellStyle name="Normal 11 3 16 2 2 4" xfId="21543" xr:uid="{00000000-0005-0000-0000-0000E46D0000}"/>
    <cellStyle name="Normal 11 3 16 2 2 5" xfId="37035" xr:uid="{00000000-0005-0000-0000-0000E56D0000}"/>
    <cellStyle name="Normal 11 3 16 2 3" xfId="7889" xr:uid="{00000000-0005-0000-0000-0000E66D0000}"/>
    <cellStyle name="Normal 11 3 16 2 3 2" xfId="15634" xr:uid="{00000000-0005-0000-0000-0000E76D0000}"/>
    <cellStyle name="Normal 11 3 16 2 3 2 2" xfId="31226" xr:uid="{00000000-0005-0000-0000-0000E86D0000}"/>
    <cellStyle name="Normal 11 3 16 2 3 2 3" xfId="46718" xr:uid="{00000000-0005-0000-0000-0000E96D0000}"/>
    <cellStyle name="Normal 11 3 16 2 3 3" xfId="23486" xr:uid="{00000000-0005-0000-0000-0000EA6D0000}"/>
    <cellStyle name="Normal 11 3 16 2 3 4" xfId="38978" xr:uid="{00000000-0005-0000-0000-0000EB6D0000}"/>
    <cellStyle name="Normal 11 3 16 2 4" xfId="11764" xr:uid="{00000000-0005-0000-0000-0000EC6D0000}"/>
    <cellStyle name="Normal 11 3 16 2 4 2" xfId="27356" xr:uid="{00000000-0005-0000-0000-0000ED6D0000}"/>
    <cellStyle name="Normal 11 3 16 2 4 3" xfId="42848" xr:uid="{00000000-0005-0000-0000-0000EE6D0000}"/>
    <cellStyle name="Normal 11 3 16 2 5" xfId="19616" xr:uid="{00000000-0005-0000-0000-0000EF6D0000}"/>
    <cellStyle name="Normal 11 3 16 2 6" xfId="35108" xr:uid="{00000000-0005-0000-0000-0000F06D0000}"/>
    <cellStyle name="Normal 11 3 16 3" xfId="4997" xr:uid="{00000000-0005-0000-0000-0000F16D0000}"/>
    <cellStyle name="Normal 11 3 16 3 2" xfId="8868" xr:uid="{00000000-0005-0000-0000-0000F26D0000}"/>
    <cellStyle name="Normal 11 3 16 3 2 2" xfId="16613" xr:uid="{00000000-0005-0000-0000-0000F36D0000}"/>
    <cellStyle name="Normal 11 3 16 3 2 2 2" xfId="32205" xr:uid="{00000000-0005-0000-0000-0000F46D0000}"/>
    <cellStyle name="Normal 11 3 16 3 2 2 3" xfId="47697" xr:uid="{00000000-0005-0000-0000-0000F56D0000}"/>
    <cellStyle name="Normal 11 3 16 3 2 3" xfId="24465" xr:uid="{00000000-0005-0000-0000-0000F66D0000}"/>
    <cellStyle name="Normal 11 3 16 3 2 4" xfId="39957" xr:uid="{00000000-0005-0000-0000-0000F76D0000}"/>
    <cellStyle name="Normal 11 3 16 3 3" xfId="12743" xr:uid="{00000000-0005-0000-0000-0000F86D0000}"/>
    <cellStyle name="Normal 11 3 16 3 3 2" xfId="28335" xr:uid="{00000000-0005-0000-0000-0000F96D0000}"/>
    <cellStyle name="Normal 11 3 16 3 3 3" xfId="43827" xr:uid="{00000000-0005-0000-0000-0000FA6D0000}"/>
    <cellStyle name="Normal 11 3 16 3 4" xfId="20595" xr:uid="{00000000-0005-0000-0000-0000FB6D0000}"/>
    <cellStyle name="Normal 11 3 16 3 5" xfId="36087" xr:uid="{00000000-0005-0000-0000-0000FC6D0000}"/>
    <cellStyle name="Normal 11 3 16 4" xfId="6941" xr:uid="{00000000-0005-0000-0000-0000FD6D0000}"/>
    <cellStyle name="Normal 11 3 16 4 2" xfId="14686" xr:uid="{00000000-0005-0000-0000-0000FE6D0000}"/>
    <cellStyle name="Normal 11 3 16 4 2 2" xfId="30278" xr:uid="{00000000-0005-0000-0000-0000FF6D0000}"/>
    <cellStyle name="Normal 11 3 16 4 2 3" xfId="45770" xr:uid="{00000000-0005-0000-0000-0000006E0000}"/>
    <cellStyle name="Normal 11 3 16 4 3" xfId="22538" xr:uid="{00000000-0005-0000-0000-0000016E0000}"/>
    <cellStyle name="Normal 11 3 16 4 4" xfId="38030" xr:uid="{00000000-0005-0000-0000-0000026E0000}"/>
    <cellStyle name="Normal 11 3 16 5" xfId="10816" xr:uid="{00000000-0005-0000-0000-0000036E0000}"/>
    <cellStyle name="Normal 11 3 16 5 2" xfId="26408" xr:uid="{00000000-0005-0000-0000-0000046E0000}"/>
    <cellStyle name="Normal 11 3 16 5 3" xfId="41900" xr:uid="{00000000-0005-0000-0000-0000056E0000}"/>
    <cellStyle name="Normal 11 3 16 6" xfId="18668" xr:uid="{00000000-0005-0000-0000-0000066E0000}"/>
    <cellStyle name="Normal 11 3 16 7" xfId="34160" xr:uid="{00000000-0005-0000-0000-0000076E0000}"/>
    <cellStyle name="Normal 11 3 17" xfId="3047" xr:uid="{00000000-0005-0000-0000-0000086E0000}"/>
    <cellStyle name="Normal 11 3 17 2" xfId="4042" xr:uid="{00000000-0005-0000-0000-0000096E0000}"/>
    <cellStyle name="Normal 11 3 17 2 2" xfId="5981" xr:uid="{00000000-0005-0000-0000-00000A6E0000}"/>
    <cellStyle name="Normal 11 3 17 2 2 2" xfId="9852" xr:uid="{00000000-0005-0000-0000-00000B6E0000}"/>
    <cellStyle name="Normal 11 3 17 2 2 2 2" xfId="17597" xr:uid="{00000000-0005-0000-0000-00000C6E0000}"/>
    <cellStyle name="Normal 11 3 17 2 2 2 2 2" xfId="33189" xr:uid="{00000000-0005-0000-0000-00000D6E0000}"/>
    <cellStyle name="Normal 11 3 17 2 2 2 2 3" xfId="48681" xr:uid="{00000000-0005-0000-0000-00000E6E0000}"/>
    <cellStyle name="Normal 11 3 17 2 2 2 3" xfId="25449" xr:uid="{00000000-0005-0000-0000-00000F6E0000}"/>
    <cellStyle name="Normal 11 3 17 2 2 2 4" xfId="40941" xr:uid="{00000000-0005-0000-0000-0000106E0000}"/>
    <cellStyle name="Normal 11 3 17 2 2 3" xfId="13727" xr:uid="{00000000-0005-0000-0000-0000116E0000}"/>
    <cellStyle name="Normal 11 3 17 2 2 3 2" xfId="29319" xr:uid="{00000000-0005-0000-0000-0000126E0000}"/>
    <cellStyle name="Normal 11 3 17 2 2 3 3" xfId="44811" xr:uid="{00000000-0005-0000-0000-0000136E0000}"/>
    <cellStyle name="Normal 11 3 17 2 2 4" xfId="21579" xr:uid="{00000000-0005-0000-0000-0000146E0000}"/>
    <cellStyle name="Normal 11 3 17 2 2 5" xfId="37071" xr:uid="{00000000-0005-0000-0000-0000156E0000}"/>
    <cellStyle name="Normal 11 3 17 2 3" xfId="7925" xr:uid="{00000000-0005-0000-0000-0000166E0000}"/>
    <cellStyle name="Normal 11 3 17 2 3 2" xfId="15670" xr:uid="{00000000-0005-0000-0000-0000176E0000}"/>
    <cellStyle name="Normal 11 3 17 2 3 2 2" xfId="31262" xr:uid="{00000000-0005-0000-0000-0000186E0000}"/>
    <cellStyle name="Normal 11 3 17 2 3 2 3" xfId="46754" xr:uid="{00000000-0005-0000-0000-0000196E0000}"/>
    <cellStyle name="Normal 11 3 17 2 3 3" xfId="23522" xr:uid="{00000000-0005-0000-0000-00001A6E0000}"/>
    <cellStyle name="Normal 11 3 17 2 3 4" xfId="39014" xr:uid="{00000000-0005-0000-0000-00001B6E0000}"/>
    <cellStyle name="Normal 11 3 17 2 4" xfId="11800" xr:uid="{00000000-0005-0000-0000-00001C6E0000}"/>
    <cellStyle name="Normal 11 3 17 2 4 2" xfId="27392" xr:uid="{00000000-0005-0000-0000-00001D6E0000}"/>
    <cellStyle name="Normal 11 3 17 2 4 3" xfId="42884" xr:uid="{00000000-0005-0000-0000-00001E6E0000}"/>
    <cellStyle name="Normal 11 3 17 2 5" xfId="19652" xr:uid="{00000000-0005-0000-0000-00001F6E0000}"/>
    <cellStyle name="Normal 11 3 17 2 6" xfId="35144" xr:uid="{00000000-0005-0000-0000-0000206E0000}"/>
    <cellStyle name="Normal 11 3 17 3" xfId="5033" xr:uid="{00000000-0005-0000-0000-0000216E0000}"/>
    <cellStyle name="Normal 11 3 17 3 2" xfId="8904" xr:uid="{00000000-0005-0000-0000-0000226E0000}"/>
    <cellStyle name="Normal 11 3 17 3 2 2" xfId="16649" xr:uid="{00000000-0005-0000-0000-0000236E0000}"/>
    <cellStyle name="Normal 11 3 17 3 2 2 2" xfId="32241" xr:uid="{00000000-0005-0000-0000-0000246E0000}"/>
    <cellStyle name="Normal 11 3 17 3 2 2 3" xfId="47733" xr:uid="{00000000-0005-0000-0000-0000256E0000}"/>
    <cellStyle name="Normal 11 3 17 3 2 3" xfId="24501" xr:uid="{00000000-0005-0000-0000-0000266E0000}"/>
    <cellStyle name="Normal 11 3 17 3 2 4" xfId="39993" xr:uid="{00000000-0005-0000-0000-0000276E0000}"/>
    <cellStyle name="Normal 11 3 17 3 3" xfId="12779" xr:uid="{00000000-0005-0000-0000-0000286E0000}"/>
    <cellStyle name="Normal 11 3 17 3 3 2" xfId="28371" xr:uid="{00000000-0005-0000-0000-0000296E0000}"/>
    <cellStyle name="Normal 11 3 17 3 3 3" xfId="43863" xr:uid="{00000000-0005-0000-0000-00002A6E0000}"/>
    <cellStyle name="Normal 11 3 17 3 4" xfId="20631" xr:uid="{00000000-0005-0000-0000-00002B6E0000}"/>
    <cellStyle name="Normal 11 3 17 3 5" xfId="36123" xr:uid="{00000000-0005-0000-0000-00002C6E0000}"/>
    <cellStyle name="Normal 11 3 17 4" xfId="6977" xr:uid="{00000000-0005-0000-0000-00002D6E0000}"/>
    <cellStyle name="Normal 11 3 17 4 2" xfId="14722" xr:uid="{00000000-0005-0000-0000-00002E6E0000}"/>
    <cellStyle name="Normal 11 3 17 4 2 2" xfId="30314" xr:uid="{00000000-0005-0000-0000-00002F6E0000}"/>
    <cellStyle name="Normal 11 3 17 4 2 3" xfId="45806" xr:uid="{00000000-0005-0000-0000-0000306E0000}"/>
    <cellStyle name="Normal 11 3 17 4 3" xfId="22574" xr:uid="{00000000-0005-0000-0000-0000316E0000}"/>
    <cellStyle name="Normal 11 3 17 4 4" xfId="38066" xr:uid="{00000000-0005-0000-0000-0000326E0000}"/>
    <cellStyle name="Normal 11 3 17 5" xfId="10852" xr:uid="{00000000-0005-0000-0000-0000336E0000}"/>
    <cellStyle name="Normal 11 3 17 5 2" xfId="26444" xr:uid="{00000000-0005-0000-0000-0000346E0000}"/>
    <cellStyle name="Normal 11 3 17 5 3" xfId="41936" xr:uid="{00000000-0005-0000-0000-0000356E0000}"/>
    <cellStyle name="Normal 11 3 17 6" xfId="18704" xr:uid="{00000000-0005-0000-0000-0000366E0000}"/>
    <cellStyle name="Normal 11 3 17 7" xfId="34196" xr:uid="{00000000-0005-0000-0000-0000376E0000}"/>
    <cellStyle name="Normal 11 3 18" xfId="3084" xr:uid="{00000000-0005-0000-0000-0000386E0000}"/>
    <cellStyle name="Normal 11 3 18 2" xfId="4078" xr:uid="{00000000-0005-0000-0000-0000396E0000}"/>
    <cellStyle name="Normal 11 3 18 2 2" xfId="6017" xr:uid="{00000000-0005-0000-0000-00003A6E0000}"/>
    <cellStyle name="Normal 11 3 18 2 2 2" xfId="9888" xr:uid="{00000000-0005-0000-0000-00003B6E0000}"/>
    <cellStyle name="Normal 11 3 18 2 2 2 2" xfId="17633" xr:uid="{00000000-0005-0000-0000-00003C6E0000}"/>
    <cellStyle name="Normal 11 3 18 2 2 2 2 2" xfId="33225" xr:uid="{00000000-0005-0000-0000-00003D6E0000}"/>
    <cellStyle name="Normal 11 3 18 2 2 2 2 3" xfId="48717" xr:uid="{00000000-0005-0000-0000-00003E6E0000}"/>
    <cellStyle name="Normal 11 3 18 2 2 2 3" xfId="25485" xr:uid="{00000000-0005-0000-0000-00003F6E0000}"/>
    <cellStyle name="Normal 11 3 18 2 2 2 4" xfId="40977" xr:uid="{00000000-0005-0000-0000-0000406E0000}"/>
    <cellStyle name="Normal 11 3 18 2 2 3" xfId="13763" xr:uid="{00000000-0005-0000-0000-0000416E0000}"/>
    <cellStyle name="Normal 11 3 18 2 2 3 2" xfId="29355" xr:uid="{00000000-0005-0000-0000-0000426E0000}"/>
    <cellStyle name="Normal 11 3 18 2 2 3 3" xfId="44847" xr:uid="{00000000-0005-0000-0000-0000436E0000}"/>
    <cellStyle name="Normal 11 3 18 2 2 4" xfId="21615" xr:uid="{00000000-0005-0000-0000-0000446E0000}"/>
    <cellStyle name="Normal 11 3 18 2 2 5" xfId="37107" xr:uid="{00000000-0005-0000-0000-0000456E0000}"/>
    <cellStyle name="Normal 11 3 18 2 3" xfId="7961" xr:uid="{00000000-0005-0000-0000-0000466E0000}"/>
    <cellStyle name="Normal 11 3 18 2 3 2" xfId="15706" xr:uid="{00000000-0005-0000-0000-0000476E0000}"/>
    <cellStyle name="Normal 11 3 18 2 3 2 2" xfId="31298" xr:uid="{00000000-0005-0000-0000-0000486E0000}"/>
    <cellStyle name="Normal 11 3 18 2 3 2 3" xfId="46790" xr:uid="{00000000-0005-0000-0000-0000496E0000}"/>
    <cellStyle name="Normal 11 3 18 2 3 3" xfId="23558" xr:uid="{00000000-0005-0000-0000-00004A6E0000}"/>
    <cellStyle name="Normal 11 3 18 2 3 4" xfId="39050" xr:uid="{00000000-0005-0000-0000-00004B6E0000}"/>
    <cellStyle name="Normal 11 3 18 2 4" xfId="11836" xr:uid="{00000000-0005-0000-0000-00004C6E0000}"/>
    <cellStyle name="Normal 11 3 18 2 4 2" xfId="27428" xr:uid="{00000000-0005-0000-0000-00004D6E0000}"/>
    <cellStyle name="Normal 11 3 18 2 4 3" xfId="42920" xr:uid="{00000000-0005-0000-0000-00004E6E0000}"/>
    <cellStyle name="Normal 11 3 18 2 5" xfId="19688" xr:uid="{00000000-0005-0000-0000-00004F6E0000}"/>
    <cellStyle name="Normal 11 3 18 2 6" xfId="35180" xr:uid="{00000000-0005-0000-0000-0000506E0000}"/>
    <cellStyle name="Normal 11 3 18 3" xfId="5069" xr:uid="{00000000-0005-0000-0000-0000516E0000}"/>
    <cellStyle name="Normal 11 3 18 3 2" xfId="8940" xr:uid="{00000000-0005-0000-0000-0000526E0000}"/>
    <cellStyle name="Normal 11 3 18 3 2 2" xfId="16685" xr:uid="{00000000-0005-0000-0000-0000536E0000}"/>
    <cellStyle name="Normal 11 3 18 3 2 2 2" xfId="32277" xr:uid="{00000000-0005-0000-0000-0000546E0000}"/>
    <cellStyle name="Normal 11 3 18 3 2 2 3" xfId="47769" xr:uid="{00000000-0005-0000-0000-0000556E0000}"/>
    <cellStyle name="Normal 11 3 18 3 2 3" xfId="24537" xr:uid="{00000000-0005-0000-0000-0000566E0000}"/>
    <cellStyle name="Normal 11 3 18 3 2 4" xfId="40029" xr:uid="{00000000-0005-0000-0000-0000576E0000}"/>
    <cellStyle name="Normal 11 3 18 3 3" xfId="12815" xr:uid="{00000000-0005-0000-0000-0000586E0000}"/>
    <cellStyle name="Normal 11 3 18 3 3 2" xfId="28407" xr:uid="{00000000-0005-0000-0000-0000596E0000}"/>
    <cellStyle name="Normal 11 3 18 3 3 3" xfId="43899" xr:uid="{00000000-0005-0000-0000-00005A6E0000}"/>
    <cellStyle name="Normal 11 3 18 3 4" xfId="20667" xr:uid="{00000000-0005-0000-0000-00005B6E0000}"/>
    <cellStyle name="Normal 11 3 18 3 5" xfId="36159" xr:uid="{00000000-0005-0000-0000-00005C6E0000}"/>
    <cellStyle name="Normal 11 3 18 4" xfId="7013" xr:uid="{00000000-0005-0000-0000-00005D6E0000}"/>
    <cellStyle name="Normal 11 3 18 4 2" xfId="14758" xr:uid="{00000000-0005-0000-0000-00005E6E0000}"/>
    <cellStyle name="Normal 11 3 18 4 2 2" xfId="30350" xr:uid="{00000000-0005-0000-0000-00005F6E0000}"/>
    <cellStyle name="Normal 11 3 18 4 2 3" xfId="45842" xr:uid="{00000000-0005-0000-0000-0000606E0000}"/>
    <cellStyle name="Normal 11 3 18 4 3" xfId="22610" xr:uid="{00000000-0005-0000-0000-0000616E0000}"/>
    <cellStyle name="Normal 11 3 18 4 4" xfId="38102" xr:uid="{00000000-0005-0000-0000-0000626E0000}"/>
    <cellStyle name="Normal 11 3 18 5" xfId="10888" xr:uid="{00000000-0005-0000-0000-0000636E0000}"/>
    <cellStyle name="Normal 11 3 18 5 2" xfId="26480" xr:uid="{00000000-0005-0000-0000-0000646E0000}"/>
    <cellStyle name="Normal 11 3 18 5 3" xfId="41972" xr:uid="{00000000-0005-0000-0000-0000656E0000}"/>
    <cellStyle name="Normal 11 3 18 6" xfId="18740" xr:uid="{00000000-0005-0000-0000-0000666E0000}"/>
    <cellStyle name="Normal 11 3 18 7" xfId="34232" xr:uid="{00000000-0005-0000-0000-0000676E0000}"/>
    <cellStyle name="Normal 11 3 19" xfId="3131" xr:uid="{00000000-0005-0000-0000-0000686E0000}"/>
    <cellStyle name="Normal 11 3 19 2" xfId="4114" xr:uid="{00000000-0005-0000-0000-0000696E0000}"/>
    <cellStyle name="Normal 11 3 19 2 2" xfId="6053" xr:uid="{00000000-0005-0000-0000-00006A6E0000}"/>
    <cellStyle name="Normal 11 3 19 2 2 2" xfId="9924" xr:uid="{00000000-0005-0000-0000-00006B6E0000}"/>
    <cellStyle name="Normal 11 3 19 2 2 2 2" xfId="17669" xr:uid="{00000000-0005-0000-0000-00006C6E0000}"/>
    <cellStyle name="Normal 11 3 19 2 2 2 2 2" xfId="33261" xr:uid="{00000000-0005-0000-0000-00006D6E0000}"/>
    <cellStyle name="Normal 11 3 19 2 2 2 2 3" xfId="48753" xr:uid="{00000000-0005-0000-0000-00006E6E0000}"/>
    <cellStyle name="Normal 11 3 19 2 2 2 3" xfId="25521" xr:uid="{00000000-0005-0000-0000-00006F6E0000}"/>
    <cellStyle name="Normal 11 3 19 2 2 2 4" xfId="41013" xr:uid="{00000000-0005-0000-0000-0000706E0000}"/>
    <cellStyle name="Normal 11 3 19 2 2 3" xfId="13799" xr:uid="{00000000-0005-0000-0000-0000716E0000}"/>
    <cellStyle name="Normal 11 3 19 2 2 3 2" xfId="29391" xr:uid="{00000000-0005-0000-0000-0000726E0000}"/>
    <cellStyle name="Normal 11 3 19 2 2 3 3" xfId="44883" xr:uid="{00000000-0005-0000-0000-0000736E0000}"/>
    <cellStyle name="Normal 11 3 19 2 2 4" xfId="21651" xr:uid="{00000000-0005-0000-0000-0000746E0000}"/>
    <cellStyle name="Normal 11 3 19 2 2 5" xfId="37143" xr:uid="{00000000-0005-0000-0000-0000756E0000}"/>
    <cellStyle name="Normal 11 3 19 2 3" xfId="7997" xr:uid="{00000000-0005-0000-0000-0000766E0000}"/>
    <cellStyle name="Normal 11 3 19 2 3 2" xfId="15742" xr:uid="{00000000-0005-0000-0000-0000776E0000}"/>
    <cellStyle name="Normal 11 3 19 2 3 2 2" xfId="31334" xr:uid="{00000000-0005-0000-0000-0000786E0000}"/>
    <cellStyle name="Normal 11 3 19 2 3 2 3" xfId="46826" xr:uid="{00000000-0005-0000-0000-0000796E0000}"/>
    <cellStyle name="Normal 11 3 19 2 3 3" xfId="23594" xr:uid="{00000000-0005-0000-0000-00007A6E0000}"/>
    <cellStyle name="Normal 11 3 19 2 3 4" xfId="39086" xr:uid="{00000000-0005-0000-0000-00007B6E0000}"/>
    <cellStyle name="Normal 11 3 19 2 4" xfId="11872" xr:uid="{00000000-0005-0000-0000-00007C6E0000}"/>
    <cellStyle name="Normal 11 3 19 2 4 2" xfId="27464" xr:uid="{00000000-0005-0000-0000-00007D6E0000}"/>
    <cellStyle name="Normal 11 3 19 2 4 3" xfId="42956" xr:uid="{00000000-0005-0000-0000-00007E6E0000}"/>
    <cellStyle name="Normal 11 3 19 2 5" xfId="19724" xr:uid="{00000000-0005-0000-0000-00007F6E0000}"/>
    <cellStyle name="Normal 11 3 19 2 6" xfId="35216" xr:uid="{00000000-0005-0000-0000-0000806E0000}"/>
    <cellStyle name="Normal 11 3 19 3" xfId="5105" xr:uid="{00000000-0005-0000-0000-0000816E0000}"/>
    <cellStyle name="Normal 11 3 19 3 2" xfId="8976" xr:uid="{00000000-0005-0000-0000-0000826E0000}"/>
    <cellStyle name="Normal 11 3 19 3 2 2" xfId="16721" xr:uid="{00000000-0005-0000-0000-0000836E0000}"/>
    <cellStyle name="Normal 11 3 19 3 2 2 2" xfId="32313" xr:uid="{00000000-0005-0000-0000-0000846E0000}"/>
    <cellStyle name="Normal 11 3 19 3 2 2 3" xfId="47805" xr:uid="{00000000-0005-0000-0000-0000856E0000}"/>
    <cellStyle name="Normal 11 3 19 3 2 3" xfId="24573" xr:uid="{00000000-0005-0000-0000-0000866E0000}"/>
    <cellStyle name="Normal 11 3 19 3 2 4" xfId="40065" xr:uid="{00000000-0005-0000-0000-0000876E0000}"/>
    <cellStyle name="Normal 11 3 19 3 3" xfId="12851" xr:uid="{00000000-0005-0000-0000-0000886E0000}"/>
    <cellStyle name="Normal 11 3 19 3 3 2" xfId="28443" xr:uid="{00000000-0005-0000-0000-0000896E0000}"/>
    <cellStyle name="Normal 11 3 19 3 3 3" xfId="43935" xr:uid="{00000000-0005-0000-0000-00008A6E0000}"/>
    <cellStyle name="Normal 11 3 19 3 4" xfId="20703" xr:uid="{00000000-0005-0000-0000-00008B6E0000}"/>
    <cellStyle name="Normal 11 3 19 3 5" xfId="36195" xr:uid="{00000000-0005-0000-0000-00008C6E0000}"/>
    <cellStyle name="Normal 11 3 19 4" xfId="7049" xr:uid="{00000000-0005-0000-0000-00008D6E0000}"/>
    <cellStyle name="Normal 11 3 19 4 2" xfId="14794" xr:uid="{00000000-0005-0000-0000-00008E6E0000}"/>
    <cellStyle name="Normal 11 3 19 4 2 2" xfId="30386" xr:uid="{00000000-0005-0000-0000-00008F6E0000}"/>
    <cellStyle name="Normal 11 3 19 4 2 3" xfId="45878" xr:uid="{00000000-0005-0000-0000-0000906E0000}"/>
    <cellStyle name="Normal 11 3 19 4 3" xfId="22646" xr:uid="{00000000-0005-0000-0000-0000916E0000}"/>
    <cellStyle name="Normal 11 3 19 4 4" xfId="38138" xr:uid="{00000000-0005-0000-0000-0000926E0000}"/>
    <cellStyle name="Normal 11 3 19 5" xfId="10924" xr:uid="{00000000-0005-0000-0000-0000936E0000}"/>
    <cellStyle name="Normal 11 3 19 5 2" xfId="26516" xr:uid="{00000000-0005-0000-0000-0000946E0000}"/>
    <cellStyle name="Normal 11 3 19 5 3" xfId="42008" xr:uid="{00000000-0005-0000-0000-0000956E0000}"/>
    <cellStyle name="Normal 11 3 19 6" xfId="18776" xr:uid="{00000000-0005-0000-0000-0000966E0000}"/>
    <cellStyle name="Normal 11 3 19 7" xfId="34268" xr:uid="{00000000-0005-0000-0000-0000976E0000}"/>
    <cellStyle name="Normal 11 3 2" xfId="2193" xr:uid="{00000000-0005-0000-0000-0000986E0000}"/>
    <cellStyle name="Normal 11 3 2 2" xfId="2526" xr:uid="{00000000-0005-0000-0000-0000996E0000}"/>
    <cellStyle name="Normal 11 3 2 2 2" xfId="3534" xr:uid="{00000000-0005-0000-0000-00009A6E0000}"/>
    <cellStyle name="Normal 11 3 2 2 2 2" xfId="5473" xr:uid="{00000000-0005-0000-0000-00009B6E0000}"/>
    <cellStyle name="Normal 11 3 2 2 2 2 2" xfId="9344" xr:uid="{00000000-0005-0000-0000-00009C6E0000}"/>
    <cellStyle name="Normal 11 3 2 2 2 2 2 2" xfId="17089" xr:uid="{00000000-0005-0000-0000-00009D6E0000}"/>
    <cellStyle name="Normal 11 3 2 2 2 2 2 2 2" xfId="32681" xr:uid="{00000000-0005-0000-0000-00009E6E0000}"/>
    <cellStyle name="Normal 11 3 2 2 2 2 2 2 3" xfId="48173" xr:uid="{00000000-0005-0000-0000-00009F6E0000}"/>
    <cellStyle name="Normal 11 3 2 2 2 2 2 3" xfId="24941" xr:uid="{00000000-0005-0000-0000-0000A06E0000}"/>
    <cellStyle name="Normal 11 3 2 2 2 2 2 4" xfId="40433" xr:uid="{00000000-0005-0000-0000-0000A16E0000}"/>
    <cellStyle name="Normal 11 3 2 2 2 2 3" xfId="13219" xr:uid="{00000000-0005-0000-0000-0000A26E0000}"/>
    <cellStyle name="Normal 11 3 2 2 2 2 3 2" xfId="28811" xr:uid="{00000000-0005-0000-0000-0000A36E0000}"/>
    <cellStyle name="Normal 11 3 2 2 2 2 3 3" xfId="44303" xr:uid="{00000000-0005-0000-0000-0000A46E0000}"/>
    <cellStyle name="Normal 11 3 2 2 2 2 4" xfId="21071" xr:uid="{00000000-0005-0000-0000-0000A56E0000}"/>
    <cellStyle name="Normal 11 3 2 2 2 2 5" xfId="36563" xr:uid="{00000000-0005-0000-0000-0000A66E0000}"/>
    <cellStyle name="Normal 11 3 2 2 2 3" xfId="7417" xr:uid="{00000000-0005-0000-0000-0000A76E0000}"/>
    <cellStyle name="Normal 11 3 2 2 2 3 2" xfId="15162" xr:uid="{00000000-0005-0000-0000-0000A86E0000}"/>
    <cellStyle name="Normal 11 3 2 2 2 3 2 2" xfId="30754" xr:uid="{00000000-0005-0000-0000-0000A96E0000}"/>
    <cellStyle name="Normal 11 3 2 2 2 3 2 3" xfId="46246" xr:uid="{00000000-0005-0000-0000-0000AA6E0000}"/>
    <cellStyle name="Normal 11 3 2 2 2 3 3" xfId="23014" xr:uid="{00000000-0005-0000-0000-0000AB6E0000}"/>
    <cellStyle name="Normal 11 3 2 2 2 3 4" xfId="38506" xr:uid="{00000000-0005-0000-0000-0000AC6E0000}"/>
    <cellStyle name="Normal 11 3 2 2 2 4" xfId="11292" xr:uid="{00000000-0005-0000-0000-0000AD6E0000}"/>
    <cellStyle name="Normal 11 3 2 2 2 4 2" xfId="26884" xr:uid="{00000000-0005-0000-0000-0000AE6E0000}"/>
    <cellStyle name="Normal 11 3 2 2 2 4 3" xfId="42376" xr:uid="{00000000-0005-0000-0000-0000AF6E0000}"/>
    <cellStyle name="Normal 11 3 2 2 2 5" xfId="19144" xr:uid="{00000000-0005-0000-0000-0000B06E0000}"/>
    <cellStyle name="Normal 11 3 2 2 2 6" xfId="34636" xr:uid="{00000000-0005-0000-0000-0000B16E0000}"/>
    <cellStyle name="Normal 11 3 2 2 3" xfId="4525" xr:uid="{00000000-0005-0000-0000-0000B26E0000}"/>
    <cellStyle name="Normal 11 3 2 2 3 2" xfId="8396" xr:uid="{00000000-0005-0000-0000-0000B36E0000}"/>
    <cellStyle name="Normal 11 3 2 2 3 2 2" xfId="16141" xr:uid="{00000000-0005-0000-0000-0000B46E0000}"/>
    <cellStyle name="Normal 11 3 2 2 3 2 2 2" xfId="31733" xr:uid="{00000000-0005-0000-0000-0000B56E0000}"/>
    <cellStyle name="Normal 11 3 2 2 3 2 2 3" xfId="47225" xr:uid="{00000000-0005-0000-0000-0000B66E0000}"/>
    <cellStyle name="Normal 11 3 2 2 3 2 3" xfId="23993" xr:uid="{00000000-0005-0000-0000-0000B76E0000}"/>
    <cellStyle name="Normal 11 3 2 2 3 2 4" xfId="39485" xr:uid="{00000000-0005-0000-0000-0000B86E0000}"/>
    <cellStyle name="Normal 11 3 2 2 3 3" xfId="12271" xr:uid="{00000000-0005-0000-0000-0000B96E0000}"/>
    <cellStyle name="Normal 11 3 2 2 3 3 2" xfId="27863" xr:uid="{00000000-0005-0000-0000-0000BA6E0000}"/>
    <cellStyle name="Normal 11 3 2 2 3 3 3" xfId="43355" xr:uid="{00000000-0005-0000-0000-0000BB6E0000}"/>
    <cellStyle name="Normal 11 3 2 2 3 4" xfId="20123" xr:uid="{00000000-0005-0000-0000-0000BC6E0000}"/>
    <cellStyle name="Normal 11 3 2 2 3 5" xfId="35615" xr:uid="{00000000-0005-0000-0000-0000BD6E0000}"/>
    <cellStyle name="Normal 11 3 2 2 4" xfId="6469" xr:uid="{00000000-0005-0000-0000-0000BE6E0000}"/>
    <cellStyle name="Normal 11 3 2 2 4 2" xfId="14214" xr:uid="{00000000-0005-0000-0000-0000BF6E0000}"/>
    <cellStyle name="Normal 11 3 2 2 4 2 2" xfId="29806" xr:uid="{00000000-0005-0000-0000-0000C06E0000}"/>
    <cellStyle name="Normal 11 3 2 2 4 2 3" xfId="45298" xr:uid="{00000000-0005-0000-0000-0000C16E0000}"/>
    <cellStyle name="Normal 11 3 2 2 4 3" xfId="22066" xr:uid="{00000000-0005-0000-0000-0000C26E0000}"/>
    <cellStyle name="Normal 11 3 2 2 4 4" xfId="37558" xr:uid="{00000000-0005-0000-0000-0000C36E0000}"/>
    <cellStyle name="Normal 11 3 2 2 5" xfId="10344" xr:uid="{00000000-0005-0000-0000-0000C46E0000}"/>
    <cellStyle name="Normal 11 3 2 2 5 2" xfId="25936" xr:uid="{00000000-0005-0000-0000-0000C56E0000}"/>
    <cellStyle name="Normal 11 3 2 2 5 3" xfId="41428" xr:uid="{00000000-0005-0000-0000-0000C66E0000}"/>
    <cellStyle name="Normal 11 3 2 2 6" xfId="18196" xr:uid="{00000000-0005-0000-0000-0000C76E0000}"/>
    <cellStyle name="Normal 11 3 2 2 7" xfId="33688" xr:uid="{00000000-0005-0000-0000-0000C86E0000}"/>
    <cellStyle name="Normal 11 3 2 3" xfId="3225" xr:uid="{00000000-0005-0000-0000-0000C96E0000}"/>
    <cellStyle name="Normal 11 3 2 3 2" xfId="5164" xr:uid="{00000000-0005-0000-0000-0000CA6E0000}"/>
    <cellStyle name="Normal 11 3 2 3 2 2" xfId="9035" xr:uid="{00000000-0005-0000-0000-0000CB6E0000}"/>
    <cellStyle name="Normal 11 3 2 3 2 2 2" xfId="16780" xr:uid="{00000000-0005-0000-0000-0000CC6E0000}"/>
    <cellStyle name="Normal 11 3 2 3 2 2 2 2" xfId="32372" xr:uid="{00000000-0005-0000-0000-0000CD6E0000}"/>
    <cellStyle name="Normal 11 3 2 3 2 2 2 3" xfId="47864" xr:uid="{00000000-0005-0000-0000-0000CE6E0000}"/>
    <cellStyle name="Normal 11 3 2 3 2 2 3" xfId="24632" xr:uid="{00000000-0005-0000-0000-0000CF6E0000}"/>
    <cellStyle name="Normal 11 3 2 3 2 2 4" xfId="40124" xr:uid="{00000000-0005-0000-0000-0000D06E0000}"/>
    <cellStyle name="Normal 11 3 2 3 2 3" xfId="12910" xr:uid="{00000000-0005-0000-0000-0000D16E0000}"/>
    <cellStyle name="Normal 11 3 2 3 2 3 2" xfId="28502" xr:uid="{00000000-0005-0000-0000-0000D26E0000}"/>
    <cellStyle name="Normal 11 3 2 3 2 3 3" xfId="43994" xr:uid="{00000000-0005-0000-0000-0000D36E0000}"/>
    <cellStyle name="Normal 11 3 2 3 2 4" xfId="20762" xr:uid="{00000000-0005-0000-0000-0000D46E0000}"/>
    <cellStyle name="Normal 11 3 2 3 2 5" xfId="36254" xr:uid="{00000000-0005-0000-0000-0000D56E0000}"/>
    <cellStyle name="Normal 11 3 2 3 3" xfId="7108" xr:uid="{00000000-0005-0000-0000-0000D66E0000}"/>
    <cellStyle name="Normal 11 3 2 3 3 2" xfId="14853" xr:uid="{00000000-0005-0000-0000-0000D76E0000}"/>
    <cellStyle name="Normal 11 3 2 3 3 2 2" xfId="30445" xr:uid="{00000000-0005-0000-0000-0000D86E0000}"/>
    <cellStyle name="Normal 11 3 2 3 3 2 3" xfId="45937" xr:uid="{00000000-0005-0000-0000-0000D96E0000}"/>
    <cellStyle name="Normal 11 3 2 3 3 3" xfId="22705" xr:uid="{00000000-0005-0000-0000-0000DA6E0000}"/>
    <cellStyle name="Normal 11 3 2 3 3 4" xfId="38197" xr:uid="{00000000-0005-0000-0000-0000DB6E0000}"/>
    <cellStyle name="Normal 11 3 2 3 4" xfId="10983" xr:uid="{00000000-0005-0000-0000-0000DC6E0000}"/>
    <cellStyle name="Normal 11 3 2 3 4 2" xfId="26575" xr:uid="{00000000-0005-0000-0000-0000DD6E0000}"/>
    <cellStyle name="Normal 11 3 2 3 4 3" xfId="42067" xr:uid="{00000000-0005-0000-0000-0000DE6E0000}"/>
    <cellStyle name="Normal 11 3 2 3 5" xfId="18835" xr:uid="{00000000-0005-0000-0000-0000DF6E0000}"/>
    <cellStyle name="Normal 11 3 2 3 6" xfId="34327" xr:uid="{00000000-0005-0000-0000-0000E06E0000}"/>
    <cellStyle name="Normal 11 3 2 4" xfId="4216" xr:uid="{00000000-0005-0000-0000-0000E16E0000}"/>
    <cellStyle name="Normal 11 3 2 4 2" xfId="8087" xr:uid="{00000000-0005-0000-0000-0000E26E0000}"/>
    <cellStyle name="Normal 11 3 2 4 2 2" xfId="15832" xr:uid="{00000000-0005-0000-0000-0000E36E0000}"/>
    <cellStyle name="Normal 11 3 2 4 2 2 2" xfId="31424" xr:uid="{00000000-0005-0000-0000-0000E46E0000}"/>
    <cellStyle name="Normal 11 3 2 4 2 2 3" xfId="46916" xr:uid="{00000000-0005-0000-0000-0000E56E0000}"/>
    <cellStyle name="Normal 11 3 2 4 2 3" xfId="23684" xr:uid="{00000000-0005-0000-0000-0000E66E0000}"/>
    <cellStyle name="Normal 11 3 2 4 2 4" xfId="39176" xr:uid="{00000000-0005-0000-0000-0000E76E0000}"/>
    <cellStyle name="Normal 11 3 2 4 3" xfId="11962" xr:uid="{00000000-0005-0000-0000-0000E86E0000}"/>
    <cellStyle name="Normal 11 3 2 4 3 2" xfId="27554" xr:uid="{00000000-0005-0000-0000-0000E96E0000}"/>
    <cellStyle name="Normal 11 3 2 4 3 3" xfId="43046" xr:uid="{00000000-0005-0000-0000-0000EA6E0000}"/>
    <cellStyle name="Normal 11 3 2 4 4" xfId="19814" xr:uid="{00000000-0005-0000-0000-0000EB6E0000}"/>
    <cellStyle name="Normal 11 3 2 4 5" xfId="35306" xr:uid="{00000000-0005-0000-0000-0000EC6E0000}"/>
    <cellStyle name="Normal 11 3 2 5" xfId="6160" xr:uid="{00000000-0005-0000-0000-0000ED6E0000}"/>
    <cellStyle name="Normal 11 3 2 5 2" xfId="13905" xr:uid="{00000000-0005-0000-0000-0000EE6E0000}"/>
    <cellStyle name="Normal 11 3 2 5 2 2" xfId="29497" xr:uid="{00000000-0005-0000-0000-0000EF6E0000}"/>
    <cellStyle name="Normal 11 3 2 5 2 3" xfId="44989" xr:uid="{00000000-0005-0000-0000-0000F06E0000}"/>
    <cellStyle name="Normal 11 3 2 5 3" xfId="21757" xr:uid="{00000000-0005-0000-0000-0000F16E0000}"/>
    <cellStyle name="Normal 11 3 2 5 4" xfId="37249" xr:uid="{00000000-0005-0000-0000-0000F26E0000}"/>
    <cellStyle name="Normal 11 3 2 6" xfId="10035" xr:uid="{00000000-0005-0000-0000-0000F36E0000}"/>
    <cellStyle name="Normal 11 3 2 6 2" xfId="25627" xr:uid="{00000000-0005-0000-0000-0000F46E0000}"/>
    <cellStyle name="Normal 11 3 2 6 3" xfId="41119" xr:uid="{00000000-0005-0000-0000-0000F56E0000}"/>
    <cellStyle name="Normal 11 3 2 7" xfId="17887" xr:uid="{00000000-0005-0000-0000-0000F66E0000}"/>
    <cellStyle name="Normal 11 3 2 8" xfId="33379" xr:uid="{00000000-0005-0000-0000-0000F76E0000}"/>
    <cellStyle name="Normal 11 3 20" xfId="3186" xr:uid="{00000000-0005-0000-0000-0000F86E0000}"/>
    <cellStyle name="Normal 11 3 20 2" xfId="5125" xr:uid="{00000000-0005-0000-0000-0000F96E0000}"/>
    <cellStyle name="Normal 11 3 20 2 2" xfId="8996" xr:uid="{00000000-0005-0000-0000-0000FA6E0000}"/>
    <cellStyle name="Normal 11 3 20 2 2 2" xfId="16741" xr:uid="{00000000-0005-0000-0000-0000FB6E0000}"/>
    <cellStyle name="Normal 11 3 20 2 2 2 2" xfId="32333" xr:uid="{00000000-0005-0000-0000-0000FC6E0000}"/>
    <cellStyle name="Normal 11 3 20 2 2 2 3" xfId="47825" xr:uid="{00000000-0005-0000-0000-0000FD6E0000}"/>
    <cellStyle name="Normal 11 3 20 2 2 3" xfId="24593" xr:uid="{00000000-0005-0000-0000-0000FE6E0000}"/>
    <cellStyle name="Normal 11 3 20 2 2 4" xfId="40085" xr:uid="{00000000-0005-0000-0000-0000FF6E0000}"/>
    <cellStyle name="Normal 11 3 20 2 3" xfId="12871" xr:uid="{00000000-0005-0000-0000-0000006F0000}"/>
    <cellStyle name="Normal 11 3 20 2 3 2" xfId="28463" xr:uid="{00000000-0005-0000-0000-0000016F0000}"/>
    <cellStyle name="Normal 11 3 20 2 3 3" xfId="43955" xr:uid="{00000000-0005-0000-0000-0000026F0000}"/>
    <cellStyle name="Normal 11 3 20 2 4" xfId="20723" xr:uid="{00000000-0005-0000-0000-0000036F0000}"/>
    <cellStyle name="Normal 11 3 20 2 5" xfId="36215" xr:uid="{00000000-0005-0000-0000-0000046F0000}"/>
    <cellStyle name="Normal 11 3 20 3" xfId="7069" xr:uid="{00000000-0005-0000-0000-0000056F0000}"/>
    <cellStyle name="Normal 11 3 20 3 2" xfId="14814" xr:uid="{00000000-0005-0000-0000-0000066F0000}"/>
    <cellStyle name="Normal 11 3 20 3 2 2" xfId="30406" xr:uid="{00000000-0005-0000-0000-0000076F0000}"/>
    <cellStyle name="Normal 11 3 20 3 2 3" xfId="45898" xr:uid="{00000000-0005-0000-0000-0000086F0000}"/>
    <cellStyle name="Normal 11 3 20 3 3" xfId="22666" xr:uid="{00000000-0005-0000-0000-0000096F0000}"/>
    <cellStyle name="Normal 11 3 20 3 4" xfId="38158" xr:uid="{00000000-0005-0000-0000-00000A6F0000}"/>
    <cellStyle name="Normal 11 3 20 4" xfId="10944" xr:uid="{00000000-0005-0000-0000-00000B6F0000}"/>
    <cellStyle name="Normal 11 3 20 4 2" xfId="26536" xr:uid="{00000000-0005-0000-0000-00000C6F0000}"/>
    <cellStyle name="Normal 11 3 20 4 3" xfId="42028" xr:uid="{00000000-0005-0000-0000-00000D6F0000}"/>
    <cellStyle name="Normal 11 3 20 5" xfId="18796" xr:uid="{00000000-0005-0000-0000-00000E6F0000}"/>
    <cellStyle name="Normal 11 3 20 6" xfId="34288" xr:uid="{00000000-0005-0000-0000-00000F6F0000}"/>
    <cellStyle name="Normal 11 3 21" xfId="4136" xr:uid="{00000000-0005-0000-0000-0000106F0000}"/>
    <cellStyle name="Normal 11 3 21 2" xfId="6074" xr:uid="{00000000-0005-0000-0000-0000116F0000}"/>
    <cellStyle name="Normal 11 3 21 2 2" xfId="9945" xr:uid="{00000000-0005-0000-0000-0000126F0000}"/>
    <cellStyle name="Normal 11 3 21 2 2 2" xfId="17690" xr:uid="{00000000-0005-0000-0000-0000136F0000}"/>
    <cellStyle name="Normal 11 3 21 2 2 2 2" xfId="33282" xr:uid="{00000000-0005-0000-0000-0000146F0000}"/>
    <cellStyle name="Normal 11 3 21 2 2 2 3" xfId="48774" xr:uid="{00000000-0005-0000-0000-0000156F0000}"/>
    <cellStyle name="Normal 11 3 21 2 2 3" xfId="25542" xr:uid="{00000000-0005-0000-0000-0000166F0000}"/>
    <cellStyle name="Normal 11 3 21 2 2 4" xfId="41034" xr:uid="{00000000-0005-0000-0000-0000176F0000}"/>
    <cellStyle name="Normal 11 3 21 2 3" xfId="13820" xr:uid="{00000000-0005-0000-0000-0000186F0000}"/>
    <cellStyle name="Normal 11 3 21 2 3 2" xfId="29412" xr:uid="{00000000-0005-0000-0000-0000196F0000}"/>
    <cellStyle name="Normal 11 3 21 2 3 3" xfId="44904" xr:uid="{00000000-0005-0000-0000-00001A6F0000}"/>
    <cellStyle name="Normal 11 3 21 2 4" xfId="21672" xr:uid="{00000000-0005-0000-0000-00001B6F0000}"/>
    <cellStyle name="Normal 11 3 21 2 5" xfId="37164" xr:uid="{00000000-0005-0000-0000-00001C6F0000}"/>
    <cellStyle name="Normal 11 3 21 3" xfId="8018" xr:uid="{00000000-0005-0000-0000-00001D6F0000}"/>
    <cellStyle name="Normal 11 3 21 3 2" xfId="15763" xr:uid="{00000000-0005-0000-0000-00001E6F0000}"/>
    <cellStyle name="Normal 11 3 21 3 2 2" xfId="31355" xr:uid="{00000000-0005-0000-0000-00001F6F0000}"/>
    <cellStyle name="Normal 11 3 21 3 2 3" xfId="46847" xr:uid="{00000000-0005-0000-0000-0000206F0000}"/>
    <cellStyle name="Normal 11 3 21 3 3" xfId="23615" xr:uid="{00000000-0005-0000-0000-0000216F0000}"/>
    <cellStyle name="Normal 11 3 21 3 4" xfId="39107" xr:uid="{00000000-0005-0000-0000-0000226F0000}"/>
    <cellStyle name="Normal 11 3 21 4" xfId="11893" xr:uid="{00000000-0005-0000-0000-0000236F0000}"/>
    <cellStyle name="Normal 11 3 21 4 2" xfId="27485" xr:uid="{00000000-0005-0000-0000-0000246F0000}"/>
    <cellStyle name="Normal 11 3 21 4 3" xfId="42977" xr:uid="{00000000-0005-0000-0000-0000256F0000}"/>
    <cellStyle name="Normal 11 3 21 5" xfId="19745" xr:uid="{00000000-0005-0000-0000-0000266F0000}"/>
    <cellStyle name="Normal 11 3 21 6" xfId="35237" xr:uid="{00000000-0005-0000-0000-0000276F0000}"/>
    <cellStyle name="Normal 11 3 22" xfId="4160" xr:uid="{00000000-0005-0000-0000-0000286F0000}"/>
    <cellStyle name="Normal 11 3 22 2" xfId="6089" xr:uid="{00000000-0005-0000-0000-0000296F0000}"/>
    <cellStyle name="Normal 11 3 22 2 2" xfId="9960" xr:uid="{00000000-0005-0000-0000-00002A6F0000}"/>
    <cellStyle name="Normal 11 3 22 2 2 2" xfId="17705" xr:uid="{00000000-0005-0000-0000-00002B6F0000}"/>
    <cellStyle name="Normal 11 3 22 2 2 2 2" xfId="33297" xr:uid="{00000000-0005-0000-0000-00002C6F0000}"/>
    <cellStyle name="Normal 11 3 22 2 2 2 3" xfId="48789" xr:uid="{00000000-0005-0000-0000-00002D6F0000}"/>
    <cellStyle name="Normal 11 3 22 2 2 3" xfId="25557" xr:uid="{00000000-0005-0000-0000-00002E6F0000}"/>
    <cellStyle name="Normal 11 3 22 2 2 4" xfId="41049" xr:uid="{00000000-0005-0000-0000-00002F6F0000}"/>
    <cellStyle name="Normal 11 3 22 2 3" xfId="13835" xr:uid="{00000000-0005-0000-0000-0000306F0000}"/>
    <cellStyle name="Normal 11 3 22 2 3 2" xfId="29427" xr:uid="{00000000-0005-0000-0000-0000316F0000}"/>
    <cellStyle name="Normal 11 3 22 2 3 3" xfId="44919" xr:uid="{00000000-0005-0000-0000-0000326F0000}"/>
    <cellStyle name="Normal 11 3 22 2 4" xfId="21687" xr:uid="{00000000-0005-0000-0000-0000336F0000}"/>
    <cellStyle name="Normal 11 3 22 2 5" xfId="37179" xr:uid="{00000000-0005-0000-0000-0000346F0000}"/>
    <cellStyle name="Normal 11 3 22 3" xfId="8033" xr:uid="{00000000-0005-0000-0000-0000356F0000}"/>
    <cellStyle name="Normal 11 3 22 3 2" xfId="15778" xr:uid="{00000000-0005-0000-0000-0000366F0000}"/>
    <cellStyle name="Normal 11 3 22 3 2 2" xfId="31370" xr:uid="{00000000-0005-0000-0000-0000376F0000}"/>
    <cellStyle name="Normal 11 3 22 3 2 3" xfId="46862" xr:uid="{00000000-0005-0000-0000-0000386F0000}"/>
    <cellStyle name="Normal 11 3 22 3 3" xfId="23630" xr:uid="{00000000-0005-0000-0000-0000396F0000}"/>
    <cellStyle name="Normal 11 3 22 3 4" xfId="39122" xr:uid="{00000000-0005-0000-0000-00003A6F0000}"/>
    <cellStyle name="Normal 11 3 22 4" xfId="11908" xr:uid="{00000000-0005-0000-0000-00003B6F0000}"/>
    <cellStyle name="Normal 11 3 22 4 2" xfId="27500" xr:uid="{00000000-0005-0000-0000-00003C6F0000}"/>
    <cellStyle name="Normal 11 3 22 4 3" xfId="42992" xr:uid="{00000000-0005-0000-0000-00003D6F0000}"/>
    <cellStyle name="Normal 11 3 22 5" xfId="19760" xr:uid="{00000000-0005-0000-0000-00003E6F0000}"/>
    <cellStyle name="Normal 11 3 22 6" xfId="35252" xr:uid="{00000000-0005-0000-0000-00003F6F0000}"/>
    <cellStyle name="Normal 11 3 23" xfId="4177" xr:uid="{00000000-0005-0000-0000-0000406F0000}"/>
    <cellStyle name="Normal 11 3 23 2" xfId="8048" xr:uid="{00000000-0005-0000-0000-0000416F0000}"/>
    <cellStyle name="Normal 11 3 23 2 2" xfId="15793" xr:uid="{00000000-0005-0000-0000-0000426F0000}"/>
    <cellStyle name="Normal 11 3 23 2 2 2" xfId="31385" xr:uid="{00000000-0005-0000-0000-0000436F0000}"/>
    <cellStyle name="Normal 11 3 23 2 2 3" xfId="46877" xr:uid="{00000000-0005-0000-0000-0000446F0000}"/>
    <cellStyle name="Normal 11 3 23 2 3" xfId="23645" xr:uid="{00000000-0005-0000-0000-0000456F0000}"/>
    <cellStyle name="Normal 11 3 23 2 4" xfId="39137" xr:uid="{00000000-0005-0000-0000-0000466F0000}"/>
    <cellStyle name="Normal 11 3 23 3" xfId="11923" xr:uid="{00000000-0005-0000-0000-0000476F0000}"/>
    <cellStyle name="Normal 11 3 23 3 2" xfId="27515" xr:uid="{00000000-0005-0000-0000-0000486F0000}"/>
    <cellStyle name="Normal 11 3 23 3 3" xfId="43007" xr:uid="{00000000-0005-0000-0000-0000496F0000}"/>
    <cellStyle name="Normal 11 3 23 4" xfId="19775" xr:uid="{00000000-0005-0000-0000-00004A6F0000}"/>
    <cellStyle name="Normal 11 3 23 5" xfId="35267" xr:uid="{00000000-0005-0000-0000-00004B6F0000}"/>
    <cellStyle name="Normal 11 3 24" xfId="6106" xr:uid="{00000000-0005-0000-0000-00004C6F0000}"/>
    <cellStyle name="Normal 11 3 24 2" xfId="9976" xr:uid="{00000000-0005-0000-0000-00004D6F0000}"/>
    <cellStyle name="Normal 11 3 24 2 2" xfId="17721" xr:uid="{00000000-0005-0000-0000-00004E6F0000}"/>
    <cellStyle name="Normal 11 3 24 2 2 2" xfId="33313" xr:uid="{00000000-0005-0000-0000-00004F6F0000}"/>
    <cellStyle name="Normal 11 3 24 2 2 3" xfId="48805" xr:uid="{00000000-0005-0000-0000-0000506F0000}"/>
    <cellStyle name="Normal 11 3 24 2 3" xfId="25573" xr:uid="{00000000-0005-0000-0000-0000516F0000}"/>
    <cellStyle name="Normal 11 3 24 2 4" xfId="41065" xr:uid="{00000000-0005-0000-0000-0000526F0000}"/>
    <cellStyle name="Normal 11 3 24 3" xfId="13851" xr:uid="{00000000-0005-0000-0000-0000536F0000}"/>
    <cellStyle name="Normal 11 3 24 3 2" xfId="29443" xr:uid="{00000000-0005-0000-0000-0000546F0000}"/>
    <cellStyle name="Normal 11 3 24 3 3" xfId="44935" xr:uid="{00000000-0005-0000-0000-0000556F0000}"/>
    <cellStyle name="Normal 11 3 24 4" xfId="21703" xr:uid="{00000000-0005-0000-0000-0000566F0000}"/>
    <cellStyle name="Normal 11 3 24 5" xfId="37195" xr:uid="{00000000-0005-0000-0000-0000576F0000}"/>
    <cellStyle name="Normal 11 3 25" xfId="6121" xr:uid="{00000000-0005-0000-0000-0000586F0000}"/>
    <cellStyle name="Normal 11 3 25 2" xfId="13866" xr:uid="{00000000-0005-0000-0000-0000596F0000}"/>
    <cellStyle name="Normal 11 3 25 2 2" xfId="29458" xr:uid="{00000000-0005-0000-0000-00005A6F0000}"/>
    <cellStyle name="Normal 11 3 25 2 3" xfId="44950" xr:uid="{00000000-0005-0000-0000-00005B6F0000}"/>
    <cellStyle name="Normal 11 3 25 3" xfId="21718" xr:uid="{00000000-0005-0000-0000-00005C6F0000}"/>
    <cellStyle name="Normal 11 3 25 4" xfId="37210" xr:uid="{00000000-0005-0000-0000-00005D6F0000}"/>
    <cellStyle name="Normal 11 3 26" xfId="9996" xr:uid="{00000000-0005-0000-0000-00005E6F0000}"/>
    <cellStyle name="Normal 11 3 26 2" xfId="25588" xr:uid="{00000000-0005-0000-0000-00005F6F0000}"/>
    <cellStyle name="Normal 11 3 26 3" xfId="41080" xr:uid="{00000000-0005-0000-0000-0000606F0000}"/>
    <cellStyle name="Normal 11 3 27" xfId="17848" xr:uid="{00000000-0005-0000-0000-0000616F0000}"/>
    <cellStyle name="Normal 11 3 28" xfId="33340" xr:uid="{00000000-0005-0000-0000-0000626F0000}"/>
    <cellStyle name="Normal 11 3 29" xfId="48853" xr:uid="{00000000-0005-0000-0000-0000636F0000}"/>
    <cellStyle name="Normal 11 3 3" xfId="2247" xr:uid="{00000000-0005-0000-0000-0000646F0000}"/>
    <cellStyle name="Normal 11 3 3 2" xfId="2564" xr:uid="{00000000-0005-0000-0000-0000656F0000}"/>
    <cellStyle name="Normal 11 3 3 2 2" xfId="3572" xr:uid="{00000000-0005-0000-0000-0000666F0000}"/>
    <cellStyle name="Normal 11 3 3 2 2 2" xfId="5511" xr:uid="{00000000-0005-0000-0000-0000676F0000}"/>
    <cellStyle name="Normal 11 3 3 2 2 2 2" xfId="9382" xr:uid="{00000000-0005-0000-0000-0000686F0000}"/>
    <cellStyle name="Normal 11 3 3 2 2 2 2 2" xfId="17127" xr:uid="{00000000-0005-0000-0000-0000696F0000}"/>
    <cellStyle name="Normal 11 3 3 2 2 2 2 2 2" xfId="32719" xr:uid="{00000000-0005-0000-0000-00006A6F0000}"/>
    <cellStyle name="Normal 11 3 3 2 2 2 2 2 3" xfId="48211" xr:uid="{00000000-0005-0000-0000-00006B6F0000}"/>
    <cellStyle name="Normal 11 3 3 2 2 2 2 3" xfId="24979" xr:uid="{00000000-0005-0000-0000-00006C6F0000}"/>
    <cellStyle name="Normal 11 3 3 2 2 2 2 4" xfId="40471" xr:uid="{00000000-0005-0000-0000-00006D6F0000}"/>
    <cellStyle name="Normal 11 3 3 2 2 2 3" xfId="13257" xr:uid="{00000000-0005-0000-0000-00006E6F0000}"/>
    <cellStyle name="Normal 11 3 3 2 2 2 3 2" xfId="28849" xr:uid="{00000000-0005-0000-0000-00006F6F0000}"/>
    <cellStyle name="Normal 11 3 3 2 2 2 3 3" xfId="44341" xr:uid="{00000000-0005-0000-0000-0000706F0000}"/>
    <cellStyle name="Normal 11 3 3 2 2 2 4" xfId="21109" xr:uid="{00000000-0005-0000-0000-0000716F0000}"/>
    <cellStyle name="Normal 11 3 3 2 2 2 5" xfId="36601" xr:uid="{00000000-0005-0000-0000-0000726F0000}"/>
    <cellStyle name="Normal 11 3 3 2 2 3" xfId="7455" xr:uid="{00000000-0005-0000-0000-0000736F0000}"/>
    <cellStyle name="Normal 11 3 3 2 2 3 2" xfId="15200" xr:uid="{00000000-0005-0000-0000-0000746F0000}"/>
    <cellStyle name="Normal 11 3 3 2 2 3 2 2" xfId="30792" xr:uid="{00000000-0005-0000-0000-0000756F0000}"/>
    <cellStyle name="Normal 11 3 3 2 2 3 2 3" xfId="46284" xr:uid="{00000000-0005-0000-0000-0000766F0000}"/>
    <cellStyle name="Normal 11 3 3 2 2 3 3" xfId="23052" xr:uid="{00000000-0005-0000-0000-0000776F0000}"/>
    <cellStyle name="Normal 11 3 3 2 2 3 4" xfId="38544" xr:uid="{00000000-0005-0000-0000-0000786F0000}"/>
    <cellStyle name="Normal 11 3 3 2 2 4" xfId="11330" xr:uid="{00000000-0005-0000-0000-0000796F0000}"/>
    <cellStyle name="Normal 11 3 3 2 2 4 2" xfId="26922" xr:uid="{00000000-0005-0000-0000-00007A6F0000}"/>
    <cellStyle name="Normal 11 3 3 2 2 4 3" xfId="42414" xr:uid="{00000000-0005-0000-0000-00007B6F0000}"/>
    <cellStyle name="Normal 11 3 3 2 2 5" xfId="19182" xr:uid="{00000000-0005-0000-0000-00007C6F0000}"/>
    <cellStyle name="Normal 11 3 3 2 2 6" xfId="34674" xr:uid="{00000000-0005-0000-0000-00007D6F0000}"/>
    <cellStyle name="Normal 11 3 3 2 3" xfId="4563" xr:uid="{00000000-0005-0000-0000-00007E6F0000}"/>
    <cellStyle name="Normal 11 3 3 2 3 2" xfId="8434" xr:uid="{00000000-0005-0000-0000-00007F6F0000}"/>
    <cellStyle name="Normal 11 3 3 2 3 2 2" xfId="16179" xr:uid="{00000000-0005-0000-0000-0000806F0000}"/>
    <cellStyle name="Normal 11 3 3 2 3 2 2 2" xfId="31771" xr:uid="{00000000-0005-0000-0000-0000816F0000}"/>
    <cellStyle name="Normal 11 3 3 2 3 2 2 3" xfId="47263" xr:uid="{00000000-0005-0000-0000-0000826F0000}"/>
    <cellStyle name="Normal 11 3 3 2 3 2 3" xfId="24031" xr:uid="{00000000-0005-0000-0000-0000836F0000}"/>
    <cellStyle name="Normal 11 3 3 2 3 2 4" xfId="39523" xr:uid="{00000000-0005-0000-0000-0000846F0000}"/>
    <cellStyle name="Normal 11 3 3 2 3 3" xfId="12309" xr:uid="{00000000-0005-0000-0000-0000856F0000}"/>
    <cellStyle name="Normal 11 3 3 2 3 3 2" xfId="27901" xr:uid="{00000000-0005-0000-0000-0000866F0000}"/>
    <cellStyle name="Normal 11 3 3 2 3 3 3" xfId="43393" xr:uid="{00000000-0005-0000-0000-0000876F0000}"/>
    <cellStyle name="Normal 11 3 3 2 3 4" xfId="20161" xr:uid="{00000000-0005-0000-0000-0000886F0000}"/>
    <cellStyle name="Normal 11 3 3 2 3 5" xfId="35653" xr:uid="{00000000-0005-0000-0000-0000896F0000}"/>
    <cellStyle name="Normal 11 3 3 2 4" xfId="6507" xr:uid="{00000000-0005-0000-0000-00008A6F0000}"/>
    <cellStyle name="Normal 11 3 3 2 4 2" xfId="14252" xr:uid="{00000000-0005-0000-0000-00008B6F0000}"/>
    <cellStyle name="Normal 11 3 3 2 4 2 2" xfId="29844" xr:uid="{00000000-0005-0000-0000-00008C6F0000}"/>
    <cellStyle name="Normal 11 3 3 2 4 2 3" xfId="45336" xr:uid="{00000000-0005-0000-0000-00008D6F0000}"/>
    <cellStyle name="Normal 11 3 3 2 4 3" xfId="22104" xr:uid="{00000000-0005-0000-0000-00008E6F0000}"/>
    <cellStyle name="Normal 11 3 3 2 4 4" xfId="37596" xr:uid="{00000000-0005-0000-0000-00008F6F0000}"/>
    <cellStyle name="Normal 11 3 3 2 5" xfId="10382" xr:uid="{00000000-0005-0000-0000-0000906F0000}"/>
    <cellStyle name="Normal 11 3 3 2 5 2" xfId="25974" xr:uid="{00000000-0005-0000-0000-0000916F0000}"/>
    <cellStyle name="Normal 11 3 3 2 5 3" xfId="41466" xr:uid="{00000000-0005-0000-0000-0000926F0000}"/>
    <cellStyle name="Normal 11 3 3 2 6" xfId="18234" xr:uid="{00000000-0005-0000-0000-0000936F0000}"/>
    <cellStyle name="Normal 11 3 3 2 7" xfId="33726" xr:uid="{00000000-0005-0000-0000-0000946F0000}"/>
    <cellStyle name="Normal 11 3 3 3" xfId="3263" xr:uid="{00000000-0005-0000-0000-0000956F0000}"/>
    <cellStyle name="Normal 11 3 3 3 2" xfId="5202" xr:uid="{00000000-0005-0000-0000-0000966F0000}"/>
    <cellStyle name="Normal 11 3 3 3 2 2" xfId="9073" xr:uid="{00000000-0005-0000-0000-0000976F0000}"/>
    <cellStyle name="Normal 11 3 3 3 2 2 2" xfId="16818" xr:uid="{00000000-0005-0000-0000-0000986F0000}"/>
    <cellStyle name="Normal 11 3 3 3 2 2 2 2" xfId="32410" xr:uid="{00000000-0005-0000-0000-0000996F0000}"/>
    <cellStyle name="Normal 11 3 3 3 2 2 2 3" xfId="47902" xr:uid="{00000000-0005-0000-0000-00009A6F0000}"/>
    <cellStyle name="Normal 11 3 3 3 2 2 3" xfId="24670" xr:uid="{00000000-0005-0000-0000-00009B6F0000}"/>
    <cellStyle name="Normal 11 3 3 3 2 2 4" xfId="40162" xr:uid="{00000000-0005-0000-0000-00009C6F0000}"/>
    <cellStyle name="Normal 11 3 3 3 2 3" xfId="12948" xr:uid="{00000000-0005-0000-0000-00009D6F0000}"/>
    <cellStyle name="Normal 11 3 3 3 2 3 2" xfId="28540" xr:uid="{00000000-0005-0000-0000-00009E6F0000}"/>
    <cellStyle name="Normal 11 3 3 3 2 3 3" xfId="44032" xr:uid="{00000000-0005-0000-0000-00009F6F0000}"/>
    <cellStyle name="Normal 11 3 3 3 2 4" xfId="20800" xr:uid="{00000000-0005-0000-0000-0000A06F0000}"/>
    <cellStyle name="Normal 11 3 3 3 2 5" xfId="36292" xr:uid="{00000000-0005-0000-0000-0000A16F0000}"/>
    <cellStyle name="Normal 11 3 3 3 3" xfId="7146" xr:uid="{00000000-0005-0000-0000-0000A26F0000}"/>
    <cellStyle name="Normal 11 3 3 3 3 2" xfId="14891" xr:uid="{00000000-0005-0000-0000-0000A36F0000}"/>
    <cellStyle name="Normal 11 3 3 3 3 2 2" xfId="30483" xr:uid="{00000000-0005-0000-0000-0000A46F0000}"/>
    <cellStyle name="Normal 11 3 3 3 3 2 3" xfId="45975" xr:uid="{00000000-0005-0000-0000-0000A56F0000}"/>
    <cellStyle name="Normal 11 3 3 3 3 3" xfId="22743" xr:uid="{00000000-0005-0000-0000-0000A66F0000}"/>
    <cellStyle name="Normal 11 3 3 3 3 4" xfId="38235" xr:uid="{00000000-0005-0000-0000-0000A76F0000}"/>
    <cellStyle name="Normal 11 3 3 3 4" xfId="11021" xr:uid="{00000000-0005-0000-0000-0000A86F0000}"/>
    <cellStyle name="Normal 11 3 3 3 4 2" xfId="26613" xr:uid="{00000000-0005-0000-0000-0000A96F0000}"/>
    <cellStyle name="Normal 11 3 3 3 4 3" xfId="42105" xr:uid="{00000000-0005-0000-0000-0000AA6F0000}"/>
    <cellStyle name="Normal 11 3 3 3 5" xfId="18873" xr:uid="{00000000-0005-0000-0000-0000AB6F0000}"/>
    <cellStyle name="Normal 11 3 3 3 6" xfId="34365" xr:uid="{00000000-0005-0000-0000-0000AC6F0000}"/>
    <cellStyle name="Normal 11 3 3 4" xfId="4254" xr:uid="{00000000-0005-0000-0000-0000AD6F0000}"/>
    <cellStyle name="Normal 11 3 3 4 2" xfId="8125" xr:uid="{00000000-0005-0000-0000-0000AE6F0000}"/>
    <cellStyle name="Normal 11 3 3 4 2 2" xfId="15870" xr:uid="{00000000-0005-0000-0000-0000AF6F0000}"/>
    <cellStyle name="Normal 11 3 3 4 2 2 2" xfId="31462" xr:uid="{00000000-0005-0000-0000-0000B06F0000}"/>
    <cellStyle name="Normal 11 3 3 4 2 2 3" xfId="46954" xr:uid="{00000000-0005-0000-0000-0000B16F0000}"/>
    <cellStyle name="Normal 11 3 3 4 2 3" xfId="23722" xr:uid="{00000000-0005-0000-0000-0000B26F0000}"/>
    <cellStyle name="Normal 11 3 3 4 2 4" xfId="39214" xr:uid="{00000000-0005-0000-0000-0000B36F0000}"/>
    <cellStyle name="Normal 11 3 3 4 3" xfId="12000" xr:uid="{00000000-0005-0000-0000-0000B46F0000}"/>
    <cellStyle name="Normal 11 3 3 4 3 2" xfId="27592" xr:uid="{00000000-0005-0000-0000-0000B56F0000}"/>
    <cellStyle name="Normal 11 3 3 4 3 3" xfId="43084" xr:uid="{00000000-0005-0000-0000-0000B66F0000}"/>
    <cellStyle name="Normal 11 3 3 4 4" xfId="19852" xr:uid="{00000000-0005-0000-0000-0000B76F0000}"/>
    <cellStyle name="Normal 11 3 3 4 5" xfId="35344" xr:uid="{00000000-0005-0000-0000-0000B86F0000}"/>
    <cellStyle name="Normal 11 3 3 5" xfId="6198" xr:uid="{00000000-0005-0000-0000-0000B96F0000}"/>
    <cellStyle name="Normal 11 3 3 5 2" xfId="13943" xr:uid="{00000000-0005-0000-0000-0000BA6F0000}"/>
    <cellStyle name="Normal 11 3 3 5 2 2" xfId="29535" xr:uid="{00000000-0005-0000-0000-0000BB6F0000}"/>
    <cellStyle name="Normal 11 3 3 5 2 3" xfId="45027" xr:uid="{00000000-0005-0000-0000-0000BC6F0000}"/>
    <cellStyle name="Normal 11 3 3 5 3" xfId="21795" xr:uid="{00000000-0005-0000-0000-0000BD6F0000}"/>
    <cellStyle name="Normal 11 3 3 5 4" xfId="37287" xr:uid="{00000000-0005-0000-0000-0000BE6F0000}"/>
    <cellStyle name="Normal 11 3 3 6" xfId="10073" xr:uid="{00000000-0005-0000-0000-0000BF6F0000}"/>
    <cellStyle name="Normal 11 3 3 6 2" xfId="25665" xr:uid="{00000000-0005-0000-0000-0000C06F0000}"/>
    <cellStyle name="Normal 11 3 3 6 3" xfId="41157" xr:uid="{00000000-0005-0000-0000-0000C16F0000}"/>
    <cellStyle name="Normal 11 3 3 7" xfId="17925" xr:uid="{00000000-0005-0000-0000-0000C26F0000}"/>
    <cellStyle name="Normal 11 3 3 8" xfId="33417" xr:uid="{00000000-0005-0000-0000-0000C36F0000}"/>
    <cellStyle name="Normal 11 3 30" xfId="49089" xr:uid="{FDCEE127-D078-42C9-BB81-DAD3B496D757}"/>
    <cellStyle name="Normal 11 3 4" xfId="2284" xr:uid="{00000000-0005-0000-0000-0000C46F0000}"/>
    <cellStyle name="Normal 11 3 4 2" xfId="2600" xr:uid="{00000000-0005-0000-0000-0000C56F0000}"/>
    <cellStyle name="Normal 11 3 4 2 2" xfId="3608" xr:uid="{00000000-0005-0000-0000-0000C66F0000}"/>
    <cellStyle name="Normal 11 3 4 2 2 2" xfId="5547" xr:uid="{00000000-0005-0000-0000-0000C76F0000}"/>
    <cellStyle name="Normal 11 3 4 2 2 2 2" xfId="9418" xr:uid="{00000000-0005-0000-0000-0000C86F0000}"/>
    <cellStyle name="Normal 11 3 4 2 2 2 2 2" xfId="17163" xr:uid="{00000000-0005-0000-0000-0000C96F0000}"/>
    <cellStyle name="Normal 11 3 4 2 2 2 2 2 2" xfId="32755" xr:uid="{00000000-0005-0000-0000-0000CA6F0000}"/>
    <cellStyle name="Normal 11 3 4 2 2 2 2 2 3" xfId="48247" xr:uid="{00000000-0005-0000-0000-0000CB6F0000}"/>
    <cellStyle name="Normal 11 3 4 2 2 2 2 3" xfId="25015" xr:uid="{00000000-0005-0000-0000-0000CC6F0000}"/>
    <cellStyle name="Normal 11 3 4 2 2 2 2 4" xfId="40507" xr:uid="{00000000-0005-0000-0000-0000CD6F0000}"/>
    <cellStyle name="Normal 11 3 4 2 2 2 3" xfId="13293" xr:uid="{00000000-0005-0000-0000-0000CE6F0000}"/>
    <cellStyle name="Normal 11 3 4 2 2 2 3 2" xfId="28885" xr:uid="{00000000-0005-0000-0000-0000CF6F0000}"/>
    <cellStyle name="Normal 11 3 4 2 2 2 3 3" xfId="44377" xr:uid="{00000000-0005-0000-0000-0000D06F0000}"/>
    <cellStyle name="Normal 11 3 4 2 2 2 4" xfId="21145" xr:uid="{00000000-0005-0000-0000-0000D16F0000}"/>
    <cellStyle name="Normal 11 3 4 2 2 2 5" xfId="36637" xr:uid="{00000000-0005-0000-0000-0000D26F0000}"/>
    <cellStyle name="Normal 11 3 4 2 2 3" xfId="7491" xr:uid="{00000000-0005-0000-0000-0000D36F0000}"/>
    <cellStyle name="Normal 11 3 4 2 2 3 2" xfId="15236" xr:uid="{00000000-0005-0000-0000-0000D46F0000}"/>
    <cellStyle name="Normal 11 3 4 2 2 3 2 2" xfId="30828" xr:uid="{00000000-0005-0000-0000-0000D56F0000}"/>
    <cellStyle name="Normal 11 3 4 2 2 3 2 3" xfId="46320" xr:uid="{00000000-0005-0000-0000-0000D66F0000}"/>
    <cellStyle name="Normal 11 3 4 2 2 3 3" xfId="23088" xr:uid="{00000000-0005-0000-0000-0000D76F0000}"/>
    <cellStyle name="Normal 11 3 4 2 2 3 4" xfId="38580" xr:uid="{00000000-0005-0000-0000-0000D86F0000}"/>
    <cellStyle name="Normal 11 3 4 2 2 4" xfId="11366" xr:uid="{00000000-0005-0000-0000-0000D96F0000}"/>
    <cellStyle name="Normal 11 3 4 2 2 4 2" xfId="26958" xr:uid="{00000000-0005-0000-0000-0000DA6F0000}"/>
    <cellStyle name="Normal 11 3 4 2 2 4 3" xfId="42450" xr:uid="{00000000-0005-0000-0000-0000DB6F0000}"/>
    <cellStyle name="Normal 11 3 4 2 2 5" xfId="19218" xr:uid="{00000000-0005-0000-0000-0000DC6F0000}"/>
    <cellStyle name="Normal 11 3 4 2 2 6" xfId="34710" xr:uid="{00000000-0005-0000-0000-0000DD6F0000}"/>
    <cellStyle name="Normal 11 3 4 2 3" xfId="4599" xr:uid="{00000000-0005-0000-0000-0000DE6F0000}"/>
    <cellStyle name="Normal 11 3 4 2 3 2" xfId="8470" xr:uid="{00000000-0005-0000-0000-0000DF6F0000}"/>
    <cellStyle name="Normal 11 3 4 2 3 2 2" xfId="16215" xr:uid="{00000000-0005-0000-0000-0000E06F0000}"/>
    <cellStyle name="Normal 11 3 4 2 3 2 2 2" xfId="31807" xr:uid="{00000000-0005-0000-0000-0000E16F0000}"/>
    <cellStyle name="Normal 11 3 4 2 3 2 2 3" xfId="47299" xr:uid="{00000000-0005-0000-0000-0000E26F0000}"/>
    <cellStyle name="Normal 11 3 4 2 3 2 3" xfId="24067" xr:uid="{00000000-0005-0000-0000-0000E36F0000}"/>
    <cellStyle name="Normal 11 3 4 2 3 2 4" xfId="39559" xr:uid="{00000000-0005-0000-0000-0000E46F0000}"/>
    <cellStyle name="Normal 11 3 4 2 3 3" xfId="12345" xr:uid="{00000000-0005-0000-0000-0000E56F0000}"/>
    <cellStyle name="Normal 11 3 4 2 3 3 2" xfId="27937" xr:uid="{00000000-0005-0000-0000-0000E66F0000}"/>
    <cellStyle name="Normal 11 3 4 2 3 3 3" xfId="43429" xr:uid="{00000000-0005-0000-0000-0000E76F0000}"/>
    <cellStyle name="Normal 11 3 4 2 3 4" xfId="20197" xr:uid="{00000000-0005-0000-0000-0000E86F0000}"/>
    <cellStyle name="Normal 11 3 4 2 3 5" xfId="35689" xr:uid="{00000000-0005-0000-0000-0000E96F0000}"/>
    <cellStyle name="Normal 11 3 4 2 4" xfId="6543" xr:uid="{00000000-0005-0000-0000-0000EA6F0000}"/>
    <cellStyle name="Normal 11 3 4 2 4 2" xfId="14288" xr:uid="{00000000-0005-0000-0000-0000EB6F0000}"/>
    <cellStyle name="Normal 11 3 4 2 4 2 2" xfId="29880" xr:uid="{00000000-0005-0000-0000-0000EC6F0000}"/>
    <cellStyle name="Normal 11 3 4 2 4 2 3" xfId="45372" xr:uid="{00000000-0005-0000-0000-0000ED6F0000}"/>
    <cellStyle name="Normal 11 3 4 2 4 3" xfId="22140" xr:uid="{00000000-0005-0000-0000-0000EE6F0000}"/>
    <cellStyle name="Normal 11 3 4 2 4 4" xfId="37632" xr:uid="{00000000-0005-0000-0000-0000EF6F0000}"/>
    <cellStyle name="Normal 11 3 4 2 5" xfId="10418" xr:uid="{00000000-0005-0000-0000-0000F06F0000}"/>
    <cellStyle name="Normal 11 3 4 2 5 2" xfId="26010" xr:uid="{00000000-0005-0000-0000-0000F16F0000}"/>
    <cellStyle name="Normal 11 3 4 2 5 3" xfId="41502" xr:uid="{00000000-0005-0000-0000-0000F26F0000}"/>
    <cellStyle name="Normal 11 3 4 2 6" xfId="18270" xr:uid="{00000000-0005-0000-0000-0000F36F0000}"/>
    <cellStyle name="Normal 11 3 4 2 7" xfId="33762" xr:uid="{00000000-0005-0000-0000-0000F46F0000}"/>
    <cellStyle name="Normal 11 3 4 3" xfId="3299" xr:uid="{00000000-0005-0000-0000-0000F56F0000}"/>
    <cellStyle name="Normal 11 3 4 3 2" xfId="5238" xr:uid="{00000000-0005-0000-0000-0000F66F0000}"/>
    <cellStyle name="Normal 11 3 4 3 2 2" xfId="9109" xr:uid="{00000000-0005-0000-0000-0000F76F0000}"/>
    <cellStyle name="Normal 11 3 4 3 2 2 2" xfId="16854" xr:uid="{00000000-0005-0000-0000-0000F86F0000}"/>
    <cellStyle name="Normal 11 3 4 3 2 2 2 2" xfId="32446" xr:uid="{00000000-0005-0000-0000-0000F96F0000}"/>
    <cellStyle name="Normal 11 3 4 3 2 2 2 3" xfId="47938" xr:uid="{00000000-0005-0000-0000-0000FA6F0000}"/>
    <cellStyle name="Normal 11 3 4 3 2 2 3" xfId="24706" xr:uid="{00000000-0005-0000-0000-0000FB6F0000}"/>
    <cellStyle name="Normal 11 3 4 3 2 2 4" xfId="40198" xr:uid="{00000000-0005-0000-0000-0000FC6F0000}"/>
    <cellStyle name="Normal 11 3 4 3 2 3" xfId="12984" xr:uid="{00000000-0005-0000-0000-0000FD6F0000}"/>
    <cellStyle name="Normal 11 3 4 3 2 3 2" xfId="28576" xr:uid="{00000000-0005-0000-0000-0000FE6F0000}"/>
    <cellStyle name="Normal 11 3 4 3 2 3 3" xfId="44068" xr:uid="{00000000-0005-0000-0000-0000FF6F0000}"/>
    <cellStyle name="Normal 11 3 4 3 2 4" xfId="20836" xr:uid="{00000000-0005-0000-0000-000000700000}"/>
    <cellStyle name="Normal 11 3 4 3 2 5" xfId="36328" xr:uid="{00000000-0005-0000-0000-000001700000}"/>
    <cellStyle name="Normal 11 3 4 3 3" xfId="7182" xr:uid="{00000000-0005-0000-0000-000002700000}"/>
    <cellStyle name="Normal 11 3 4 3 3 2" xfId="14927" xr:uid="{00000000-0005-0000-0000-000003700000}"/>
    <cellStyle name="Normal 11 3 4 3 3 2 2" xfId="30519" xr:uid="{00000000-0005-0000-0000-000004700000}"/>
    <cellStyle name="Normal 11 3 4 3 3 2 3" xfId="46011" xr:uid="{00000000-0005-0000-0000-000005700000}"/>
    <cellStyle name="Normal 11 3 4 3 3 3" xfId="22779" xr:uid="{00000000-0005-0000-0000-000006700000}"/>
    <cellStyle name="Normal 11 3 4 3 3 4" xfId="38271" xr:uid="{00000000-0005-0000-0000-000007700000}"/>
    <cellStyle name="Normal 11 3 4 3 4" xfId="11057" xr:uid="{00000000-0005-0000-0000-000008700000}"/>
    <cellStyle name="Normal 11 3 4 3 4 2" xfId="26649" xr:uid="{00000000-0005-0000-0000-000009700000}"/>
    <cellStyle name="Normal 11 3 4 3 4 3" xfId="42141" xr:uid="{00000000-0005-0000-0000-00000A700000}"/>
    <cellStyle name="Normal 11 3 4 3 5" xfId="18909" xr:uid="{00000000-0005-0000-0000-00000B700000}"/>
    <cellStyle name="Normal 11 3 4 3 6" xfId="34401" xr:uid="{00000000-0005-0000-0000-00000C700000}"/>
    <cellStyle name="Normal 11 3 4 4" xfId="4290" xr:uid="{00000000-0005-0000-0000-00000D700000}"/>
    <cellStyle name="Normal 11 3 4 4 2" xfId="8161" xr:uid="{00000000-0005-0000-0000-00000E700000}"/>
    <cellStyle name="Normal 11 3 4 4 2 2" xfId="15906" xr:uid="{00000000-0005-0000-0000-00000F700000}"/>
    <cellStyle name="Normal 11 3 4 4 2 2 2" xfId="31498" xr:uid="{00000000-0005-0000-0000-000010700000}"/>
    <cellStyle name="Normal 11 3 4 4 2 2 3" xfId="46990" xr:uid="{00000000-0005-0000-0000-000011700000}"/>
    <cellStyle name="Normal 11 3 4 4 2 3" xfId="23758" xr:uid="{00000000-0005-0000-0000-000012700000}"/>
    <cellStyle name="Normal 11 3 4 4 2 4" xfId="39250" xr:uid="{00000000-0005-0000-0000-000013700000}"/>
    <cellStyle name="Normal 11 3 4 4 3" xfId="12036" xr:uid="{00000000-0005-0000-0000-000014700000}"/>
    <cellStyle name="Normal 11 3 4 4 3 2" xfId="27628" xr:uid="{00000000-0005-0000-0000-000015700000}"/>
    <cellStyle name="Normal 11 3 4 4 3 3" xfId="43120" xr:uid="{00000000-0005-0000-0000-000016700000}"/>
    <cellStyle name="Normal 11 3 4 4 4" xfId="19888" xr:uid="{00000000-0005-0000-0000-000017700000}"/>
    <cellStyle name="Normal 11 3 4 4 5" xfId="35380" xr:uid="{00000000-0005-0000-0000-000018700000}"/>
    <cellStyle name="Normal 11 3 4 5" xfId="6234" xr:uid="{00000000-0005-0000-0000-000019700000}"/>
    <cellStyle name="Normal 11 3 4 5 2" xfId="13979" xr:uid="{00000000-0005-0000-0000-00001A700000}"/>
    <cellStyle name="Normal 11 3 4 5 2 2" xfId="29571" xr:uid="{00000000-0005-0000-0000-00001B700000}"/>
    <cellStyle name="Normal 11 3 4 5 2 3" xfId="45063" xr:uid="{00000000-0005-0000-0000-00001C700000}"/>
    <cellStyle name="Normal 11 3 4 5 3" xfId="21831" xr:uid="{00000000-0005-0000-0000-00001D700000}"/>
    <cellStyle name="Normal 11 3 4 5 4" xfId="37323" xr:uid="{00000000-0005-0000-0000-00001E700000}"/>
    <cellStyle name="Normal 11 3 4 6" xfId="10109" xr:uid="{00000000-0005-0000-0000-00001F700000}"/>
    <cellStyle name="Normal 11 3 4 6 2" xfId="25701" xr:uid="{00000000-0005-0000-0000-000020700000}"/>
    <cellStyle name="Normal 11 3 4 6 3" xfId="41193" xr:uid="{00000000-0005-0000-0000-000021700000}"/>
    <cellStyle name="Normal 11 3 4 7" xfId="17961" xr:uid="{00000000-0005-0000-0000-000022700000}"/>
    <cellStyle name="Normal 11 3 4 8" xfId="33453" xr:uid="{00000000-0005-0000-0000-000023700000}"/>
    <cellStyle name="Normal 11 3 5" xfId="2321" xr:uid="{00000000-0005-0000-0000-000024700000}"/>
    <cellStyle name="Normal 11 3 5 2" xfId="2636" xr:uid="{00000000-0005-0000-0000-000025700000}"/>
    <cellStyle name="Normal 11 3 5 2 2" xfId="3644" xr:uid="{00000000-0005-0000-0000-000026700000}"/>
    <cellStyle name="Normal 11 3 5 2 2 2" xfId="5583" xr:uid="{00000000-0005-0000-0000-000027700000}"/>
    <cellStyle name="Normal 11 3 5 2 2 2 2" xfId="9454" xr:uid="{00000000-0005-0000-0000-000028700000}"/>
    <cellStyle name="Normal 11 3 5 2 2 2 2 2" xfId="17199" xr:uid="{00000000-0005-0000-0000-000029700000}"/>
    <cellStyle name="Normal 11 3 5 2 2 2 2 2 2" xfId="32791" xr:uid="{00000000-0005-0000-0000-00002A700000}"/>
    <cellStyle name="Normal 11 3 5 2 2 2 2 2 3" xfId="48283" xr:uid="{00000000-0005-0000-0000-00002B700000}"/>
    <cellStyle name="Normal 11 3 5 2 2 2 2 3" xfId="25051" xr:uid="{00000000-0005-0000-0000-00002C700000}"/>
    <cellStyle name="Normal 11 3 5 2 2 2 2 4" xfId="40543" xr:uid="{00000000-0005-0000-0000-00002D700000}"/>
    <cellStyle name="Normal 11 3 5 2 2 2 3" xfId="13329" xr:uid="{00000000-0005-0000-0000-00002E700000}"/>
    <cellStyle name="Normal 11 3 5 2 2 2 3 2" xfId="28921" xr:uid="{00000000-0005-0000-0000-00002F700000}"/>
    <cellStyle name="Normal 11 3 5 2 2 2 3 3" xfId="44413" xr:uid="{00000000-0005-0000-0000-000030700000}"/>
    <cellStyle name="Normal 11 3 5 2 2 2 4" xfId="21181" xr:uid="{00000000-0005-0000-0000-000031700000}"/>
    <cellStyle name="Normal 11 3 5 2 2 2 5" xfId="36673" xr:uid="{00000000-0005-0000-0000-000032700000}"/>
    <cellStyle name="Normal 11 3 5 2 2 3" xfId="7527" xr:uid="{00000000-0005-0000-0000-000033700000}"/>
    <cellStyle name="Normal 11 3 5 2 2 3 2" xfId="15272" xr:uid="{00000000-0005-0000-0000-000034700000}"/>
    <cellStyle name="Normal 11 3 5 2 2 3 2 2" xfId="30864" xr:uid="{00000000-0005-0000-0000-000035700000}"/>
    <cellStyle name="Normal 11 3 5 2 2 3 2 3" xfId="46356" xr:uid="{00000000-0005-0000-0000-000036700000}"/>
    <cellStyle name="Normal 11 3 5 2 2 3 3" xfId="23124" xr:uid="{00000000-0005-0000-0000-000037700000}"/>
    <cellStyle name="Normal 11 3 5 2 2 3 4" xfId="38616" xr:uid="{00000000-0005-0000-0000-000038700000}"/>
    <cellStyle name="Normal 11 3 5 2 2 4" xfId="11402" xr:uid="{00000000-0005-0000-0000-000039700000}"/>
    <cellStyle name="Normal 11 3 5 2 2 4 2" xfId="26994" xr:uid="{00000000-0005-0000-0000-00003A700000}"/>
    <cellStyle name="Normal 11 3 5 2 2 4 3" xfId="42486" xr:uid="{00000000-0005-0000-0000-00003B700000}"/>
    <cellStyle name="Normal 11 3 5 2 2 5" xfId="19254" xr:uid="{00000000-0005-0000-0000-00003C700000}"/>
    <cellStyle name="Normal 11 3 5 2 2 6" xfId="34746" xr:uid="{00000000-0005-0000-0000-00003D700000}"/>
    <cellStyle name="Normal 11 3 5 2 3" xfId="4635" xr:uid="{00000000-0005-0000-0000-00003E700000}"/>
    <cellStyle name="Normal 11 3 5 2 3 2" xfId="8506" xr:uid="{00000000-0005-0000-0000-00003F700000}"/>
    <cellStyle name="Normal 11 3 5 2 3 2 2" xfId="16251" xr:uid="{00000000-0005-0000-0000-000040700000}"/>
    <cellStyle name="Normal 11 3 5 2 3 2 2 2" xfId="31843" xr:uid="{00000000-0005-0000-0000-000041700000}"/>
    <cellStyle name="Normal 11 3 5 2 3 2 2 3" xfId="47335" xr:uid="{00000000-0005-0000-0000-000042700000}"/>
    <cellStyle name="Normal 11 3 5 2 3 2 3" xfId="24103" xr:uid="{00000000-0005-0000-0000-000043700000}"/>
    <cellStyle name="Normal 11 3 5 2 3 2 4" xfId="39595" xr:uid="{00000000-0005-0000-0000-000044700000}"/>
    <cellStyle name="Normal 11 3 5 2 3 3" xfId="12381" xr:uid="{00000000-0005-0000-0000-000045700000}"/>
    <cellStyle name="Normal 11 3 5 2 3 3 2" xfId="27973" xr:uid="{00000000-0005-0000-0000-000046700000}"/>
    <cellStyle name="Normal 11 3 5 2 3 3 3" xfId="43465" xr:uid="{00000000-0005-0000-0000-000047700000}"/>
    <cellStyle name="Normal 11 3 5 2 3 4" xfId="20233" xr:uid="{00000000-0005-0000-0000-000048700000}"/>
    <cellStyle name="Normal 11 3 5 2 3 5" xfId="35725" xr:uid="{00000000-0005-0000-0000-000049700000}"/>
    <cellStyle name="Normal 11 3 5 2 4" xfId="6579" xr:uid="{00000000-0005-0000-0000-00004A700000}"/>
    <cellStyle name="Normal 11 3 5 2 4 2" xfId="14324" xr:uid="{00000000-0005-0000-0000-00004B700000}"/>
    <cellStyle name="Normal 11 3 5 2 4 2 2" xfId="29916" xr:uid="{00000000-0005-0000-0000-00004C700000}"/>
    <cellStyle name="Normal 11 3 5 2 4 2 3" xfId="45408" xr:uid="{00000000-0005-0000-0000-00004D700000}"/>
    <cellStyle name="Normal 11 3 5 2 4 3" xfId="22176" xr:uid="{00000000-0005-0000-0000-00004E700000}"/>
    <cellStyle name="Normal 11 3 5 2 4 4" xfId="37668" xr:uid="{00000000-0005-0000-0000-00004F700000}"/>
    <cellStyle name="Normal 11 3 5 2 5" xfId="10454" xr:uid="{00000000-0005-0000-0000-000050700000}"/>
    <cellStyle name="Normal 11 3 5 2 5 2" xfId="26046" xr:uid="{00000000-0005-0000-0000-000051700000}"/>
    <cellStyle name="Normal 11 3 5 2 5 3" xfId="41538" xr:uid="{00000000-0005-0000-0000-000052700000}"/>
    <cellStyle name="Normal 11 3 5 2 6" xfId="18306" xr:uid="{00000000-0005-0000-0000-000053700000}"/>
    <cellStyle name="Normal 11 3 5 2 7" xfId="33798" xr:uid="{00000000-0005-0000-0000-000054700000}"/>
    <cellStyle name="Normal 11 3 5 3" xfId="3335" xr:uid="{00000000-0005-0000-0000-000055700000}"/>
    <cellStyle name="Normal 11 3 5 3 2" xfId="5274" xr:uid="{00000000-0005-0000-0000-000056700000}"/>
    <cellStyle name="Normal 11 3 5 3 2 2" xfId="9145" xr:uid="{00000000-0005-0000-0000-000057700000}"/>
    <cellStyle name="Normal 11 3 5 3 2 2 2" xfId="16890" xr:uid="{00000000-0005-0000-0000-000058700000}"/>
    <cellStyle name="Normal 11 3 5 3 2 2 2 2" xfId="32482" xr:uid="{00000000-0005-0000-0000-000059700000}"/>
    <cellStyle name="Normal 11 3 5 3 2 2 2 3" xfId="47974" xr:uid="{00000000-0005-0000-0000-00005A700000}"/>
    <cellStyle name="Normal 11 3 5 3 2 2 3" xfId="24742" xr:uid="{00000000-0005-0000-0000-00005B700000}"/>
    <cellStyle name="Normal 11 3 5 3 2 2 4" xfId="40234" xr:uid="{00000000-0005-0000-0000-00005C700000}"/>
    <cellStyle name="Normal 11 3 5 3 2 3" xfId="13020" xr:uid="{00000000-0005-0000-0000-00005D700000}"/>
    <cellStyle name="Normal 11 3 5 3 2 3 2" xfId="28612" xr:uid="{00000000-0005-0000-0000-00005E700000}"/>
    <cellStyle name="Normal 11 3 5 3 2 3 3" xfId="44104" xr:uid="{00000000-0005-0000-0000-00005F700000}"/>
    <cellStyle name="Normal 11 3 5 3 2 4" xfId="20872" xr:uid="{00000000-0005-0000-0000-000060700000}"/>
    <cellStyle name="Normal 11 3 5 3 2 5" xfId="36364" xr:uid="{00000000-0005-0000-0000-000061700000}"/>
    <cellStyle name="Normal 11 3 5 3 3" xfId="7218" xr:uid="{00000000-0005-0000-0000-000062700000}"/>
    <cellStyle name="Normal 11 3 5 3 3 2" xfId="14963" xr:uid="{00000000-0005-0000-0000-000063700000}"/>
    <cellStyle name="Normal 11 3 5 3 3 2 2" xfId="30555" xr:uid="{00000000-0005-0000-0000-000064700000}"/>
    <cellStyle name="Normal 11 3 5 3 3 2 3" xfId="46047" xr:uid="{00000000-0005-0000-0000-000065700000}"/>
    <cellStyle name="Normal 11 3 5 3 3 3" xfId="22815" xr:uid="{00000000-0005-0000-0000-000066700000}"/>
    <cellStyle name="Normal 11 3 5 3 3 4" xfId="38307" xr:uid="{00000000-0005-0000-0000-000067700000}"/>
    <cellStyle name="Normal 11 3 5 3 4" xfId="11093" xr:uid="{00000000-0005-0000-0000-000068700000}"/>
    <cellStyle name="Normal 11 3 5 3 4 2" xfId="26685" xr:uid="{00000000-0005-0000-0000-000069700000}"/>
    <cellStyle name="Normal 11 3 5 3 4 3" xfId="42177" xr:uid="{00000000-0005-0000-0000-00006A700000}"/>
    <cellStyle name="Normal 11 3 5 3 5" xfId="18945" xr:uid="{00000000-0005-0000-0000-00006B700000}"/>
    <cellStyle name="Normal 11 3 5 3 6" xfId="34437" xr:uid="{00000000-0005-0000-0000-00006C700000}"/>
    <cellStyle name="Normal 11 3 5 4" xfId="4326" xr:uid="{00000000-0005-0000-0000-00006D700000}"/>
    <cellStyle name="Normal 11 3 5 4 2" xfId="8197" xr:uid="{00000000-0005-0000-0000-00006E700000}"/>
    <cellStyle name="Normal 11 3 5 4 2 2" xfId="15942" xr:uid="{00000000-0005-0000-0000-00006F700000}"/>
    <cellStyle name="Normal 11 3 5 4 2 2 2" xfId="31534" xr:uid="{00000000-0005-0000-0000-000070700000}"/>
    <cellStyle name="Normal 11 3 5 4 2 2 3" xfId="47026" xr:uid="{00000000-0005-0000-0000-000071700000}"/>
    <cellStyle name="Normal 11 3 5 4 2 3" xfId="23794" xr:uid="{00000000-0005-0000-0000-000072700000}"/>
    <cellStyle name="Normal 11 3 5 4 2 4" xfId="39286" xr:uid="{00000000-0005-0000-0000-000073700000}"/>
    <cellStyle name="Normal 11 3 5 4 3" xfId="12072" xr:uid="{00000000-0005-0000-0000-000074700000}"/>
    <cellStyle name="Normal 11 3 5 4 3 2" xfId="27664" xr:uid="{00000000-0005-0000-0000-000075700000}"/>
    <cellStyle name="Normal 11 3 5 4 3 3" xfId="43156" xr:uid="{00000000-0005-0000-0000-000076700000}"/>
    <cellStyle name="Normal 11 3 5 4 4" xfId="19924" xr:uid="{00000000-0005-0000-0000-000077700000}"/>
    <cellStyle name="Normal 11 3 5 4 5" xfId="35416" xr:uid="{00000000-0005-0000-0000-000078700000}"/>
    <cellStyle name="Normal 11 3 5 5" xfId="6270" xr:uid="{00000000-0005-0000-0000-000079700000}"/>
    <cellStyle name="Normal 11 3 5 5 2" xfId="14015" xr:uid="{00000000-0005-0000-0000-00007A700000}"/>
    <cellStyle name="Normal 11 3 5 5 2 2" xfId="29607" xr:uid="{00000000-0005-0000-0000-00007B700000}"/>
    <cellStyle name="Normal 11 3 5 5 2 3" xfId="45099" xr:uid="{00000000-0005-0000-0000-00007C700000}"/>
    <cellStyle name="Normal 11 3 5 5 3" xfId="21867" xr:uid="{00000000-0005-0000-0000-00007D700000}"/>
    <cellStyle name="Normal 11 3 5 5 4" xfId="37359" xr:uid="{00000000-0005-0000-0000-00007E700000}"/>
    <cellStyle name="Normal 11 3 5 6" xfId="10145" xr:uid="{00000000-0005-0000-0000-00007F700000}"/>
    <cellStyle name="Normal 11 3 5 6 2" xfId="25737" xr:uid="{00000000-0005-0000-0000-000080700000}"/>
    <cellStyle name="Normal 11 3 5 6 3" xfId="41229" xr:uid="{00000000-0005-0000-0000-000081700000}"/>
    <cellStyle name="Normal 11 3 5 7" xfId="17997" xr:uid="{00000000-0005-0000-0000-000082700000}"/>
    <cellStyle name="Normal 11 3 5 8" xfId="33489" xr:uid="{00000000-0005-0000-0000-000083700000}"/>
    <cellStyle name="Normal 11 3 6" xfId="2359" xr:uid="{00000000-0005-0000-0000-000084700000}"/>
    <cellStyle name="Normal 11 3 6 2" xfId="2672" xr:uid="{00000000-0005-0000-0000-000085700000}"/>
    <cellStyle name="Normal 11 3 6 2 2" xfId="3680" xr:uid="{00000000-0005-0000-0000-000086700000}"/>
    <cellStyle name="Normal 11 3 6 2 2 2" xfId="5619" xr:uid="{00000000-0005-0000-0000-000087700000}"/>
    <cellStyle name="Normal 11 3 6 2 2 2 2" xfId="9490" xr:uid="{00000000-0005-0000-0000-000088700000}"/>
    <cellStyle name="Normal 11 3 6 2 2 2 2 2" xfId="17235" xr:uid="{00000000-0005-0000-0000-000089700000}"/>
    <cellStyle name="Normal 11 3 6 2 2 2 2 2 2" xfId="32827" xr:uid="{00000000-0005-0000-0000-00008A700000}"/>
    <cellStyle name="Normal 11 3 6 2 2 2 2 2 3" xfId="48319" xr:uid="{00000000-0005-0000-0000-00008B700000}"/>
    <cellStyle name="Normal 11 3 6 2 2 2 2 3" xfId="25087" xr:uid="{00000000-0005-0000-0000-00008C700000}"/>
    <cellStyle name="Normal 11 3 6 2 2 2 2 4" xfId="40579" xr:uid="{00000000-0005-0000-0000-00008D700000}"/>
    <cellStyle name="Normal 11 3 6 2 2 2 3" xfId="13365" xr:uid="{00000000-0005-0000-0000-00008E700000}"/>
    <cellStyle name="Normal 11 3 6 2 2 2 3 2" xfId="28957" xr:uid="{00000000-0005-0000-0000-00008F700000}"/>
    <cellStyle name="Normal 11 3 6 2 2 2 3 3" xfId="44449" xr:uid="{00000000-0005-0000-0000-000090700000}"/>
    <cellStyle name="Normal 11 3 6 2 2 2 4" xfId="21217" xr:uid="{00000000-0005-0000-0000-000091700000}"/>
    <cellStyle name="Normal 11 3 6 2 2 2 5" xfId="36709" xr:uid="{00000000-0005-0000-0000-000092700000}"/>
    <cellStyle name="Normal 11 3 6 2 2 3" xfId="7563" xr:uid="{00000000-0005-0000-0000-000093700000}"/>
    <cellStyle name="Normal 11 3 6 2 2 3 2" xfId="15308" xr:uid="{00000000-0005-0000-0000-000094700000}"/>
    <cellStyle name="Normal 11 3 6 2 2 3 2 2" xfId="30900" xr:uid="{00000000-0005-0000-0000-000095700000}"/>
    <cellStyle name="Normal 11 3 6 2 2 3 2 3" xfId="46392" xr:uid="{00000000-0005-0000-0000-000096700000}"/>
    <cellStyle name="Normal 11 3 6 2 2 3 3" xfId="23160" xr:uid="{00000000-0005-0000-0000-000097700000}"/>
    <cellStyle name="Normal 11 3 6 2 2 3 4" xfId="38652" xr:uid="{00000000-0005-0000-0000-000098700000}"/>
    <cellStyle name="Normal 11 3 6 2 2 4" xfId="11438" xr:uid="{00000000-0005-0000-0000-000099700000}"/>
    <cellStyle name="Normal 11 3 6 2 2 4 2" xfId="27030" xr:uid="{00000000-0005-0000-0000-00009A700000}"/>
    <cellStyle name="Normal 11 3 6 2 2 4 3" xfId="42522" xr:uid="{00000000-0005-0000-0000-00009B700000}"/>
    <cellStyle name="Normal 11 3 6 2 2 5" xfId="19290" xr:uid="{00000000-0005-0000-0000-00009C700000}"/>
    <cellStyle name="Normal 11 3 6 2 2 6" xfId="34782" xr:uid="{00000000-0005-0000-0000-00009D700000}"/>
    <cellStyle name="Normal 11 3 6 2 3" xfId="4671" xr:uid="{00000000-0005-0000-0000-00009E700000}"/>
    <cellStyle name="Normal 11 3 6 2 3 2" xfId="8542" xr:uid="{00000000-0005-0000-0000-00009F700000}"/>
    <cellStyle name="Normal 11 3 6 2 3 2 2" xfId="16287" xr:uid="{00000000-0005-0000-0000-0000A0700000}"/>
    <cellStyle name="Normal 11 3 6 2 3 2 2 2" xfId="31879" xr:uid="{00000000-0005-0000-0000-0000A1700000}"/>
    <cellStyle name="Normal 11 3 6 2 3 2 2 3" xfId="47371" xr:uid="{00000000-0005-0000-0000-0000A2700000}"/>
    <cellStyle name="Normal 11 3 6 2 3 2 3" xfId="24139" xr:uid="{00000000-0005-0000-0000-0000A3700000}"/>
    <cellStyle name="Normal 11 3 6 2 3 2 4" xfId="39631" xr:uid="{00000000-0005-0000-0000-0000A4700000}"/>
    <cellStyle name="Normal 11 3 6 2 3 3" xfId="12417" xr:uid="{00000000-0005-0000-0000-0000A5700000}"/>
    <cellStyle name="Normal 11 3 6 2 3 3 2" xfId="28009" xr:uid="{00000000-0005-0000-0000-0000A6700000}"/>
    <cellStyle name="Normal 11 3 6 2 3 3 3" xfId="43501" xr:uid="{00000000-0005-0000-0000-0000A7700000}"/>
    <cellStyle name="Normal 11 3 6 2 3 4" xfId="20269" xr:uid="{00000000-0005-0000-0000-0000A8700000}"/>
    <cellStyle name="Normal 11 3 6 2 3 5" xfId="35761" xr:uid="{00000000-0005-0000-0000-0000A9700000}"/>
    <cellStyle name="Normal 11 3 6 2 4" xfId="6615" xr:uid="{00000000-0005-0000-0000-0000AA700000}"/>
    <cellStyle name="Normal 11 3 6 2 4 2" xfId="14360" xr:uid="{00000000-0005-0000-0000-0000AB700000}"/>
    <cellStyle name="Normal 11 3 6 2 4 2 2" xfId="29952" xr:uid="{00000000-0005-0000-0000-0000AC700000}"/>
    <cellStyle name="Normal 11 3 6 2 4 2 3" xfId="45444" xr:uid="{00000000-0005-0000-0000-0000AD700000}"/>
    <cellStyle name="Normal 11 3 6 2 4 3" xfId="22212" xr:uid="{00000000-0005-0000-0000-0000AE700000}"/>
    <cellStyle name="Normal 11 3 6 2 4 4" xfId="37704" xr:uid="{00000000-0005-0000-0000-0000AF700000}"/>
    <cellStyle name="Normal 11 3 6 2 5" xfId="10490" xr:uid="{00000000-0005-0000-0000-0000B0700000}"/>
    <cellStyle name="Normal 11 3 6 2 5 2" xfId="26082" xr:uid="{00000000-0005-0000-0000-0000B1700000}"/>
    <cellStyle name="Normal 11 3 6 2 5 3" xfId="41574" xr:uid="{00000000-0005-0000-0000-0000B2700000}"/>
    <cellStyle name="Normal 11 3 6 2 6" xfId="18342" xr:uid="{00000000-0005-0000-0000-0000B3700000}"/>
    <cellStyle name="Normal 11 3 6 2 7" xfId="33834" xr:uid="{00000000-0005-0000-0000-0000B4700000}"/>
    <cellStyle name="Normal 11 3 6 3" xfId="3371" xr:uid="{00000000-0005-0000-0000-0000B5700000}"/>
    <cellStyle name="Normal 11 3 6 3 2" xfId="5310" xr:uid="{00000000-0005-0000-0000-0000B6700000}"/>
    <cellStyle name="Normal 11 3 6 3 2 2" xfId="9181" xr:uid="{00000000-0005-0000-0000-0000B7700000}"/>
    <cellStyle name="Normal 11 3 6 3 2 2 2" xfId="16926" xr:uid="{00000000-0005-0000-0000-0000B8700000}"/>
    <cellStyle name="Normal 11 3 6 3 2 2 2 2" xfId="32518" xr:uid="{00000000-0005-0000-0000-0000B9700000}"/>
    <cellStyle name="Normal 11 3 6 3 2 2 2 3" xfId="48010" xr:uid="{00000000-0005-0000-0000-0000BA700000}"/>
    <cellStyle name="Normal 11 3 6 3 2 2 3" xfId="24778" xr:uid="{00000000-0005-0000-0000-0000BB700000}"/>
    <cellStyle name="Normal 11 3 6 3 2 2 4" xfId="40270" xr:uid="{00000000-0005-0000-0000-0000BC700000}"/>
    <cellStyle name="Normal 11 3 6 3 2 3" xfId="13056" xr:uid="{00000000-0005-0000-0000-0000BD700000}"/>
    <cellStyle name="Normal 11 3 6 3 2 3 2" xfId="28648" xr:uid="{00000000-0005-0000-0000-0000BE700000}"/>
    <cellStyle name="Normal 11 3 6 3 2 3 3" xfId="44140" xr:uid="{00000000-0005-0000-0000-0000BF700000}"/>
    <cellStyle name="Normal 11 3 6 3 2 4" xfId="20908" xr:uid="{00000000-0005-0000-0000-0000C0700000}"/>
    <cellStyle name="Normal 11 3 6 3 2 5" xfId="36400" xr:uid="{00000000-0005-0000-0000-0000C1700000}"/>
    <cellStyle name="Normal 11 3 6 3 3" xfId="7254" xr:uid="{00000000-0005-0000-0000-0000C2700000}"/>
    <cellStyle name="Normal 11 3 6 3 3 2" xfId="14999" xr:uid="{00000000-0005-0000-0000-0000C3700000}"/>
    <cellStyle name="Normal 11 3 6 3 3 2 2" xfId="30591" xr:uid="{00000000-0005-0000-0000-0000C4700000}"/>
    <cellStyle name="Normal 11 3 6 3 3 2 3" xfId="46083" xr:uid="{00000000-0005-0000-0000-0000C5700000}"/>
    <cellStyle name="Normal 11 3 6 3 3 3" xfId="22851" xr:uid="{00000000-0005-0000-0000-0000C6700000}"/>
    <cellStyle name="Normal 11 3 6 3 3 4" xfId="38343" xr:uid="{00000000-0005-0000-0000-0000C7700000}"/>
    <cellStyle name="Normal 11 3 6 3 4" xfId="11129" xr:uid="{00000000-0005-0000-0000-0000C8700000}"/>
    <cellStyle name="Normal 11 3 6 3 4 2" xfId="26721" xr:uid="{00000000-0005-0000-0000-0000C9700000}"/>
    <cellStyle name="Normal 11 3 6 3 4 3" xfId="42213" xr:uid="{00000000-0005-0000-0000-0000CA700000}"/>
    <cellStyle name="Normal 11 3 6 3 5" xfId="18981" xr:uid="{00000000-0005-0000-0000-0000CB700000}"/>
    <cellStyle name="Normal 11 3 6 3 6" xfId="34473" xr:uid="{00000000-0005-0000-0000-0000CC700000}"/>
    <cellStyle name="Normal 11 3 6 4" xfId="4362" xr:uid="{00000000-0005-0000-0000-0000CD700000}"/>
    <cellStyle name="Normal 11 3 6 4 2" xfId="8233" xr:uid="{00000000-0005-0000-0000-0000CE700000}"/>
    <cellStyle name="Normal 11 3 6 4 2 2" xfId="15978" xr:uid="{00000000-0005-0000-0000-0000CF700000}"/>
    <cellStyle name="Normal 11 3 6 4 2 2 2" xfId="31570" xr:uid="{00000000-0005-0000-0000-0000D0700000}"/>
    <cellStyle name="Normal 11 3 6 4 2 2 3" xfId="47062" xr:uid="{00000000-0005-0000-0000-0000D1700000}"/>
    <cellStyle name="Normal 11 3 6 4 2 3" xfId="23830" xr:uid="{00000000-0005-0000-0000-0000D2700000}"/>
    <cellStyle name="Normal 11 3 6 4 2 4" xfId="39322" xr:uid="{00000000-0005-0000-0000-0000D3700000}"/>
    <cellStyle name="Normal 11 3 6 4 3" xfId="12108" xr:uid="{00000000-0005-0000-0000-0000D4700000}"/>
    <cellStyle name="Normal 11 3 6 4 3 2" xfId="27700" xr:uid="{00000000-0005-0000-0000-0000D5700000}"/>
    <cellStyle name="Normal 11 3 6 4 3 3" xfId="43192" xr:uid="{00000000-0005-0000-0000-0000D6700000}"/>
    <cellStyle name="Normal 11 3 6 4 4" xfId="19960" xr:uid="{00000000-0005-0000-0000-0000D7700000}"/>
    <cellStyle name="Normal 11 3 6 4 5" xfId="35452" xr:uid="{00000000-0005-0000-0000-0000D8700000}"/>
    <cellStyle name="Normal 11 3 6 5" xfId="6306" xr:uid="{00000000-0005-0000-0000-0000D9700000}"/>
    <cellStyle name="Normal 11 3 6 5 2" xfId="14051" xr:uid="{00000000-0005-0000-0000-0000DA700000}"/>
    <cellStyle name="Normal 11 3 6 5 2 2" xfId="29643" xr:uid="{00000000-0005-0000-0000-0000DB700000}"/>
    <cellStyle name="Normal 11 3 6 5 2 3" xfId="45135" xr:uid="{00000000-0005-0000-0000-0000DC700000}"/>
    <cellStyle name="Normal 11 3 6 5 3" xfId="21903" xr:uid="{00000000-0005-0000-0000-0000DD700000}"/>
    <cellStyle name="Normal 11 3 6 5 4" xfId="37395" xr:uid="{00000000-0005-0000-0000-0000DE700000}"/>
    <cellStyle name="Normal 11 3 6 6" xfId="10181" xr:uid="{00000000-0005-0000-0000-0000DF700000}"/>
    <cellStyle name="Normal 11 3 6 6 2" xfId="25773" xr:uid="{00000000-0005-0000-0000-0000E0700000}"/>
    <cellStyle name="Normal 11 3 6 6 3" xfId="41265" xr:uid="{00000000-0005-0000-0000-0000E1700000}"/>
    <cellStyle name="Normal 11 3 6 7" xfId="18033" xr:uid="{00000000-0005-0000-0000-0000E2700000}"/>
    <cellStyle name="Normal 11 3 6 8" xfId="33525" xr:uid="{00000000-0005-0000-0000-0000E3700000}"/>
    <cellStyle name="Normal 11 3 7" xfId="2396" xr:uid="{00000000-0005-0000-0000-0000E4700000}"/>
    <cellStyle name="Normal 11 3 7 2" xfId="2708" xr:uid="{00000000-0005-0000-0000-0000E5700000}"/>
    <cellStyle name="Normal 11 3 7 2 2" xfId="3716" xr:uid="{00000000-0005-0000-0000-0000E6700000}"/>
    <cellStyle name="Normal 11 3 7 2 2 2" xfId="5655" xr:uid="{00000000-0005-0000-0000-0000E7700000}"/>
    <cellStyle name="Normal 11 3 7 2 2 2 2" xfId="9526" xr:uid="{00000000-0005-0000-0000-0000E8700000}"/>
    <cellStyle name="Normal 11 3 7 2 2 2 2 2" xfId="17271" xr:uid="{00000000-0005-0000-0000-0000E9700000}"/>
    <cellStyle name="Normal 11 3 7 2 2 2 2 2 2" xfId="32863" xr:uid="{00000000-0005-0000-0000-0000EA700000}"/>
    <cellStyle name="Normal 11 3 7 2 2 2 2 2 3" xfId="48355" xr:uid="{00000000-0005-0000-0000-0000EB700000}"/>
    <cellStyle name="Normal 11 3 7 2 2 2 2 3" xfId="25123" xr:uid="{00000000-0005-0000-0000-0000EC700000}"/>
    <cellStyle name="Normal 11 3 7 2 2 2 2 4" xfId="40615" xr:uid="{00000000-0005-0000-0000-0000ED700000}"/>
    <cellStyle name="Normal 11 3 7 2 2 2 3" xfId="13401" xr:uid="{00000000-0005-0000-0000-0000EE700000}"/>
    <cellStyle name="Normal 11 3 7 2 2 2 3 2" xfId="28993" xr:uid="{00000000-0005-0000-0000-0000EF700000}"/>
    <cellStyle name="Normal 11 3 7 2 2 2 3 3" xfId="44485" xr:uid="{00000000-0005-0000-0000-0000F0700000}"/>
    <cellStyle name="Normal 11 3 7 2 2 2 4" xfId="21253" xr:uid="{00000000-0005-0000-0000-0000F1700000}"/>
    <cellStyle name="Normal 11 3 7 2 2 2 5" xfId="36745" xr:uid="{00000000-0005-0000-0000-0000F2700000}"/>
    <cellStyle name="Normal 11 3 7 2 2 3" xfId="7599" xr:uid="{00000000-0005-0000-0000-0000F3700000}"/>
    <cellStyle name="Normal 11 3 7 2 2 3 2" xfId="15344" xr:uid="{00000000-0005-0000-0000-0000F4700000}"/>
    <cellStyle name="Normal 11 3 7 2 2 3 2 2" xfId="30936" xr:uid="{00000000-0005-0000-0000-0000F5700000}"/>
    <cellStyle name="Normal 11 3 7 2 2 3 2 3" xfId="46428" xr:uid="{00000000-0005-0000-0000-0000F6700000}"/>
    <cellStyle name="Normal 11 3 7 2 2 3 3" xfId="23196" xr:uid="{00000000-0005-0000-0000-0000F7700000}"/>
    <cellStyle name="Normal 11 3 7 2 2 3 4" xfId="38688" xr:uid="{00000000-0005-0000-0000-0000F8700000}"/>
    <cellStyle name="Normal 11 3 7 2 2 4" xfId="11474" xr:uid="{00000000-0005-0000-0000-0000F9700000}"/>
    <cellStyle name="Normal 11 3 7 2 2 4 2" xfId="27066" xr:uid="{00000000-0005-0000-0000-0000FA700000}"/>
    <cellStyle name="Normal 11 3 7 2 2 4 3" xfId="42558" xr:uid="{00000000-0005-0000-0000-0000FB700000}"/>
    <cellStyle name="Normal 11 3 7 2 2 5" xfId="19326" xr:uid="{00000000-0005-0000-0000-0000FC700000}"/>
    <cellStyle name="Normal 11 3 7 2 2 6" xfId="34818" xr:uid="{00000000-0005-0000-0000-0000FD700000}"/>
    <cellStyle name="Normal 11 3 7 2 3" xfId="4707" xr:uid="{00000000-0005-0000-0000-0000FE700000}"/>
    <cellStyle name="Normal 11 3 7 2 3 2" xfId="8578" xr:uid="{00000000-0005-0000-0000-0000FF700000}"/>
    <cellStyle name="Normal 11 3 7 2 3 2 2" xfId="16323" xr:uid="{00000000-0005-0000-0000-000000710000}"/>
    <cellStyle name="Normal 11 3 7 2 3 2 2 2" xfId="31915" xr:uid="{00000000-0005-0000-0000-000001710000}"/>
    <cellStyle name="Normal 11 3 7 2 3 2 2 3" xfId="47407" xr:uid="{00000000-0005-0000-0000-000002710000}"/>
    <cellStyle name="Normal 11 3 7 2 3 2 3" xfId="24175" xr:uid="{00000000-0005-0000-0000-000003710000}"/>
    <cellStyle name="Normal 11 3 7 2 3 2 4" xfId="39667" xr:uid="{00000000-0005-0000-0000-000004710000}"/>
    <cellStyle name="Normal 11 3 7 2 3 3" xfId="12453" xr:uid="{00000000-0005-0000-0000-000005710000}"/>
    <cellStyle name="Normal 11 3 7 2 3 3 2" xfId="28045" xr:uid="{00000000-0005-0000-0000-000006710000}"/>
    <cellStyle name="Normal 11 3 7 2 3 3 3" xfId="43537" xr:uid="{00000000-0005-0000-0000-000007710000}"/>
    <cellStyle name="Normal 11 3 7 2 3 4" xfId="20305" xr:uid="{00000000-0005-0000-0000-000008710000}"/>
    <cellStyle name="Normal 11 3 7 2 3 5" xfId="35797" xr:uid="{00000000-0005-0000-0000-000009710000}"/>
    <cellStyle name="Normal 11 3 7 2 4" xfId="6651" xr:uid="{00000000-0005-0000-0000-00000A710000}"/>
    <cellStyle name="Normal 11 3 7 2 4 2" xfId="14396" xr:uid="{00000000-0005-0000-0000-00000B710000}"/>
    <cellStyle name="Normal 11 3 7 2 4 2 2" xfId="29988" xr:uid="{00000000-0005-0000-0000-00000C710000}"/>
    <cellStyle name="Normal 11 3 7 2 4 2 3" xfId="45480" xr:uid="{00000000-0005-0000-0000-00000D710000}"/>
    <cellStyle name="Normal 11 3 7 2 4 3" xfId="22248" xr:uid="{00000000-0005-0000-0000-00000E710000}"/>
    <cellStyle name="Normal 11 3 7 2 4 4" xfId="37740" xr:uid="{00000000-0005-0000-0000-00000F710000}"/>
    <cellStyle name="Normal 11 3 7 2 5" xfId="10526" xr:uid="{00000000-0005-0000-0000-000010710000}"/>
    <cellStyle name="Normal 11 3 7 2 5 2" xfId="26118" xr:uid="{00000000-0005-0000-0000-000011710000}"/>
    <cellStyle name="Normal 11 3 7 2 5 3" xfId="41610" xr:uid="{00000000-0005-0000-0000-000012710000}"/>
    <cellStyle name="Normal 11 3 7 2 6" xfId="18378" xr:uid="{00000000-0005-0000-0000-000013710000}"/>
    <cellStyle name="Normal 11 3 7 2 7" xfId="33870" xr:uid="{00000000-0005-0000-0000-000014710000}"/>
    <cellStyle name="Normal 11 3 7 3" xfId="3407" xr:uid="{00000000-0005-0000-0000-000015710000}"/>
    <cellStyle name="Normal 11 3 7 3 2" xfId="5346" xr:uid="{00000000-0005-0000-0000-000016710000}"/>
    <cellStyle name="Normal 11 3 7 3 2 2" xfId="9217" xr:uid="{00000000-0005-0000-0000-000017710000}"/>
    <cellStyle name="Normal 11 3 7 3 2 2 2" xfId="16962" xr:uid="{00000000-0005-0000-0000-000018710000}"/>
    <cellStyle name="Normal 11 3 7 3 2 2 2 2" xfId="32554" xr:uid="{00000000-0005-0000-0000-000019710000}"/>
    <cellStyle name="Normal 11 3 7 3 2 2 2 3" xfId="48046" xr:uid="{00000000-0005-0000-0000-00001A710000}"/>
    <cellStyle name="Normal 11 3 7 3 2 2 3" xfId="24814" xr:uid="{00000000-0005-0000-0000-00001B710000}"/>
    <cellStyle name="Normal 11 3 7 3 2 2 4" xfId="40306" xr:uid="{00000000-0005-0000-0000-00001C710000}"/>
    <cellStyle name="Normal 11 3 7 3 2 3" xfId="13092" xr:uid="{00000000-0005-0000-0000-00001D710000}"/>
    <cellStyle name="Normal 11 3 7 3 2 3 2" xfId="28684" xr:uid="{00000000-0005-0000-0000-00001E710000}"/>
    <cellStyle name="Normal 11 3 7 3 2 3 3" xfId="44176" xr:uid="{00000000-0005-0000-0000-00001F710000}"/>
    <cellStyle name="Normal 11 3 7 3 2 4" xfId="20944" xr:uid="{00000000-0005-0000-0000-000020710000}"/>
    <cellStyle name="Normal 11 3 7 3 2 5" xfId="36436" xr:uid="{00000000-0005-0000-0000-000021710000}"/>
    <cellStyle name="Normal 11 3 7 3 3" xfId="7290" xr:uid="{00000000-0005-0000-0000-000022710000}"/>
    <cellStyle name="Normal 11 3 7 3 3 2" xfId="15035" xr:uid="{00000000-0005-0000-0000-000023710000}"/>
    <cellStyle name="Normal 11 3 7 3 3 2 2" xfId="30627" xr:uid="{00000000-0005-0000-0000-000024710000}"/>
    <cellStyle name="Normal 11 3 7 3 3 2 3" xfId="46119" xr:uid="{00000000-0005-0000-0000-000025710000}"/>
    <cellStyle name="Normal 11 3 7 3 3 3" xfId="22887" xr:uid="{00000000-0005-0000-0000-000026710000}"/>
    <cellStyle name="Normal 11 3 7 3 3 4" xfId="38379" xr:uid="{00000000-0005-0000-0000-000027710000}"/>
    <cellStyle name="Normal 11 3 7 3 4" xfId="11165" xr:uid="{00000000-0005-0000-0000-000028710000}"/>
    <cellStyle name="Normal 11 3 7 3 4 2" xfId="26757" xr:uid="{00000000-0005-0000-0000-000029710000}"/>
    <cellStyle name="Normal 11 3 7 3 4 3" xfId="42249" xr:uid="{00000000-0005-0000-0000-00002A710000}"/>
    <cellStyle name="Normal 11 3 7 3 5" xfId="19017" xr:uid="{00000000-0005-0000-0000-00002B710000}"/>
    <cellStyle name="Normal 11 3 7 3 6" xfId="34509" xr:uid="{00000000-0005-0000-0000-00002C710000}"/>
    <cellStyle name="Normal 11 3 7 4" xfId="4398" xr:uid="{00000000-0005-0000-0000-00002D710000}"/>
    <cellStyle name="Normal 11 3 7 4 2" xfId="8269" xr:uid="{00000000-0005-0000-0000-00002E710000}"/>
    <cellStyle name="Normal 11 3 7 4 2 2" xfId="16014" xr:uid="{00000000-0005-0000-0000-00002F710000}"/>
    <cellStyle name="Normal 11 3 7 4 2 2 2" xfId="31606" xr:uid="{00000000-0005-0000-0000-000030710000}"/>
    <cellStyle name="Normal 11 3 7 4 2 2 3" xfId="47098" xr:uid="{00000000-0005-0000-0000-000031710000}"/>
    <cellStyle name="Normal 11 3 7 4 2 3" xfId="23866" xr:uid="{00000000-0005-0000-0000-000032710000}"/>
    <cellStyle name="Normal 11 3 7 4 2 4" xfId="39358" xr:uid="{00000000-0005-0000-0000-000033710000}"/>
    <cellStyle name="Normal 11 3 7 4 3" xfId="12144" xr:uid="{00000000-0005-0000-0000-000034710000}"/>
    <cellStyle name="Normal 11 3 7 4 3 2" xfId="27736" xr:uid="{00000000-0005-0000-0000-000035710000}"/>
    <cellStyle name="Normal 11 3 7 4 3 3" xfId="43228" xr:uid="{00000000-0005-0000-0000-000036710000}"/>
    <cellStyle name="Normal 11 3 7 4 4" xfId="19996" xr:uid="{00000000-0005-0000-0000-000037710000}"/>
    <cellStyle name="Normal 11 3 7 4 5" xfId="35488" xr:uid="{00000000-0005-0000-0000-000038710000}"/>
    <cellStyle name="Normal 11 3 7 5" xfId="6342" xr:uid="{00000000-0005-0000-0000-000039710000}"/>
    <cellStyle name="Normal 11 3 7 5 2" xfId="14087" xr:uid="{00000000-0005-0000-0000-00003A710000}"/>
    <cellStyle name="Normal 11 3 7 5 2 2" xfId="29679" xr:uid="{00000000-0005-0000-0000-00003B710000}"/>
    <cellStyle name="Normal 11 3 7 5 2 3" xfId="45171" xr:uid="{00000000-0005-0000-0000-00003C710000}"/>
    <cellStyle name="Normal 11 3 7 5 3" xfId="21939" xr:uid="{00000000-0005-0000-0000-00003D710000}"/>
    <cellStyle name="Normal 11 3 7 5 4" xfId="37431" xr:uid="{00000000-0005-0000-0000-00003E710000}"/>
    <cellStyle name="Normal 11 3 7 6" xfId="10217" xr:uid="{00000000-0005-0000-0000-00003F710000}"/>
    <cellStyle name="Normal 11 3 7 6 2" xfId="25809" xr:uid="{00000000-0005-0000-0000-000040710000}"/>
    <cellStyle name="Normal 11 3 7 6 3" xfId="41301" xr:uid="{00000000-0005-0000-0000-000041710000}"/>
    <cellStyle name="Normal 11 3 7 7" xfId="18069" xr:uid="{00000000-0005-0000-0000-000042710000}"/>
    <cellStyle name="Normal 11 3 7 8" xfId="33561" xr:uid="{00000000-0005-0000-0000-000043710000}"/>
    <cellStyle name="Normal 11 3 8" xfId="2434" xr:uid="{00000000-0005-0000-0000-000044710000}"/>
    <cellStyle name="Normal 11 3 8 2" xfId="2744" xr:uid="{00000000-0005-0000-0000-000045710000}"/>
    <cellStyle name="Normal 11 3 8 2 2" xfId="3752" xr:uid="{00000000-0005-0000-0000-000046710000}"/>
    <cellStyle name="Normal 11 3 8 2 2 2" xfId="5691" xr:uid="{00000000-0005-0000-0000-000047710000}"/>
    <cellStyle name="Normal 11 3 8 2 2 2 2" xfId="9562" xr:uid="{00000000-0005-0000-0000-000048710000}"/>
    <cellStyle name="Normal 11 3 8 2 2 2 2 2" xfId="17307" xr:uid="{00000000-0005-0000-0000-000049710000}"/>
    <cellStyle name="Normal 11 3 8 2 2 2 2 2 2" xfId="32899" xr:uid="{00000000-0005-0000-0000-00004A710000}"/>
    <cellStyle name="Normal 11 3 8 2 2 2 2 2 3" xfId="48391" xr:uid="{00000000-0005-0000-0000-00004B710000}"/>
    <cellStyle name="Normal 11 3 8 2 2 2 2 3" xfId="25159" xr:uid="{00000000-0005-0000-0000-00004C710000}"/>
    <cellStyle name="Normal 11 3 8 2 2 2 2 4" xfId="40651" xr:uid="{00000000-0005-0000-0000-00004D710000}"/>
    <cellStyle name="Normal 11 3 8 2 2 2 3" xfId="13437" xr:uid="{00000000-0005-0000-0000-00004E710000}"/>
    <cellStyle name="Normal 11 3 8 2 2 2 3 2" xfId="29029" xr:uid="{00000000-0005-0000-0000-00004F710000}"/>
    <cellStyle name="Normal 11 3 8 2 2 2 3 3" xfId="44521" xr:uid="{00000000-0005-0000-0000-000050710000}"/>
    <cellStyle name="Normal 11 3 8 2 2 2 4" xfId="21289" xr:uid="{00000000-0005-0000-0000-000051710000}"/>
    <cellStyle name="Normal 11 3 8 2 2 2 5" xfId="36781" xr:uid="{00000000-0005-0000-0000-000052710000}"/>
    <cellStyle name="Normal 11 3 8 2 2 3" xfId="7635" xr:uid="{00000000-0005-0000-0000-000053710000}"/>
    <cellStyle name="Normal 11 3 8 2 2 3 2" xfId="15380" xr:uid="{00000000-0005-0000-0000-000054710000}"/>
    <cellStyle name="Normal 11 3 8 2 2 3 2 2" xfId="30972" xr:uid="{00000000-0005-0000-0000-000055710000}"/>
    <cellStyle name="Normal 11 3 8 2 2 3 2 3" xfId="46464" xr:uid="{00000000-0005-0000-0000-000056710000}"/>
    <cellStyle name="Normal 11 3 8 2 2 3 3" xfId="23232" xr:uid="{00000000-0005-0000-0000-000057710000}"/>
    <cellStyle name="Normal 11 3 8 2 2 3 4" xfId="38724" xr:uid="{00000000-0005-0000-0000-000058710000}"/>
    <cellStyle name="Normal 11 3 8 2 2 4" xfId="11510" xr:uid="{00000000-0005-0000-0000-000059710000}"/>
    <cellStyle name="Normal 11 3 8 2 2 4 2" xfId="27102" xr:uid="{00000000-0005-0000-0000-00005A710000}"/>
    <cellStyle name="Normal 11 3 8 2 2 4 3" xfId="42594" xr:uid="{00000000-0005-0000-0000-00005B710000}"/>
    <cellStyle name="Normal 11 3 8 2 2 5" xfId="19362" xr:uid="{00000000-0005-0000-0000-00005C710000}"/>
    <cellStyle name="Normal 11 3 8 2 2 6" xfId="34854" xr:uid="{00000000-0005-0000-0000-00005D710000}"/>
    <cellStyle name="Normal 11 3 8 2 3" xfId="4743" xr:uid="{00000000-0005-0000-0000-00005E710000}"/>
    <cellStyle name="Normal 11 3 8 2 3 2" xfId="8614" xr:uid="{00000000-0005-0000-0000-00005F710000}"/>
    <cellStyle name="Normal 11 3 8 2 3 2 2" xfId="16359" xr:uid="{00000000-0005-0000-0000-000060710000}"/>
    <cellStyle name="Normal 11 3 8 2 3 2 2 2" xfId="31951" xr:uid="{00000000-0005-0000-0000-000061710000}"/>
    <cellStyle name="Normal 11 3 8 2 3 2 2 3" xfId="47443" xr:uid="{00000000-0005-0000-0000-000062710000}"/>
    <cellStyle name="Normal 11 3 8 2 3 2 3" xfId="24211" xr:uid="{00000000-0005-0000-0000-000063710000}"/>
    <cellStyle name="Normal 11 3 8 2 3 2 4" xfId="39703" xr:uid="{00000000-0005-0000-0000-000064710000}"/>
    <cellStyle name="Normal 11 3 8 2 3 3" xfId="12489" xr:uid="{00000000-0005-0000-0000-000065710000}"/>
    <cellStyle name="Normal 11 3 8 2 3 3 2" xfId="28081" xr:uid="{00000000-0005-0000-0000-000066710000}"/>
    <cellStyle name="Normal 11 3 8 2 3 3 3" xfId="43573" xr:uid="{00000000-0005-0000-0000-000067710000}"/>
    <cellStyle name="Normal 11 3 8 2 3 4" xfId="20341" xr:uid="{00000000-0005-0000-0000-000068710000}"/>
    <cellStyle name="Normal 11 3 8 2 3 5" xfId="35833" xr:uid="{00000000-0005-0000-0000-000069710000}"/>
    <cellStyle name="Normal 11 3 8 2 4" xfId="6687" xr:uid="{00000000-0005-0000-0000-00006A710000}"/>
    <cellStyle name="Normal 11 3 8 2 4 2" xfId="14432" xr:uid="{00000000-0005-0000-0000-00006B710000}"/>
    <cellStyle name="Normal 11 3 8 2 4 2 2" xfId="30024" xr:uid="{00000000-0005-0000-0000-00006C710000}"/>
    <cellStyle name="Normal 11 3 8 2 4 2 3" xfId="45516" xr:uid="{00000000-0005-0000-0000-00006D710000}"/>
    <cellStyle name="Normal 11 3 8 2 4 3" xfId="22284" xr:uid="{00000000-0005-0000-0000-00006E710000}"/>
    <cellStyle name="Normal 11 3 8 2 4 4" xfId="37776" xr:uid="{00000000-0005-0000-0000-00006F710000}"/>
    <cellStyle name="Normal 11 3 8 2 5" xfId="10562" xr:uid="{00000000-0005-0000-0000-000070710000}"/>
    <cellStyle name="Normal 11 3 8 2 5 2" xfId="26154" xr:uid="{00000000-0005-0000-0000-000071710000}"/>
    <cellStyle name="Normal 11 3 8 2 5 3" xfId="41646" xr:uid="{00000000-0005-0000-0000-000072710000}"/>
    <cellStyle name="Normal 11 3 8 2 6" xfId="18414" xr:uid="{00000000-0005-0000-0000-000073710000}"/>
    <cellStyle name="Normal 11 3 8 2 7" xfId="33906" xr:uid="{00000000-0005-0000-0000-000074710000}"/>
    <cellStyle name="Normal 11 3 8 3" xfId="3443" xr:uid="{00000000-0005-0000-0000-000075710000}"/>
    <cellStyle name="Normal 11 3 8 3 2" xfId="5382" xr:uid="{00000000-0005-0000-0000-000076710000}"/>
    <cellStyle name="Normal 11 3 8 3 2 2" xfId="9253" xr:uid="{00000000-0005-0000-0000-000077710000}"/>
    <cellStyle name="Normal 11 3 8 3 2 2 2" xfId="16998" xr:uid="{00000000-0005-0000-0000-000078710000}"/>
    <cellStyle name="Normal 11 3 8 3 2 2 2 2" xfId="32590" xr:uid="{00000000-0005-0000-0000-000079710000}"/>
    <cellStyle name="Normal 11 3 8 3 2 2 2 3" xfId="48082" xr:uid="{00000000-0005-0000-0000-00007A710000}"/>
    <cellStyle name="Normal 11 3 8 3 2 2 3" xfId="24850" xr:uid="{00000000-0005-0000-0000-00007B710000}"/>
    <cellStyle name="Normal 11 3 8 3 2 2 4" xfId="40342" xr:uid="{00000000-0005-0000-0000-00007C710000}"/>
    <cellStyle name="Normal 11 3 8 3 2 3" xfId="13128" xr:uid="{00000000-0005-0000-0000-00007D710000}"/>
    <cellStyle name="Normal 11 3 8 3 2 3 2" xfId="28720" xr:uid="{00000000-0005-0000-0000-00007E710000}"/>
    <cellStyle name="Normal 11 3 8 3 2 3 3" xfId="44212" xr:uid="{00000000-0005-0000-0000-00007F710000}"/>
    <cellStyle name="Normal 11 3 8 3 2 4" xfId="20980" xr:uid="{00000000-0005-0000-0000-000080710000}"/>
    <cellStyle name="Normal 11 3 8 3 2 5" xfId="36472" xr:uid="{00000000-0005-0000-0000-000081710000}"/>
    <cellStyle name="Normal 11 3 8 3 3" xfId="7326" xr:uid="{00000000-0005-0000-0000-000082710000}"/>
    <cellStyle name="Normal 11 3 8 3 3 2" xfId="15071" xr:uid="{00000000-0005-0000-0000-000083710000}"/>
    <cellStyle name="Normal 11 3 8 3 3 2 2" xfId="30663" xr:uid="{00000000-0005-0000-0000-000084710000}"/>
    <cellStyle name="Normal 11 3 8 3 3 2 3" xfId="46155" xr:uid="{00000000-0005-0000-0000-000085710000}"/>
    <cellStyle name="Normal 11 3 8 3 3 3" xfId="22923" xr:uid="{00000000-0005-0000-0000-000086710000}"/>
    <cellStyle name="Normal 11 3 8 3 3 4" xfId="38415" xr:uid="{00000000-0005-0000-0000-000087710000}"/>
    <cellStyle name="Normal 11 3 8 3 4" xfId="11201" xr:uid="{00000000-0005-0000-0000-000088710000}"/>
    <cellStyle name="Normal 11 3 8 3 4 2" xfId="26793" xr:uid="{00000000-0005-0000-0000-000089710000}"/>
    <cellStyle name="Normal 11 3 8 3 4 3" xfId="42285" xr:uid="{00000000-0005-0000-0000-00008A710000}"/>
    <cellStyle name="Normal 11 3 8 3 5" xfId="19053" xr:uid="{00000000-0005-0000-0000-00008B710000}"/>
    <cellStyle name="Normal 11 3 8 3 6" xfId="34545" xr:uid="{00000000-0005-0000-0000-00008C710000}"/>
    <cellStyle name="Normal 11 3 8 4" xfId="4434" xr:uid="{00000000-0005-0000-0000-00008D710000}"/>
    <cellStyle name="Normal 11 3 8 4 2" xfId="8305" xr:uid="{00000000-0005-0000-0000-00008E710000}"/>
    <cellStyle name="Normal 11 3 8 4 2 2" xfId="16050" xr:uid="{00000000-0005-0000-0000-00008F710000}"/>
    <cellStyle name="Normal 11 3 8 4 2 2 2" xfId="31642" xr:uid="{00000000-0005-0000-0000-000090710000}"/>
    <cellStyle name="Normal 11 3 8 4 2 2 3" xfId="47134" xr:uid="{00000000-0005-0000-0000-000091710000}"/>
    <cellStyle name="Normal 11 3 8 4 2 3" xfId="23902" xr:uid="{00000000-0005-0000-0000-000092710000}"/>
    <cellStyle name="Normal 11 3 8 4 2 4" xfId="39394" xr:uid="{00000000-0005-0000-0000-000093710000}"/>
    <cellStyle name="Normal 11 3 8 4 3" xfId="12180" xr:uid="{00000000-0005-0000-0000-000094710000}"/>
    <cellStyle name="Normal 11 3 8 4 3 2" xfId="27772" xr:uid="{00000000-0005-0000-0000-000095710000}"/>
    <cellStyle name="Normal 11 3 8 4 3 3" xfId="43264" xr:uid="{00000000-0005-0000-0000-000096710000}"/>
    <cellStyle name="Normal 11 3 8 4 4" xfId="20032" xr:uid="{00000000-0005-0000-0000-000097710000}"/>
    <cellStyle name="Normal 11 3 8 4 5" xfId="35524" xr:uid="{00000000-0005-0000-0000-000098710000}"/>
    <cellStyle name="Normal 11 3 8 5" xfId="6378" xr:uid="{00000000-0005-0000-0000-000099710000}"/>
    <cellStyle name="Normal 11 3 8 5 2" xfId="14123" xr:uid="{00000000-0005-0000-0000-00009A710000}"/>
    <cellStyle name="Normal 11 3 8 5 2 2" xfId="29715" xr:uid="{00000000-0005-0000-0000-00009B710000}"/>
    <cellStyle name="Normal 11 3 8 5 2 3" xfId="45207" xr:uid="{00000000-0005-0000-0000-00009C710000}"/>
    <cellStyle name="Normal 11 3 8 5 3" xfId="21975" xr:uid="{00000000-0005-0000-0000-00009D710000}"/>
    <cellStyle name="Normal 11 3 8 5 4" xfId="37467" xr:uid="{00000000-0005-0000-0000-00009E710000}"/>
    <cellStyle name="Normal 11 3 8 6" xfId="10253" xr:uid="{00000000-0005-0000-0000-00009F710000}"/>
    <cellStyle name="Normal 11 3 8 6 2" xfId="25845" xr:uid="{00000000-0005-0000-0000-0000A0710000}"/>
    <cellStyle name="Normal 11 3 8 6 3" xfId="41337" xr:uid="{00000000-0005-0000-0000-0000A1710000}"/>
    <cellStyle name="Normal 11 3 8 7" xfId="18105" xr:uid="{00000000-0005-0000-0000-0000A2710000}"/>
    <cellStyle name="Normal 11 3 8 8" xfId="33597" xr:uid="{00000000-0005-0000-0000-0000A3710000}"/>
    <cellStyle name="Normal 11 3 9" xfId="2471" xr:uid="{00000000-0005-0000-0000-0000A4710000}"/>
    <cellStyle name="Normal 11 3 9 2" xfId="2780" xr:uid="{00000000-0005-0000-0000-0000A5710000}"/>
    <cellStyle name="Normal 11 3 9 2 2" xfId="3788" xr:uid="{00000000-0005-0000-0000-0000A6710000}"/>
    <cellStyle name="Normal 11 3 9 2 2 2" xfId="5727" xr:uid="{00000000-0005-0000-0000-0000A7710000}"/>
    <cellStyle name="Normal 11 3 9 2 2 2 2" xfId="9598" xr:uid="{00000000-0005-0000-0000-0000A8710000}"/>
    <cellStyle name="Normal 11 3 9 2 2 2 2 2" xfId="17343" xr:uid="{00000000-0005-0000-0000-0000A9710000}"/>
    <cellStyle name="Normal 11 3 9 2 2 2 2 2 2" xfId="32935" xr:uid="{00000000-0005-0000-0000-0000AA710000}"/>
    <cellStyle name="Normal 11 3 9 2 2 2 2 2 3" xfId="48427" xr:uid="{00000000-0005-0000-0000-0000AB710000}"/>
    <cellStyle name="Normal 11 3 9 2 2 2 2 3" xfId="25195" xr:uid="{00000000-0005-0000-0000-0000AC710000}"/>
    <cellStyle name="Normal 11 3 9 2 2 2 2 4" xfId="40687" xr:uid="{00000000-0005-0000-0000-0000AD710000}"/>
    <cellStyle name="Normal 11 3 9 2 2 2 3" xfId="13473" xr:uid="{00000000-0005-0000-0000-0000AE710000}"/>
    <cellStyle name="Normal 11 3 9 2 2 2 3 2" xfId="29065" xr:uid="{00000000-0005-0000-0000-0000AF710000}"/>
    <cellStyle name="Normal 11 3 9 2 2 2 3 3" xfId="44557" xr:uid="{00000000-0005-0000-0000-0000B0710000}"/>
    <cellStyle name="Normal 11 3 9 2 2 2 4" xfId="21325" xr:uid="{00000000-0005-0000-0000-0000B1710000}"/>
    <cellStyle name="Normal 11 3 9 2 2 2 5" xfId="36817" xr:uid="{00000000-0005-0000-0000-0000B2710000}"/>
    <cellStyle name="Normal 11 3 9 2 2 3" xfId="7671" xr:uid="{00000000-0005-0000-0000-0000B3710000}"/>
    <cellStyle name="Normal 11 3 9 2 2 3 2" xfId="15416" xr:uid="{00000000-0005-0000-0000-0000B4710000}"/>
    <cellStyle name="Normal 11 3 9 2 2 3 2 2" xfId="31008" xr:uid="{00000000-0005-0000-0000-0000B5710000}"/>
    <cellStyle name="Normal 11 3 9 2 2 3 2 3" xfId="46500" xr:uid="{00000000-0005-0000-0000-0000B6710000}"/>
    <cellStyle name="Normal 11 3 9 2 2 3 3" xfId="23268" xr:uid="{00000000-0005-0000-0000-0000B7710000}"/>
    <cellStyle name="Normal 11 3 9 2 2 3 4" xfId="38760" xr:uid="{00000000-0005-0000-0000-0000B8710000}"/>
    <cellStyle name="Normal 11 3 9 2 2 4" xfId="11546" xr:uid="{00000000-0005-0000-0000-0000B9710000}"/>
    <cellStyle name="Normal 11 3 9 2 2 4 2" xfId="27138" xr:uid="{00000000-0005-0000-0000-0000BA710000}"/>
    <cellStyle name="Normal 11 3 9 2 2 4 3" xfId="42630" xr:uid="{00000000-0005-0000-0000-0000BB710000}"/>
    <cellStyle name="Normal 11 3 9 2 2 5" xfId="19398" xr:uid="{00000000-0005-0000-0000-0000BC710000}"/>
    <cellStyle name="Normal 11 3 9 2 2 6" xfId="34890" xr:uid="{00000000-0005-0000-0000-0000BD710000}"/>
    <cellStyle name="Normal 11 3 9 2 3" xfId="4779" xr:uid="{00000000-0005-0000-0000-0000BE710000}"/>
    <cellStyle name="Normal 11 3 9 2 3 2" xfId="8650" xr:uid="{00000000-0005-0000-0000-0000BF710000}"/>
    <cellStyle name="Normal 11 3 9 2 3 2 2" xfId="16395" xr:uid="{00000000-0005-0000-0000-0000C0710000}"/>
    <cellStyle name="Normal 11 3 9 2 3 2 2 2" xfId="31987" xr:uid="{00000000-0005-0000-0000-0000C1710000}"/>
    <cellStyle name="Normal 11 3 9 2 3 2 2 3" xfId="47479" xr:uid="{00000000-0005-0000-0000-0000C2710000}"/>
    <cellStyle name="Normal 11 3 9 2 3 2 3" xfId="24247" xr:uid="{00000000-0005-0000-0000-0000C3710000}"/>
    <cellStyle name="Normal 11 3 9 2 3 2 4" xfId="39739" xr:uid="{00000000-0005-0000-0000-0000C4710000}"/>
    <cellStyle name="Normal 11 3 9 2 3 3" xfId="12525" xr:uid="{00000000-0005-0000-0000-0000C5710000}"/>
    <cellStyle name="Normal 11 3 9 2 3 3 2" xfId="28117" xr:uid="{00000000-0005-0000-0000-0000C6710000}"/>
    <cellStyle name="Normal 11 3 9 2 3 3 3" xfId="43609" xr:uid="{00000000-0005-0000-0000-0000C7710000}"/>
    <cellStyle name="Normal 11 3 9 2 3 4" xfId="20377" xr:uid="{00000000-0005-0000-0000-0000C8710000}"/>
    <cellStyle name="Normal 11 3 9 2 3 5" xfId="35869" xr:uid="{00000000-0005-0000-0000-0000C9710000}"/>
    <cellStyle name="Normal 11 3 9 2 4" xfId="6723" xr:uid="{00000000-0005-0000-0000-0000CA710000}"/>
    <cellStyle name="Normal 11 3 9 2 4 2" xfId="14468" xr:uid="{00000000-0005-0000-0000-0000CB710000}"/>
    <cellStyle name="Normal 11 3 9 2 4 2 2" xfId="30060" xr:uid="{00000000-0005-0000-0000-0000CC710000}"/>
    <cellStyle name="Normal 11 3 9 2 4 2 3" xfId="45552" xr:uid="{00000000-0005-0000-0000-0000CD710000}"/>
    <cellStyle name="Normal 11 3 9 2 4 3" xfId="22320" xr:uid="{00000000-0005-0000-0000-0000CE710000}"/>
    <cellStyle name="Normal 11 3 9 2 4 4" xfId="37812" xr:uid="{00000000-0005-0000-0000-0000CF710000}"/>
    <cellStyle name="Normal 11 3 9 2 5" xfId="10598" xr:uid="{00000000-0005-0000-0000-0000D0710000}"/>
    <cellStyle name="Normal 11 3 9 2 5 2" xfId="26190" xr:uid="{00000000-0005-0000-0000-0000D1710000}"/>
    <cellStyle name="Normal 11 3 9 2 5 3" xfId="41682" xr:uid="{00000000-0005-0000-0000-0000D2710000}"/>
    <cellStyle name="Normal 11 3 9 2 6" xfId="18450" xr:uid="{00000000-0005-0000-0000-0000D3710000}"/>
    <cellStyle name="Normal 11 3 9 2 7" xfId="33942" xr:uid="{00000000-0005-0000-0000-0000D4710000}"/>
    <cellStyle name="Normal 11 3 9 3" xfId="3479" xr:uid="{00000000-0005-0000-0000-0000D5710000}"/>
    <cellStyle name="Normal 11 3 9 3 2" xfId="5418" xr:uid="{00000000-0005-0000-0000-0000D6710000}"/>
    <cellStyle name="Normal 11 3 9 3 2 2" xfId="9289" xr:uid="{00000000-0005-0000-0000-0000D7710000}"/>
    <cellStyle name="Normal 11 3 9 3 2 2 2" xfId="17034" xr:uid="{00000000-0005-0000-0000-0000D8710000}"/>
    <cellStyle name="Normal 11 3 9 3 2 2 2 2" xfId="32626" xr:uid="{00000000-0005-0000-0000-0000D9710000}"/>
    <cellStyle name="Normal 11 3 9 3 2 2 2 3" xfId="48118" xr:uid="{00000000-0005-0000-0000-0000DA710000}"/>
    <cellStyle name="Normal 11 3 9 3 2 2 3" xfId="24886" xr:uid="{00000000-0005-0000-0000-0000DB710000}"/>
    <cellStyle name="Normal 11 3 9 3 2 2 4" xfId="40378" xr:uid="{00000000-0005-0000-0000-0000DC710000}"/>
    <cellStyle name="Normal 11 3 9 3 2 3" xfId="13164" xr:uid="{00000000-0005-0000-0000-0000DD710000}"/>
    <cellStyle name="Normal 11 3 9 3 2 3 2" xfId="28756" xr:uid="{00000000-0005-0000-0000-0000DE710000}"/>
    <cellStyle name="Normal 11 3 9 3 2 3 3" xfId="44248" xr:uid="{00000000-0005-0000-0000-0000DF710000}"/>
    <cellStyle name="Normal 11 3 9 3 2 4" xfId="21016" xr:uid="{00000000-0005-0000-0000-0000E0710000}"/>
    <cellStyle name="Normal 11 3 9 3 2 5" xfId="36508" xr:uid="{00000000-0005-0000-0000-0000E1710000}"/>
    <cellStyle name="Normal 11 3 9 3 3" xfId="7362" xr:uid="{00000000-0005-0000-0000-0000E2710000}"/>
    <cellStyle name="Normal 11 3 9 3 3 2" xfId="15107" xr:uid="{00000000-0005-0000-0000-0000E3710000}"/>
    <cellStyle name="Normal 11 3 9 3 3 2 2" xfId="30699" xr:uid="{00000000-0005-0000-0000-0000E4710000}"/>
    <cellStyle name="Normal 11 3 9 3 3 2 3" xfId="46191" xr:uid="{00000000-0005-0000-0000-0000E5710000}"/>
    <cellStyle name="Normal 11 3 9 3 3 3" xfId="22959" xr:uid="{00000000-0005-0000-0000-0000E6710000}"/>
    <cellStyle name="Normal 11 3 9 3 3 4" xfId="38451" xr:uid="{00000000-0005-0000-0000-0000E7710000}"/>
    <cellStyle name="Normal 11 3 9 3 4" xfId="11237" xr:uid="{00000000-0005-0000-0000-0000E8710000}"/>
    <cellStyle name="Normal 11 3 9 3 4 2" xfId="26829" xr:uid="{00000000-0005-0000-0000-0000E9710000}"/>
    <cellStyle name="Normal 11 3 9 3 4 3" xfId="42321" xr:uid="{00000000-0005-0000-0000-0000EA710000}"/>
    <cellStyle name="Normal 11 3 9 3 5" xfId="19089" xr:uid="{00000000-0005-0000-0000-0000EB710000}"/>
    <cellStyle name="Normal 11 3 9 3 6" xfId="34581" xr:uid="{00000000-0005-0000-0000-0000EC710000}"/>
    <cellStyle name="Normal 11 3 9 4" xfId="4470" xr:uid="{00000000-0005-0000-0000-0000ED710000}"/>
    <cellStyle name="Normal 11 3 9 4 2" xfId="8341" xr:uid="{00000000-0005-0000-0000-0000EE710000}"/>
    <cellStyle name="Normal 11 3 9 4 2 2" xfId="16086" xr:uid="{00000000-0005-0000-0000-0000EF710000}"/>
    <cellStyle name="Normal 11 3 9 4 2 2 2" xfId="31678" xr:uid="{00000000-0005-0000-0000-0000F0710000}"/>
    <cellStyle name="Normal 11 3 9 4 2 2 3" xfId="47170" xr:uid="{00000000-0005-0000-0000-0000F1710000}"/>
    <cellStyle name="Normal 11 3 9 4 2 3" xfId="23938" xr:uid="{00000000-0005-0000-0000-0000F2710000}"/>
    <cellStyle name="Normal 11 3 9 4 2 4" xfId="39430" xr:uid="{00000000-0005-0000-0000-0000F3710000}"/>
    <cellStyle name="Normal 11 3 9 4 3" xfId="12216" xr:uid="{00000000-0005-0000-0000-0000F4710000}"/>
    <cellStyle name="Normal 11 3 9 4 3 2" xfId="27808" xr:uid="{00000000-0005-0000-0000-0000F5710000}"/>
    <cellStyle name="Normal 11 3 9 4 3 3" xfId="43300" xr:uid="{00000000-0005-0000-0000-0000F6710000}"/>
    <cellStyle name="Normal 11 3 9 4 4" xfId="20068" xr:uid="{00000000-0005-0000-0000-0000F7710000}"/>
    <cellStyle name="Normal 11 3 9 4 5" xfId="35560" xr:uid="{00000000-0005-0000-0000-0000F8710000}"/>
    <cellStyle name="Normal 11 3 9 5" xfId="6414" xr:uid="{00000000-0005-0000-0000-0000F9710000}"/>
    <cellStyle name="Normal 11 3 9 5 2" xfId="14159" xr:uid="{00000000-0005-0000-0000-0000FA710000}"/>
    <cellStyle name="Normal 11 3 9 5 2 2" xfId="29751" xr:uid="{00000000-0005-0000-0000-0000FB710000}"/>
    <cellStyle name="Normal 11 3 9 5 2 3" xfId="45243" xr:uid="{00000000-0005-0000-0000-0000FC710000}"/>
    <cellStyle name="Normal 11 3 9 5 3" xfId="22011" xr:uid="{00000000-0005-0000-0000-0000FD710000}"/>
    <cellStyle name="Normal 11 3 9 5 4" xfId="37503" xr:uid="{00000000-0005-0000-0000-0000FE710000}"/>
    <cellStyle name="Normal 11 3 9 6" xfId="10289" xr:uid="{00000000-0005-0000-0000-0000FF710000}"/>
    <cellStyle name="Normal 11 3 9 6 2" xfId="25881" xr:uid="{00000000-0005-0000-0000-000000720000}"/>
    <cellStyle name="Normal 11 3 9 6 3" xfId="41373" xr:uid="{00000000-0005-0000-0000-000001720000}"/>
    <cellStyle name="Normal 11 3 9 7" xfId="18141" xr:uid="{00000000-0005-0000-0000-000002720000}"/>
    <cellStyle name="Normal 11 3 9 8" xfId="33633" xr:uid="{00000000-0005-0000-0000-000003720000}"/>
    <cellStyle name="Normal 11 4" xfId="1861" xr:uid="{00000000-0005-0000-0000-000004720000}"/>
    <cellStyle name="Normal 11 4 10" xfId="2488" xr:uid="{00000000-0005-0000-0000-000005720000}"/>
    <cellStyle name="Normal 11 4 10 2" xfId="3496" xr:uid="{00000000-0005-0000-0000-000006720000}"/>
    <cellStyle name="Normal 11 4 10 2 2" xfId="5435" xr:uid="{00000000-0005-0000-0000-000007720000}"/>
    <cellStyle name="Normal 11 4 10 2 2 2" xfId="9306" xr:uid="{00000000-0005-0000-0000-000008720000}"/>
    <cellStyle name="Normal 11 4 10 2 2 2 2" xfId="17051" xr:uid="{00000000-0005-0000-0000-000009720000}"/>
    <cellStyle name="Normal 11 4 10 2 2 2 2 2" xfId="32643" xr:uid="{00000000-0005-0000-0000-00000A720000}"/>
    <cellStyle name="Normal 11 4 10 2 2 2 2 3" xfId="48135" xr:uid="{00000000-0005-0000-0000-00000B720000}"/>
    <cellStyle name="Normal 11 4 10 2 2 2 3" xfId="24903" xr:uid="{00000000-0005-0000-0000-00000C720000}"/>
    <cellStyle name="Normal 11 4 10 2 2 2 4" xfId="40395" xr:uid="{00000000-0005-0000-0000-00000D720000}"/>
    <cellStyle name="Normal 11 4 10 2 2 3" xfId="13181" xr:uid="{00000000-0005-0000-0000-00000E720000}"/>
    <cellStyle name="Normal 11 4 10 2 2 3 2" xfId="28773" xr:uid="{00000000-0005-0000-0000-00000F720000}"/>
    <cellStyle name="Normal 11 4 10 2 2 3 3" xfId="44265" xr:uid="{00000000-0005-0000-0000-000010720000}"/>
    <cellStyle name="Normal 11 4 10 2 2 4" xfId="21033" xr:uid="{00000000-0005-0000-0000-000011720000}"/>
    <cellStyle name="Normal 11 4 10 2 2 5" xfId="36525" xr:uid="{00000000-0005-0000-0000-000012720000}"/>
    <cellStyle name="Normal 11 4 10 2 3" xfId="7379" xr:uid="{00000000-0005-0000-0000-000013720000}"/>
    <cellStyle name="Normal 11 4 10 2 3 2" xfId="15124" xr:uid="{00000000-0005-0000-0000-000014720000}"/>
    <cellStyle name="Normal 11 4 10 2 3 2 2" xfId="30716" xr:uid="{00000000-0005-0000-0000-000015720000}"/>
    <cellStyle name="Normal 11 4 10 2 3 2 3" xfId="46208" xr:uid="{00000000-0005-0000-0000-000016720000}"/>
    <cellStyle name="Normal 11 4 10 2 3 3" xfId="22976" xr:uid="{00000000-0005-0000-0000-000017720000}"/>
    <cellStyle name="Normal 11 4 10 2 3 4" xfId="38468" xr:uid="{00000000-0005-0000-0000-000018720000}"/>
    <cellStyle name="Normal 11 4 10 2 4" xfId="11254" xr:uid="{00000000-0005-0000-0000-000019720000}"/>
    <cellStyle name="Normal 11 4 10 2 4 2" xfId="26846" xr:uid="{00000000-0005-0000-0000-00001A720000}"/>
    <cellStyle name="Normal 11 4 10 2 4 3" xfId="42338" xr:uid="{00000000-0005-0000-0000-00001B720000}"/>
    <cellStyle name="Normal 11 4 10 2 5" xfId="19106" xr:uid="{00000000-0005-0000-0000-00001C720000}"/>
    <cellStyle name="Normal 11 4 10 2 6" xfId="34598" xr:uid="{00000000-0005-0000-0000-00001D720000}"/>
    <cellStyle name="Normal 11 4 10 3" xfId="4487" xr:uid="{00000000-0005-0000-0000-00001E720000}"/>
    <cellStyle name="Normal 11 4 10 3 2" xfId="8358" xr:uid="{00000000-0005-0000-0000-00001F720000}"/>
    <cellStyle name="Normal 11 4 10 3 2 2" xfId="16103" xr:uid="{00000000-0005-0000-0000-000020720000}"/>
    <cellStyle name="Normal 11 4 10 3 2 2 2" xfId="31695" xr:uid="{00000000-0005-0000-0000-000021720000}"/>
    <cellStyle name="Normal 11 4 10 3 2 2 3" xfId="47187" xr:uid="{00000000-0005-0000-0000-000022720000}"/>
    <cellStyle name="Normal 11 4 10 3 2 3" xfId="23955" xr:uid="{00000000-0005-0000-0000-000023720000}"/>
    <cellStyle name="Normal 11 4 10 3 2 4" xfId="39447" xr:uid="{00000000-0005-0000-0000-000024720000}"/>
    <cellStyle name="Normal 11 4 10 3 3" xfId="12233" xr:uid="{00000000-0005-0000-0000-000025720000}"/>
    <cellStyle name="Normal 11 4 10 3 3 2" xfId="27825" xr:uid="{00000000-0005-0000-0000-000026720000}"/>
    <cellStyle name="Normal 11 4 10 3 3 3" xfId="43317" xr:uid="{00000000-0005-0000-0000-000027720000}"/>
    <cellStyle name="Normal 11 4 10 3 4" xfId="20085" xr:uid="{00000000-0005-0000-0000-000028720000}"/>
    <cellStyle name="Normal 11 4 10 3 5" xfId="35577" xr:uid="{00000000-0005-0000-0000-000029720000}"/>
    <cellStyle name="Normal 11 4 10 4" xfId="6431" xr:uid="{00000000-0005-0000-0000-00002A720000}"/>
    <cellStyle name="Normal 11 4 10 4 2" xfId="14176" xr:uid="{00000000-0005-0000-0000-00002B720000}"/>
    <cellStyle name="Normal 11 4 10 4 2 2" xfId="29768" xr:uid="{00000000-0005-0000-0000-00002C720000}"/>
    <cellStyle name="Normal 11 4 10 4 2 3" xfId="45260" xr:uid="{00000000-0005-0000-0000-00002D720000}"/>
    <cellStyle name="Normal 11 4 10 4 3" xfId="22028" xr:uid="{00000000-0005-0000-0000-00002E720000}"/>
    <cellStyle name="Normal 11 4 10 4 4" xfId="37520" xr:uid="{00000000-0005-0000-0000-00002F720000}"/>
    <cellStyle name="Normal 11 4 10 5" xfId="10306" xr:uid="{00000000-0005-0000-0000-000030720000}"/>
    <cellStyle name="Normal 11 4 10 5 2" xfId="25898" xr:uid="{00000000-0005-0000-0000-000031720000}"/>
    <cellStyle name="Normal 11 4 10 5 3" xfId="41390" xr:uid="{00000000-0005-0000-0000-000032720000}"/>
    <cellStyle name="Normal 11 4 10 6" xfId="18158" xr:uid="{00000000-0005-0000-0000-000033720000}"/>
    <cellStyle name="Normal 11 4 10 7" xfId="33650" xr:uid="{00000000-0005-0000-0000-000034720000}"/>
    <cellStyle name="Normal 11 4 11" xfId="2818" xr:uid="{00000000-0005-0000-0000-000035720000}"/>
    <cellStyle name="Normal 11 4 11 2" xfId="3825" xr:uid="{00000000-0005-0000-0000-000036720000}"/>
    <cellStyle name="Normal 11 4 11 2 2" xfId="5764" xr:uid="{00000000-0005-0000-0000-000037720000}"/>
    <cellStyle name="Normal 11 4 11 2 2 2" xfId="9635" xr:uid="{00000000-0005-0000-0000-000038720000}"/>
    <cellStyle name="Normal 11 4 11 2 2 2 2" xfId="17380" xr:uid="{00000000-0005-0000-0000-000039720000}"/>
    <cellStyle name="Normal 11 4 11 2 2 2 2 2" xfId="32972" xr:uid="{00000000-0005-0000-0000-00003A720000}"/>
    <cellStyle name="Normal 11 4 11 2 2 2 2 3" xfId="48464" xr:uid="{00000000-0005-0000-0000-00003B720000}"/>
    <cellStyle name="Normal 11 4 11 2 2 2 3" xfId="25232" xr:uid="{00000000-0005-0000-0000-00003C720000}"/>
    <cellStyle name="Normal 11 4 11 2 2 2 4" xfId="40724" xr:uid="{00000000-0005-0000-0000-00003D720000}"/>
    <cellStyle name="Normal 11 4 11 2 2 3" xfId="13510" xr:uid="{00000000-0005-0000-0000-00003E720000}"/>
    <cellStyle name="Normal 11 4 11 2 2 3 2" xfId="29102" xr:uid="{00000000-0005-0000-0000-00003F720000}"/>
    <cellStyle name="Normal 11 4 11 2 2 3 3" xfId="44594" xr:uid="{00000000-0005-0000-0000-000040720000}"/>
    <cellStyle name="Normal 11 4 11 2 2 4" xfId="21362" xr:uid="{00000000-0005-0000-0000-000041720000}"/>
    <cellStyle name="Normal 11 4 11 2 2 5" xfId="36854" xr:uid="{00000000-0005-0000-0000-000042720000}"/>
    <cellStyle name="Normal 11 4 11 2 3" xfId="7708" xr:uid="{00000000-0005-0000-0000-000043720000}"/>
    <cellStyle name="Normal 11 4 11 2 3 2" xfId="15453" xr:uid="{00000000-0005-0000-0000-000044720000}"/>
    <cellStyle name="Normal 11 4 11 2 3 2 2" xfId="31045" xr:uid="{00000000-0005-0000-0000-000045720000}"/>
    <cellStyle name="Normal 11 4 11 2 3 2 3" xfId="46537" xr:uid="{00000000-0005-0000-0000-000046720000}"/>
    <cellStyle name="Normal 11 4 11 2 3 3" xfId="23305" xr:uid="{00000000-0005-0000-0000-000047720000}"/>
    <cellStyle name="Normal 11 4 11 2 3 4" xfId="38797" xr:uid="{00000000-0005-0000-0000-000048720000}"/>
    <cellStyle name="Normal 11 4 11 2 4" xfId="11583" xr:uid="{00000000-0005-0000-0000-000049720000}"/>
    <cellStyle name="Normal 11 4 11 2 4 2" xfId="27175" xr:uid="{00000000-0005-0000-0000-00004A720000}"/>
    <cellStyle name="Normal 11 4 11 2 4 3" xfId="42667" xr:uid="{00000000-0005-0000-0000-00004B720000}"/>
    <cellStyle name="Normal 11 4 11 2 5" xfId="19435" xr:uid="{00000000-0005-0000-0000-00004C720000}"/>
    <cellStyle name="Normal 11 4 11 2 6" xfId="34927" xr:uid="{00000000-0005-0000-0000-00004D720000}"/>
    <cellStyle name="Normal 11 4 11 3" xfId="4816" xr:uid="{00000000-0005-0000-0000-00004E720000}"/>
    <cellStyle name="Normal 11 4 11 3 2" xfId="8687" xr:uid="{00000000-0005-0000-0000-00004F720000}"/>
    <cellStyle name="Normal 11 4 11 3 2 2" xfId="16432" xr:uid="{00000000-0005-0000-0000-000050720000}"/>
    <cellStyle name="Normal 11 4 11 3 2 2 2" xfId="32024" xr:uid="{00000000-0005-0000-0000-000051720000}"/>
    <cellStyle name="Normal 11 4 11 3 2 2 3" xfId="47516" xr:uid="{00000000-0005-0000-0000-000052720000}"/>
    <cellStyle name="Normal 11 4 11 3 2 3" xfId="24284" xr:uid="{00000000-0005-0000-0000-000053720000}"/>
    <cellStyle name="Normal 11 4 11 3 2 4" xfId="39776" xr:uid="{00000000-0005-0000-0000-000054720000}"/>
    <cellStyle name="Normal 11 4 11 3 3" xfId="12562" xr:uid="{00000000-0005-0000-0000-000055720000}"/>
    <cellStyle name="Normal 11 4 11 3 3 2" xfId="28154" xr:uid="{00000000-0005-0000-0000-000056720000}"/>
    <cellStyle name="Normal 11 4 11 3 3 3" xfId="43646" xr:uid="{00000000-0005-0000-0000-000057720000}"/>
    <cellStyle name="Normal 11 4 11 3 4" xfId="20414" xr:uid="{00000000-0005-0000-0000-000058720000}"/>
    <cellStyle name="Normal 11 4 11 3 5" xfId="35906" xr:uid="{00000000-0005-0000-0000-000059720000}"/>
    <cellStyle name="Normal 11 4 11 4" xfId="6760" xr:uid="{00000000-0005-0000-0000-00005A720000}"/>
    <cellStyle name="Normal 11 4 11 4 2" xfId="14505" xr:uid="{00000000-0005-0000-0000-00005B720000}"/>
    <cellStyle name="Normal 11 4 11 4 2 2" xfId="30097" xr:uid="{00000000-0005-0000-0000-00005C720000}"/>
    <cellStyle name="Normal 11 4 11 4 2 3" xfId="45589" xr:uid="{00000000-0005-0000-0000-00005D720000}"/>
    <cellStyle name="Normal 11 4 11 4 3" xfId="22357" xr:uid="{00000000-0005-0000-0000-00005E720000}"/>
    <cellStyle name="Normal 11 4 11 4 4" xfId="37849" xr:uid="{00000000-0005-0000-0000-00005F720000}"/>
    <cellStyle name="Normal 11 4 11 5" xfId="10635" xr:uid="{00000000-0005-0000-0000-000060720000}"/>
    <cellStyle name="Normal 11 4 11 5 2" xfId="26227" xr:uid="{00000000-0005-0000-0000-000061720000}"/>
    <cellStyle name="Normal 11 4 11 5 3" xfId="41719" xr:uid="{00000000-0005-0000-0000-000062720000}"/>
    <cellStyle name="Normal 11 4 11 6" xfId="18487" xr:uid="{00000000-0005-0000-0000-000063720000}"/>
    <cellStyle name="Normal 11 4 11 7" xfId="33979" xr:uid="{00000000-0005-0000-0000-000064720000}"/>
    <cellStyle name="Normal 11 4 12" xfId="2857" xr:uid="{00000000-0005-0000-0000-000065720000}"/>
    <cellStyle name="Normal 11 4 12 2" xfId="3863" xr:uid="{00000000-0005-0000-0000-000066720000}"/>
    <cellStyle name="Normal 11 4 12 2 2" xfId="5802" xr:uid="{00000000-0005-0000-0000-000067720000}"/>
    <cellStyle name="Normal 11 4 12 2 2 2" xfId="9673" xr:uid="{00000000-0005-0000-0000-000068720000}"/>
    <cellStyle name="Normal 11 4 12 2 2 2 2" xfId="17418" xr:uid="{00000000-0005-0000-0000-000069720000}"/>
    <cellStyle name="Normal 11 4 12 2 2 2 2 2" xfId="33010" xr:uid="{00000000-0005-0000-0000-00006A720000}"/>
    <cellStyle name="Normal 11 4 12 2 2 2 2 3" xfId="48502" xr:uid="{00000000-0005-0000-0000-00006B720000}"/>
    <cellStyle name="Normal 11 4 12 2 2 2 3" xfId="25270" xr:uid="{00000000-0005-0000-0000-00006C720000}"/>
    <cellStyle name="Normal 11 4 12 2 2 2 4" xfId="40762" xr:uid="{00000000-0005-0000-0000-00006D720000}"/>
    <cellStyle name="Normal 11 4 12 2 2 3" xfId="13548" xr:uid="{00000000-0005-0000-0000-00006E720000}"/>
    <cellStyle name="Normal 11 4 12 2 2 3 2" xfId="29140" xr:uid="{00000000-0005-0000-0000-00006F720000}"/>
    <cellStyle name="Normal 11 4 12 2 2 3 3" xfId="44632" xr:uid="{00000000-0005-0000-0000-000070720000}"/>
    <cellStyle name="Normal 11 4 12 2 2 4" xfId="21400" xr:uid="{00000000-0005-0000-0000-000071720000}"/>
    <cellStyle name="Normal 11 4 12 2 2 5" xfId="36892" xr:uid="{00000000-0005-0000-0000-000072720000}"/>
    <cellStyle name="Normal 11 4 12 2 3" xfId="7746" xr:uid="{00000000-0005-0000-0000-000073720000}"/>
    <cellStyle name="Normal 11 4 12 2 3 2" xfId="15491" xr:uid="{00000000-0005-0000-0000-000074720000}"/>
    <cellStyle name="Normal 11 4 12 2 3 2 2" xfId="31083" xr:uid="{00000000-0005-0000-0000-000075720000}"/>
    <cellStyle name="Normal 11 4 12 2 3 2 3" xfId="46575" xr:uid="{00000000-0005-0000-0000-000076720000}"/>
    <cellStyle name="Normal 11 4 12 2 3 3" xfId="23343" xr:uid="{00000000-0005-0000-0000-000077720000}"/>
    <cellStyle name="Normal 11 4 12 2 3 4" xfId="38835" xr:uid="{00000000-0005-0000-0000-000078720000}"/>
    <cellStyle name="Normal 11 4 12 2 4" xfId="11621" xr:uid="{00000000-0005-0000-0000-000079720000}"/>
    <cellStyle name="Normal 11 4 12 2 4 2" xfId="27213" xr:uid="{00000000-0005-0000-0000-00007A720000}"/>
    <cellStyle name="Normal 11 4 12 2 4 3" xfId="42705" xr:uid="{00000000-0005-0000-0000-00007B720000}"/>
    <cellStyle name="Normal 11 4 12 2 5" xfId="19473" xr:uid="{00000000-0005-0000-0000-00007C720000}"/>
    <cellStyle name="Normal 11 4 12 2 6" xfId="34965" xr:uid="{00000000-0005-0000-0000-00007D720000}"/>
    <cellStyle name="Normal 11 4 12 3" xfId="4854" xr:uid="{00000000-0005-0000-0000-00007E720000}"/>
    <cellStyle name="Normal 11 4 12 3 2" xfId="8725" xr:uid="{00000000-0005-0000-0000-00007F720000}"/>
    <cellStyle name="Normal 11 4 12 3 2 2" xfId="16470" xr:uid="{00000000-0005-0000-0000-000080720000}"/>
    <cellStyle name="Normal 11 4 12 3 2 2 2" xfId="32062" xr:uid="{00000000-0005-0000-0000-000081720000}"/>
    <cellStyle name="Normal 11 4 12 3 2 2 3" xfId="47554" xr:uid="{00000000-0005-0000-0000-000082720000}"/>
    <cellStyle name="Normal 11 4 12 3 2 3" xfId="24322" xr:uid="{00000000-0005-0000-0000-000083720000}"/>
    <cellStyle name="Normal 11 4 12 3 2 4" xfId="39814" xr:uid="{00000000-0005-0000-0000-000084720000}"/>
    <cellStyle name="Normal 11 4 12 3 3" xfId="12600" xr:uid="{00000000-0005-0000-0000-000085720000}"/>
    <cellStyle name="Normal 11 4 12 3 3 2" xfId="28192" xr:uid="{00000000-0005-0000-0000-000086720000}"/>
    <cellStyle name="Normal 11 4 12 3 3 3" xfId="43684" xr:uid="{00000000-0005-0000-0000-000087720000}"/>
    <cellStyle name="Normal 11 4 12 3 4" xfId="20452" xr:uid="{00000000-0005-0000-0000-000088720000}"/>
    <cellStyle name="Normal 11 4 12 3 5" xfId="35944" xr:uid="{00000000-0005-0000-0000-000089720000}"/>
    <cellStyle name="Normal 11 4 12 4" xfId="6798" xr:uid="{00000000-0005-0000-0000-00008A720000}"/>
    <cellStyle name="Normal 11 4 12 4 2" xfId="14543" xr:uid="{00000000-0005-0000-0000-00008B720000}"/>
    <cellStyle name="Normal 11 4 12 4 2 2" xfId="30135" xr:uid="{00000000-0005-0000-0000-00008C720000}"/>
    <cellStyle name="Normal 11 4 12 4 2 3" xfId="45627" xr:uid="{00000000-0005-0000-0000-00008D720000}"/>
    <cellStyle name="Normal 11 4 12 4 3" xfId="22395" xr:uid="{00000000-0005-0000-0000-00008E720000}"/>
    <cellStyle name="Normal 11 4 12 4 4" xfId="37887" xr:uid="{00000000-0005-0000-0000-00008F720000}"/>
    <cellStyle name="Normal 11 4 12 5" xfId="10673" xr:uid="{00000000-0005-0000-0000-000090720000}"/>
    <cellStyle name="Normal 11 4 12 5 2" xfId="26265" xr:uid="{00000000-0005-0000-0000-000091720000}"/>
    <cellStyle name="Normal 11 4 12 5 3" xfId="41757" xr:uid="{00000000-0005-0000-0000-000092720000}"/>
    <cellStyle name="Normal 11 4 12 6" xfId="18525" xr:uid="{00000000-0005-0000-0000-000093720000}"/>
    <cellStyle name="Normal 11 4 12 7" xfId="34017" xr:uid="{00000000-0005-0000-0000-000094720000}"/>
    <cellStyle name="Normal 11 4 13" xfId="2894" xr:uid="{00000000-0005-0000-0000-000095720000}"/>
    <cellStyle name="Normal 11 4 13 2" xfId="3899" xr:uid="{00000000-0005-0000-0000-000096720000}"/>
    <cellStyle name="Normal 11 4 13 2 2" xfId="5838" xr:uid="{00000000-0005-0000-0000-000097720000}"/>
    <cellStyle name="Normal 11 4 13 2 2 2" xfId="9709" xr:uid="{00000000-0005-0000-0000-000098720000}"/>
    <cellStyle name="Normal 11 4 13 2 2 2 2" xfId="17454" xr:uid="{00000000-0005-0000-0000-000099720000}"/>
    <cellStyle name="Normal 11 4 13 2 2 2 2 2" xfId="33046" xr:uid="{00000000-0005-0000-0000-00009A720000}"/>
    <cellStyle name="Normal 11 4 13 2 2 2 2 3" xfId="48538" xr:uid="{00000000-0005-0000-0000-00009B720000}"/>
    <cellStyle name="Normal 11 4 13 2 2 2 3" xfId="25306" xr:uid="{00000000-0005-0000-0000-00009C720000}"/>
    <cellStyle name="Normal 11 4 13 2 2 2 4" xfId="40798" xr:uid="{00000000-0005-0000-0000-00009D720000}"/>
    <cellStyle name="Normal 11 4 13 2 2 3" xfId="13584" xr:uid="{00000000-0005-0000-0000-00009E720000}"/>
    <cellStyle name="Normal 11 4 13 2 2 3 2" xfId="29176" xr:uid="{00000000-0005-0000-0000-00009F720000}"/>
    <cellStyle name="Normal 11 4 13 2 2 3 3" xfId="44668" xr:uid="{00000000-0005-0000-0000-0000A0720000}"/>
    <cellStyle name="Normal 11 4 13 2 2 4" xfId="21436" xr:uid="{00000000-0005-0000-0000-0000A1720000}"/>
    <cellStyle name="Normal 11 4 13 2 2 5" xfId="36928" xr:uid="{00000000-0005-0000-0000-0000A2720000}"/>
    <cellStyle name="Normal 11 4 13 2 3" xfId="7782" xr:uid="{00000000-0005-0000-0000-0000A3720000}"/>
    <cellStyle name="Normal 11 4 13 2 3 2" xfId="15527" xr:uid="{00000000-0005-0000-0000-0000A4720000}"/>
    <cellStyle name="Normal 11 4 13 2 3 2 2" xfId="31119" xr:uid="{00000000-0005-0000-0000-0000A5720000}"/>
    <cellStyle name="Normal 11 4 13 2 3 2 3" xfId="46611" xr:uid="{00000000-0005-0000-0000-0000A6720000}"/>
    <cellStyle name="Normal 11 4 13 2 3 3" xfId="23379" xr:uid="{00000000-0005-0000-0000-0000A7720000}"/>
    <cellStyle name="Normal 11 4 13 2 3 4" xfId="38871" xr:uid="{00000000-0005-0000-0000-0000A8720000}"/>
    <cellStyle name="Normal 11 4 13 2 4" xfId="11657" xr:uid="{00000000-0005-0000-0000-0000A9720000}"/>
    <cellStyle name="Normal 11 4 13 2 4 2" xfId="27249" xr:uid="{00000000-0005-0000-0000-0000AA720000}"/>
    <cellStyle name="Normal 11 4 13 2 4 3" xfId="42741" xr:uid="{00000000-0005-0000-0000-0000AB720000}"/>
    <cellStyle name="Normal 11 4 13 2 5" xfId="19509" xr:uid="{00000000-0005-0000-0000-0000AC720000}"/>
    <cellStyle name="Normal 11 4 13 2 6" xfId="35001" xr:uid="{00000000-0005-0000-0000-0000AD720000}"/>
    <cellStyle name="Normal 11 4 13 3" xfId="4890" xr:uid="{00000000-0005-0000-0000-0000AE720000}"/>
    <cellStyle name="Normal 11 4 13 3 2" xfId="8761" xr:uid="{00000000-0005-0000-0000-0000AF720000}"/>
    <cellStyle name="Normal 11 4 13 3 2 2" xfId="16506" xr:uid="{00000000-0005-0000-0000-0000B0720000}"/>
    <cellStyle name="Normal 11 4 13 3 2 2 2" xfId="32098" xr:uid="{00000000-0005-0000-0000-0000B1720000}"/>
    <cellStyle name="Normal 11 4 13 3 2 2 3" xfId="47590" xr:uid="{00000000-0005-0000-0000-0000B2720000}"/>
    <cellStyle name="Normal 11 4 13 3 2 3" xfId="24358" xr:uid="{00000000-0005-0000-0000-0000B3720000}"/>
    <cellStyle name="Normal 11 4 13 3 2 4" xfId="39850" xr:uid="{00000000-0005-0000-0000-0000B4720000}"/>
    <cellStyle name="Normal 11 4 13 3 3" xfId="12636" xr:uid="{00000000-0005-0000-0000-0000B5720000}"/>
    <cellStyle name="Normal 11 4 13 3 3 2" xfId="28228" xr:uid="{00000000-0005-0000-0000-0000B6720000}"/>
    <cellStyle name="Normal 11 4 13 3 3 3" xfId="43720" xr:uid="{00000000-0005-0000-0000-0000B7720000}"/>
    <cellStyle name="Normal 11 4 13 3 4" xfId="20488" xr:uid="{00000000-0005-0000-0000-0000B8720000}"/>
    <cellStyle name="Normal 11 4 13 3 5" xfId="35980" xr:uid="{00000000-0005-0000-0000-0000B9720000}"/>
    <cellStyle name="Normal 11 4 13 4" xfId="6834" xr:uid="{00000000-0005-0000-0000-0000BA720000}"/>
    <cellStyle name="Normal 11 4 13 4 2" xfId="14579" xr:uid="{00000000-0005-0000-0000-0000BB720000}"/>
    <cellStyle name="Normal 11 4 13 4 2 2" xfId="30171" xr:uid="{00000000-0005-0000-0000-0000BC720000}"/>
    <cellStyle name="Normal 11 4 13 4 2 3" xfId="45663" xr:uid="{00000000-0005-0000-0000-0000BD720000}"/>
    <cellStyle name="Normal 11 4 13 4 3" xfId="22431" xr:uid="{00000000-0005-0000-0000-0000BE720000}"/>
    <cellStyle name="Normal 11 4 13 4 4" xfId="37923" xr:uid="{00000000-0005-0000-0000-0000BF720000}"/>
    <cellStyle name="Normal 11 4 13 5" xfId="10709" xr:uid="{00000000-0005-0000-0000-0000C0720000}"/>
    <cellStyle name="Normal 11 4 13 5 2" xfId="26301" xr:uid="{00000000-0005-0000-0000-0000C1720000}"/>
    <cellStyle name="Normal 11 4 13 5 3" xfId="41793" xr:uid="{00000000-0005-0000-0000-0000C2720000}"/>
    <cellStyle name="Normal 11 4 13 6" xfId="18561" xr:uid="{00000000-0005-0000-0000-0000C3720000}"/>
    <cellStyle name="Normal 11 4 13 7" xfId="34053" xr:uid="{00000000-0005-0000-0000-0000C4720000}"/>
    <cellStyle name="Normal 11 4 14" xfId="2931" xr:uid="{00000000-0005-0000-0000-0000C5720000}"/>
    <cellStyle name="Normal 11 4 14 2" xfId="3935" xr:uid="{00000000-0005-0000-0000-0000C6720000}"/>
    <cellStyle name="Normal 11 4 14 2 2" xfId="5874" xr:uid="{00000000-0005-0000-0000-0000C7720000}"/>
    <cellStyle name="Normal 11 4 14 2 2 2" xfId="9745" xr:uid="{00000000-0005-0000-0000-0000C8720000}"/>
    <cellStyle name="Normal 11 4 14 2 2 2 2" xfId="17490" xr:uid="{00000000-0005-0000-0000-0000C9720000}"/>
    <cellStyle name="Normal 11 4 14 2 2 2 2 2" xfId="33082" xr:uid="{00000000-0005-0000-0000-0000CA720000}"/>
    <cellStyle name="Normal 11 4 14 2 2 2 2 3" xfId="48574" xr:uid="{00000000-0005-0000-0000-0000CB720000}"/>
    <cellStyle name="Normal 11 4 14 2 2 2 3" xfId="25342" xr:uid="{00000000-0005-0000-0000-0000CC720000}"/>
    <cellStyle name="Normal 11 4 14 2 2 2 4" xfId="40834" xr:uid="{00000000-0005-0000-0000-0000CD720000}"/>
    <cellStyle name="Normal 11 4 14 2 2 3" xfId="13620" xr:uid="{00000000-0005-0000-0000-0000CE720000}"/>
    <cellStyle name="Normal 11 4 14 2 2 3 2" xfId="29212" xr:uid="{00000000-0005-0000-0000-0000CF720000}"/>
    <cellStyle name="Normal 11 4 14 2 2 3 3" xfId="44704" xr:uid="{00000000-0005-0000-0000-0000D0720000}"/>
    <cellStyle name="Normal 11 4 14 2 2 4" xfId="21472" xr:uid="{00000000-0005-0000-0000-0000D1720000}"/>
    <cellStyle name="Normal 11 4 14 2 2 5" xfId="36964" xr:uid="{00000000-0005-0000-0000-0000D2720000}"/>
    <cellStyle name="Normal 11 4 14 2 3" xfId="7818" xr:uid="{00000000-0005-0000-0000-0000D3720000}"/>
    <cellStyle name="Normal 11 4 14 2 3 2" xfId="15563" xr:uid="{00000000-0005-0000-0000-0000D4720000}"/>
    <cellStyle name="Normal 11 4 14 2 3 2 2" xfId="31155" xr:uid="{00000000-0005-0000-0000-0000D5720000}"/>
    <cellStyle name="Normal 11 4 14 2 3 2 3" xfId="46647" xr:uid="{00000000-0005-0000-0000-0000D6720000}"/>
    <cellStyle name="Normal 11 4 14 2 3 3" xfId="23415" xr:uid="{00000000-0005-0000-0000-0000D7720000}"/>
    <cellStyle name="Normal 11 4 14 2 3 4" xfId="38907" xr:uid="{00000000-0005-0000-0000-0000D8720000}"/>
    <cellStyle name="Normal 11 4 14 2 4" xfId="11693" xr:uid="{00000000-0005-0000-0000-0000D9720000}"/>
    <cellStyle name="Normal 11 4 14 2 4 2" xfId="27285" xr:uid="{00000000-0005-0000-0000-0000DA720000}"/>
    <cellStyle name="Normal 11 4 14 2 4 3" xfId="42777" xr:uid="{00000000-0005-0000-0000-0000DB720000}"/>
    <cellStyle name="Normal 11 4 14 2 5" xfId="19545" xr:uid="{00000000-0005-0000-0000-0000DC720000}"/>
    <cellStyle name="Normal 11 4 14 2 6" xfId="35037" xr:uid="{00000000-0005-0000-0000-0000DD720000}"/>
    <cellStyle name="Normal 11 4 14 3" xfId="4926" xr:uid="{00000000-0005-0000-0000-0000DE720000}"/>
    <cellStyle name="Normal 11 4 14 3 2" xfId="8797" xr:uid="{00000000-0005-0000-0000-0000DF720000}"/>
    <cellStyle name="Normal 11 4 14 3 2 2" xfId="16542" xr:uid="{00000000-0005-0000-0000-0000E0720000}"/>
    <cellStyle name="Normal 11 4 14 3 2 2 2" xfId="32134" xr:uid="{00000000-0005-0000-0000-0000E1720000}"/>
    <cellStyle name="Normal 11 4 14 3 2 2 3" xfId="47626" xr:uid="{00000000-0005-0000-0000-0000E2720000}"/>
    <cellStyle name="Normal 11 4 14 3 2 3" xfId="24394" xr:uid="{00000000-0005-0000-0000-0000E3720000}"/>
    <cellStyle name="Normal 11 4 14 3 2 4" xfId="39886" xr:uid="{00000000-0005-0000-0000-0000E4720000}"/>
    <cellStyle name="Normal 11 4 14 3 3" xfId="12672" xr:uid="{00000000-0005-0000-0000-0000E5720000}"/>
    <cellStyle name="Normal 11 4 14 3 3 2" xfId="28264" xr:uid="{00000000-0005-0000-0000-0000E6720000}"/>
    <cellStyle name="Normal 11 4 14 3 3 3" xfId="43756" xr:uid="{00000000-0005-0000-0000-0000E7720000}"/>
    <cellStyle name="Normal 11 4 14 3 4" xfId="20524" xr:uid="{00000000-0005-0000-0000-0000E8720000}"/>
    <cellStyle name="Normal 11 4 14 3 5" xfId="36016" xr:uid="{00000000-0005-0000-0000-0000E9720000}"/>
    <cellStyle name="Normal 11 4 14 4" xfId="6870" xr:uid="{00000000-0005-0000-0000-0000EA720000}"/>
    <cellStyle name="Normal 11 4 14 4 2" xfId="14615" xr:uid="{00000000-0005-0000-0000-0000EB720000}"/>
    <cellStyle name="Normal 11 4 14 4 2 2" xfId="30207" xr:uid="{00000000-0005-0000-0000-0000EC720000}"/>
    <cellStyle name="Normal 11 4 14 4 2 3" xfId="45699" xr:uid="{00000000-0005-0000-0000-0000ED720000}"/>
    <cellStyle name="Normal 11 4 14 4 3" xfId="22467" xr:uid="{00000000-0005-0000-0000-0000EE720000}"/>
    <cellStyle name="Normal 11 4 14 4 4" xfId="37959" xr:uid="{00000000-0005-0000-0000-0000EF720000}"/>
    <cellStyle name="Normal 11 4 14 5" xfId="10745" xr:uid="{00000000-0005-0000-0000-0000F0720000}"/>
    <cellStyle name="Normal 11 4 14 5 2" xfId="26337" xr:uid="{00000000-0005-0000-0000-0000F1720000}"/>
    <cellStyle name="Normal 11 4 14 5 3" xfId="41829" xr:uid="{00000000-0005-0000-0000-0000F2720000}"/>
    <cellStyle name="Normal 11 4 14 6" xfId="18597" xr:uid="{00000000-0005-0000-0000-0000F3720000}"/>
    <cellStyle name="Normal 11 4 14 7" xfId="34089" xr:uid="{00000000-0005-0000-0000-0000F4720000}"/>
    <cellStyle name="Normal 11 4 15" xfId="2970" xr:uid="{00000000-0005-0000-0000-0000F5720000}"/>
    <cellStyle name="Normal 11 4 15 2" xfId="3971" xr:uid="{00000000-0005-0000-0000-0000F6720000}"/>
    <cellStyle name="Normal 11 4 15 2 2" xfId="5910" xr:uid="{00000000-0005-0000-0000-0000F7720000}"/>
    <cellStyle name="Normal 11 4 15 2 2 2" xfId="9781" xr:uid="{00000000-0005-0000-0000-0000F8720000}"/>
    <cellStyle name="Normal 11 4 15 2 2 2 2" xfId="17526" xr:uid="{00000000-0005-0000-0000-0000F9720000}"/>
    <cellStyle name="Normal 11 4 15 2 2 2 2 2" xfId="33118" xr:uid="{00000000-0005-0000-0000-0000FA720000}"/>
    <cellStyle name="Normal 11 4 15 2 2 2 2 3" xfId="48610" xr:uid="{00000000-0005-0000-0000-0000FB720000}"/>
    <cellStyle name="Normal 11 4 15 2 2 2 3" xfId="25378" xr:uid="{00000000-0005-0000-0000-0000FC720000}"/>
    <cellStyle name="Normal 11 4 15 2 2 2 4" xfId="40870" xr:uid="{00000000-0005-0000-0000-0000FD720000}"/>
    <cellStyle name="Normal 11 4 15 2 2 3" xfId="13656" xr:uid="{00000000-0005-0000-0000-0000FE720000}"/>
    <cellStyle name="Normal 11 4 15 2 2 3 2" xfId="29248" xr:uid="{00000000-0005-0000-0000-0000FF720000}"/>
    <cellStyle name="Normal 11 4 15 2 2 3 3" xfId="44740" xr:uid="{00000000-0005-0000-0000-000000730000}"/>
    <cellStyle name="Normal 11 4 15 2 2 4" xfId="21508" xr:uid="{00000000-0005-0000-0000-000001730000}"/>
    <cellStyle name="Normal 11 4 15 2 2 5" xfId="37000" xr:uid="{00000000-0005-0000-0000-000002730000}"/>
    <cellStyle name="Normal 11 4 15 2 3" xfId="7854" xr:uid="{00000000-0005-0000-0000-000003730000}"/>
    <cellStyle name="Normal 11 4 15 2 3 2" xfId="15599" xr:uid="{00000000-0005-0000-0000-000004730000}"/>
    <cellStyle name="Normal 11 4 15 2 3 2 2" xfId="31191" xr:uid="{00000000-0005-0000-0000-000005730000}"/>
    <cellStyle name="Normal 11 4 15 2 3 2 3" xfId="46683" xr:uid="{00000000-0005-0000-0000-000006730000}"/>
    <cellStyle name="Normal 11 4 15 2 3 3" xfId="23451" xr:uid="{00000000-0005-0000-0000-000007730000}"/>
    <cellStyle name="Normal 11 4 15 2 3 4" xfId="38943" xr:uid="{00000000-0005-0000-0000-000008730000}"/>
    <cellStyle name="Normal 11 4 15 2 4" xfId="11729" xr:uid="{00000000-0005-0000-0000-000009730000}"/>
    <cellStyle name="Normal 11 4 15 2 4 2" xfId="27321" xr:uid="{00000000-0005-0000-0000-00000A730000}"/>
    <cellStyle name="Normal 11 4 15 2 4 3" xfId="42813" xr:uid="{00000000-0005-0000-0000-00000B730000}"/>
    <cellStyle name="Normal 11 4 15 2 5" xfId="19581" xr:uid="{00000000-0005-0000-0000-00000C730000}"/>
    <cellStyle name="Normal 11 4 15 2 6" xfId="35073" xr:uid="{00000000-0005-0000-0000-00000D730000}"/>
    <cellStyle name="Normal 11 4 15 3" xfId="4962" xr:uid="{00000000-0005-0000-0000-00000E730000}"/>
    <cellStyle name="Normal 11 4 15 3 2" xfId="8833" xr:uid="{00000000-0005-0000-0000-00000F730000}"/>
    <cellStyle name="Normal 11 4 15 3 2 2" xfId="16578" xr:uid="{00000000-0005-0000-0000-000010730000}"/>
    <cellStyle name="Normal 11 4 15 3 2 2 2" xfId="32170" xr:uid="{00000000-0005-0000-0000-000011730000}"/>
    <cellStyle name="Normal 11 4 15 3 2 2 3" xfId="47662" xr:uid="{00000000-0005-0000-0000-000012730000}"/>
    <cellStyle name="Normal 11 4 15 3 2 3" xfId="24430" xr:uid="{00000000-0005-0000-0000-000013730000}"/>
    <cellStyle name="Normal 11 4 15 3 2 4" xfId="39922" xr:uid="{00000000-0005-0000-0000-000014730000}"/>
    <cellStyle name="Normal 11 4 15 3 3" xfId="12708" xr:uid="{00000000-0005-0000-0000-000015730000}"/>
    <cellStyle name="Normal 11 4 15 3 3 2" xfId="28300" xr:uid="{00000000-0005-0000-0000-000016730000}"/>
    <cellStyle name="Normal 11 4 15 3 3 3" xfId="43792" xr:uid="{00000000-0005-0000-0000-000017730000}"/>
    <cellStyle name="Normal 11 4 15 3 4" xfId="20560" xr:uid="{00000000-0005-0000-0000-000018730000}"/>
    <cellStyle name="Normal 11 4 15 3 5" xfId="36052" xr:uid="{00000000-0005-0000-0000-000019730000}"/>
    <cellStyle name="Normal 11 4 15 4" xfId="6906" xr:uid="{00000000-0005-0000-0000-00001A730000}"/>
    <cellStyle name="Normal 11 4 15 4 2" xfId="14651" xr:uid="{00000000-0005-0000-0000-00001B730000}"/>
    <cellStyle name="Normal 11 4 15 4 2 2" xfId="30243" xr:uid="{00000000-0005-0000-0000-00001C730000}"/>
    <cellStyle name="Normal 11 4 15 4 2 3" xfId="45735" xr:uid="{00000000-0005-0000-0000-00001D730000}"/>
    <cellStyle name="Normal 11 4 15 4 3" xfId="22503" xr:uid="{00000000-0005-0000-0000-00001E730000}"/>
    <cellStyle name="Normal 11 4 15 4 4" xfId="37995" xr:uid="{00000000-0005-0000-0000-00001F730000}"/>
    <cellStyle name="Normal 11 4 15 5" xfId="10781" xr:uid="{00000000-0005-0000-0000-000020730000}"/>
    <cellStyle name="Normal 11 4 15 5 2" xfId="26373" xr:uid="{00000000-0005-0000-0000-000021730000}"/>
    <cellStyle name="Normal 11 4 15 5 3" xfId="41865" xr:uid="{00000000-0005-0000-0000-000022730000}"/>
    <cellStyle name="Normal 11 4 15 6" xfId="18633" xr:uid="{00000000-0005-0000-0000-000023730000}"/>
    <cellStyle name="Normal 11 4 15 7" xfId="34125" xr:uid="{00000000-0005-0000-0000-000024730000}"/>
    <cellStyle name="Normal 11 4 16" xfId="3010" xr:uid="{00000000-0005-0000-0000-000025730000}"/>
    <cellStyle name="Normal 11 4 16 2" xfId="4007" xr:uid="{00000000-0005-0000-0000-000026730000}"/>
    <cellStyle name="Normal 11 4 16 2 2" xfId="5946" xr:uid="{00000000-0005-0000-0000-000027730000}"/>
    <cellStyle name="Normal 11 4 16 2 2 2" xfId="9817" xr:uid="{00000000-0005-0000-0000-000028730000}"/>
    <cellStyle name="Normal 11 4 16 2 2 2 2" xfId="17562" xr:uid="{00000000-0005-0000-0000-000029730000}"/>
    <cellStyle name="Normal 11 4 16 2 2 2 2 2" xfId="33154" xr:uid="{00000000-0005-0000-0000-00002A730000}"/>
    <cellStyle name="Normal 11 4 16 2 2 2 2 3" xfId="48646" xr:uid="{00000000-0005-0000-0000-00002B730000}"/>
    <cellStyle name="Normal 11 4 16 2 2 2 3" xfId="25414" xr:uid="{00000000-0005-0000-0000-00002C730000}"/>
    <cellStyle name="Normal 11 4 16 2 2 2 4" xfId="40906" xr:uid="{00000000-0005-0000-0000-00002D730000}"/>
    <cellStyle name="Normal 11 4 16 2 2 3" xfId="13692" xr:uid="{00000000-0005-0000-0000-00002E730000}"/>
    <cellStyle name="Normal 11 4 16 2 2 3 2" xfId="29284" xr:uid="{00000000-0005-0000-0000-00002F730000}"/>
    <cellStyle name="Normal 11 4 16 2 2 3 3" xfId="44776" xr:uid="{00000000-0005-0000-0000-000030730000}"/>
    <cellStyle name="Normal 11 4 16 2 2 4" xfId="21544" xr:uid="{00000000-0005-0000-0000-000031730000}"/>
    <cellStyle name="Normal 11 4 16 2 2 5" xfId="37036" xr:uid="{00000000-0005-0000-0000-000032730000}"/>
    <cellStyle name="Normal 11 4 16 2 3" xfId="7890" xr:uid="{00000000-0005-0000-0000-000033730000}"/>
    <cellStyle name="Normal 11 4 16 2 3 2" xfId="15635" xr:uid="{00000000-0005-0000-0000-000034730000}"/>
    <cellStyle name="Normal 11 4 16 2 3 2 2" xfId="31227" xr:uid="{00000000-0005-0000-0000-000035730000}"/>
    <cellStyle name="Normal 11 4 16 2 3 2 3" xfId="46719" xr:uid="{00000000-0005-0000-0000-000036730000}"/>
    <cellStyle name="Normal 11 4 16 2 3 3" xfId="23487" xr:uid="{00000000-0005-0000-0000-000037730000}"/>
    <cellStyle name="Normal 11 4 16 2 3 4" xfId="38979" xr:uid="{00000000-0005-0000-0000-000038730000}"/>
    <cellStyle name="Normal 11 4 16 2 4" xfId="11765" xr:uid="{00000000-0005-0000-0000-000039730000}"/>
    <cellStyle name="Normal 11 4 16 2 4 2" xfId="27357" xr:uid="{00000000-0005-0000-0000-00003A730000}"/>
    <cellStyle name="Normal 11 4 16 2 4 3" xfId="42849" xr:uid="{00000000-0005-0000-0000-00003B730000}"/>
    <cellStyle name="Normal 11 4 16 2 5" xfId="19617" xr:uid="{00000000-0005-0000-0000-00003C730000}"/>
    <cellStyle name="Normal 11 4 16 2 6" xfId="35109" xr:uid="{00000000-0005-0000-0000-00003D730000}"/>
    <cellStyle name="Normal 11 4 16 3" xfId="4998" xr:uid="{00000000-0005-0000-0000-00003E730000}"/>
    <cellStyle name="Normal 11 4 16 3 2" xfId="8869" xr:uid="{00000000-0005-0000-0000-00003F730000}"/>
    <cellStyle name="Normal 11 4 16 3 2 2" xfId="16614" xr:uid="{00000000-0005-0000-0000-000040730000}"/>
    <cellStyle name="Normal 11 4 16 3 2 2 2" xfId="32206" xr:uid="{00000000-0005-0000-0000-000041730000}"/>
    <cellStyle name="Normal 11 4 16 3 2 2 3" xfId="47698" xr:uid="{00000000-0005-0000-0000-000042730000}"/>
    <cellStyle name="Normal 11 4 16 3 2 3" xfId="24466" xr:uid="{00000000-0005-0000-0000-000043730000}"/>
    <cellStyle name="Normal 11 4 16 3 2 4" xfId="39958" xr:uid="{00000000-0005-0000-0000-000044730000}"/>
    <cellStyle name="Normal 11 4 16 3 3" xfId="12744" xr:uid="{00000000-0005-0000-0000-000045730000}"/>
    <cellStyle name="Normal 11 4 16 3 3 2" xfId="28336" xr:uid="{00000000-0005-0000-0000-000046730000}"/>
    <cellStyle name="Normal 11 4 16 3 3 3" xfId="43828" xr:uid="{00000000-0005-0000-0000-000047730000}"/>
    <cellStyle name="Normal 11 4 16 3 4" xfId="20596" xr:uid="{00000000-0005-0000-0000-000048730000}"/>
    <cellStyle name="Normal 11 4 16 3 5" xfId="36088" xr:uid="{00000000-0005-0000-0000-000049730000}"/>
    <cellStyle name="Normal 11 4 16 4" xfId="6942" xr:uid="{00000000-0005-0000-0000-00004A730000}"/>
    <cellStyle name="Normal 11 4 16 4 2" xfId="14687" xr:uid="{00000000-0005-0000-0000-00004B730000}"/>
    <cellStyle name="Normal 11 4 16 4 2 2" xfId="30279" xr:uid="{00000000-0005-0000-0000-00004C730000}"/>
    <cellStyle name="Normal 11 4 16 4 2 3" xfId="45771" xr:uid="{00000000-0005-0000-0000-00004D730000}"/>
    <cellStyle name="Normal 11 4 16 4 3" xfId="22539" xr:uid="{00000000-0005-0000-0000-00004E730000}"/>
    <cellStyle name="Normal 11 4 16 4 4" xfId="38031" xr:uid="{00000000-0005-0000-0000-00004F730000}"/>
    <cellStyle name="Normal 11 4 16 5" xfId="10817" xr:uid="{00000000-0005-0000-0000-000050730000}"/>
    <cellStyle name="Normal 11 4 16 5 2" xfId="26409" xr:uid="{00000000-0005-0000-0000-000051730000}"/>
    <cellStyle name="Normal 11 4 16 5 3" xfId="41901" xr:uid="{00000000-0005-0000-0000-000052730000}"/>
    <cellStyle name="Normal 11 4 16 6" xfId="18669" xr:uid="{00000000-0005-0000-0000-000053730000}"/>
    <cellStyle name="Normal 11 4 16 7" xfId="34161" xr:uid="{00000000-0005-0000-0000-000054730000}"/>
    <cellStyle name="Normal 11 4 17" xfId="3048" xr:uid="{00000000-0005-0000-0000-000055730000}"/>
    <cellStyle name="Normal 11 4 17 2" xfId="4043" xr:uid="{00000000-0005-0000-0000-000056730000}"/>
    <cellStyle name="Normal 11 4 17 2 2" xfId="5982" xr:uid="{00000000-0005-0000-0000-000057730000}"/>
    <cellStyle name="Normal 11 4 17 2 2 2" xfId="9853" xr:uid="{00000000-0005-0000-0000-000058730000}"/>
    <cellStyle name="Normal 11 4 17 2 2 2 2" xfId="17598" xr:uid="{00000000-0005-0000-0000-000059730000}"/>
    <cellStyle name="Normal 11 4 17 2 2 2 2 2" xfId="33190" xr:uid="{00000000-0005-0000-0000-00005A730000}"/>
    <cellStyle name="Normal 11 4 17 2 2 2 2 3" xfId="48682" xr:uid="{00000000-0005-0000-0000-00005B730000}"/>
    <cellStyle name="Normal 11 4 17 2 2 2 3" xfId="25450" xr:uid="{00000000-0005-0000-0000-00005C730000}"/>
    <cellStyle name="Normal 11 4 17 2 2 2 4" xfId="40942" xr:uid="{00000000-0005-0000-0000-00005D730000}"/>
    <cellStyle name="Normal 11 4 17 2 2 3" xfId="13728" xr:uid="{00000000-0005-0000-0000-00005E730000}"/>
    <cellStyle name="Normal 11 4 17 2 2 3 2" xfId="29320" xr:uid="{00000000-0005-0000-0000-00005F730000}"/>
    <cellStyle name="Normal 11 4 17 2 2 3 3" xfId="44812" xr:uid="{00000000-0005-0000-0000-000060730000}"/>
    <cellStyle name="Normal 11 4 17 2 2 4" xfId="21580" xr:uid="{00000000-0005-0000-0000-000061730000}"/>
    <cellStyle name="Normal 11 4 17 2 2 5" xfId="37072" xr:uid="{00000000-0005-0000-0000-000062730000}"/>
    <cellStyle name="Normal 11 4 17 2 3" xfId="7926" xr:uid="{00000000-0005-0000-0000-000063730000}"/>
    <cellStyle name="Normal 11 4 17 2 3 2" xfId="15671" xr:uid="{00000000-0005-0000-0000-000064730000}"/>
    <cellStyle name="Normal 11 4 17 2 3 2 2" xfId="31263" xr:uid="{00000000-0005-0000-0000-000065730000}"/>
    <cellStyle name="Normal 11 4 17 2 3 2 3" xfId="46755" xr:uid="{00000000-0005-0000-0000-000066730000}"/>
    <cellStyle name="Normal 11 4 17 2 3 3" xfId="23523" xr:uid="{00000000-0005-0000-0000-000067730000}"/>
    <cellStyle name="Normal 11 4 17 2 3 4" xfId="39015" xr:uid="{00000000-0005-0000-0000-000068730000}"/>
    <cellStyle name="Normal 11 4 17 2 4" xfId="11801" xr:uid="{00000000-0005-0000-0000-000069730000}"/>
    <cellStyle name="Normal 11 4 17 2 4 2" xfId="27393" xr:uid="{00000000-0005-0000-0000-00006A730000}"/>
    <cellStyle name="Normal 11 4 17 2 4 3" xfId="42885" xr:uid="{00000000-0005-0000-0000-00006B730000}"/>
    <cellStyle name="Normal 11 4 17 2 5" xfId="19653" xr:uid="{00000000-0005-0000-0000-00006C730000}"/>
    <cellStyle name="Normal 11 4 17 2 6" xfId="35145" xr:uid="{00000000-0005-0000-0000-00006D730000}"/>
    <cellStyle name="Normal 11 4 17 3" xfId="5034" xr:uid="{00000000-0005-0000-0000-00006E730000}"/>
    <cellStyle name="Normal 11 4 17 3 2" xfId="8905" xr:uid="{00000000-0005-0000-0000-00006F730000}"/>
    <cellStyle name="Normal 11 4 17 3 2 2" xfId="16650" xr:uid="{00000000-0005-0000-0000-000070730000}"/>
    <cellStyle name="Normal 11 4 17 3 2 2 2" xfId="32242" xr:uid="{00000000-0005-0000-0000-000071730000}"/>
    <cellStyle name="Normal 11 4 17 3 2 2 3" xfId="47734" xr:uid="{00000000-0005-0000-0000-000072730000}"/>
    <cellStyle name="Normal 11 4 17 3 2 3" xfId="24502" xr:uid="{00000000-0005-0000-0000-000073730000}"/>
    <cellStyle name="Normal 11 4 17 3 2 4" xfId="39994" xr:uid="{00000000-0005-0000-0000-000074730000}"/>
    <cellStyle name="Normal 11 4 17 3 3" xfId="12780" xr:uid="{00000000-0005-0000-0000-000075730000}"/>
    <cellStyle name="Normal 11 4 17 3 3 2" xfId="28372" xr:uid="{00000000-0005-0000-0000-000076730000}"/>
    <cellStyle name="Normal 11 4 17 3 3 3" xfId="43864" xr:uid="{00000000-0005-0000-0000-000077730000}"/>
    <cellStyle name="Normal 11 4 17 3 4" xfId="20632" xr:uid="{00000000-0005-0000-0000-000078730000}"/>
    <cellStyle name="Normal 11 4 17 3 5" xfId="36124" xr:uid="{00000000-0005-0000-0000-000079730000}"/>
    <cellStyle name="Normal 11 4 17 4" xfId="6978" xr:uid="{00000000-0005-0000-0000-00007A730000}"/>
    <cellStyle name="Normal 11 4 17 4 2" xfId="14723" xr:uid="{00000000-0005-0000-0000-00007B730000}"/>
    <cellStyle name="Normal 11 4 17 4 2 2" xfId="30315" xr:uid="{00000000-0005-0000-0000-00007C730000}"/>
    <cellStyle name="Normal 11 4 17 4 2 3" xfId="45807" xr:uid="{00000000-0005-0000-0000-00007D730000}"/>
    <cellStyle name="Normal 11 4 17 4 3" xfId="22575" xr:uid="{00000000-0005-0000-0000-00007E730000}"/>
    <cellStyle name="Normal 11 4 17 4 4" xfId="38067" xr:uid="{00000000-0005-0000-0000-00007F730000}"/>
    <cellStyle name="Normal 11 4 17 5" xfId="10853" xr:uid="{00000000-0005-0000-0000-000080730000}"/>
    <cellStyle name="Normal 11 4 17 5 2" xfId="26445" xr:uid="{00000000-0005-0000-0000-000081730000}"/>
    <cellStyle name="Normal 11 4 17 5 3" xfId="41937" xr:uid="{00000000-0005-0000-0000-000082730000}"/>
    <cellStyle name="Normal 11 4 17 6" xfId="18705" xr:uid="{00000000-0005-0000-0000-000083730000}"/>
    <cellStyle name="Normal 11 4 17 7" xfId="34197" xr:uid="{00000000-0005-0000-0000-000084730000}"/>
    <cellStyle name="Normal 11 4 18" xfId="3085" xr:uid="{00000000-0005-0000-0000-000085730000}"/>
    <cellStyle name="Normal 11 4 18 2" xfId="4079" xr:uid="{00000000-0005-0000-0000-000086730000}"/>
    <cellStyle name="Normal 11 4 18 2 2" xfId="6018" xr:uid="{00000000-0005-0000-0000-000087730000}"/>
    <cellStyle name="Normal 11 4 18 2 2 2" xfId="9889" xr:uid="{00000000-0005-0000-0000-000088730000}"/>
    <cellStyle name="Normal 11 4 18 2 2 2 2" xfId="17634" xr:uid="{00000000-0005-0000-0000-000089730000}"/>
    <cellStyle name="Normal 11 4 18 2 2 2 2 2" xfId="33226" xr:uid="{00000000-0005-0000-0000-00008A730000}"/>
    <cellStyle name="Normal 11 4 18 2 2 2 2 3" xfId="48718" xr:uid="{00000000-0005-0000-0000-00008B730000}"/>
    <cellStyle name="Normal 11 4 18 2 2 2 3" xfId="25486" xr:uid="{00000000-0005-0000-0000-00008C730000}"/>
    <cellStyle name="Normal 11 4 18 2 2 2 4" xfId="40978" xr:uid="{00000000-0005-0000-0000-00008D730000}"/>
    <cellStyle name="Normal 11 4 18 2 2 3" xfId="13764" xr:uid="{00000000-0005-0000-0000-00008E730000}"/>
    <cellStyle name="Normal 11 4 18 2 2 3 2" xfId="29356" xr:uid="{00000000-0005-0000-0000-00008F730000}"/>
    <cellStyle name="Normal 11 4 18 2 2 3 3" xfId="44848" xr:uid="{00000000-0005-0000-0000-000090730000}"/>
    <cellStyle name="Normal 11 4 18 2 2 4" xfId="21616" xr:uid="{00000000-0005-0000-0000-000091730000}"/>
    <cellStyle name="Normal 11 4 18 2 2 5" xfId="37108" xr:uid="{00000000-0005-0000-0000-000092730000}"/>
    <cellStyle name="Normal 11 4 18 2 3" xfId="7962" xr:uid="{00000000-0005-0000-0000-000093730000}"/>
    <cellStyle name="Normal 11 4 18 2 3 2" xfId="15707" xr:uid="{00000000-0005-0000-0000-000094730000}"/>
    <cellStyle name="Normal 11 4 18 2 3 2 2" xfId="31299" xr:uid="{00000000-0005-0000-0000-000095730000}"/>
    <cellStyle name="Normal 11 4 18 2 3 2 3" xfId="46791" xr:uid="{00000000-0005-0000-0000-000096730000}"/>
    <cellStyle name="Normal 11 4 18 2 3 3" xfId="23559" xr:uid="{00000000-0005-0000-0000-000097730000}"/>
    <cellStyle name="Normal 11 4 18 2 3 4" xfId="39051" xr:uid="{00000000-0005-0000-0000-000098730000}"/>
    <cellStyle name="Normal 11 4 18 2 4" xfId="11837" xr:uid="{00000000-0005-0000-0000-000099730000}"/>
    <cellStyle name="Normal 11 4 18 2 4 2" xfId="27429" xr:uid="{00000000-0005-0000-0000-00009A730000}"/>
    <cellStyle name="Normal 11 4 18 2 4 3" xfId="42921" xr:uid="{00000000-0005-0000-0000-00009B730000}"/>
    <cellStyle name="Normal 11 4 18 2 5" xfId="19689" xr:uid="{00000000-0005-0000-0000-00009C730000}"/>
    <cellStyle name="Normal 11 4 18 2 6" xfId="35181" xr:uid="{00000000-0005-0000-0000-00009D730000}"/>
    <cellStyle name="Normal 11 4 18 3" xfId="5070" xr:uid="{00000000-0005-0000-0000-00009E730000}"/>
    <cellStyle name="Normal 11 4 18 3 2" xfId="8941" xr:uid="{00000000-0005-0000-0000-00009F730000}"/>
    <cellStyle name="Normal 11 4 18 3 2 2" xfId="16686" xr:uid="{00000000-0005-0000-0000-0000A0730000}"/>
    <cellStyle name="Normal 11 4 18 3 2 2 2" xfId="32278" xr:uid="{00000000-0005-0000-0000-0000A1730000}"/>
    <cellStyle name="Normal 11 4 18 3 2 2 3" xfId="47770" xr:uid="{00000000-0005-0000-0000-0000A2730000}"/>
    <cellStyle name="Normal 11 4 18 3 2 3" xfId="24538" xr:uid="{00000000-0005-0000-0000-0000A3730000}"/>
    <cellStyle name="Normal 11 4 18 3 2 4" xfId="40030" xr:uid="{00000000-0005-0000-0000-0000A4730000}"/>
    <cellStyle name="Normal 11 4 18 3 3" xfId="12816" xr:uid="{00000000-0005-0000-0000-0000A5730000}"/>
    <cellStyle name="Normal 11 4 18 3 3 2" xfId="28408" xr:uid="{00000000-0005-0000-0000-0000A6730000}"/>
    <cellStyle name="Normal 11 4 18 3 3 3" xfId="43900" xr:uid="{00000000-0005-0000-0000-0000A7730000}"/>
    <cellStyle name="Normal 11 4 18 3 4" xfId="20668" xr:uid="{00000000-0005-0000-0000-0000A8730000}"/>
    <cellStyle name="Normal 11 4 18 3 5" xfId="36160" xr:uid="{00000000-0005-0000-0000-0000A9730000}"/>
    <cellStyle name="Normal 11 4 18 4" xfId="7014" xr:uid="{00000000-0005-0000-0000-0000AA730000}"/>
    <cellStyle name="Normal 11 4 18 4 2" xfId="14759" xr:uid="{00000000-0005-0000-0000-0000AB730000}"/>
    <cellStyle name="Normal 11 4 18 4 2 2" xfId="30351" xr:uid="{00000000-0005-0000-0000-0000AC730000}"/>
    <cellStyle name="Normal 11 4 18 4 2 3" xfId="45843" xr:uid="{00000000-0005-0000-0000-0000AD730000}"/>
    <cellStyle name="Normal 11 4 18 4 3" xfId="22611" xr:uid="{00000000-0005-0000-0000-0000AE730000}"/>
    <cellStyle name="Normal 11 4 18 4 4" xfId="38103" xr:uid="{00000000-0005-0000-0000-0000AF730000}"/>
    <cellStyle name="Normal 11 4 18 5" xfId="10889" xr:uid="{00000000-0005-0000-0000-0000B0730000}"/>
    <cellStyle name="Normal 11 4 18 5 2" xfId="26481" xr:uid="{00000000-0005-0000-0000-0000B1730000}"/>
    <cellStyle name="Normal 11 4 18 5 3" xfId="41973" xr:uid="{00000000-0005-0000-0000-0000B2730000}"/>
    <cellStyle name="Normal 11 4 18 6" xfId="18741" xr:uid="{00000000-0005-0000-0000-0000B3730000}"/>
    <cellStyle name="Normal 11 4 18 7" xfId="34233" xr:uid="{00000000-0005-0000-0000-0000B4730000}"/>
    <cellStyle name="Normal 11 4 19" xfId="3132" xr:uid="{00000000-0005-0000-0000-0000B5730000}"/>
    <cellStyle name="Normal 11 4 19 2" xfId="4115" xr:uid="{00000000-0005-0000-0000-0000B6730000}"/>
    <cellStyle name="Normal 11 4 19 2 2" xfId="6054" xr:uid="{00000000-0005-0000-0000-0000B7730000}"/>
    <cellStyle name="Normal 11 4 19 2 2 2" xfId="9925" xr:uid="{00000000-0005-0000-0000-0000B8730000}"/>
    <cellStyle name="Normal 11 4 19 2 2 2 2" xfId="17670" xr:uid="{00000000-0005-0000-0000-0000B9730000}"/>
    <cellStyle name="Normal 11 4 19 2 2 2 2 2" xfId="33262" xr:uid="{00000000-0005-0000-0000-0000BA730000}"/>
    <cellStyle name="Normal 11 4 19 2 2 2 2 3" xfId="48754" xr:uid="{00000000-0005-0000-0000-0000BB730000}"/>
    <cellStyle name="Normal 11 4 19 2 2 2 3" xfId="25522" xr:uid="{00000000-0005-0000-0000-0000BC730000}"/>
    <cellStyle name="Normal 11 4 19 2 2 2 4" xfId="41014" xr:uid="{00000000-0005-0000-0000-0000BD730000}"/>
    <cellStyle name="Normal 11 4 19 2 2 3" xfId="13800" xr:uid="{00000000-0005-0000-0000-0000BE730000}"/>
    <cellStyle name="Normal 11 4 19 2 2 3 2" xfId="29392" xr:uid="{00000000-0005-0000-0000-0000BF730000}"/>
    <cellStyle name="Normal 11 4 19 2 2 3 3" xfId="44884" xr:uid="{00000000-0005-0000-0000-0000C0730000}"/>
    <cellStyle name="Normal 11 4 19 2 2 4" xfId="21652" xr:uid="{00000000-0005-0000-0000-0000C1730000}"/>
    <cellStyle name="Normal 11 4 19 2 2 5" xfId="37144" xr:uid="{00000000-0005-0000-0000-0000C2730000}"/>
    <cellStyle name="Normal 11 4 19 2 3" xfId="7998" xr:uid="{00000000-0005-0000-0000-0000C3730000}"/>
    <cellStyle name="Normal 11 4 19 2 3 2" xfId="15743" xr:uid="{00000000-0005-0000-0000-0000C4730000}"/>
    <cellStyle name="Normal 11 4 19 2 3 2 2" xfId="31335" xr:uid="{00000000-0005-0000-0000-0000C5730000}"/>
    <cellStyle name="Normal 11 4 19 2 3 2 3" xfId="46827" xr:uid="{00000000-0005-0000-0000-0000C6730000}"/>
    <cellStyle name="Normal 11 4 19 2 3 3" xfId="23595" xr:uid="{00000000-0005-0000-0000-0000C7730000}"/>
    <cellStyle name="Normal 11 4 19 2 3 4" xfId="39087" xr:uid="{00000000-0005-0000-0000-0000C8730000}"/>
    <cellStyle name="Normal 11 4 19 2 4" xfId="11873" xr:uid="{00000000-0005-0000-0000-0000C9730000}"/>
    <cellStyle name="Normal 11 4 19 2 4 2" xfId="27465" xr:uid="{00000000-0005-0000-0000-0000CA730000}"/>
    <cellStyle name="Normal 11 4 19 2 4 3" xfId="42957" xr:uid="{00000000-0005-0000-0000-0000CB730000}"/>
    <cellStyle name="Normal 11 4 19 2 5" xfId="19725" xr:uid="{00000000-0005-0000-0000-0000CC730000}"/>
    <cellStyle name="Normal 11 4 19 2 6" xfId="35217" xr:uid="{00000000-0005-0000-0000-0000CD730000}"/>
    <cellStyle name="Normal 11 4 19 3" xfId="5106" xr:uid="{00000000-0005-0000-0000-0000CE730000}"/>
    <cellStyle name="Normal 11 4 19 3 2" xfId="8977" xr:uid="{00000000-0005-0000-0000-0000CF730000}"/>
    <cellStyle name="Normal 11 4 19 3 2 2" xfId="16722" xr:uid="{00000000-0005-0000-0000-0000D0730000}"/>
    <cellStyle name="Normal 11 4 19 3 2 2 2" xfId="32314" xr:uid="{00000000-0005-0000-0000-0000D1730000}"/>
    <cellStyle name="Normal 11 4 19 3 2 2 3" xfId="47806" xr:uid="{00000000-0005-0000-0000-0000D2730000}"/>
    <cellStyle name="Normal 11 4 19 3 2 3" xfId="24574" xr:uid="{00000000-0005-0000-0000-0000D3730000}"/>
    <cellStyle name="Normal 11 4 19 3 2 4" xfId="40066" xr:uid="{00000000-0005-0000-0000-0000D4730000}"/>
    <cellStyle name="Normal 11 4 19 3 3" xfId="12852" xr:uid="{00000000-0005-0000-0000-0000D5730000}"/>
    <cellStyle name="Normal 11 4 19 3 3 2" xfId="28444" xr:uid="{00000000-0005-0000-0000-0000D6730000}"/>
    <cellStyle name="Normal 11 4 19 3 3 3" xfId="43936" xr:uid="{00000000-0005-0000-0000-0000D7730000}"/>
    <cellStyle name="Normal 11 4 19 3 4" xfId="20704" xr:uid="{00000000-0005-0000-0000-0000D8730000}"/>
    <cellStyle name="Normal 11 4 19 3 5" xfId="36196" xr:uid="{00000000-0005-0000-0000-0000D9730000}"/>
    <cellStyle name="Normal 11 4 19 4" xfId="7050" xr:uid="{00000000-0005-0000-0000-0000DA730000}"/>
    <cellStyle name="Normal 11 4 19 4 2" xfId="14795" xr:uid="{00000000-0005-0000-0000-0000DB730000}"/>
    <cellStyle name="Normal 11 4 19 4 2 2" xfId="30387" xr:uid="{00000000-0005-0000-0000-0000DC730000}"/>
    <cellStyle name="Normal 11 4 19 4 2 3" xfId="45879" xr:uid="{00000000-0005-0000-0000-0000DD730000}"/>
    <cellStyle name="Normal 11 4 19 4 3" xfId="22647" xr:uid="{00000000-0005-0000-0000-0000DE730000}"/>
    <cellStyle name="Normal 11 4 19 4 4" xfId="38139" xr:uid="{00000000-0005-0000-0000-0000DF730000}"/>
    <cellStyle name="Normal 11 4 19 5" xfId="10925" xr:uid="{00000000-0005-0000-0000-0000E0730000}"/>
    <cellStyle name="Normal 11 4 19 5 2" xfId="26517" xr:uid="{00000000-0005-0000-0000-0000E1730000}"/>
    <cellStyle name="Normal 11 4 19 5 3" xfId="42009" xr:uid="{00000000-0005-0000-0000-0000E2730000}"/>
    <cellStyle name="Normal 11 4 19 6" xfId="18777" xr:uid="{00000000-0005-0000-0000-0000E3730000}"/>
    <cellStyle name="Normal 11 4 19 7" xfId="34269" xr:uid="{00000000-0005-0000-0000-0000E4730000}"/>
    <cellStyle name="Normal 11 4 2" xfId="2194" xr:uid="{00000000-0005-0000-0000-0000E5730000}"/>
    <cellStyle name="Normal 11 4 2 2" xfId="2527" xr:uid="{00000000-0005-0000-0000-0000E6730000}"/>
    <cellStyle name="Normal 11 4 2 2 2" xfId="3535" xr:uid="{00000000-0005-0000-0000-0000E7730000}"/>
    <cellStyle name="Normal 11 4 2 2 2 2" xfId="5474" xr:uid="{00000000-0005-0000-0000-0000E8730000}"/>
    <cellStyle name="Normal 11 4 2 2 2 2 2" xfId="9345" xr:uid="{00000000-0005-0000-0000-0000E9730000}"/>
    <cellStyle name="Normal 11 4 2 2 2 2 2 2" xfId="17090" xr:uid="{00000000-0005-0000-0000-0000EA730000}"/>
    <cellStyle name="Normal 11 4 2 2 2 2 2 2 2" xfId="32682" xr:uid="{00000000-0005-0000-0000-0000EB730000}"/>
    <cellStyle name="Normal 11 4 2 2 2 2 2 2 3" xfId="48174" xr:uid="{00000000-0005-0000-0000-0000EC730000}"/>
    <cellStyle name="Normal 11 4 2 2 2 2 2 3" xfId="24942" xr:uid="{00000000-0005-0000-0000-0000ED730000}"/>
    <cellStyle name="Normal 11 4 2 2 2 2 2 4" xfId="40434" xr:uid="{00000000-0005-0000-0000-0000EE730000}"/>
    <cellStyle name="Normal 11 4 2 2 2 2 3" xfId="13220" xr:uid="{00000000-0005-0000-0000-0000EF730000}"/>
    <cellStyle name="Normal 11 4 2 2 2 2 3 2" xfId="28812" xr:uid="{00000000-0005-0000-0000-0000F0730000}"/>
    <cellStyle name="Normal 11 4 2 2 2 2 3 3" xfId="44304" xr:uid="{00000000-0005-0000-0000-0000F1730000}"/>
    <cellStyle name="Normal 11 4 2 2 2 2 4" xfId="21072" xr:uid="{00000000-0005-0000-0000-0000F2730000}"/>
    <cellStyle name="Normal 11 4 2 2 2 2 5" xfId="36564" xr:uid="{00000000-0005-0000-0000-0000F3730000}"/>
    <cellStyle name="Normal 11 4 2 2 2 3" xfId="7418" xr:uid="{00000000-0005-0000-0000-0000F4730000}"/>
    <cellStyle name="Normal 11 4 2 2 2 3 2" xfId="15163" xr:uid="{00000000-0005-0000-0000-0000F5730000}"/>
    <cellStyle name="Normal 11 4 2 2 2 3 2 2" xfId="30755" xr:uid="{00000000-0005-0000-0000-0000F6730000}"/>
    <cellStyle name="Normal 11 4 2 2 2 3 2 3" xfId="46247" xr:uid="{00000000-0005-0000-0000-0000F7730000}"/>
    <cellStyle name="Normal 11 4 2 2 2 3 3" xfId="23015" xr:uid="{00000000-0005-0000-0000-0000F8730000}"/>
    <cellStyle name="Normal 11 4 2 2 2 3 4" xfId="38507" xr:uid="{00000000-0005-0000-0000-0000F9730000}"/>
    <cellStyle name="Normal 11 4 2 2 2 4" xfId="11293" xr:uid="{00000000-0005-0000-0000-0000FA730000}"/>
    <cellStyle name="Normal 11 4 2 2 2 4 2" xfId="26885" xr:uid="{00000000-0005-0000-0000-0000FB730000}"/>
    <cellStyle name="Normal 11 4 2 2 2 4 3" xfId="42377" xr:uid="{00000000-0005-0000-0000-0000FC730000}"/>
    <cellStyle name="Normal 11 4 2 2 2 5" xfId="19145" xr:uid="{00000000-0005-0000-0000-0000FD730000}"/>
    <cellStyle name="Normal 11 4 2 2 2 6" xfId="34637" xr:uid="{00000000-0005-0000-0000-0000FE730000}"/>
    <cellStyle name="Normal 11 4 2 2 3" xfId="4526" xr:uid="{00000000-0005-0000-0000-0000FF730000}"/>
    <cellStyle name="Normal 11 4 2 2 3 2" xfId="8397" xr:uid="{00000000-0005-0000-0000-000000740000}"/>
    <cellStyle name="Normal 11 4 2 2 3 2 2" xfId="16142" xr:uid="{00000000-0005-0000-0000-000001740000}"/>
    <cellStyle name="Normal 11 4 2 2 3 2 2 2" xfId="31734" xr:uid="{00000000-0005-0000-0000-000002740000}"/>
    <cellStyle name="Normal 11 4 2 2 3 2 2 3" xfId="47226" xr:uid="{00000000-0005-0000-0000-000003740000}"/>
    <cellStyle name="Normal 11 4 2 2 3 2 3" xfId="23994" xr:uid="{00000000-0005-0000-0000-000004740000}"/>
    <cellStyle name="Normal 11 4 2 2 3 2 4" xfId="39486" xr:uid="{00000000-0005-0000-0000-000005740000}"/>
    <cellStyle name="Normal 11 4 2 2 3 3" xfId="12272" xr:uid="{00000000-0005-0000-0000-000006740000}"/>
    <cellStyle name="Normal 11 4 2 2 3 3 2" xfId="27864" xr:uid="{00000000-0005-0000-0000-000007740000}"/>
    <cellStyle name="Normal 11 4 2 2 3 3 3" xfId="43356" xr:uid="{00000000-0005-0000-0000-000008740000}"/>
    <cellStyle name="Normal 11 4 2 2 3 4" xfId="20124" xr:uid="{00000000-0005-0000-0000-000009740000}"/>
    <cellStyle name="Normal 11 4 2 2 3 5" xfId="35616" xr:uid="{00000000-0005-0000-0000-00000A740000}"/>
    <cellStyle name="Normal 11 4 2 2 4" xfId="6470" xr:uid="{00000000-0005-0000-0000-00000B740000}"/>
    <cellStyle name="Normal 11 4 2 2 4 2" xfId="14215" xr:uid="{00000000-0005-0000-0000-00000C740000}"/>
    <cellStyle name="Normal 11 4 2 2 4 2 2" xfId="29807" xr:uid="{00000000-0005-0000-0000-00000D740000}"/>
    <cellStyle name="Normal 11 4 2 2 4 2 3" xfId="45299" xr:uid="{00000000-0005-0000-0000-00000E740000}"/>
    <cellStyle name="Normal 11 4 2 2 4 3" xfId="22067" xr:uid="{00000000-0005-0000-0000-00000F740000}"/>
    <cellStyle name="Normal 11 4 2 2 4 4" xfId="37559" xr:uid="{00000000-0005-0000-0000-000010740000}"/>
    <cellStyle name="Normal 11 4 2 2 5" xfId="10345" xr:uid="{00000000-0005-0000-0000-000011740000}"/>
    <cellStyle name="Normal 11 4 2 2 5 2" xfId="25937" xr:uid="{00000000-0005-0000-0000-000012740000}"/>
    <cellStyle name="Normal 11 4 2 2 5 3" xfId="41429" xr:uid="{00000000-0005-0000-0000-000013740000}"/>
    <cellStyle name="Normal 11 4 2 2 6" xfId="18197" xr:uid="{00000000-0005-0000-0000-000014740000}"/>
    <cellStyle name="Normal 11 4 2 2 7" xfId="33689" xr:uid="{00000000-0005-0000-0000-000015740000}"/>
    <cellStyle name="Normal 11 4 2 3" xfId="3226" xr:uid="{00000000-0005-0000-0000-000016740000}"/>
    <cellStyle name="Normal 11 4 2 3 2" xfId="5165" xr:uid="{00000000-0005-0000-0000-000017740000}"/>
    <cellStyle name="Normal 11 4 2 3 2 2" xfId="9036" xr:uid="{00000000-0005-0000-0000-000018740000}"/>
    <cellStyle name="Normal 11 4 2 3 2 2 2" xfId="16781" xr:uid="{00000000-0005-0000-0000-000019740000}"/>
    <cellStyle name="Normal 11 4 2 3 2 2 2 2" xfId="32373" xr:uid="{00000000-0005-0000-0000-00001A740000}"/>
    <cellStyle name="Normal 11 4 2 3 2 2 2 3" xfId="47865" xr:uid="{00000000-0005-0000-0000-00001B740000}"/>
    <cellStyle name="Normal 11 4 2 3 2 2 3" xfId="24633" xr:uid="{00000000-0005-0000-0000-00001C740000}"/>
    <cellStyle name="Normal 11 4 2 3 2 2 4" xfId="40125" xr:uid="{00000000-0005-0000-0000-00001D740000}"/>
    <cellStyle name="Normal 11 4 2 3 2 3" xfId="12911" xr:uid="{00000000-0005-0000-0000-00001E740000}"/>
    <cellStyle name="Normal 11 4 2 3 2 3 2" xfId="28503" xr:uid="{00000000-0005-0000-0000-00001F740000}"/>
    <cellStyle name="Normal 11 4 2 3 2 3 3" xfId="43995" xr:uid="{00000000-0005-0000-0000-000020740000}"/>
    <cellStyle name="Normal 11 4 2 3 2 4" xfId="20763" xr:uid="{00000000-0005-0000-0000-000021740000}"/>
    <cellStyle name="Normal 11 4 2 3 2 5" xfId="36255" xr:uid="{00000000-0005-0000-0000-000022740000}"/>
    <cellStyle name="Normal 11 4 2 3 3" xfId="7109" xr:uid="{00000000-0005-0000-0000-000023740000}"/>
    <cellStyle name="Normal 11 4 2 3 3 2" xfId="14854" xr:uid="{00000000-0005-0000-0000-000024740000}"/>
    <cellStyle name="Normal 11 4 2 3 3 2 2" xfId="30446" xr:uid="{00000000-0005-0000-0000-000025740000}"/>
    <cellStyle name="Normal 11 4 2 3 3 2 3" xfId="45938" xr:uid="{00000000-0005-0000-0000-000026740000}"/>
    <cellStyle name="Normal 11 4 2 3 3 3" xfId="22706" xr:uid="{00000000-0005-0000-0000-000027740000}"/>
    <cellStyle name="Normal 11 4 2 3 3 4" xfId="38198" xr:uid="{00000000-0005-0000-0000-000028740000}"/>
    <cellStyle name="Normal 11 4 2 3 4" xfId="10984" xr:uid="{00000000-0005-0000-0000-000029740000}"/>
    <cellStyle name="Normal 11 4 2 3 4 2" xfId="26576" xr:uid="{00000000-0005-0000-0000-00002A740000}"/>
    <cellStyle name="Normal 11 4 2 3 4 3" xfId="42068" xr:uid="{00000000-0005-0000-0000-00002B740000}"/>
    <cellStyle name="Normal 11 4 2 3 5" xfId="18836" xr:uid="{00000000-0005-0000-0000-00002C740000}"/>
    <cellStyle name="Normal 11 4 2 3 6" xfId="34328" xr:uid="{00000000-0005-0000-0000-00002D740000}"/>
    <cellStyle name="Normal 11 4 2 4" xfId="4217" xr:uid="{00000000-0005-0000-0000-00002E740000}"/>
    <cellStyle name="Normal 11 4 2 4 2" xfId="8088" xr:uid="{00000000-0005-0000-0000-00002F740000}"/>
    <cellStyle name="Normal 11 4 2 4 2 2" xfId="15833" xr:uid="{00000000-0005-0000-0000-000030740000}"/>
    <cellStyle name="Normal 11 4 2 4 2 2 2" xfId="31425" xr:uid="{00000000-0005-0000-0000-000031740000}"/>
    <cellStyle name="Normal 11 4 2 4 2 2 3" xfId="46917" xr:uid="{00000000-0005-0000-0000-000032740000}"/>
    <cellStyle name="Normal 11 4 2 4 2 3" xfId="23685" xr:uid="{00000000-0005-0000-0000-000033740000}"/>
    <cellStyle name="Normal 11 4 2 4 2 4" xfId="39177" xr:uid="{00000000-0005-0000-0000-000034740000}"/>
    <cellStyle name="Normal 11 4 2 4 3" xfId="11963" xr:uid="{00000000-0005-0000-0000-000035740000}"/>
    <cellStyle name="Normal 11 4 2 4 3 2" xfId="27555" xr:uid="{00000000-0005-0000-0000-000036740000}"/>
    <cellStyle name="Normal 11 4 2 4 3 3" xfId="43047" xr:uid="{00000000-0005-0000-0000-000037740000}"/>
    <cellStyle name="Normal 11 4 2 4 4" xfId="19815" xr:uid="{00000000-0005-0000-0000-000038740000}"/>
    <cellStyle name="Normal 11 4 2 4 5" xfId="35307" xr:uid="{00000000-0005-0000-0000-000039740000}"/>
    <cellStyle name="Normal 11 4 2 5" xfId="6161" xr:uid="{00000000-0005-0000-0000-00003A740000}"/>
    <cellStyle name="Normal 11 4 2 5 2" xfId="13906" xr:uid="{00000000-0005-0000-0000-00003B740000}"/>
    <cellStyle name="Normal 11 4 2 5 2 2" xfId="29498" xr:uid="{00000000-0005-0000-0000-00003C740000}"/>
    <cellStyle name="Normal 11 4 2 5 2 3" xfId="44990" xr:uid="{00000000-0005-0000-0000-00003D740000}"/>
    <cellStyle name="Normal 11 4 2 5 3" xfId="21758" xr:uid="{00000000-0005-0000-0000-00003E740000}"/>
    <cellStyle name="Normal 11 4 2 5 4" xfId="37250" xr:uid="{00000000-0005-0000-0000-00003F740000}"/>
    <cellStyle name="Normal 11 4 2 6" xfId="10036" xr:uid="{00000000-0005-0000-0000-000040740000}"/>
    <cellStyle name="Normal 11 4 2 6 2" xfId="25628" xr:uid="{00000000-0005-0000-0000-000041740000}"/>
    <cellStyle name="Normal 11 4 2 6 3" xfId="41120" xr:uid="{00000000-0005-0000-0000-000042740000}"/>
    <cellStyle name="Normal 11 4 2 7" xfId="17888" xr:uid="{00000000-0005-0000-0000-000043740000}"/>
    <cellStyle name="Normal 11 4 2 8" xfId="33380" xr:uid="{00000000-0005-0000-0000-000044740000}"/>
    <cellStyle name="Normal 11 4 20" xfId="3187" xr:uid="{00000000-0005-0000-0000-000045740000}"/>
    <cellStyle name="Normal 11 4 20 2" xfId="5126" xr:uid="{00000000-0005-0000-0000-000046740000}"/>
    <cellStyle name="Normal 11 4 20 2 2" xfId="8997" xr:uid="{00000000-0005-0000-0000-000047740000}"/>
    <cellStyle name="Normal 11 4 20 2 2 2" xfId="16742" xr:uid="{00000000-0005-0000-0000-000048740000}"/>
    <cellStyle name="Normal 11 4 20 2 2 2 2" xfId="32334" xr:uid="{00000000-0005-0000-0000-000049740000}"/>
    <cellStyle name="Normal 11 4 20 2 2 2 3" xfId="47826" xr:uid="{00000000-0005-0000-0000-00004A740000}"/>
    <cellStyle name="Normal 11 4 20 2 2 3" xfId="24594" xr:uid="{00000000-0005-0000-0000-00004B740000}"/>
    <cellStyle name="Normal 11 4 20 2 2 4" xfId="40086" xr:uid="{00000000-0005-0000-0000-00004C740000}"/>
    <cellStyle name="Normal 11 4 20 2 3" xfId="12872" xr:uid="{00000000-0005-0000-0000-00004D740000}"/>
    <cellStyle name="Normal 11 4 20 2 3 2" xfId="28464" xr:uid="{00000000-0005-0000-0000-00004E740000}"/>
    <cellStyle name="Normal 11 4 20 2 3 3" xfId="43956" xr:uid="{00000000-0005-0000-0000-00004F740000}"/>
    <cellStyle name="Normal 11 4 20 2 4" xfId="20724" xr:uid="{00000000-0005-0000-0000-000050740000}"/>
    <cellStyle name="Normal 11 4 20 2 5" xfId="36216" xr:uid="{00000000-0005-0000-0000-000051740000}"/>
    <cellStyle name="Normal 11 4 20 3" xfId="7070" xr:uid="{00000000-0005-0000-0000-000052740000}"/>
    <cellStyle name="Normal 11 4 20 3 2" xfId="14815" xr:uid="{00000000-0005-0000-0000-000053740000}"/>
    <cellStyle name="Normal 11 4 20 3 2 2" xfId="30407" xr:uid="{00000000-0005-0000-0000-000054740000}"/>
    <cellStyle name="Normal 11 4 20 3 2 3" xfId="45899" xr:uid="{00000000-0005-0000-0000-000055740000}"/>
    <cellStyle name="Normal 11 4 20 3 3" xfId="22667" xr:uid="{00000000-0005-0000-0000-000056740000}"/>
    <cellStyle name="Normal 11 4 20 3 4" xfId="38159" xr:uid="{00000000-0005-0000-0000-000057740000}"/>
    <cellStyle name="Normal 11 4 20 4" xfId="10945" xr:uid="{00000000-0005-0000-0000-000058740000}"/>
    <cellStyle name="Normal 11 4 20 4 2" xfId="26537" xr:uid="{00000000-0005-0000-0000-000059740000}"/>
    <cellStyle name="Normal 11 4 20 4 3" xfId="42029" xr:uid="{00000000-0005-0000-0000-00005A740000}"/>
    <cellStyle name="Normal 11 4 20 5" xfId="18797" xr:uid="{00000000-0005-0000-0000-00005B740000}"/>
    <cellStyle name="Normal 11 4 20 6" xfId="34289" xr:uid="{00000000-0005-0000-0000-00005C740000}"/>
    <cellStyle name="Normal 11 4 21" xfId="4137" xr:uid="{00000000-0005-0000-0000-00005D740000}"/>
    <cellStyle name="Normal 11 4 21 2" xfId="6075" xr:uid="{00000000-0005-0000-0000-00005E740000}"/>
    <cellStyle name="Normal 11 4 21 2 2" xfId="9946" xr:uid="{00000000-0005-0000-0000-00005F740000}"/>
    <cellStyle name="Normal 11 4 21 2 2 2" xfId="17691" xr:uid="{00000000-0005-0000-0000-000060740000}"/>
    <cellStyle name="Normal 11 4 21 2 2 2 2" xfId="33283" xr:uid="{00000000-0005-0000-0000-000061740000}"/>
    <cellStyle name="Normal 11 4 21 2 2 2 3" xfId="48775" xr:uid="{00000000-0005-0000-0000-000062740000}"/>
    <cellStyle name="Normal 11 4 21 2 2 3" xfId="25543" xr:uid="{00000000-0005-0000-0000-000063740000}"/>
    <cellStyle name="Normal 11 4 21 2 2 4" xfId="41035" xr:uid="{00000000-0005-0000-0000-000064740000}"/>
    <cellStyle name="Normal 11 4 21 2 3" xfId="13821" xr:uid="{00000000-0005-0000-0000-000065740000}"/>
    <cellStyle name="Normal 11 4 21 2 3 2" xfId="29413" xr:uid="{00000000-0005-0000-0000-000066740000}"/>
    <cellStyle name="Normal 11 4 21 2 3 3" xfId="44905" xr:uid="{00000000-0005-0000-0000-000067740000}"/>
    <cellStyle name="Normal 11 4 21 2 4" xfId="21673" xr:uid="{00000000-0005-0000-0000-000068740000}"/>
    <cellStyle name="Normal 11 4 21 2 5" xfId="37165" xr:uid="{00000000-0005-0000-0000-000069740000}"/>
    <cellStyle name="Normal 11 4 21 3" xfId="8019" xr:uid="{00000000-0005-0000-0000-00006A740000}"/>
    <cellStyle name="Normal 11 4 21 3 2" xfId="15764" xr:uid="{00000000-0005-0000-0000-00006B740000}"/>
    <cellStyle name="Normal 11 4 21 3 2 2" xfId="31356" xr:uid="{00000000-0005-0000-0000-00006C740000}"/>
    <cellStyle name="Normal 11 4 21 3 2 3" xfId="46848" xr:uid="{00000000-0005-0000-0000-00006D740000}"/>
    <cellStyle name="Normal 11 4 21 3 3" xfId="23616" xr:uid="{00000000-0005-0000-0000-00006E740000}"/>
    <cellStyle name="Normal 11 4 21 3 4" xfId="39108" xr:uid="{00000000-0005-0000-0000-00006F740000}"/>
    <cellStyle name="Normal 11 4 21 4" xfId="11894" xr:uid="{00000000-0005-0000-0000-000070740000}"/>
    <cellStyle name="Normal 11 4 21 4 2" xfId="27486" xr:uid="{00000000-0005-0000-0000-000071740000}"/>
    <cellStyle name="Normal 11 4 21 4 3" xfId="42978" xr:uid="{00000000-0005-0000-0000-000072740000}"/>
    <cellStyle name="Normal 11 4 21 5" xfId="19746" xr:uid="{00000000-0005-0000-0000-000073740000}"/>
    <cellStyle name="Normal 11 4 21 6" xfId="35238" xr:uid="{00000000-0005-0000-0000-000074740000}"/>
    <cellStyle name="Normal 11 4 22" xfId="4161" xr:uid="{00000000-0005-0000-0000-000075740000}"/>
    <cellStyle name="Normal 11 4 22 2" xfId="6090" xr:uid="{00000000-0005-0000-0000-000076740000}"/>
    <cellStyle name="Normal 11 4 22 2 2" xfId="9961" xr:uid="{00000000-0005-0000-0000-000077740000}"/>
    <cellStyle name="Normal 11 4 22 2 2 2" xfId="17706" xr:uid="{00000000-0005-0000-0000-000078740000}"/>
    <cellStyle name="Normal 11 4 22 2 2 2 2" xfId="33298" xr:uid="{00000000-0005-0000-0000-000079740000}"/>
    <cellStyle name="Normal 11 4 22 2 2 2 3" xfId="48790" xr:uid="{00000000-0005-0000-0000-00007A740000}"/>
    <cellStyle name="Normal 11 4 22 2 2 3" xfId="25558" xr:uid="{00000000-0005-0000-0000-00007B740000}"/>
    <cellStyle name="Normal 11 4 22 2 2 4" xfId="41050" xr:uid="{00000000-0005-0000-0000-00007C740000}"/>
    <cellStyle name="Normal 11 4 22 2 3" xfId="13836" xr:uid="{00000000-0005-0000-0000-00007D740000}"/>
    <cellStyle name="Normal 11 4 22 2 3 2" xfId="29428" xr:uid="{00000000-0005-0000-0000-00007E740000}"/>
    <cellStyle name="Normal 11 4 22 2 3 3" xfId="44920" xr:uid="{00000000-0005-0000-0000-00007F740000}"/>
    <cellStyle name="Normal 11 4 22 2 4" xfId="21688" xr:uid="{00000000-0005-0000-0000-000080740000}"/>
    <cellStyle name="Normal 11 4 22 2 5" xfId="37180" xr:uid="{00000000-0005-0000-0000-000081740000}"/>
    <cellStyle name="Normal 11 4 22 3" xfId="8034" xr:uid="{00000000-0005-0000-0000-000082740000}"/>
    <cellStyle name="Normal 11 4 22 3 2" xfId="15779" xr:uid="{00000000-0005-0000-0000-000083740000}"/>
    <cellStyle name="Normal 11 4 22 3 2 2" xfId="31371" xr:uid="{00000000-0005-0000-0000-000084740000}"/>
    <cellStyle name="Normal 11 4 22 3 2 3" xfId="46863" xr:uid="{00000000-0005-0000-0000-000085740000}"/>
    <cellStyle name="Normal 11 4 22 3 3" xfId="23631" xr:uid="{00000000-0005-0000-0000-000086740000}"/>
    <cellStyle name="Normal 11 4 22 3 4" xfId="39123" xr:uid="{00000000-0005-0000-0000-000087740000}"/>
    <cellStyle name="Normal 11 4 22 4" xfId="11909" xr:uid="{00000000-0005-0000-0000-000088740000}"/>
    <cellStyle name="Normal 11 4 22 4 2" xfId="27501" xr:uid="{00000000-0005-0000-0000-000089740000}"/>
    <cellStyle name="Normal 11 4 22 4 3" xfId="42993" xr:uid="{00000000-0005-0000-0000-00008A740000}"/>
    <cellStyle name="Normal 11 4 22 5" xfId="19761" xr:uid="{00000000-0005-0000-0000-00008B740000}"/>
    <cellStyle name="Normal 11 4 22 6" xfId="35253" xr:uid="{00000000-0005-0000-0000-00008C740000}"/>
    <cellStyle name="Normal 11 4 23" xfId="4178" xr:uid="{00000000-0005-0000-0000-00008D740000}"/>
    <cellStyle name="Normal 11 4 23 2" xfId="8049" xr:uid="{00000000-0005-0000-0000-00008E740000}"/>
    <cellStyle name="Normal 11 4 23 2 2" xfId="15794" xr:uid="{00000000-0005-0000-0000-00008F740000}"/>
    <cellStyle name="Normal 11 4 23 2 2 2" xfId="31386" xr:uid="{00000000-0005-0000-0000-000090740000}"/>
    <cellStyle name="Normal 11 4 23 2 2 3" xfId="46878" xr:uid="{00000000-0005-0000-0000-000091740000}"/>
    <cellStyle name="Normal 11 4 23 2 3" xfId="23646" xr:uid="{00000000-0005-0000-0000-000092740000}"/>
    <cellStyle name="Normal 11 4 23 2 4" xfId="39138" xr:uid="{00000000-0005-0000-0000-000093740000}"/>
    <cellStyle name="Normal 11 4 23 3" xfId="11924" xr:uid="{00000000-0005-0000-0000-000094740000}"/>
    <cellStyle name="Normal 11 4 23 3 2" xfId="27516" xr:uid="{00000000-0005-0000-0000-000095740000}"/>
    <cellStyle name="Normal 11 4 23 3 3" xfId="43008" xr:uid="{00000000-0005-0000-0000-000096740000}"/>
    <cellStyle name="Normal 11 4 23 4" xfId="19776" xr:uid="{00000000-0005-0000-0000-000097740000}"/>
    <cellStyle name="Normal 11 4 23 5" xfId="35268" xr:uid="{00000000-0005-0000-0000-000098740000}"/>
    <cellStyle name="Normal 11 4 24" xfId="6107" xr:uid="{00000000-0005-0000-0000-000099740000}"/>
    <cellStyle name="Normal 11 4 24 2" xfId="9977" xr:uid="{00000000-0005-0000-0000-00009A740000}"/>
    <cellStyle name="Normal 11 4 24 2 2" xfId="17722" xr:uid="{00000000-0005-0000-0000-00009B740000}"/>
    <cellStyle name="Normal 11 4 24 2 2 2" xfId="33314" xr:uid="{00000000-0005-0000-0000-00009C740000}"/>
    <cellStyle name="Normal 11 4 24 2 2 3" xfId="48806" xr:uid="{00000000-0005-0000-0000-00009D740000}"/>
    <cellStyle name="Normal 11 4 24 2 3" xfId="25574" xr:uid="{00000000-0005-0000-0000-00009E740000}"/>
    <cellStyle name="Normal 11 4 24 2 4" xfId="41066" xr:uid="{00000000-0005-0000-0000-00009F740000}"/>
    <cellStyle name="Normal 11 4 24 3" xfId="13852" xr:uid="{00000000-0005-0000-0000-0000A0740000}"/>
    <cellStyle name="Normal 11 4 24 3 2" xfId="29444" xr:uid="{00000000-0005-0000-0000-0000A1740000}"/>
    <cellStyle name="Normal 11 4 24 3 3" xfId="44936" xr:uid="{00000000-0005-0000-0000-0000A2740000}"/>
    <cellStyle name="Normal 11 4 24 4" xfId="21704" xr:uid="{00000000-0005-0000-0000-0000A3740000}"/>
    <cellStyle name="Normal 11 4 24 5" xfId="37196" xr:uid="{00000000-0005-0000-0000-0000A4740000}"/>
    <cellStyle name="Normal 11 4 25" xfId="6122" xr:uid="{00000000-0005-0000-0000-0000A5740000}"/>
    <cellStyle name="Normal 11 4 25 2" xfId="13867" xr:uid="{00000000-0005-0000-0000-0000A6740000}"/>
    <cellStyle name="Normal 11 4 25 2 2" xfId="29459" xr:uid="{00000000-0005-0000-0000-0000A7740000}"/>
    <cellStyle name="Normal 11 4 25 2 3" xfId="44951" xr:uid="{00000000-0005-0000-0000-0000A8740000}"/>
    <cellStyle name="Normal 11 4 25 3" xfId="21719" xr:uid="{00000000-0005-0000-0000-0000A9740000}"/>
    <cellStyle name="Normal 11 4 25 4" xfId="37211" xr:uid="{00000000-0005-0000-0000-0000AA740000}"/>
    <cellStyle name="Normal 11 4 26" xfId="9997" xr:uid="{00000000-0005-0000-0000-0000AB740000}"/>
    <cellStyle name="Normal 11 4 26 2" xfId="25589" xr:uid="{00000000-0005-0000-0000-0000AC740000}"/>
    <cellStyle name="Normal 11 4 26 3" xfId="41081" xr:uid="{00000000-0005-0000-0000-0000AD740000}"/>
    <cellStyle name="Normal 11 4 27" xfId="17849" xr:uid="{00000000-0005-0000-0000-0000AE740000}"/>
    <cellStyle name="Normal 11 4 28" xfId="33341" xr:uid="{00000000-0005-0000-0000-0000AF740000}"/>
    <cellStyle name="Normal 11 4 29" xfId="48854" xr:uid="{00000000-0005-0000-0000-0000B0740000}"/>
    <cellStyle name="Normal 11 4 3" xfId="2248" xr:uid="{00000000-0005-0000-0000-0000B1740000}"/>
    <cellStyle name="Normal 11 4 3 2" xfId="2565" xr:uid="{00000000-0005-0000-0000-0000B2740000}"/>
    <cellStyle name="Normal 11 4 3 2 2" xfId="3573" xr:uid="{00000000-0005-0000-0000-0000B3740000}"/>
    <cellStyle name="Normal 11 4 3 2 2 2" xfId="5512" xr:uid="{00000000-0005-0000-0000-0000B4740000}"/>
    <cellStyle name="Normal 11 4 3 2 2 2 2" xfId="9383" xr:uid="{00000000-0005-0000-0000-0000B5740000}"/>
    <cellStyle name="Normal 11 4 3 2 2 2 2 2" xfId="17128" xr:uid="{00000000-0005-0000-0000-0000B6740000}"/>
    <cellStyle name="Normal 11 4 3 2 2 2 2 2 2" xfId="32720" xr:uid="{00000000-0005-0000-0000-0000B7740000}"/>
    <cellStyle name="Normal 11 4 3 2 2 2 2 2 3" xfId="48212" xr:uid="{00000000-0005-0000-0000-0000B8740000}"/>
    <cellStyle name="Normal 11 4 3 2 2 2 2 3" xfId="24980" xr:uid="{00000000-0005-0000-0000-0000B9740000}"/>
    <cellStyle name="Normal 11 4 3 2 2 2 2 4" xfId="40472" xr:uid="{00000000-0005-0000-0000-0000BA740000}"/>
    <cellStyle name="Normal 11 4 3 2 2 2 3" xfId="13258" xr:uid="{00000000-0005-0000-0000-0000BB740000}"/>
    <cellStyle name="Normal 11 4 3 2 2 2 3 2" xfId="28850" xr:uid="{00000000-0005-0000-0000-0000BC740000}"/>
    <cellStyle name="Normal 11 4 3 2 2 2 3 3" xfId="44342" xr:uid="{00000000-0005-0000-0000-0000BD740000}"/>
    <cellStyle name="Normal 11 4 3 2 2 2 4" xfId="21110" xr:uid="{00000000-0005-0000-0000-0000BE740000}"/>
    <cellStyle name="Normal 11 4 3 2 2 2 5" xfId="36602" xr:uid="{00000000-0005-0000-0000-0000BF740000}"/>
    <cellStyle name="Normal 11 4 3 2 2 3" xfId="7456" xr:uid="{00000000-0005-0000-0000-0000C0740000}"/>
    <cellStyle name="Normal 11 4 3 2 2 3 2" xfId="15201" xr:uid="{00000000-0005-0000-0000-0000C1740000}"/>
    <cellStyle name="Normal 11 4 3 2 2 3 2 2" xfId="30793" xr:uid="{00000000-0005-0000-0000-0000C2740000}"/>
    <cellStyle name="Normal 11 4 3 2 2 3 2 3" xfId="46285" xr:uid="{00000000-0005-0000-0000-0000C3740000}"/>
    <cellStyle name="Normal 11 4 3 2 2 3 3" xfId="23053" xr:uid="{00000000-0005-0000-0000-0000C4740000}"/>
    <cellStyle name="Normal 11 4 3 2 2 3 4" xfId="38545" xr:uid="{00000000-0005-0000-0000-0000C5740000}"/>
    <cellStyle name="Normal 11 4 3 2 2 4" xfId="11331" xr:uid="{00000000-0005-0000-0000-0000C6740000}"/>
    <cellStyle name="Normal 11 4 3 2 2 4 2" xfId="26923" xr:uid="{00000000-0005-0000-0000-0000C7740000}"/>
    <cellStyle name="Normal 11 4 3 2 2 4 3" xfId="42415" xr:uid="{00000000-0005-0000-0000-0000C8740000}"/>
    <cellStyle name="Normal 11 4 3 2 2 5" xfId="19183" xr:uid="{00000000-0005-0000-0000-0000C9740000}"/>
    <cellStyle name="Normal 11 4 3 2 2 6" xfId="34675" xr:uid="{00000000-0005-0000-0000-0000CA740000}"/>
    <cellStyle name="Normal 11 4 3 2 3" xfId="4564" xr:uid="{00000000-0005-0000-0000-0000CB740000}"/>
    <cellStyle name="Normal 11 4 3 2 3 2" xfId="8435" xr:uid="{00000000-0005-0000-0000-0000CC740000}"/>
    <cellStyle name="Normal 11 4 3 2 3 2 2" xfId="16180" xr:uid="{00000000-0005-0000-0000-0000CD740000}"/>
    <cellStyle name="Normal 11 4 3 2 3 2 2 2" xfId="31772" xr:uid="{00000000-0005-0000-0000-0000CE740000}"/>
    <cellStyle name="Normal 11 4 3 2 3 2 2 3" xfId="47264" xr:uid="{00000000-0005-0000-0000-0000CF740000}"/>
    <cellStyle name="Normal 11 4 3 2 3 2 3" xfId="24032" xr:uid="{00000000-0005-0000-0000-0000D0740000}"/>
    <cellStyle name="Normal 11 4 3 2 3 2 4" xfId="39524" xr:uid="{00000000-0005-0000-0000-0000D1740000}"/>
    <cellStyle name="Normal 11 4 3 2 3 3" xfId="12310" xr:uid="{00000000-0005-0000-0000-0000D2740000}"/>
    <cellStyle name="Normal 11 4 3 2 3 3 2" xfId="27902" xr:uid="{00000000-0005-0000-0000-0000D3740000}"/>
    <cellStyle name="Normal 11 4 3 2 3 3 3" xfId="43394" xr:uid="{00000000-0005-0000-0000-0000D4740000}"/>
    <cellStyle name="Normal 11 4 3 2 3 4" xfId="20162" xr:uid="{00000000-0005-0000-0000-0000D5740000}"/>
    <cellStyle name="Normal 11 4 3 2 3 5" xfId="35654" xr:uid="{00000000-0005-0000-0000-0000D6740000}"/>
    <cellStyle name="Normal 11 4 3 2 4" xfId="6508" xr:uid="{00000000-0005-0000-0000-0000D7740000}"/>
    <cellStyle name="Normal 11 4 3 2 4 2" xfId="14253" xr:uid="{00000000-0005-0000-0000-0000D8740000}"/>
    <cellStyle name="Normal 11 4 3 2 4 2 2" xfId="29845" xr:uid="{00000000-0005-0000-0000-0000D9740000}"/>
    <cellStyle name="Normal 11 4 3 2 4 2 3" xfId="45337" xr:uid="{00000000-0005-0000-0000-0000DA740000}"/>
    <cellStyle name="Normal 11 4 3 2 4 3" xfId="22105" xr:uid="{00000000-0005-0000-0000-0000DB740000}"/>
    <cellStyle name="Normal 11 4 3 2 4 4" xfId="37597" xr:uid="{00000000-0005-0000-0000-0000DC740000}"/>
    <cellStyle name="Normal 11 4 3 2 5" xfId="10383" xr:uid="{00000000-0005-0000-0000-0000DD740000}"/>
    <cellStyle name="Normal 11 4 3 2 5 2" xfId="25975" xr:uid="{00000000-0005-0000-0000-0000DE740000}"/>
    <cellStyle name="Normal 11 4 3 2 5 3" xfId="41467" xr:uid="{00000000-0005-0000-0000-0000DF740000}"/>
    <cellStyle name="Normal 11 4 3 2 6" xfId="18235" xr:uid="{00000000-0005-0000-0000-0000E0740000}"/>
    <cellStyle name="Normal 11 4 3 2 7" xfId="33727" xr:uid="{00000000-0005-0000-0000-0000E1740000}"/>
    <cellStyle name="Normal 11 4 3 3" xfId="3264" xr:uid="{00000000-0005-0000-0000-0000E2740000}"/>
    <cellStyle name="Normal 11 4 3 3 2" xfId="5203" xr:uid="{00000000-0005-0000-0000-0000E3740000}"/>
    <cellStyle name="Normal 11 4 3 3 2 2" xfId="9074" xr:uid="{00000000-0005-0000-0000-0000E4740000}"/>
    <cellStyle name="Normal 11 4 3 3 2 2 2" xfId="16819" xr:uid="{00000000-0005-0000-0000-0000E5740000}"/>
    <cellStyle name="Normal 11 4 3 3 2 2 2 2" xfId="32411" xr:uid="{00000000-0005-0000-0000-0000E6740000}"/>
    <cellStyle name="Normal 11 4 3 3 2 2 2 3" xfId="47903" xr:uid="{00000000-0005-0000-0000-0000E7740000}"/>
    <cellStyle name="Normal 11 4 3 3 2 2 3" xfId="24671" xr:uid="{00000000-0005-0000-0000-0000E8740000}"/>
    <cellStyle name="Normal 11 4 3 3 2 2 4" xfId="40163" xr:uid="{00000000-0005-0000-0000-0000E9740000}"/>
    <cellStyle name="Normal 11 4 3 3 2 3" xfId="12949" xr:uid="{00000000-0005-0000-0000-0000EA740000}"/>
    <cellStyle name="Normal 11 4 3 3 2 3 2" xfId="28541" xr:uid="{00000000-0005-0000-0000-0000EB740000}"/>
    <cellStyle name="Normal 11 4 3 3 2 3 3" xfId="44033" xr:uid="{00000000-0005-0000-0000-0000EC740000}"/>
    <cellStyle name="Normal 11 4 3 3 2 4" xfId="20801" xr:uid="{00000000-0005-0000-0000-0000ED740000}"/>
    <cellStyle name="Normal 11 4 3 3 2 5" xfId="36293" xr:uid="{00000000-0005-0000-0000-0000EE740000}"/>
    <cellStyle name="Normal 11 4 3 3 3" xfId="7147" xr:uid="{00000000-0005-0000-0000-0000EF740000}"/>
    <cellStyle name="Normal 11 4 3 3 3 2" xfId="14892" xr:uid="{00000000-0005-0000-0000-0000F0740000}"/>
    <cellStyle name="Normal 11 4 3 3 3 2 2" xfId="30484" xr:uid="{00000000-0005-0000-0000-0000F1740000}"/>
    <cellStyle name="Normal 11 4 3 3 3 2 3" xfId="45976" xr:uid="{00000000-0005-0000-0000-0000F2740000}"/>
    <cellStyle name="Normal 11 4 3 3 3 3" xfId="22744" xr:uid="{00000000-0005-0000-0000-0000F3740000}"/>
    <cellStyle name="Normal 11 4 3 3 3 4" xfId="38236" xr:uid="{00000000-0005-0000-0000-0000F4740000}"/>
    <cellStyle name="Normal 11 4 3 3 4" xfId="11022" xr:uid="{00000000-0005-0000-0000-0000F5740000}"/>
    <cellStyle name="Normal 11 4 3 3 4 2" xfId="26614" xr:uid="{00000000-0005-0000-0000-0000F6740000}"/>
    <cellStyle name="Normal 11 4 3 3 4 3" xfId="42106" xr:uid="{00000000-0005-0000-0000-0000F7740000}"/>
    <cellStyle name="Normal 11 4 3 3 5" xfId="18874" xr:uid="{00000000-0005-0000-0000-0000F8740000}"/>
    <cellStyle name="Normal 11 4 3 3 6" xfId="34366" xr:uid="{00000000-0005-0000-0000-0000F9740000}"/>
    <cellStyle name="Normal 11 4 3 4" xfId="4255" xr:uid="{00000000-0005-0000-0000-0000FA740000}"/>
    <cellStyle name="Normal 11 4 3 4 2" xfId="8126" xr:uid="{00000000-0005-0000-0000-0000FB740000}"/>
    <cellStyle name="Normal 11 4 3 4 2 2" xfId="15871" xr:uid="{00000000-0005-0000-0000-0000FC740000}"/>
    <cellStyle name="Normal 11 4 3 4 2 2 2" xfId="31463" xr:uid="{00000000-0005-0000-0000-0000FD740000}"/>
    <cellStyle name="Normal 11 4 3 4 2 2 3" xfId="46955" xr:uid="{00000000-0005-0000-0000-0000FE740000}"/>
    <cellStyle name="Normal 11 4 3 4 2 3" xfId="23723" xr:uid="{00000000-0005-0000-0000-0000FF740000}"/>
    <cellStyle name="Normal 11 4 3 4 2 4" xfId="39215" xr:uid="{00000000-0005-0000-0000-000000750000}"/>
    <cellStyle name="Normal 11 4 3 4 3" xfId="12001" xr:uid="{00000000-0005-0000-0000-000001750000}"/>
    <cellStyle name="Normal 11 4 3 4 3 2" xfId="27593" xr:uid="{00000000-0005-0000-0000-000002750000}"/>
    <cellStyle name="Normal 11 4 3 4 3 3" xfId="43085" xr:uid="{00000000-0005-0000-0000-000003750000}"/>
    <cellStyle name="Normal 11 4 3 4 4" xfId="19853" xr:uid="{00000000-0005-0000-0000-000004750000}"/>
    <cellStyle name="Normal 11 4 3 4 5" xfId="35345" xr:uid="{00000000-0005-0000-0000-000005750000}"/>
    <cellStyle name="Normal 11 4 3 5" xfId="6199" xr:uid="{00000000-0005-0000-0000-000006750000}"/>
    <cellStyle name="Normal 11 4 3 5 2" xfId="13944" xr:uid="{00000000-0005-0000-0000-000007750000}"/>
    <cellStyle name="Normal 11 4 3 5 2 2" xfId="29536" xr:uid="{00000000-0005-0000-0000-000008750000}"/>
    <cellStyle name="Normal 11 4 3 5 2 3" xfId="45028" xr:uid="{00000000-0005-0000-0000-000009750000}"/>
    <cellStyle name="Normal 11 4 3 5 3" xfId="21796" xr:uid="{00000000-0005-0000-0000-00000A750000}"/>
    <cellStyle name="Normal 11 4 3 5 4" xfId="37288" xr:uid="{00000000-0005-0000-0000-00000B750000}"/>
    <cellStyle name="Normal 11 4 3 6" xfId="10074" xr:uid="{00000000-0005-0000-0000-00000C750000}"/>
    <cellStyle name="Normal 11 4 3 6 2" xfId="25666" xr:uid="{00000000-0005-0000-0000-00000D750000}"/>
    <cellStyle name="Normal 11 4 3 6 3" xfId="41158" xr:uid="{00000000-0005-0000-0000-00000E750000}"/>
    <cellStyle name="Normal 11 4 3 7" xfId="17926" xr:uid="{00000000-0005-0000-0000-00000F750000}"/>
    <cellStyle name="Normal 11 4 3 8" xfId="33418" xr:uid="{00000000-0005-0000-0000-000010750000}"/>
    <cellStyle name="Normal 11 4 4" xfId="2285" xr:uid="{00000000-0005-0000-0000-000011750000}"/>
    <cellStyle name="Normal 11 4 4 2" xfId="2601" xr:uid="{00000000-0005-0000-0000-000012750000}"/>
    <cellStyle name="Normal 11 4 4 2 2" xfId="3609" xr:uid="{00000000-0005-0000-0000-000013750000}"/>
    <cellStyle name="Normal 11 4 4 2 2 2" xfId="5548" xr:uid="{00000000-0005-0000-0000-000014750000}"/>
    <cellStyle name="Normal 11 4 4 2 2 2 2" xfId="9419" xr:uid="{00000000-0005-0000-0000-000015750000}"/>
    <cellStyle name="Normal 11 4 4 2 2 2 2 2" xfId="17164" xr:uid="{00000000-0005-0000-0000-000016750000}"/>
    <cellStyle name="Normal 11 4 4 2 2 2 2 2 2" xfId="32756" xr:uid="{00000000-0005-0000-0000-000017750000}"/>
    <cellStyle name="Normal 11 4 4 2 2 2 2 2 3" xfId="48248" xr:uid="{00000000-0005-0000-0000-000018750000}"/>
    <cellStyle name="Normal 11 4 4 2 2 2 2 3" xfId="25016" xr:uid="{00000000-0005-0000-0000-000019750000}"/>
    <cellStyle name="Normal 11 4 4 2 2 2 2 4" xfId="40508" xr:uid="{00000000-0005-0000-0000-00001A750000}"/>
    <cellStyle name="Normal 11 4 4 2 2 2 3" xfId="13294" xr:uid="{00000000-0005-0000-0000-00001B750000}"/>
    <cellStyle name="Normal 11 4 4 2 2 2 3 2" xfId="28886" xr:uid="{00000000-0005-0000-0000-00001C750000}"/>
    <cellStyle name="Normal 11 4 4 2 2 2 3 3" xfId="44378" xr:uid="{00000000-0005-0000-0000-00001D750000}"/>
    <cellStyle name="Normal 11 4 4 2 2 2 4" xfId="21146" xr:uid="{00000000-0005-0000-0000-00001E750000}"/>
    <cellStyle name="Normal 11 4 4 2 2 2 5" xfId="36638" xr:uid="{00000000-0005-0000-0000-00001F750000}"/>
    <cellStyle name="Normal 11 4 4 2 2 3" xfId="7492" xr:uid="{00000000-0005-0000-0000-000020750000}"/>
    <cellStyle name="Normal 11 4 4 2 2 3 2" xfId="15237" xr:uid="{00000000-0005-0000-0000-000021750000}"/>
    <cellStyle name="Normal 11 4 4 2 2 3 2 2" xfId="30829" xr:uid="{00000000-0005-0000-0000-000022750000}"/>
    <cellStyle name="Normal 11 4 4 2 2 3 2 3" xfId="46321" xr:uid="{00000000-0005-0000-0000-000023750000}"/>
    <cellStyle name="Normal 11 4 4 2 2 3 3" xfId="23089" xr:uid="{00000000-0005-0000-0000-000024750000}"/>
    <cellStyle name="Normal 11 4 4 2 2 3 4" xfId="38581" xr:uid="{00000000-0005-0000-0000-000025750000}"/>
    <cellStyle name="Normal 11 4 4 2 2 4" xfId="11367" xr:uid="{00000000-0005-0000-0000-000026750000}"/>
    <cellStyle name="Normal 11 4 4 2 2 4 2" xfId="26959" xr:uid="{00000000-0005-0000-0000-000027750000}"/>
    <cellStyle name="Normal 11 4 4 2 2 4 3" xfId="42451" xr:uid="{00000000-0005-0000-0000-000028750000}"/>
    <cellStyle name="Normal 11 4 4 2 2 5" xfId="19219" xr:uid="{00000000-0005-0000-0000-000029750000}"/>
    <cellStyle name="Normal 11 4 4 2 2 6" xfId="34711" xr:uid="{00000000-0005-0000-0000-00002A750000}"/>
    <cellStyle name="Normal 11 4 4 2 3" xfId="4600" xr:uid="{00000000-0005-0000-0000-00002B750000}"/>
    <cellStyle name="Normal 11 4 4 2 3 2" xfId="8471" xr:uid="{00000000-0005-0000-0000-00002C750000}"/>
    <cellStyle name="Normal 11 4 4 2 3 2 2" xfId="16216" xr:uid="{00000000-0005-0000-0000-00002D750000}"/>
    <cellStyle name="Normal 11 4 4 2 3 2 2 2" xfId="31808" xr:uid="{00000000-0005-0000-0000-00002E750000}"/>
    <cellStyle name="Normal 11 4 4 2 3 2 2 3" xfId="47300" xr:uid="{00000000-0005-0000-0000-00002F750000}"/>
    <cellStyle name="Normal 11 4 4 2 3 2 3" xfId="24068" xr:uid="{00000000-0005-0000-0000-000030750000}"/>
    <cellStyle name="Normal 11 4 4 2 3 2 4" xfId="39560" xr:uid="{00000000-0005-0000-0000-000031750000}"/>
    <cellStyle name="Normal 11 4 4 2 3 3" xfId="12346" xr:uid="{00000000-0005-0000-0000-000032750000}"/>
    <cellStyle name="Normal 11 4 4 2 3 3 2" xfId="27938" xr:uid="{00000000-0005-0000-0000-000033750000}"/>
    <cellStyle name="Normal 11 4 4 2 3 3 3" xfId="43430" xr:uid="{00000000-0005-0000-0000-000034750000}"/>
    <cellStyle name="Normal 11 4 4 2 3 4" xfId="20198" xr:uid="{00000000-0005-0000-0000-000035750000}"/>
    <cellStyle name="Normal 11 4 4 2 3 5" xfId="35690" xr:uid="{00000000-0005-0000-0000-000036750000}"/>
    <cellStyle name="Normal 11 4 4 2 4" xfId="6544" xr:uid="{00000000-0005-0000-0000-000037750000}"/>
    <cellStyle name="Normal 11 4 4 2 4 2" xfId="14289" xr:uid="{00000000-0005-0000-0000-000038750000}"/>
    <cellStyle name="Normal 11 4 4 2 4 2 2" xfId="29881" xr:uid="{00000000-0005-0000-0000-000039750000}"/>
    <cellStyle name="Normal 11 4 4 2 4 2 3" xfId="45373" xr:uid="{00000000-0005-0000-0000-00003A750000}"/>
    <cellStyle name="Normal 11 4 4 2 4 3" xfId="22141" xr:uid="{00000000-0005-0000-0000-00003B750000}"/>
    <cellStyle name="Normal 11 4 4 2 4 4" xfId="37633" xr:uid="{00000000-0005-0000-0000-00003C750000}"/>
    <cellStyle name="Normal 11 4 4 2 5" xfId="10419" xr:uid="{00000000-0005-0000-0000-00003D750000}"/>
    <cellStyle name="Normal 11 4 4 2 5 2" xfId="26011" xr:uid="{00000000-0005-0000-0000-00003E750000}"/>
    <cellStyle name="Normal 11 4 4 2 5 3" xfId="41503" xr:uid="{00000000-0005-0000-0000-00003F750000}"/>
    <cellStyle name="Normal 11 4 4 2 6" xfId="18271" xr:uid="{00000000-0005-0000-0000-000040750000}"/>
    <cellStyle name="Normal 11 4 4 2 7" xfId="33763" xr:uid="{00000000-0005-0000-0000-000041750000}"/>
    <cellStyle name="Normal 11 4 4 3" xfId="3300" xr:uid="{00000000-0005-0000-0000-000042750000}"/>
    <cellStyle name="Normal 11 4 4 3 2" xfId="5239" xr:uid="{00000000-0005-0000-0000-000043750000}"/>
    <cellStyle name="Normal 11 4 4 3 2 2" xfId="9110" xr:uid="{00000000-0005-0000-0000-000044750000}"/>
    <cellStyle name="Normal 11 4 4 3 2 2 2" xfId="16855" xr:uid="{00000000-0005-0000-0000-000045750000}"/>
    <cellStyle name="Normal 11 4 4 3 2 2 2 2" xfId="32447" xr:uid="{00000000-0005-0000-0000-000046750000}"/>
    <cellStyle name="Normal 11 4 4 3 2 2 2 3" xfId="47939" xr:uid="{00000000-0005-0000-0000-000047750000}"/>
    <cellStyle name="Normal 11 4 4 3 2 2 3" xfId="24707" xr:uid="{00000000-0005-0000-0000-000048750000}"/>
    <cellStyle name="Normal 11 4 4 3 2 2 4" xfId="40199" xr:uid="{00000000-0005-0000-0000-000049750000}"/>
    <cellStyle name="Normal 11 4 4 3 2 3" xfId="12985" xr:uid="{00000000-0005-0000-0000-00004A750000}"/>
    <cellStyle name="Normal 11 4 4 3 2 3 2" xfId="28577" xr:uid="{00000000-0005-0000-0000-00004B750000}"/>
    <cellStyle name="Normal 11 4 4 3 2 3 3" xfId="44069" xr:uid="{00000000-0005-0000-0000-00004C750000}"/>
    <cellStyle name="Normal 11 4 4 3 2 4" xfId="20837" xr:uid="{00000000-0005-0000-0000-00004D750000}"/>
    <cellStyle name="Normal 11 4 4 3 2 5" xfId="36329" xr:uid="{00000000-0005-0000-0000-00004E750000}"/>
    <cellStyle name="Normal 11 4 4 3 3" xfId="7183" xr:uid="{00000000-0005-0000-0000-00004F750000}"/>
    <cellStyle name="Normal 11 4 4 3 3 2" xfId="14928" xr:uid="{00000000-0005-0000-0000-000050750000}"/>
    <cellStyle name="Normal 11 4 4 3 3 2 2" xfId="30520" xr:uid="{00000000-0005-0000-0000-000051750000}"/>
    <cellStyle name="Normal 11 4 4 3 3 2 3" xfId="46012" xr:uid="{00000000-0005-0000-0000-000052750000}"/>
    <cellStyle name="Normal 11 4 4 3 3 3" xfId="22780" xr:uid="{00000000-0005-0000-0000-000053750000}"/>
    <cellStyle name="Normal 11 4 4 3 3 4" xfId="38272" xr:uid="{00000000-0005-0000-0000-000054750000}"/>
    <cellStyle name="Normal 11 4 4 3 4" xfId="11058" xr:uid="{00000000-0005-0000-0000-000055750000}"/>
    <cellStyle name="Normal 11 4 4 3 4 2" xfId="26650" xr:uid="{00000000-0005-0000-0000-000056750000}"/>
    <cellStyle name="Normal 11 4 4 3 4 3" xfId="42142" xr:uid="{00000000-0005-0000-0000-000057750000}"/>
    <cellStyle name="Normal 11 4 4 3 5" xfId="18910" xr:uid="{00000000-0005-0000-0000-000058750000}"/>
    <cellStyle name="Normal 11 4 4 3 6" xfId="34402" xr:uid="{00000000-0005-0000-0000-000059750000}"/>
    <cellStyle name="Normal 11 4 4 4" xfId="4291" xr:uid="{00000000-0005-0000-0000-00005A750000}"/>
    <cellStyle name="Normal 11 4 4 4 2" xfId="8162" xr:uid="{00000000-0005-0000-0000-00005B750000}"/>
    <cellStyle name="Normal 11 4 4 4 2 2" xfId="15907" xr:uid="{00000000-0005-0000-0000-00005C750000}"/>
    <cellStyle name="Normal 11 4 4 4 2 2 2" xfId="31499" xr:uid="{00000000-0005-0000-0000-00005D750000}"/>
    <cellStyle name="Normal 11 4 4 4 2 2 3" xfId="46991" xr:uid="{00000000-0005-0000-0000-00005E750000}"/>
    <cellStyle name="Normal 11 4 4 4 2 3" xfId="23759" xr:uid="{00000000-0005-0000-0000-00005F750000}"/>
    <cellStyle name="Normal 11 4 4 4 2 4" xfId="39251" xr:uid="{00000000-0005-0000-0000-000060750000}"/>
    <cellStyle name="Normal 11 4 4 4 3" xfId="12037" xr:uid="{00000000-0005-0000-0000-000061750000}"/>
    <cellStyle name="Normal 11 4 4 4 3 2" xfId="27629" xr:uid="{00000000-0005-0000-0000-000062750000}"/>
    <cellStyle name="Normal 11 4 4 4 3 3" xfId="43121" xr:uid="{00000000-0005-0000-0000-000063750000}"/>
    <cellStyle name="Normal 11 4 4 4 4" xfId="19889" xr:uid="{00000000-0005-0000-0000-000064750000}"/>
    <cellStyle name="Normal 11 4 4 4 5" xfId="35381" xr:uid="{00000000-0005-0000-0000-000065750000}"/>
    <cellStyle name="Normal 11 4 4 5" xfId="6235" xr:uid="{00000000-0005-0000-0000-000066750000}"/>
    <cellStyle name="Normal 11 4 4 5 2" xfId="13980" xr:uid="{00000000-0005-0000-0000-000067750000}"/>
    <cellStyle name="Normal 11 4 4 5 2 2" xfId="29572" xr:uid="{00000000-0005-0000-0000-000068750000}"/>
    <cellStyle name="Normal 11 4 4 5 2 3" xfId="45064" xr:uid="{00000000-0005-0000-0000-000069750000}"/>
    <cellStyle name="Normal 11 4 4 5 3" xfId="21832" xr:uid="{00000000-0005-0000-0000-00006A750000}"/>
    <cellStyle name="Normal 11 4 4 5 4" xfId="37324" xr:uid="{00000000-0005-0000-0000-00006B750000}"/>
    <cellStyle name="Normal 11 4 4 6" xfId="10110" xr:uid="{00000000-0005-0000-0000-00006C750000}"/>
    <cellStyle name="Normal 11 4 4 6 2" xfId="25702" xr:uid="{00000000-0005-0000-0000-00006D750000}"/>
    <cellStyle name="Normal 11 4 4 6 3" xfId="41194" xr:uid="{00000000-0005-0000-0000-00006E750000}"/>
    <cellStyle name="Normal 11 4 4 7" xfId="17962" xr:uid="{00000000-0005-0000-0000-00006F750000}"/>
    <cellStyle name="Normal 11 4 4 8" xfId="33454" xr:uid="{00000000-0005-0000-0000-000070750000}"/>
    <cellStyle name="Normal 11 4 5" xfId="2322" xr:uid="{00000000-0005-0000-0000-000071750000}"/>
    <cellStyle name="Normal 11 4 5 2" xfId="2637" xr:uid="{00000000-0005-0000-0000-000072750000}"/>
    <cellStyle name="Normal 11 4 5 2 2" xfId="3645" xr:uid="{00000000-0005-0000-0000-000073750000}"/>
    <cellStyle name="Normal 11 4 5 2 2 2" xfId="5584" xr:uid="{00000000-0005-0000-0000-000074750000}"/>
    <cellStyle name="Normal 11 4 5 2 2 2 2" xfId="9455" xr:uid="{00000000-0005-0000-0000-000075750000}"/>
    <cellStyle name="Normal 11 4 5 2 2 2 2 2" xfId="17200" xr:uid="{00000000-0005-0000-0000-000076750000}"/>
    <cellStyle name="Normal 11 4 5 2 2 2 2 2 2" xfId="32792" xr:uid="{00000000-0005-0000-0000-000077750000}"/>
    <cellStyle name="Normal 11 4 5 2 2 2 2 2 3" xfId="48284" xr:uid="{00000000-0005-0000-0000-000078750000}"/>
    <cellStyle name="Normal 11 4 5 2 2 2 2 3" xfId="25052" xr:uid="{00000000-0005-0000-0000-000079750000}"/>
    <cellStyle name="Normal 11 4 5 2 2 2 2 4" xfId="40544" xr:uid="{00000000-0005-0000-0000-00007A750000}"/>
    <cellStyle name="Normal 11 4 5 2 2 2 3" xfId="13330" xr:uid="{00000000-0005-0000-0000-00007B750000}"/>
    <cellStyle name="Normal 11 4 5 2 2 2 3 2" xfId="28922" xr:uid="{00000000-0005-0000-0000-00007C750000}"/>
    <cellStyle name="Normal 11 4 5 2 2 2 3 3" xfId="44414" xr:uid="{00000000-0005-0000-0000-00007D750000}"/>
    <cellStyle name="Normal 11 4 5 2 2 2 4" xfId="21182" xr:uid="{00000000-0005-0000-0000-00007E750000}"/>
    <cellStyle name="Normal 11 4 5 2 2 2 5" xfId="36674" xr:uid="{00000000-0005-0000-0000-00007F750000}"/>
    <cellStyle name="Normal 11 4 5 2 2 3" xfId="7528" xr:uid="{00000000-0005-0000-0000-000080750000}"/>
    <cellStyle name="Normal 11 4 5 2 2 3 2" xfId="15273" xr:uid="{00000000-0005-0000-0000-000081750000}"/>
    <cellStyle name="Normal 11 4 5 2 2 3 2 2" xfId="30865" xr:uid="{00000000-0005-0000-0000-000082750000}"/>
    <cellStyle name="Normal 11 4 5 2 2 3 2 3" xfId="46357" xr:uid="{00000000-0005-0000-0000-000083750000}"/>
    <cellStyle name="Normal 11 4 5 2 2 3 3" xfId="23125" xr:uid="{00000000-0005-0000-0000-000084750000}"/>
    <cellStyle name="Normal 11 4 5 2 2 3 4" xfId="38617" xr:uid="{00000000-0005-0000-0000-000085750000}"/>
    <cellStyle name="Normal 11 4 5 2 2 4" xfId="11403" xr:uid="{00000000-0005-0000-0000-000086750000}"/>
    <cellStyle name="Normal 11 4 5 2 2 4 2" xfId="26995" xr:uid="{00000000-0005-0000-0000-000087750000}"/>
    <cellStyle name="Normal 11 4 5 2 2 4 3" xfId="42487" xr:uid="{00000000-0005-0000-0000-000088750000}"/>
    <cellStyle name="Normal 11 4 5 2 2 5" xfId="19255" xr:uid="{00000000-0005-0000-0000-000089750000}"/>
    <cellStyle name="Normal 11 4 5 2 2 6" xfId="34747" xr:uid="{00000000-0005-0000-0000-00008A750000}"/>
    <cellStyle name="Normal 11 4 5 2 3" xfId="4636" xr:uid="{00000000-0005-0000-0000-00008B750000}"/>
    <cellStyle name="Normal 11 4 5 2 3 2" xfId="8507" xr:uid="{00000000-0005-0000-0000-00008C750000}"/>
    <cellStyle name="Normal 11 4 5 2 3 2 2" xfId="16252" xr:uid="{00000000-0005-0000-0000-00008D750000}"/>
    <cellStyle name="Normal 11 4 5 2 3 2 2 2" xfId="31844" xr:uid="{00000000-0005-0000-0000-00008E750000}"/>
    <cellStyle name="Normal 11 4 5 2 3 2 2 3" xfId="47336" xr:uid="{00000000-0005-0000-0000-00008F750000}"/>
    <cellStyle name="Normal 11 4 5 2 3 2 3" xfId="24104" xr:uid="{00000000-0005-0000-0000-000090750000}"/>
    <cellStyle name="Normal 11 4 5 2 3 2 4" xfId="39596" xr:uid="{00000000-0005-0000-0000-000091750000}"/>
    <cellStyle name="Normal 11 4 5 2 3 3" xfId="12382" xr:uid="{00000000-0005-0000-0000-000092750000}"/>
    <cellStyle name="Normal 11 4 5 2 3 3 2" xfId="27974" xr:uid="{00000000-0005-0000-0000-000093750000}"/>
    <cellStyle name="Normal 11 4 5 2 3 3 3" xfId="43466" xr:uid="{00000000-0005-0000-0000-000094750000}"/>
    <cellStyle name="Normal 11 4 5 2 3 4" xfId="20234" xr:uid="{00000000-0005-0000-0000-000095750000}"/>
    <cellStyle name="Normal 11 4 5 2 3 5" xfId="35726" xr:uid="{00000000-0005-0000-0000-000096750000}"/>
    <cellStyle name="Normal 11 4 5 2 4" xfId="6580" xr:uid="{00000000-0005-0000-0000-000097750000}"/>
    <cellStyle name="Normal 11 4 5 2 4 2" xfId="14325" xr:uid="{00000000-0005-0000-0000-000098750000}"/>
    <cellStyle name="Normal 11 4 5 2 4 2 2" xfId="29917" xr:uid="{00000000-0005-0000-0000-000099750000}"/>
    <cellStyle name="Normal 11 4 5 2 4 2 3" xfId="45409" xr:uid="{00000000-0005-0000-0000-00009A750000}"/>
    <cellStyle name="Normal 11 4 5 2 4 3" xfId="22177" xr:uid="{00000000-0005-0000-0000-00009B750000}"/>
    <cellStyle name="Normal 11 4 5 2 4 4" xfId="37669" xr:uid="{00000000-0005-0000-0000-00009C750000}"/>
    <cellStyle name="Normal 11 4 5 2 5" xfId="10455" xr:uid="{00000000-0005-0000-0000-00009D750000}"/>
    <cellStyle name="Normal 11 4 5 2 5 2" xfId="26047" xr:uid="{00000000-0005-0000-0000-00009E750000}"/>
    <cellStyle name="Normal 11 4 5 2 5 3" xfId="41539" xr:uid="{00000000-0005-0000-0000-00009F750000}"/>
    <cellStyle name="Normal 11 4 5 2 6" xfId="18307" xr:uid="{00000000-0005-0000-0000-0000A0750000}"/>
    <cellStyle name="Normal 11 4 5 2 7" xfId="33799" xr:uid="{00000000-0005-0000-0000-0000A1750000}"/>
    <cellStyle name="Normal 11 4 5 3" xfId="3336" xr:uid="{00000000-0005-0000-0000-0000A2750000}"/>
    <cellStyle name="Normal 11 4 5 3 2" xfId="5275" xr:uid="{00000000-0005-0000-0000-0000A3750000}"/>
    <cellStyle name="Normal 11 4 5 3 2 2" xfId="9146" xr:uid="{00000000-0005-0000-0000-0000A4750000}"/>
    <cellStyle name="Normal 11 4 5 3 2 2 2" xfId="16891" xr:uid="{00000000-0005-0000-0000-0000A5750000}"/>
    <cellStyle name="Normal 11 4 5 3 2 2 2 2" xfId="32483" xr:uid="{00000000-0005-0000-0000-0000A6750000}"/>
    <cellStyle name="Normal 11 4 5 3 2 2 2 3" xfId="47975" xr:uid="{00000000-0005-0000-0000-0000A7750000}"/>
    <cellStyle name="Normal 11 4 5 3 2 2 3" xfId="24743" xr:uid="{00000000-0005-0000-0000-0000A8750000}"/>
    <cellStyle name="Normal 11 4 5 3 2 2 4" xfId="40235" xr:uid="{00000000-0005-0000-0000-0000A9750000}"/>
    <cellStyle name="Normal 11 4 5 3 2 3" xfId="13021" xr:uid="{00000000-0005-0000-0000-0000AA750000}"/>
    <cellStyle name="Normal 11 4 5 3 2 3 2" xfId="28613" xr:uid="{00000000-0005-0000-0000-0000AB750000}"/>
    <cellStyle name="Normal 11 4 5 3 2 3 3" xfId="44105" xr:uid="{00000000-0005-0000-0000-0000AC750000}"/>
    <cellStyle name="Normal 11 4 5 3 2 4" xfId="20873" xr:uid="{00000000-0005-0000-0000-0000AD750000}"/>
    <cellStyle name="Normal 11 4 5 3 2 5" xfId="36365" xr:uid="{00000000-0005-0000-0000-0000AE750000}"/>
    <cellStyle name="Normal 11 4 5 3 3" xfId="7219" xr:uid="{00000000-0005-0000-0000-0000AF750000}"/>
    <cellStyle name="Normal 11 4 5 3 3 2" xfId="14964" xr:uid="{00000000-0005-0000-0000-0000B0750000}"/>
    <cellStyle name="Normal 11 4 5 3 3 2 2" xfId="30556" xr:uid="{00000000-0005-0000-0000-0000B1750000}"/>
    <cellStyle name="Normal 11 4 5 3 3 2 3" xfId="46048" xr:uid="{00000000-0005-0000-0000-0000B2750000}"/>
    <cellStyle name="Normal 11 4 5 3 3 3" xfId="22816" xr:uid="{00000000-0005-0000-0000-0000B3750000}"/>
    <cellStyle name="Normal 11 4 5 3 3 4" xfId="38308" xr:uid="{00000000-0005-0000-0000-0000B4750000}"/>
    <cellStyle name="Normal 11 4 5 3 4" xfId="11094" xr:uid="{00000000-0005-0000-0000-0000B5750000}"/>
    <cellStyle name="Normal 11 4 5 3 4 2" xfId="26686" xr:uid="{00000000-0005-0000-0000-0000B6750000}"/>
    <cellStyle name="Normal 11 4 5 3 4 3" xfId="42178" xr:uid="{00000000-0005-0000-0000-0000B7750000}"/>
    <cellStyle name="Normal 11 4 5 3 5" xfId="18946" xr:uid="{00000000-0005-0000-0000-0000B8750000}"/>
    <cellStyle name="Normal 11 4 5 3 6" xfId="34438" xr:uid="{00000000-0005-0000-0000-0000B9750000}"/>
    <cellStyle name="Normal 11 4 5 4" xfId="4327" xr:uid="{00000000-0005-0000-0000-0000BA750000}"/>
    <cellStyle name="Normal 11 4 5 4 2" xfId="8198" xr:uid="{00000000-0005-0000-0000-0000BB750000}"/>
    <cellStyle name="Normal 11 4 5 4 2 2" xfId="15943" xr:uid="{00000000-0005-0000-0000-0000BC750000}"/>
    <cellStyle name="Normal 11 4 5 4 2 2 2" xfId="31535" xr:uid="{00000000-0005-0000-0000-0000BD750000}"/>
    <cellStyle name="Normal 11 4 5 4 2 2 3" xfId="47027" xr:uid="{00000000-0005-0000-0000-0000BE750000}"/>
    <cellStyle name="Normal 11 4 5 4 2 3" xfId="23795" xr:uid="{00000000-0005-0000-0000-0000BF750000}"/>
    <cellStyle name="Normal 11 4 5 4 2 4" xfId="39287" xr:uid="{00000000-0005-0000-0000-0000C0750000}"/>
    <cellStyle name="Normal 11 4 5 4 3" xfId="12073" xr:uid="{00000000-0005-0000-0000-0000C1750000}"/>
    <cellStyle name="Normal 11 4 5 4 3 2" xfId="27665" xr:uid="{00000000-0005-0000-0000-0000C2750000}"/>
    <cellStyle name="Normal 11 4 5 4 3 3" xfId="43157" xr:uid="{00000000-0005-0000-0000-0000C3750000}"/>
    <cellStyle name="Normal 11 4 5 4 4" xfId="19925" xr:uid="{00000000-0005-0000-0000-0000C4750000}"/>
    <cellStyle name="Normal 11 4 5 4 5" xfId="35417" xr:uid="{00000000-0005-0000-0000-0000C5750000}"/>
    <cellStyle name="Normal 11 4 5 5" xfId="6271" xr:uid="{00000000-0005-0000-0000-0000C6750000}"/>
    <cellStyle name="Normal 11 4 5 5 2" xfId="14016" xr:uid="{00000000-0005-0000-0000-0000C7750000}"/>
    <cellStyle name="Normal 11 4 5 5 2 2" xfId="29608" xr:uid="{00000000-0005-0000-0000-0000C8750000}"/>
    <cellStyle name="Normal 11 4 5 5 2 3" xfId="45100" xr:uid="{00000000-0005-0000-0000-0000C9750000}"/>
    <cellStyle name="Normal 11 4 5 5 3" xfId="21868" xr:uid="{00000000-0005-0000-0000-0000CA750000}"/>
    <cellStyle name="Normal 11 4 5 5 4" xfId="37360" xr:uid="{00000000-0005-0000-0000-0000CB750000}"/>
    <cellStyle name="Normal 11 4 5 6" xfId="10146" xr:uid="{00000000-0005-0000-0000-0000CC750000}"/>
    <cellStyle name="Normal 11 4 5 6 2" xfId="25738" xr:uid="{00000000-0005-0000-0000-0000CD750000}"/>
    <cellStyle name="Normal 11 4 5 6 3" xfId="41230" xr:uid="{00000000-0005-0000-0000-0000CE750000}"/>
    <cellStyle name="Normal 11 4 5 7" xfId="17998" xr:uid="{00000000-0005-0000-0000-0000CF750000}"/>
    <cellStyle name="Normal 11 4 5 8" xfId="33490" xr:uid="{00000000-0005-0000-0000-0000D0750000}"/>
    <cellStyle name="Normal 11 4 6" xfId="2360" xr:uid="{00000000-0005-0000-0000-0000D1750000}"/>
    <cellStyle name="Normal 11 4 6 2" xfId="2673" xr:uid="{00000000-0005-0000-0000-0000D2750000}"/>
    <cellStyle name="Normal 11 4 6 2 2" xfId="3681" xr:uid="{00000000-0005-0000-0000-0000D3750000}"/>
    <cellStyle name="Normal 11 4 6 2 2 2" xfId="5620" xr:uid="{00000000-0005-0000-0000-0000D4750000}"/>
    <cellStyle name="Normal 11 4 6 2 2 2 2" xfId="9491" xr:uid="{00000000-0005-0000-0000-0000D5750000}"/>
    <cellStyle name="Normal 11 4 6 2 2 2 2 2" xfId="17236" xr:uid="{00000000-0005-0000-0000-0000D6750000}"/>
    <cellStyle name="Normal 11 4 6 2 2 2 2 2 2" xfId="32828" xr:uid="{00000000-0005-0000-0000-0000D7750000}"/>
    <cellStyle name="Normal 11 4 6 2 2 2 2 2 3" xfId="48320" xr:uid="{00000000-0005-0000-0000-0000D8750000}"/>
    <cellStyle name="Normal 11 4 6 2 2 2 2 3" xfId="25088" xr:uid="{00000000-0005-0000-0000-0000D9750000}"/>
    <cellStyle name="Normal 11 4 6 2 2 2 2 4" xfId="40580" xr:uid="{00000000-0005-0000-0000-0000DA750000}"/>
    <cellStyle name="Normal 11 4 6 2 2 2 3" xfId="13366" xr:uid="{00000000-0005-0000-0000-0000DB750000}"/>
    <cellStyle name="Normal 11 4 6 2 2 2 3 2" xfId="28958" xr:uid="{00000000-0005-0000-0000-0000DC750000}"/>
    <cellStyle name="Normal 11 4 6 2 2 2 3 3" xfId="44450" xr:uid="{00000000-0005-0000-0000-0000DD750000}"/>
    <cellStyle name="Normal 11 4 6 2 2 2 4" xfId="21218" xr:uid="{00000000-0005-0000-0000-0000DE750000}"/>
    <cellStyle name="Normal 11 4 6 2 2 2 5" xfId="36710" xr:uid="{00000000-0005-0000-0000-0000DF750000}"/>
    <cellStyle name="Normal 11 4 6 2 2 3" xfId="7564" xr:uid="{00000000-0005-0000-0000-0000E0750000}"/>
    <cellStyle name="Normal 11 4 6 2 2 3 2" xfId="15309" xr:uid="{00000000-0005-0000-0000-0000E1750000}"/>
    <cellStyle name="Normal 11 4 6 2 2 3 2 2" xfId="30901" xr:uid="{00000000-0005-0000-0000-0000E2750000}"/>
    <cellStyle name="Normal 11 4 6 2 2 3 2 3" xfId="46393" xr:uid="{00000000-0005-0000-0000-0000E3750000}"/>
    <cellStyle name="Normal 11 4 6 2 2 3 3" xfId="23161" xr:uid="{00000000-0005-0000-0000-0000E4750000}"/>
    <cellStyle name="Normal 11 4 6 2 2 3 4" xfId="38653" xr:uid="{00000000-0005-0000-0000-0000E5750000}"/>
    <cellStyle name="Normal 11 4 6 2 2 4" xfId="11439" xr:uid="{00000000-0005-0000-0000-0000E6750000}"/>
    <cellStyle name="Normal 11 4 6 2 2 4 2" xfId="27031" xr:uid="{00000000-0005-0000-0000-0000E7750000}"/>
    <cellStyle name="Normal 11 4 6 2 2 4 3" xfId="42523" xr:uid="{00000000-0005-0000-0000-0000E8750000}"/>
    <cellStyle name="Normal 11 4 6 2 2 5" xfId="19291" xr:uid="{00000000-0005-0000-0000-0000E9750000}"/>
    <cellStyle name="Normal 11 4 6 2 2 6" xfId="34783" xr:uid="{00000000-0005-0000-0000-0000EA750000}"/>
    <cellStyle name="Normal 11 4 6 2 3" xfId="4672" xr:uid="{00000000-0005-0000-0000-0000EB750000}"/>
    <cellStyle name="Normal 11 4 6 2 3 2" xfId="8543" xr:uid="{00000000-0005-0000-0000-0000EC750000}"/>
    <cellStyle name="Normal 11 4 6 2 3 2 2" xfId="16288" xr:uid="{00000000-0005-0000-0000-0000ED750000}"/>
    <cellStyle name="Normal 11 4 6 2 3 2 2 2" xfId="31880" xr:uid="{00000000-0005-0000-0000-0000EE750000}"/>
    <cellStyle name="Normal 11 4 6 2 3 2 2 3" xfId="47372" xr:uid="{00000000-0005-0000-0000-0000EF750000}"/>
    <cellStyle name="Normal 11 4 6 2 3 2 3" xfId="24140" xr:uid="{00000000-0005-0000-0000-0000F0750000}"/>
    <cellStyle name="Normal 11 4 6 2 3 2 4" xfId="39632" xr:uid="{00000000-0005-0000-0000-0000F1750000}"/>
    <cellStyle name="Normal 11 4 6 2 3 3" xfId="12418" xr:uid="{00000000-0005-0000-0000-0000F2750000}"/>
    <cellStyle name="Normal 11 4 6 2 3 3 2" xfId="28010" xr:uid="{00000000-0005-0000-0000-0000F3750000}"/>
    <cellStyle name="Normal 11 4 6 2 3 3 3" xfId="43502" xr:uid="{00000000-0005-0000-0000-0000F4750000}"/>
    <cellStyle name="Normal 11 4 6 2 3 4" xfId="20270" xr:uid="{00000000-0005-0000-0000-0000F5750000}"/>
    <cellStyle name="Normal 11 4 6 2 3 5" xfId="35762" xr:uid="{00000000-0005-0000-0000-0000F6750000}"/>
    <cellStyle name="Normal 11 4 6 2 4" xfId="6616" xr:uid="{00000000-0005-0000-0000-0000F7750000}"/>
    <cellStyle name="Normal 11 4 6 2 4 2" xfId="14361" xr:uid="{00000000-0005-0000-0000-0000F8750000}"/>
    <cellStyle name="Normal 11 4 6 2 4 2 2" xfId="29953" xr:uid="{00000000-0005-0000-0000-0000F9750000}"/>
    <cellStyle name="Normal 11 4 6 2 4 2 3" xfId="45445" xr:uid="{00000000-0005-0000-0000-0000FA750000}"/>
    <cellStyle name="Normal 11 4 6 2 4 3" xfId="22213" xr:uid="{00000000-0005-0000-0000-0000FB750000}"/>
    <cellStyle name="Normal 11 4 6 2 4 4" xfId="37705" xr:uid="{00000000-0005-0000-0000-0000FC750000}"/>
    <cellStyle name="Normal 11 4 6 2 5" xfId="10491" xr:uid="{00000000-0005-0000-0000-0000FD750000}"/>
    <cellStyle name="Normal 11 4 6 2 5 2" xfId="26083" xr:uid="{00000000-0005-0000-0000-0000FE750000}"/>
    <cellStyle name="Normal 11 4 6 2 5 3" xfId="41575" xr:uid="{00000000-0005-0000-0000-0000FF750000}"/>
    <cellStyle name="Normal 11 4 6 2 6" xfId="18343" xr:uid="{00000000-0005-0000-0000-000000760000}"/>
    <cellStyle name="Normal 11 4 6 2 7" xfId="33835" xr:uid="{00000000-0005-0000-0000-000001760000}"/>
    <cellStyle name="Normal 11 4 6 3" xfId="3372" xr:uid="{00000000-0005-0000-0000-000002760000}"/>
    <cellStyle name="Normal 11 4 6 3 2" xfId="5311" xr:uid="{00000000-0005-0000-0000-000003760000}"/>
    <cellStyle name="Normal 11 4 6 3 2 2" xfId="9182" xr:uid="{00000000-0005-0000-0000-000004760000}"/>
    <cellStyle name="Normal 11 4 6 3 2 2 2" xfId="16927" xr:uid="{00000000-0005-0000-0000-000005760000}"/>
    <cellStyle name="Normal 11 4 6 3 2 2 2 2" xfId="32519" xr:uid="{00000000-0005-0000-0000-000006760000}"/>
    <cellStyle name="Normal 11 4 6 3 2 2 2 3" xfId="48011" xr:uid="{00000000-0005-0000-0000-000007760000}"/>
    <cellStyle name="Normal 11 4 6 3 2 2 3" xfId="24779" xr:uid="{00000000-0005-0000-0000-000008760000}"/>
    <cellStyle name="Normal 11 4 6 3 2 2 4" xfId="40271" xr:uid="{00000000-0005-0000-0000-000009760000}"/>
    <cellStyle name="Normal 11 4 6 3 2 3" xfId="13057" xr:uid="{00000000-0005-0000-0000-00000A760000}"/>
    <cellStyle name="Normal 11 4 6 3 2 3 2" xfId="28649" xr:uid="{00000000-0005-0000-0000-00000B760000}"/>
    <cellStyle name="Normal 11 4 6 3 2 3 3" xfId="44141" xr:uid="{00000000-0005-0000-0000-00000C760000}"/>
    <cellStyle name="Normal 11 4 6 3 2 4" xfId="20909" xr:uid="{00000000-0005-0000-0000-00000D760000}"/>
    <cellStyle name="Normal 11 4 6 3 2 5" xfId="36401" xr:uid="{00000000-0005-0000-0000-00000E760000}"/>
    <cellStyle name="Normal 11 4 6 3 3" xfId="7255" xr:uid="{00000000-0005-0000-0000-00000F760000}"/>
    <cellStyle name="Normal 11 4 6 3 3 2" xfId="15000" xr:uid="{00000000-0005-0000-0000-000010760000}"/>
    <cellStyle name="Normal 11 4 6 3 3 2 2" xfId="30592" xr:uid="{00000000-0005-0000-0000-000011760000}"/>
    <cellStyle name="Normal 11 4 6 3 3 2 3" xfId="46084" xr:uid="{00000000-0005-0000-0000-000012760000}"/>
    <cellStyle name="Normal 11 4 6 3 3 3" xfId="22852" xr:uid="{00000000-0005-0000-0000-000013760000}"/>
    <cellStyle name="Normal 11 4 6 3 3 4" xfId="38344" xr:uid="{00000000-0005-0000-0000-000014760000}"/>
    <cellStyle name="Normal 11 4 6 3 4" xfId="11130" xr:uid="{00000000-0005-0000-0000-000015760000}"/>
    <cellStyle name="Normal 11 4 6 3 4 2" xfId="26722" xr:uid="{00000000-0005-0000-0000-000016760000}"/>
    <cellStyle name="Normal 11 4 6 3 4 3" xfId="42214" xr:uid="{00000000-0005-0000-0000-000017760000}"/>
    <cellStyle name="Normal 11 4 6 3 5" xfId="18982" xr:uid="{00000000-0005-0000-0000-000018760000}"/>
    <cellStyle name="Normal 11 4 6 3 6" xfId="34474" xr:uid="{00000000-0005-0000-0000-000019760000}"/>
    <cellStyle name="Normal 11 4 6 4" xfId="4363" xr:uid="{00000000-0005-0000-0000-00001A760000}"/>
    <cellStyle name="Normal 11 4 6 4 2" xfId="8234" xr:uid="{00000000-0005-0000-0000-00001B760000}"/>
    <cellStyle name="Normal 11 4 6 4 2 2" xfId="15979" xr:uid="{00000000-0005-0000-0000-00001C760000}"/>
    <cellStyle name="Normal 11 4 6 4 2 2 2" xfId="31571" xr:uid="{00000000-0005-0000-0000-00001D760000}"/>
    <cellStyle name="Normal 11 4 6 4 2 2 3" xfId="47063" xr:uid="{00000000-0005-0000-0000-00001E760000}"/>
    <cellStyle name="Normal 11 4 6 4 2 3" xfId="23831" xr:uid="{00000000-0005-0000-0000-00001F760000}"/>
    <cellStyle name="Normal 11 4 6 4 2 4" xfId="39323" xr:uid="{00000000-0005-0000-0000-000020760000}"/>
    <cellStyle name="Normal 11 4 6 4 3" xfId="12109" xr:uid="{00000000-0005-0000-0000-000021760000}"/>
    <cellStyle name="Normal 11 4 6 4 3 2" xfId="27701" xr:uid="{00000000-0005-0000-0000-000022760000}"/>
    <cellStyle name="Normal 11 4 6 4 3 3" xfId="43193" xr:uid="{00000000-0005-0000-0000-000023760000}"/>
    <cellStyle name="Normal 11 4 6 4 4" xfId="19961" xr:uid="{00000000-0005-0000-0000-000024760000}"/>
    <cellStyle name="Normal 11 4 6 4 5" xfId="35453" xr:uid="{00000000-0005-0000-0000-000025760000}"/>
    <cellStyle name="Normal 11 4 6 5" xfId="6307" xr:uid="{00000000-0005-0000-0000-000026760000}"/>
    <cellStyle name="Normal 11 4 6 5 2" xfId="14052" xr:uid="{00000000-0005-0000-0000-000027760000}"/>
    <cellStyle name="Normal 11 4 6 5 2 2" xfId="29644" xr:uid="{00000000-0005-0000-0000-000028760000}"/>
    <cellStyle name="Normal 11 4 6 5 2 3" xfId="45136" xr:uid="{00000000-0005-0000-0000-000029760000}"/>
    <cellStyle name="Normal 11 4 6 5 3" xfId="21904" xr:uid="{00000000-0005-0000-0000-00002A760000}"/>
    <cellStyle name="Normal 11 4 6 5 4" xfId="37396" xr:uid="{00000000-0005-0000-0000-00002B760000}"/>
    <cellStyle name="Normal 11 4 6 6" xfId="10182" xr:uid="{00000000-0005-0000-0000-00002C760000}"/>
    <cellStyle name="Normal 11 4 6 6 2" xfId="25774" xr:uid="{00000000-0005-0000-0000-00002D760000}"/>
    <cellStyle name="Normal 11 4 6 6 3" xfId="41266" xr:uid="{00000000-0005-0000-0000-00002E760000}"/>
    <cellStyle name="Normal 11 4 6 7" xfId="18034" xr:uid="{00000000-0005-0000-0000-00002F760000}"/>
    <cellStyle name="Normal 11 4 6 8" xfId="33526" xr:uid="{00000000-0005-0000-0000-000030760000}"/>
    <cellStyle name="Normal 11 4 7" xfId="2397" xr:uid="{00000000-0005-0000-0000-000031760000}"/>
    <cellStyle name="Normal 11 4 7 2" xfId="2709" xr:uid="{00000000-0005-0000-0000-000032760000}"/>
    <cellStyle name="Normal 11 4 7 2 2" xfId="3717" xr:uid="{00000000-0005-0000-0000-000033760000}"/>
    <cellStyle name="Normal 11 4 7 2 2 2" xfId="5656" xr:uid="{00000000-0005-0000-0000-000034760000}"/>
    <cellStyle name="Normal 11 4 7 2 2 2 2" xfId="9527" xr:uid="{00000000-0005-0000-0000-000035760000}"/>
    <cellStyle name="Normal 11 4 7 2 2 2 2 2" xfId="17272" xr:uid="{00000000-0005-0000-0000-000036760000}"/>
    <cellStyle name="Normal 11 4 7 2 2 2 2 2 2" xfId="32864" xr:uid="{00000000-0005-0000-0000-000037760000}"/>
    <cellStyle name="Normal 11 4 7 2 2 2 2 2 3" xfId="48356" xr:uid="{00000000-0005-0000-0000-000038760000}"/>
    <cellStyle name="Normal 11 4 7 2 2 2 2 3" xfId="25124" xr:uid="{00000000-0005-0000-0000-000039760000}"/>
    <cellStyle name="Normal 11 4 7 2 2 2 2 4" xfId="40616" xr:uid="{00000000-0005-0000-0000-00003A760000}"/>
    <cellStyle name="Normal 11 4 7 2 2 2 3" xfId="13402" xr:uid="{00000000-0005-0000-0000-00003B760000}"/>
    <cellStyle name="Normal 11 4 7 2 2 2 3 2" xfId="28994" xr:uid="{00000000-0005-0000-0000-00003C760000}"/>
    <cellStyle name="Normal 11 4 7 2 2 2 3 3" xfId="44486" xr:uid="{00000000-0005-0000-0000-00003D760000}"/>
    <cellStyle name="Normal 11 4 7 2 2 2 4" xfId="21254" xr:uid="{00000000-0005-0000-0000-00003E760000}"/>
    <cellStyle name="Normal 11 4 7 2 2 2 5" xfId="36746" xr:uid="{00000000-0005-0000-0000-00003F760000}"/>
    <cellStyle name="Normal 11 4 7 2 2 3" xfId="7600" xr:uid="{00000000-0005-0000-0000-000040760000}"/>
    <cellStyle name="Normal 11 4 7 2 2 3 2" xfId="15345" xr:uid="{00000000-0005-0000-0000-000041760000}"/>
    <cellStyle name="Normal 11 4 7 2 2 3 2 2" xfId="30937" xr:uid="{00000000-0005-0000-0000-000042760000}"/>
    <cellStyle name="Normal 11 4 7 2 2 3 2 3" xfId="46429" xr:uid="{00000000-0005-0000-0000-000043760000}"/>
    <cellStyle name="Normal 11 4 7 2 2 3 3" xfId="23197" xr:uid="{00000000-0005-0000-0000-000044760000}"/>
    <cellStyle name="Normal 11 4 7 2 2 3 4" xfId="38689" xr:uid="{00000000-0005-0000-0000-000045760000}"/>
    <cellStyle name="Normal 11 4 7 2 2 4" xfId="11475" xr:uid="{00000000-0005-0000-0000-000046760000}"/>
    <cellStyle name="Normal 11 4 7 2 2 4 2" xfId="27067" xr:uid="{00000000-0005-0000-0000-000047760000}"/>
    <cellStyle name="Normal 11 4 7 2 2 4 3" xfId="42559" xr:uid="{00000000-0005-0000-0000-000048760000}"/>
    <cellStyle name="Normal 11 4 7 2 2 5" xfId="19327" xr:uid="{00000000-0005-0000-0000-000049760000}"/>
    <cellStyle name="Normal 11 4 7 2 2 6" xfId="34819" xr:uid="{00000000-0005-0000-0000-00004A760000}"/>
    <cellStyle name="Normal 11 4 7 2 3" xfId="4708" xr:uid="{00000000-0005-0000-0000-00004B760000}"/>
    <cellStyle name="Normal 11 4 7 2 3 2" xfId="8579" xr:uid="{00000000-0005-0000-0000-00004C760000}"/>
    <cellStyle name="Normal 11 4 7 2 3 2 2" xfId="16324" xr:uid="{00000000-0005-0000-0000-00004D760000}"/>
    <cellStyle name="Normal 11 4 7 2 3 2 2 2" xfId="31916" xr:uid="{00000000-0005-0000-0000-00004E760000}"/>
    <cellStyle name="Normal 11 4 7 2 3 2 2 3" xfId="47408" xr:uid="{00000000-0005-0000-0000-00004F760000}"/>
    <cellStyle name="Normal 11 4 7 2 3 2 3" xfId="24176" xr:uid="{00000000-0005-0000-0000-000050760000}"/>
    <cellStyle name="Normal 11 4 7 2 3 2 4" xfId="39668" xr:uid="{00000000-0005-0000-0000-000051760000}"/>
    <cellStyle name="Normal 11 4 7 2 3 3" xfId="12454" xr:uid="{00000000-0005-0000-0000-000052760000}"/>
    <cellStyle name="Normal 11 4 7 2 3 3 2" xfId="28046" xr:uid="{00000000-0005-0000-0000-000053760000}"/>
    <cellStyle name="Normal 11 4 7 2 3 3 3" xfId="43538" xr:uid="{00000000-0005-0000-0000-000054760000}"/>
    <cellStyle name="Normal 11 4 7 2 3 4" xfId="20306" xr:uid="{00000000-0005-0000-0000-000055760000}"/>
    <cellStyle name="Normal 11 4 7 2 3 5" xfId="35798" xr:uid="{00000000-0005-0000-0000-000056760000}"/>
    <cellStyle name="Normal 11 4 7 2 4" xfId="6652" xr:uid="{00000000-0005-0000-0000-000057760000}"/>
    <cellStyle name="Normal 11 4 7 2 4 2" xfId="14397" xr:uid="{00000000-0005-0000-0000-000058760000}"/>
    <cellStyle name="Normal 11 4 7 2 4 2 2" xfId="29989" xr:uid="{00000000-0005-0000-0000-000059760000}"/>
    <cellStyle name="Normal 11 4 7 2 4 2 3" xfId="45481" xr:uid="{00000000-0005-0000-0000-00005A760000}"/>
    <cellStyle name="Normal 11 4 7 2 4 3" xfId="22249" xr:uid="{00000000-0005-0000-0000-00005B760000}"/>
    <cellStyle name="Normal 11 4 7 2 4 4" xfId="37741" xr:uid="{00000000-0005-0000-0000-00005C760000}"/>
    <cellStyle name="Normal 11 4 7 2 5" xfId="10527" xr:uid="{00000000-0005-0000-0000-00005D760000}"/>
    <cellStyle name="Normal 11 4 7 2 5 2" xfId="26119" xr:uid="{00000000-0005-0000-0000-00005E760000}"/>
    <cellStyle name="Normal 11 4 7 2 5 3" xfId="41611" xr:uid="{00000000-0005-0000-0000-00005F760000}"/>
    <cellStyle name="Normal 11 4 7 2 6" xfId="18379" xr:uid="{00000000-0005-0000-0000-000060760000}"/>
    <cellStyle name="Normal 11 4 7 2 7" xfId="33871" xr:uid="{00000000-0005-0000-0000-000061760000}"/>
    <cellStyle name="Normal 11 4 7 3" xfId="3408" xr:uid="{00000000-0005-0000-0000-000062760000}"/>
    <cellStyle name="Normal 11 4 7 3 2" xfId="5347" xr:uid="{00000000-0005-0000-0000-000063760000}"/>
    <cellStyle name="Normal 11 4 7 3 2 2" xfId="9218" xr:uid="{00000000-0005-0000-0000-000064760000}"/>
    <cellStyle name="Normal 11 4 7 3 2 2 2" xfId="16963" xr:uid="{00000000-0005-0000-0000-000065760000}"/>
    <cellStyle name="Normal 11 4 7 3 2 2 2 2" xfId="32555" xr:uid="{00000000-0005-0000-0000-000066760000}"/>
    <cellStyle name="Normal 11 4 7 3 2 2 2 3" xfId="48047" xr:uid="{00000000-0005-0000-0000-000067760000}"/>
    <cellStyle name="Normal 11 4 7 3 2 2 3" xfId="24815" xr:uid="{00000000-0005-0000-0000-000068760000}"/>
    <cellStyle name="Normal 11 4 7 3 2 2 4" xfId="40307" xr:uid="{00000000-0005-0000-0000-000069760000}"/>
    <cellStyle name="Normal 11 4 7 3 2 3" xfId="13093" xr:uid="{00000000-0005-0000-0000-00006A760000}"/>
    <cellStyle name="Normal 11 4 7 3 2 3 2" xfId="28685" xr:uid="{00000000-0005-0000-0000-00006B760000}"/>
    <cellStyle name="Normal 11 4 7 3 2 3 3" xfId="44177" xr:uid="{00000000-0005-0000-0000-00006C760000}"/>
    <cellStyle name="Normal 11 4 7 3 2 4" xfId="20945" xr:uid="{00000000-0005-0000-0000-00006D760000}"/>
    <cellStyle name="Normal 11 4 7 3 2 5" xfId="36437" xr:uid="{00000000-0005-0000-0000-00006E760000}"/>
    <cellStyle name="Normal 11 4 7 3 3" xfId="7291" xr:uid="{00000000-0005-0000-0000-00006F760000}"/>
    <cellStyle name="Normal 11 4 7 3 3 2" xfId="15036" xr:uid="{00000000-0005-0000-0000-000070760000}"/>
    <cellStyle name="Normal 11 4 7 3 3 2 2" xfId="30628" xr:uid="{00000000-0005-0000-0000-000071760000}"/>
    <cellStyle name="Normal 11 4 7 3 3 2 3" xfId="46120" xr:uid="{00000000-0005-0000-0000-000072760000}"/>
    <cellStyle name="Normal 11 4 7 3 3 3" xfId="22888" xr:uid="{00000000-0005-0000-0000-000073760000}"/>
    <cellStyle name="Normal 11 4 7 3 3 4" xfId="38380" xr:uid="{00000000-0005-0000-0000-000074760000}"/>
    <cellStyle name="Normal 11 4 7 3 4" xfId="11166" xr:uid="{00000000-0005-0000-0000-000075760000}"/>
    <cellStyle name="Normal 11 4 7 3 4 2" xfId="26758" xr:uid="{00000000-0005-0000-0000-000076760000}"/>
    <cellStyle name="Normal 11 4 7 3 4 3" xfId="42250" xr:uid="{00000000-0005-0000-0000-000077760000}"/>
    <cellStyle name="Normal 11 4 7 3 5" xfId="19018" xr:uid="{00000000-0005-0000-0000-000078760000}"/>
    <cellStyle name="Normal 11 4 7 3 6" xfId="34510" xr:uid="{00000000-0005-0000-0000-000079760000}"/>
    <cellStyle name="Normal 11 4 7 4" xfId="4399" xr:uid="{00000000-0005-0000-0000-00007A760000}"/>
    <cellStyle name="Normal 11 4 7 4 2" xfId="8270" xr:uid="{00000000-0005-0000-0000-00007B760000}"/>
    <cellStyle name="Normal 11 4 7 4 2 2" xfId="16015" xr:uid="{00000000-0005-0000-0000-00007C760000}"/>
    <cellStyle name="Normal 11 4 7 4 2 2 2" xfId="31607" xr:uid="{00000000-0005-0000-0000-00007D760000}"/>
    <cellStyle name="Normal 11 4 7 4 2 2 3" xfId="47099" xr:uid="{00000000-0005-0000-0000-00007E760000}"/>
    <cellStyle name="Normal 11 4 7 4 2 3" xfId="23867" xr:uid="{00000000-0005-0000-0000-00007F760000}"/>
    <cellStyle name="Normal 11 4 7 4 2 4" xfId="39359" xr:uid="{00000000-0005-0000-0000-000080760000}"/>
    <cellStyle name="Normal 11 4 7 4 3" xfId="12145" xr:uid="{00000000-0005-0000-0000-000081760000}"/>
    <cellStyle name="Normal 11 4 7 4 3 2" xfId="27737" xr:uid="{00000000-0005-0000-0000-000082760000}"/>
    <cellStyle name="Normal 11 4 7 4 3 3" xfId="43229" xr:uid="{00000000-0005-0000-0000-000083760000}"/>
    <cellStyle name="Normal 11 4 7 4 4" xfId="19997" xr:uid="{00000000-0005-0000-0000-000084760000}"/>
    <cellStyle name="Normal 11 4 7 4 5" xfId="35489" xr:uid="{00000000-0005-0000-0000-000085760000}"/>
    <cellStyle name="Normal 11 4 7 5" xfId="6343" xr:uid="{00000000-0005-0000-0000-000086760000}"/>
    <cellStyle name="Normal 11 4 7 5 2" xfId="14088" xr:uid="{00000000-0005-0000-0000-000087760000}"/>
    <cellStyle name="Normal 11 4 7 5 2 2" xfId="29680" xr:uid="{00000000-0005-0000-0000-000088760000}"/>
    <cellStyle name="Normal 11 4 7 5 2 3" xfId="45172" xr:uid="{00000000-0005-0000-0000-000089760000}"/>
    <cellStyle name="Normal 11 4 7 5 3" xfId="21940" xr:uid="{00000000-0005-0000-0000-00008A760000}"/>
    <cellStyle name="Normal 11 4 7 5 4" xfId="37432" xr:uid="{00000000-0005-0000-0000-00008B760000}"/>
    <cellStyle name="Normal 11 4 7 6" xfId="10218" xr:uid="{00000000-0005-0000-0000-00008C760000}"/>
    <cellStyle name="Normal 11 4 7 6 2" xfId="25810" xr:uid="{00000000-0005-0000-0000-00008D760000}"/>
    <cellStyle name="Normal 11 4 7 6 3" xfId="41302" xr:uid="{00000000-0005-0000-0000-00008E760000}"/>
    <cellStyle name="Normal 11 4 7 7" xfId="18070" xr:uid="{00000000-0005-0000-0000-00008F760000}"/>
    <cellStyle name="Normal 11 4 7 8" xfId="33562" xr:uid="{00000000-0005-0000-0000-000090760000}"/>
    <cellStyle name="Normal 11 4 8" xfId="2435" xr:uid="{00000000-0005-0000-0000-000091760000}"/>
    <cellStyle name="Normal 11 4 8 2" xfId="2745" xr:uid="{00000000-0005-0000-0000-000092760000}"/>
    <cellStyle name="Normal 11 4 8 2 2" xfId="3753" xr:uid="{00000000-0005-0000-0000-000093760000}"/>
    <cellStyle name="Normal 11 4 8 2 2 2" xfId="5692" xr:uid="{00000000-0005-0000-0000-000094760000}"/>
    <cellStyle name="Normal 11 4 8 2 2 2 2" xfId="9563" xr:uid="{00000000-0005-0000-0000-000095760000}"/>
    <cellStyle name="Normal 11 4 8 2 2 2 2 2" xfId="17308" xr:uid="{00000000-0005-0000-0000-000096760000}"/>
    <cellStyle name="Normal 11 4 8 2 2 2 2 2 2" xfId="32900" xr:uid="{00000000-0005-0000-0000-000097760000}"/>
    <cellStyle name="Normal 11 4 8 2 2 2 2 2 3" xfId="48392" xr:uid="{00000000-0005-0000-0000-000098760000}"/>
    <cellStyle name="Normal 11 4 8 2 2 2 2 3" xfId="25160" xr:uid="{00000000-0005-0000-0000-000099760000}"/>
    <cellStyle name="Normal 11 4 8 2 2 2 2 4" xfId="40652" xr:uid="{00000000-0005-0000-0000-00009A760000}"/>
    <cellStyle name="Normal 11 4 8 2 2 2 3" xfId="13438" xr:uid="{00000000-0005-0000-0000-00009B760000}"/>
    <cellStyle name="Normal 11 4 8 2 2 2 3 2" xfId="29030" xr:uid="{00000000-0005-0000-0000-00009C760000}"/>
    <cellStyle name="Normal 11 4 8 2 2 2 3 3" xfId="44522" xr:uid="{00000000-0005-0000-0000-00009D760000}"/>
    <cellStyle name="Normal 11 4 8 2 2 2 4" xfId="21290" xr:uid="{00000000-0005-0000-0000-00009E760000}"/>
    <cellStyle name="Normal 11 4 8 2 2 2 5" xfId="36782" xr:uid="{00000000-0005-0000-0000-00009F760000}"/>
    <cellStyle name="Normal 11 4 8 2 2 3" xfId="7636" xr:uid="{00000000-0005-0000-0000-0000A0760000}"/>
    <cellStyle name="Normal 11 4 8 2 2 3 2" xfId="15381" xr:uid="{00000000-0005-0000-0000-0000A1760000}"/>
    <cellStyle name="Normal 11 4 8 2 2 3 2 2" xfId="30973" xr:uid="{00000000-0005-0000-0000-0000A2760000}"/>
    <cellStyle name="Normal 11 4 8 2 2 3 2 3" xfId="46465" xr:uid="{00000000-0005-0000-0000-0000A3760000}"/>
    <cellStyle name="Normal 11 4 8 2 2 3 3" xfId="23233" xr:uid="{00000000-0005-0000-0000-0000A4760000}"/>
    <cellStyle name="Normal 11 4 8 2 2 3 4" xfId="38725" xr:uid="{00000000-0005-0000-0000-0000A5760000}"/>
    <cellStyle name="Normal 11 4 8 2 2 4" xfId="11511" xr:uid="{00000000-0005-0000-0000-0000A6760000}"/>
    <cellStyle name="Normal 11 4 8 2 2 4 2" xfId="27103" xr:uid="{00000000-0005-0000-0000-0000A7760000}"/>
    <cellStyle name="Normal 11 4 8 2 2 4 3" xfId="42595" xr:uid="{00000000-0005-0000-0000-0000A8760000}"/>
    <cellStyle name="Normal 11 4 8 2 2 5" xfId="19363" xr:uid="{00000000-0005-0000-0000-0000A9760000}"/>
    <cellStyle name="Normal 11 4 8 2 2 6" xfId="34855" xr:uid="{00000000-0005-0000-0000-0000AA760000}"/>
    <cellStyle name="Normal 11 4 8 2 3" xfId="4744" xr:uid="{00000000-0005-0000-0000-0000AB760000}"/>
    <cellStyle name="Normal 11 4 8 2 3 2" xfId="8615" xr:uid="{00000000-0005-0000-0000-0000AC760000}"/>
    <cellStyle name="Normal 11 4 8 2 3 2 2" xfId="16360" xr:uid="{00000000-0005-0000-0000-0000AD760000}"/>
    <cellStyle name="Normal 11 4 8 2 3 2 2 2" xfId="31952" xr:uid="{00000000-0005-0000-0000-0000AE760000}"/>
    <cellStyle name="Normal 11 4 8 2 3 2 2 3" xfId="47444" xr:uid="{00000000-0005-0000-0000-0000AF760000}"/>
    <cellStyle name="Normal 11 4 8 2 3 2 3" xfId="24212" xr:uid="{00000000-0005-0000-0000-0000B0760000}"/>
    <cellStyle name="Normal 11 4 8 2 3 2 4" xfId="39704" xr:uid="{00000000-0005-0000-0000-0000B1760000}"/>
    <cellStyle name="Normal 11 4 8 2 3 3" xfId="12490" xr:uid="{00000000-0005-0000-0000-0000B2760000}"/>
    <cellStyle name="Normal 11 4 8 2 3 3 2" xfId="28082" xr:uid="{00000000-0005-0000-0000-0000B3760000}"/>
    <cellStyle name="Normal 11 4 8 2 3 3 3" xfId="43574" xr:uid="{00000000-0005-0000-0000-0000B4760000}"/>
    <cellStyle name="Normal 11 4 8 2 3 4" xfId="20342" xr:uid="{00000000-0005-0000-0000-0000B5760000}"/>
    <cellStyle name="Normal 11 4 8 2 3 5" xfId="35834" xr:uid="{00000000-0005-0000-0000-0000B6760000}"/>
    <cellStyle name="Normal 11 4 8 2 4" xfId="6688" xr:uid="{00000000-0005-0000-0000-0000B7760000}"/>
    <cellStyle name="Normal 11 4 8 2 4 2" xfId="14433" xr:uid="{00000000-0005-0000-0000-0000B8760000}"/>
    <cellStyle name="Normal 11 4 8 2 4 2 2" xfId="30025" xr:uid="{00000000-0005-0000-0000-0000B9760000}"/>
    <cellStyle name="Normal 11 4 8 2 4 2 3" xfId="45517" xr:uid="{00000000-0005-0000-0000-0000BA760000}"/>
    <cellStyle name="Normal 11 4 8 2 4 3" xfId="22285" xr:uid="{00000000-0005-0000-0000-0000BB760000}"/>
    <cellStyle name="Normal 11 4 8 2 4 4" xfId="37777" xr:uid="{00000000-0005-0000-0000-0000BC760000}"/>
    <cellStyle name="Normal 11 4 8 2 5" xfId="10563" xr:uid="{00000000-0005-0000-0000-0000BD760000}"/>
    <cellStyle name="Normal 11 4 8 2 5 2" xfId="26155" xr:uid="{00000000-0005-0000-0000-0000BE760000}"/>
    <cellStyle name="Normal 11 4 8 2 5 3" xfId="41647" xr:uid="{00000000-0005-0000-0000-0000BF760000}"/>
    <cellStyle name="Normal 11 4 8 2 6" xfId="18415" xr:uid="{00000000-0005-0000-0000-0000C0760000}"/>
    <cellStyle name="Normal 11 4 8 2 7" xfId="33907" xr:uid="{00000000-0005-0000-0000-0000C1760000}"/>
    <cellStyle name="Normal 11 4 8 3" xfId="3444" xr:uid="{00000000-0005-0000-0000-0000C2760000}"/>
    <cellStyle name="Normal 11 4 8 3 2" xfId="5383" xr:uid="{00000000-0005-0000-0000-0000C3760000}"/>
    <cellStyle name="Normal 11 4 8 3 2 2" xfId="9254" xr:uid="{00000000-0005-0000-0000-0000C4760000}"/>
    <cellStyle name="Normal 11 4 8 3 2 2 2" xfId="16999" xr:uid="{00000000-0005-0000-0000-0000C5760000}"/>
    <cellStyle name="Normal 11 4 8 3 2 2 2 2" xfId="32591" xr:uid="{00000000-0005-0000-0000-0000C6760000}"/>
    <cellStyle name="Normal 11 4 8 3 2 2 2 3" xfId="48083" xr:uid="{00000000-0005-0000-0000-0000C7760000}"/>
    <cellStyle name="Normal 11 4 8 3 2 2 3" xfId="24851" xr:uid="{00000000-0005-0000-0000-0000C8760000}"/>
    <cellStyle name="Normal 11 4 8 3 2 2 4" xfId="40343" xr:uid="{00000000-0005-0000-0000-0000C9760000}"/>
    <cellStyle name="Normal 11 4 8 3 2 3" xfId="13129" xr:uid="{00000000-0005-0000-0000-0000CA760000}"/>
    <cellStyle name="Normal 11 4 8 3 2 3 2" xfId="28721" xr:uid="{00000000-0005-0000-0000-0000CB760000}"/>
    <cellStyle name="Normal 11 4 8 3 2 3 3" xfId="44213" xr:uid="{00000000-0005-0000-0000-0000CC760000}"/>
    <cellStyle name="Normal 11 4 8 3 2 4" xfId="20981" xr:uid="{00000000-0005-0000-0000-0000CD760000}"/>
    <cellStyle name="Normal 11 4 8 3 2 5" xfId="36473" xr:uid="{00000000-0005-0000-0000-0000CE760000}"/>
    <cellStyle name="Normal 11 4 8 3 3" xfId="7327" xr:uid="{00000000-0005-0000-0000-0000CF760000}"/>
    <cellStyle name="Normal 11 4 8 3 3 2" xfId="15072" xr:uid="{00000000-0005-0000-0000-0000D0760000}"/>
    <cellStyle name="Normal 11 4 8 3 3 2 2" xfId="30664" xr:uid="{00000000-0005-0000-0000-0000D1760000}"/>
    <cellStyle name="Normal 11 4 8 3 3 2 3" xfId="46156" xr:uid="{00000000-0005-0000-0000-0000D2760000}"/>
    <cellStyle name="Normal 11 4 8 3 3 3" xfId="22924" xr:uid="{00000000-0005-0000-0000-0000D3760000}"/>
    <cellStyle name="Normal 11 4 8 3 3 4" xfId="38416" xr:uid="{00000000-0005-0000-0000-0000D4760000}"/>
    <cellStyle name="Normal 11 4 8 3 4" xfId="11202" xr:uid="{00000000-0005-0000-0000-0000D5760000}"/>
    <cellStyle name="Normal 11 4 8 3 4 2" xfId="26794" xr:uid="{00000000-0005-0000-0000-0000D6760000}"/>
    <cellStyle name="Normal 11 4 8 3 4 3" xfId="42286" xr:uid="{00000000-0005-0000-0000-0000D7760000}"/>
    <cellStyle name="Normal 11 4 8 3 5" xfId="19054" xr:uid="{00000000-0005-0000-0000-0000D8760000}"/>
    <cellStyle name="Normal 11 4 8 3 6" xfId="34546" xr:uid="{00000000-0005-0000-0000-0000D9760000}"/>
    <cellStyle name="Normal 11 4 8 4" xfId="4435" xr:uid="{00000000-0005-0000-0000-0000DA760000}"/>
    <cellStyle name="Normal 11 4 8 4 2" xfId="8306" xr:uid="{00000000-0005-0000-0000-0000DB760000}"/>
    <cellStyle name="Normal 11 4 8 4 2 2" xfId="16051" xr:uid="{00000000-0005-0000-0000-0000DC760000}"/>
    <cellStyle name="Normal 11 4 8 4 2 2 2" xfId="31643" xr:uid="{00000000-0005-0000-0000-0000DD760000}"/>
    <cellStyle name="Normal 11 4 8 4 2 2 3" xfId="47135" xr:uid="{00000000-0005-0000-0000-0000DE760000}"/>
    <cellStyle name="Normal 11 4 8 4 2 3" xfId="23903" xr:uid="{00000000-0005-0000-0000-0000DF760000}"/>
    <cellStyle name="Normal 11 4 8 4 2 4" xfId="39395" xr:uid="{00000000-0005-0000-0000-0000E0760000}"/>
    <cellStyle name="Normal 11 4 8 4 3" xfId="12181" xr:uid="{00000000-0005-0000-0000-0000E1760000}"/>
    <cellStyle name="Normal 11 4 8 4 3 2" xfId="27773" xr:uid="{00000000-0005-0000-0000-0000E2760000}"/>
    <cellStyle name="Normal 11 4 8 4 3 3" xfId="43265" xr:uid="{00000000-0005-0000-0000-0000E3760000}"/>
    <cellStyle name="Normal 11 4 8 4 4" xfId="20033" xr:uid="{00000000-0005-0000-0000-0000E4760000}"/>
    <cellStyle name="Normal 11 4 8 4 5" xfId="35525" xr:uid="{00000000-0005-0000-0000-0000E5760000}"/>
    <cellStyle name="Normal 11 4 8 5" xfId="6379" xr:uid="{00000000-0005-0000-0000-0000E6760000}"/>
    <cellStyle name="Normal 11 4 8 5 2" xfId="14124" xr:uid="{00000000-0005-0000-0000-0000E7760000}"/>
    <cellStyle name="Normal 11 4 8 5 2 2" xfId="29716" xr:uid="{00000000-0005-0000-0000-0000E8760000}"/>
    <cellStyle name="Normal 11 4 8 5 2 3" xfId="45208" xr:uid="{00000000-0005-0000-0000-0000E9760000}"/>
    <cellStyle name="Normal 11 4 8 5 3" xfId="21976" xr:uid="{00000000-0005-0000-0000-0000EA760000}"/>
    <cellStyle name="Normal 11 4 8 5 4" xfId="37468" xr:uid="{00000000-0005-0000-0000-0000EB760000}"/>
    <cellStyle name="Normal 11 4 8 6" xfId="10254" xr:uid="{00000000-0005-0000-0000-0000EC760000}"/>
    <cellStyle name="Normal 11 4 8 6 2" xfId="25846" xr:uid="{00000000-0005-0000-0000-0000ED760000}"/>
    <cellStyle name="Normal 11 4 8 6 3" xfId="41338" xr:uid="{00000000-0005-0000-0000-0000EE760000}"/>
    <cellStyle name="Normal 11 4 8 7" xfId="18106" xr:uid="{00000000-0005-0000-0000-0000EF760000}"/>
    <cellStyle name="Normal 11 4 8 8" xfId="33598" xr:uid="{00000000-0005-0000-0000-0000F0760000}"/>
    <cellStyle name="Normal 11 4 9" xfId="2472" xr:uid="{00000000-0005-0000-0000-0000F1760000}"/>
    <cellStyle name="Normal 11 4 9 2" xfId="2781" xr:uid="{00000000-0005-0000-0000-0000F2760000}"/>
    <cellStyle name="Normal 11 4 9 2 2" xfId="3789" xr:uid="{00000000-0005-0000-0000-0000F3760000}"/>
    <cellStyle name="Normal 11 4 9 2 2 2" xfId="5728" xr:uid="{00000000-0005-0000-0000-0000F4760000}"/>
    <cellStyle name="Normal 11 4 9 2 2 2 2" xfId="9599" xr:uid="{00000000-0005-0000-0000-0000F5760000}"/>
    <cellStyle name="Normal 11 4 9 2 2 2 2 2" xfId="17344" xr:uid="{00000000-0005-0000-0000-0000F6760000}"/>
    <cellStyle name="Normal 11 4 9 2 2 2 2 2 2" xfId="32936" xr:uid="{00000000-0005-0000-0000-0000F7760000}"/>
    <cellStyle name="Normal 11 4 9 2 2 2 2 2 3" xfId="48428" xr:uid="{00000000-0005-0000-0000-0000F8760000}"/>
    <cellStyle name="Normal 11 4 9 2 2 2 2 3" xfId="25196" xr:uid="{00000000-0005-0000-0000-0000F9760000}"/>
    <cellStyle name="Normal 11 4 9 2 2 2 2 4" xfId="40688" xr:uid="{00000000-0005-0000-0000-0000FA760000}"/>
    <cellStyle name="Normal 11 4 9 2 2 2 3" xfId="13474" xr:uid="{00000000-0005-0000-0000-0000FB760000}"/>
    <cellStyle name="Normal 11 4 9 2 2 2 3 2" xfId="29066" xr:uid="{00000000-0005-0000-0000-0000FC760000}"/>
    <cellStyle name="Normal 11 4 9 2 2 2 3 3" xfId="44558" xr:uid="{00000000-0005-0000-0000-0000FD760000}"/>
    <cellStyle name="Normal 11 4 9 2 2 2 4" xfId="21326" xr:uid="{00000000-0005-0000-0000-0000FE760000}"/>
    <cellStyle name="Normal 11 4 9 2 2 2 5" xfId="36818" xr:uid="{00000000-0005-0000-0000-0000FF760000}"/>
    <cellStyle name="Normal 11 4 9 2 2 3" xfId="7672" xr:uid="{00000000-0005-0000-0000-000000770000}"/>
    <cellStyle name="Normal 11 4 9 2 2 3 2" xfId="15417" xr:uid="{00000000-0005-0000-0000-000001770000}"/>
    <cellStyle name="Normal 11 4 9 2 2 3 2 2" xfId="31009" xr:uid="{00000000-0005-0000-0000-000002770000}"/>
    <cellStyle name="Normal 11 4 9 2 2 3 2 3" xfId="46501" xr:uid="{00000000-0005-0000-0000-000003770000}"/>
    <cellStyle name="Normal 11 4 9 2 2 3 3" xfId="23269" xr:uid="{00000000-0005-0000-0000-000004770000}"/>
    <cellStyle name="Normal 11 4 9 2 2 3 4" xfId="38761" xr:uid="{00000000-0005-0000-0000-000005770000}"/>
    <cellStyle name="Normal 11 4 9 2 2 4" xfId="11547" xr:uid="{00000000-0005-0000-0000-000006770000}"/>
    <cellStyle name="Normal 11 4 9 2 2 4 2" xfId="27139" xr:uid="{00000000-0005-0000-0000-000007770000}"/>
    <cellStyle name="Normal 11 4 9 2 2 4 3" xfId="42631" xr:uid="{00000000-0005-0000-0000-000008770000}"/>
    <cellStyle name="Normal 11 4 9 2 2 5" xfId="19399" xr:uid="{00000000-0005-0000-0000-000009770000}"/>
    <cellStyle name="Normal 11 4 9 2 2 6" xfId="34891" xr:uid="{00000000-0005-0000-0000-00000A770000}"/>
    <cellStyle name="Normal 11 4 9 2 3" xfId="4780" xr:uid="{00000000-0005-0000-0000-00000B770000}"/>
    <cellStyle name="Normal 11 4 9 2 3 2" xfId="8651" xr:uid="{00000000-0005-0000-0000-00000C770000}"/>
    <cellStyle name="Normal 11 4 9 2 3 2 2" xfId="16396" xr:uid="{00000000-0005-0000-0000-00000D770000}"/>
    <cellStyle name="Normal 11 4 9 2 3 2 2 2" xfId="31988" xr:uid="{00000000-0005-0000-0000-00000E770000}"/>
    <cellStyle name="Normal 11 4 9 2 3 2 2 3" xfId="47480" xr:uid="{00000000-0005-0000-0000-00000F770000}"/>
    <cellStyle name="Normal 11 4 9 2 3 2 3" xfId="24248" xr:uid="{00000000-0005-0000-0000-000010770000}"/>
    <cellStyle name="Normal 11 4 9 2 3 2 4" xfId="39740" xr:uid="{00000000-0005-0000-0000-000011770000}"/>
    <cellStyle name="Normal 11 4 9 2 3 3" xfId="12526" xr:uid="{00000000-0005-0000-0000-000012770000}"/>
    <cellStyle name="Normal 11 4 9 2 3 3 2" xfId="28118" xr:uid="{00000000-0005-0000-0000-000013770000}"/>
    <cellStyle name="Normal 11 4 9 2 3 3 3" xfId="43610" xr:uid="{00000000-0005-0000-0000-000014770000}"/>
    <cellStyle name="Normal 11 4 9 2 3 4" xfId="20378" xr:uid="{00000000-0005-0000-0000-000015770000}"/>
    <cellStyle name="Normal 11 4 9 2 3 5" xfId="35870" xr:uid="{00000000-0005-0000-0000-000016770000}"/>
    <cellStyle name="Normal 11 4 9 2 4" xfId="6724" xr:uid="{00000000-0005-0000-0000-000017770000}"/>
    <cellStyle name="Normal 11 4 9 2 4 2" xfId="14469" xr:uid="{00000000-0005-0000-0000-000018770000}"/>
    <cellStyle name="Normal 11 4 9 2 4 2 2" xfId="30061" xr:uid="{00000000-0005-0000-0000-000019770000}"/>
    <cellStyle name="Normal 11 4 9 2 4 2 3" xfId="45553" xr:uid="{00000000-0005-0000-0000-00001A770000}"/>
    <cellStyle name="Normal 11 4 9 2 4 3" xfId="22321" xr:uid="{00000000-0005-0000-0000-00001B770000}"/>
    <cellStyle name="Normal 11 4 9 2 4 4" xfId="37813" xr:uid="{00000000-0005-0000-0000-00001C770000}"/>
    <cellStyle name="Normal 11 4 9 2 5" xfId="10599" xr:uid="{00000000-0005-0000-0000-00001D770000}"/>
    <cellStyle name="Normal 11 4 9 2 5 2" xfId="26191" xr:uid="{00000000-0005-0000-0000-00001E770000}"/>
    <cellStyle name="Normal 11 4 9 2 5 3" xfId="41683" xr:uid="{00000000-0005-0000-0000-00001F770000}"/>
    <cellStyle name="Normal 11 4 9 2 6" xfId="18451" xr:uid="{00000000-0005-0000-0000-000020770000}"/>
    <cellStyle name="Normal 11 4 9 2 7" xfId="33943" xr:uid="{00000000-0005-0000-0000-000021770000}"/>
    <cellStyle name="Normal 11 4 9 3" xfId="3480" xr:uid="{00000000-0005-0000-0000-000022770000}"/>
    <cellStyle name="Normal 11 4 9 3 2" xfId="5419" xr:uid="{00000000-0005-0000-0000-000023770000}"/>
    <cellStyle name="Normal 11 4 9 3 2 2" xfId="9290" xr:uid="{00000000-0005-0000-0000-000024770000}"/>
    <cellStyle name="Normal 11 4 9 3 2 2 2" xfId="17035" xr:uid="{00000000-0005-0000-0000-000025770000}"/>
    <cellStyle name="Normal 11 4 9 3 2 2 2 2" xfId="32627" xr:uid="{00000000-0005-0000-0000-000026770000}"/>
    <cellStyle name="Normal 11 4 9 3 2 2 2 3" xfId="48119" xr:uid="{00000000-0005-0000-0000-000027770000}"/>
    <cellStyle name="Normal 11 4 9 3 2 2 3" xfId="24887" xr:uid="{00000000-0005-0000-0000-000028770000}"/>
    <cellStyle name="Normal 11 4 9 3 2 2 4" xfId="40379" xr:uid="{00000000-0005-0000-0000-000029770000}"/>
    <cellStyle name="Normal 11 4 9 3 2 3" xfId="13165" xr:uid="{00000000-0005-0000-0000-00002A770000}"/>
    <cellStyle name="Normal 11 4 9 3 2 3 2" xfId="28757" xr:uid="{00000000-0005-0000-0000-00002B770000}"/>
    <cellStyle name="Normal 11 4 9 3 2 3 3" xfId="44249" xr:uid="{00000000-0005-0000-0000-00002C770000}"/>
    <cellStyle name="Normal 11 4 9 3 2 4" xfId="21017" xr:uid="{00000000-0005-0000-0000-00002D770000}"/>
    <cellStyle name="Normal 11 4 9 3 2 5" xfId="36509" xr:uid="{00000000-0005-0000-0000-00002E770000}"/>
    <cellStyle name="Normal 11 4 9 3 3" xfId="7363" xr:uid="{00000000-0005-0000-0000-00002F770000}"/>
    <cellStyle name="Normal 11 4 9 3 3 2" xfId="15108" xr:uid="{00000000-0005-0000-0000-000030770000}"/>
    <cellStyle name="Normal 11 4 9 3 3 2 2" xfId="30700" xr:uid="{00000000-0005-0000-0000-000031770000}"/>
    <cellStyle name="Normal 11 4 9 3 3 2 3" xfId="46192" xr:uid="{00000000-0005-0000-0000-000032770000}"/>
    <cellStyle name="Normal 11 4 9 3 3 3" xfId="22960" xr:uid="{00000000-0005-0000-0000-000033770000}"/>
    <cellStyle name="Normal 11 4 9 3 3 4" xfId="38452" xr:uid="{00000000-0005-0000-0000-000034770000}"/>
    <cellStyle name="Normal 11 4 9 3 4" xfId="11238" xr:uid="{00000000-0005-0000-0000-000035770000}"/>
    <cellStyle name="Normal 11 4 9 3 4 2" xfId="26830" xr:uid="{00000000-0005-0000-0000-000036770000}"/>
    <cellStyle name="Normal 11 4 9 3 4 3" xfId="42322" xr:uid="{00000000-0005-0000-0000-000037770000}"/>
    <cellStyle name="Normal 11 4 9 3 5" xfId="19090" xr:uid="{00000000-0005-0000-0000-000038770000}"/>
    <cellStyle name="Normal 11 4 9 3 6" xfId="34582" xr:uid="{00000000-0005-0000-0000-000039770000}"/>
    <cellStyle name="Normal 11 4 9 4" xfId="4471" xr:uid="{00000000-0005-0000-0000-00003A770000}"/>
    <cellStyle name="Normal 11 4 9 4 2" xfId="8342" xr:uid="{00000000-0005-0000-0000-00003B770000}"/>
    <cellStyle name="Normal 11 4 9 4 2 2" xfId="16087" xr:uid="{00000000-0005-0000-0000-00003C770000}"/>
    <cellStyle name="Normal 11 4 9 4 2 2 2" xfId="31679" xr:uid="{00000000-0005-0000-0000-00003D770000}"/>
    <cellStyle name="Normal 11 4 9 4 2 2 3" xfId="47171" xr:uid="{00000000-0005-0000-0000-00003E770000}"/>
    <cellStyle name="Normal 11 4 9 4 2 3" xfId="23939" xr:uid="{00000000-0005-0000-0000-00003F770000}"/>
    <cellStyle name="Normal 11 4 9 4 2 4" xfId="39431" xr:uid="{00000000-0005-0000-0000-000040770000}"/>
    <cellStyle name="Normal 11 4 9 4 3" xfId="12217" xr:uid="{00000000-0005-0000-0000-000041770000}"/>
    <cellStyle name="Normal 11 4 9 4 3 2" xfId="27809" xr:uid="{00000000-0005-0000-0000-000042770000}"/>
    <cellStyle name="Normal 11 4 9 4 3 3" xfId="43301" xr:uid="{00000000-0005-0000-0000-000043770000}"/>
    <cellStyle name="Normal 11 4 9 4 4" xfId="20069" xr:uid="{00000000-0005-0000-0000-000044770000}"/>
    <cellStyle name="Normal 11 4 9 4 5" xfId="35561" xr:uid="{00000000-0005-0000-0000-000045770000}"/>
    <cellStyle name="Normal 11 4 9 5" xfId="6415" xr:uid="{00000000-0005-0000-0000-000046770000}"/>
    <cellStyle name="Normal 11 4 9 5 2" xfId="14160" xr:uid="{00000000-0005-0000-0000-000047770000}"/>
    <cellStyle name="Normal 11 4 9 5 2 2" xfId="29752" xr:uid="{00000000-0005-0000-0000-000048770000}"/>
    <cellStyle name="Normal 11 4 9 5 2 3" xfId="45244" xr:uid="{00000000-0005-0000-0000-000049770000}"/>
    <cellStyle name="Normal 11 4 9 5 3" xfId="22012" xr:uid="{00000000-0005-0000-0000-00004A770000}"/>
    <cellStyle name="Normal 11 4 9 5 4" xfId="37504" xr:uid="{00000000-0005-0000-0000-00004B770000}"/>
    <cellStyle name="Normal 11 4 9 6" xfId="10290" xr:uid="{00000000-0005-0000-0000-00004C770000}"/>
    <cellStyle name="Normal 11 4 9 6 2" xfId="25882" xr:uid="{00000000-0005-0000-0000-00004D770000}"/>
    <cellStyle name="Normal 11 4 9 6 3" xfId="41374" xr:uid="{00000000-0005-0000-0000-00004E770000}"/>
    <cellStyle name="Normal 11 4 9 7" xfId="18142" xr:uid="{00000000-0005-0000-0000-00004F770000}"/>
    <cellStyle name="Normal 11 4 9 8" xfId="33634" xr:uid="{00000000-0005-0000-0000-000050770000}"/>
    <cellStyle name="Normal 11 5" xfId="17747" xr:uid="{00000000-0005-0000-0000-000051770000}"/>
    <cellStyle name="Normal 12" xfId="1862" xr:uid="{00000000-0005-0000-0000-000052770000}"/>
    <cellStyle name="Normal 12 2" xfId="1863" xr:uid="{00000000-0005-0000-0000-000053770000}"/>
    <cellStyle name="Normal 12 3" xfId="1864" xr:uid="{00000000-0005-0000-0000-000054770000}"/>
    <cellStyle name="Normal 12 4" xfId="17762" xr:uid="{00000000-0005-0000-0000-000055770000}"/>
    <cellStyle name="Normal 12 4 2" xfId="33330" xr:uid="{00000000-0005-0000-0000-000056770000}"/>
    <cellStyle name="Normal 12 4 3" xfId="48822" xr:uid="{00000000-0005-0000-0000-000057770000}"/>
    <cellStyle name="Normal 12 5" xfId="48835" xr:uid="{00000000-0005-0000-0000-000058770000}"/>
    <cellStyle name="Normal 13" xfId="1865" xr:uid="{00000000-0005-0000-0000-000059770000}"/>
    <cellStyle name="Normal 13 2" xfId="1866" xr:uid="{00000000-0005-0000-0000-00005A770000}"/>
    <cellStyle name="Normal 13 2 2" xfId="3160" xr:uid="{00000000-0005-0000-0000-00005B770000}"/>
    <cellStyle name="Normal 13 2 2 2" xfId="4131" xr:uid="{00000000-0005-0000-0000-00005C770000}"/>
    <cellStyle name="Normal 13 2 2 2 2" xfId="6070" xr:uid="{00000000-0005-0000-0000-00005D770000}"/>
    <cellStyle name="Normal 13 2 2 2 2 2" xfId="9941" xr:uid="{00000000-0005-0000-0000-00005E770000}"/>
    <cellStyle name="Normal 13 2 2 2 2 2 2" xfId="17686" xr:uid="{00000000-0005-0000-0000-00005F770000}"/>
    <cellStyle name="Normal 13 2 2 2 2 2 2 2" xfId="33278" xr:uid="{00000000-0005-0000-0000-000060770000}"/>
    <cellStyle name="Normal 13 2 2 2 2 2 2 3" xfId="48770" xr:uid="{00000000-0005-0000-0000-000061770000}"/>
    <cellStyle name="Normal 13 2 2 2 2 2 3" xfId="25538" xr:uid="{00000000-0005-0000-0000-000062770000}"/>
    <cellStyle name="Normal 13 2 2 2 2 2 4" xfId="41030" xr:uid="{00000000-0005-0000-0000-000063770000}"/>
    <cellStyle name="Normal 13 2 2 2 2 3" xfId="13816" xr:uid="{00000000-0005-0000-0000-000064770000}"/>
    <cellStyle name="Normal 13 2 2 2 2 3 2" xfId="29408" xr:uid="{00000000-0005-0000-0000-000065770000}"/>
    <cellStyle name="Normal 13 2 2 2 2 3 3" xfId="44900" xr:uid="{00000000-0005-0000-0000-000066770000}"/>
    <cellStyle name="Normal 13 2 2 2 2 4" xfId="21668" xr:uid="{00000000-0005-0000-0000-000067770000}"/>
    <cellStyle name="Normal 13 2 2 2 2 5" xfId="37160" xr:uid="{00000000-0005-0000-0000-000068770000}"/>
    <cellStyle name="Normal 13 2 2 2 3" xfId="8014" xr:uid="{00000000-0005-0000-0000-000069770000}"/>
    <cellStyle name="Normal 13 2 2 2 3 2" xfId="15759" xr:uid="{00000000-0005-0000-0000-00006A770000}"/>
    <cellStyle name="Normal 13 2 2 2 3 2 2" xfId="31351" xr:uid="{00000000-0005-0000-0000-00006B770000}"/>
    <cellStyle name="Normal 13 2 2 2 3 2 3" xfId="46843" xr:uid="{00000000-0005-0000-0000-00006C770000}"/>
    <cellStyle name="Normal 13 2 2 2 3 3" xfId="23611" xr:uid="{00000000-0005-0000-0000-00006D770000}"/>
    <cellStyle name="Normal 13 2 2 2 3 4" xfId="39103" xr:uid="{00000000-0005-0000-0000-00006E770000}"/>
    <cellStyle name="Normal 13 2 2 2 4" xfId="11889" xr:uid="{00000000-0005-0000-0000-00006F770000}"/>
    <cellStyle name="Normal 13 2 2 2 4 2" xfId="27481" xr:uid="{00000000-0005-0000-0000-000070770000}"/>
    <cellStyle name="Normal 13 2 2 2 4 3" xfId="42973" xr:uid="{00000000-0005-0000-0000-000071770000}"/>
    <cellStyle name="Normal 13 2 2 2 5" xfId="19741" xr:uid="{00000000-0005-0000-0000-000072770000}"/>
    <cellStyle name="Normal 13 2 2 2 6" xfId="35233" xr:uid="{00000000-0005-0000-0000-000073770000}"/>
    <cellStyle name="Normal 13 2 2 3" xfId="5122" xr:uid="{00000000-0005-0000-0000-000074770000}"/>
    <cellStyle name="Normal 13 2 2 3 2" xfId="8993" xr:uid="{00000000-0005-0000-0000-000075770000}"/>
    <cellStyle name="Normal 13 2 2 3 2 2" xfId="16738" xr:uid="{00000000-0005-0000-0000-000076770000}"/>
    <cellStyle name="Normal 13 2 2 3 2 2 2" xfId="32330" xr:uid="{00000000-0005-0000-0000-000077770000}"/>
    <cellStyle name="Normal 13 2 2 3 2 2 3" xfId="47822" xr:uid="{00000000-0005-0000-0000-000078770000}"/>
    <cellStyle name="Normal 13 2 2 3 2 3" xfId="24590" xr:uid="{00000000-0005-0000-0000-000079770000}"/>
    <cellStyle name="Normal 13 2 2 3 2 4" xfId="40082" xr:uid="{00000000-0005-0000-0000-00007A770000}"/>
    <cellStyle name="Normal 13 2 2 3 3" xfId="12868" xr:uid="{00000000-0005-0000-0000-00007B770000}"/>
    <cellStyle name="Normal 13 2 2 3 3 2" xfId="28460" xr:uid="{00000000-0005-0000-0000-00007C770000}"/>
    <cellStyle name="Normal 13 2 2 3 3 3" xfId="43952" xr:uid="{00000000-0005-0000-0000-00007D770000}"/>
    <cellStyle name="Normal 13 2 2 3 4" xfId="20720" xr:uid="{00000000-0005-0000-0000-00007E770000}"/>
    <cellStyle name="Normal 13 2 2 3 5" xfId="36212" xr:uid="{00000000-0005-0000-0000-00007F770000}"/>
    <cellStyle name="Normal 13 2 2 4" xfId="7066" xr:uid="{00000000-0005-0000-0000-000080770000}"/>
    <cellStyle name="Normal 13 2 2 4 2" xfId="14811" xr:uid="{00000000-0005-0000-0000-000081770000}"/>
    <cellStyle name="Normal 13 2 2 4 2 2" xfId="30403" xr:uid="{00000000-0005-0000-0000-000082770000}"/>
    <cellStyle name="Normal 13 2 2 4 2 3" xfId="45895" xr:uid="{00000000-0005-0000-0000-000083770000}"/>
    <cellStyle name="Normal 13 2 2 4 3" xfId="22663" xr:uid="{00000000-0005-0000-0000-000084770000}"/>
    <cellStyle name="Normal 13 2 2 4 4" xfId="38155" xr:uid="{00000000-0005-0000-0000-000085770000}"/>
    <cellStyle name="Normal 13 2 2 5" xfId="10941" xr:uid="{00000000-0005-0000-0000-000086770000}"/>
    <cellStyle name="Normal 13 2 2 5 2" xfId="26533" xr:uid="{00000000-0005-0000-0000-000087770000}"/>
    <cellStyle name="Normal 13 2 2 5 3" xfId="42025" xr:uid="{00000000-0005-0000-0000-000088770000}"/>
    <cellStyle name="Normal 13 2 2 6" xfId="18793" xr:uid="{00000000-0005-0000-0000-000089770000}"/>
    <cellStyle name="Normal 13 2 2 7" xfId="34285" xr:uid="{00000000-0005-0000-0000-00008A770000}"/>
    <cellStyle name="Normal 13 3" xfId="17772" xr:uid="{00000000-0005-0000-0000-00008B770000}"/>
    <cellStyle name="Normal 13 4" xfId="17755" xr:uid="{00000000-0005-0000-0000-00008C770000}"/>
    <cellStyle name="Normal 13 5" xfId="17782" xr:uid="{00000000-0005-0000-0000-00008D770000}"/>
    <cellStyle name="Normal 13 5 2" xfId="33334" xr:uid="{00000000-0005-0000-0000-00008E770000}"/>
    <cellStyle name="Normal 13 5 3" xfId="48826" xr:uid="{00000000-0005-0000-0000-00008F770000}"/>
    <cellStyle name="Normal 13 6" xfId="48840" xr:uid="{00000000-0005-0000-0000-000090770000}"/>
    <cellStyle name="Normal 14" xfId="1867" xr:uid="{00000000-0005-0000-0000-000091770000}"/>
    <cellStyle name="Normal 14 2" xfId="1868" xr:uid="{00000000-0005-0000-0000-000092770000}"/>
    <cellStyle name="Normal 15" xfId="1869" xr:uid="{00000000-0005-0000-0000-000093770000}"/>
    <cellStyle name="Normal 15 2" xfId="1870" xr:uid="{00000000-0005-0000-0000-000094770000}"/>
    <cellStyle name="Normal 15 2 2" xfId="3149" xr:uid="{00000000-0005-0000-0000-000095770000}"/>
    <cellStyle name="Normal 15 2 2 2" xfId="49090" xr:uid="{9F0695B3-7285-47CD-8834-963BEB343C5E}"/>
    <cellStyle name="Normal 157" xfId="3155" xr:uid="{00000000-0005-0000-0000-000096770000}"/>
    <cellStyle name="Normal 158" xfId="3156" xr:uid="{00000000-0005-0000-0000-000097770000}"/>
    <cellStyle name="Normal 16" xfId="1871" xr:uid="{00000000-0005-0000-0000-000098770000}"/>
    <cellStyle name="Normal 16 10" xfId="1872" xr:uid="{00000000-0005-0000-0000-000099770000}"/>
    <cellStyle name="Normal 16 11" xfId="1873" xr:uid="{00000000-0005-0000-0000-00009A770000}"/>
    <cellStyle name="Normal 16 12" xfId="1874" xr:uid="{00000000-0005-0000-0000-00009B770000}"/>
    <cellStyle name="Normal 16 13" xfId="1875" xr:uid="{00000000-0005-0000-0000-00009C770000}"/>
    <cellStyle name="Normal 16 14" xfId="1876" xr:uid="{00000000-0005-0000-0000-00009D770000}"/>
    <cellStyle name="Normal 16 15" xfId="1877" xr:uid="{00000000-0005-0000-0000-00009E770000}"/>
    <cellStyle name="Normal 16 16" xfId="1878" xr:uid="{00000000-0005-0000-0000-00009F770000}"/>
    <cellStyle name="Normal 16 17" xfId="1879" xr:uid="{00000000-0005-0000-0000-0000A0770000}"/>
    <cellStyle name="Normal 16 18" xfId="1880" xr:uid="{00000000-0005-0000-0000-0000A1770000}"/>
    <cellStyle name="Normal 16 19" xfId="1881" xr:uid="{00000000-0005-0000-0000-0000A2770000}"/>
    <cellStyle name="Normal 16 2" xfId="1882" xr:uid="{00000000-0005-0000-0000-0000A3770000}"/>
    <cellStyle name="Normal 16 20" xfId="1883" xr:uid="{00000000-0005-0000-0000-0000A4770000}"/>
    <cellStyle name="Normal 16 21" xfId="1884" xr:uid="{00000000-0005-0000-0000-0000A5770000}"/>
    <cellStyle name="Normal 16 22" xfId="1885" xr:uid="{00000000-0005-0000-0000-0000A6770000}"/>
    <cellStyle name="Normal 16 23" xfId="1886" xr:uid="{00000000-0005-0000-0000-0000A7770000}"/>
    <cellStyle name="Normal 16 24" xfId="1887" xr:uid="{00000000-0005-0000-0000-0000A8770000}"/>
    <cellStyle name="Normal 16 25" xfId="1888" xr:uid="{00000000-0005-0000-0000-0000A9770000}"/>
    <cellStyle name="Normal 16 26" xfId="1889" xr:uid="{00000000-0005-0000-0000-0000AA770000}"/>
    <cellStyle name="Normal 16 27" xfId="1890" xr:uid="{00000000-0005-0000-0000-0000AB770000}"/>
    <cellStyle name="Normal 16 28" xfId="1891" xr:uid="{00000000-0005-0000-0000-0000AC770000}"/>
    <cellStyle name="Normal 16 3" xfId="1892" xr:uid="{00000000-0005-0000-0000-0000AD770000}"/>
    <cellStyle name="Normal 16 4" xfId="1893" xr:uid="{00000000-0005-0000-0000-0000AE770000}"/>
    <cellStyle name="Normal 16 5" xfId="1894" xr:uid="{00000000-0005-0000-0000-0000AF770000}"/>
    <cellStyle name="Normal 16 6" xfId="1895" xr:uid="{00000000-0005-0000-0000-0000B0770000}"/>
    <cellStyle name="Normal 16 7" xfId="1896" xr:uid="{00000000-0005-0000-0000-0000B1770000}"/>
    <cellStyle name="Normal 16 8" xfId="1897" xr:uid="{00000000-0005-0000-0000-0000B2770000}"/>
    <cellStyle name="Normal 16 9" xfId="1898" xr:uid="{00000000-0005-0000-0000-0000B3770000}"/>
    <cellStyle name="Normal 160" xfId="3157" xr:uid="{00000000-0005-0000-0000-0000B4770000}"/>
    <cellStyle name="Normal 161" xfId="3162" xr:uid="{00000000-0005-0000-0000-0000B5770000}"/>
    <cellStyle name="Normal 17" xfId="2223" xr:uid="{00000000-0005-0000-0000-0000B6770000}"/>
    <cellStyle name="Normal 17 10" xfId="48864" xr:uid="{00000000-0005-0000-0000-0000B7770000}"/>
    <cellStyle name="Normal 17 2" xfId="1899" xr:uid="{00000000-0005-0000-0000-0000B8770000}"/>
    <cellStyle name="Normal 17 2 2" xfId="2489" xr:uid="{00000000-0005-0000-0000-0000B9770000}"/>
    <cellStyle name="Normal 17 2 2 2" xfId="3497" xr:uid="{00000000-0005-0000-0000-0000BA770000}"/>
    <cellStyle name="Normal 17 2 2 2 2" xfId="5436" xr:uid="{00000000-0005-0000-0000-0000BB770000}"/>
    <cellStyle name="Normal 17 2 2 2 2 2" xfId="9307" xr:uid="{00000000-0005-0000-0000-0000BC770000}"/>
    <cellStyle name="Normal 17 2 2 2 2 2 2" xfId="17052" xr:uid="{00000000-0005-0000-0000-0000BD770000}"/>
    <cellStyle name="Normal 17 2 2 2 2 2 2 2" xfId="32644" xr:uid="{00000000-0005-0000-0000-0000BE770000}"/>
    <cellStyle name="Normal 17 2 2 2 2 2 2 3" xfId="48136" xr:uid="{00000000-0005-0000-0000-0000BF770000}"/>
    <cellStyle name="Normal 17 2 2 2 2 2 3" xfId="24904" xr:uid="{00000000-0005-0000-0000-0000C0770000}"/>
    <cellStyle name="Normal 17 2 2 2 2 2 4" xfId="40396" xr:uid="{00000000-0005-0000-0000-0000C1770000}"/>
    <cellStyle name="Normal 17 2 2 2 2 3" xfId="13182" xr:uid="{00000000-0005-0000-0000-0000C2770000}"/>
    <cellStyle name="Normal 17 2 2 2 2 3 2" xfId="28774" xr:uid="{00000000-0005-0000-0000-0000C3770000}"/>
    <cellStyle name="Normal 17 2 2 2 2 3 3" xfId="44266" xr:uid="{00000000-0005-0000-0000-0000C4770000}"/>
    <cellStyle name="Normal 17 2 2 2 2 4" xfId="21034" xr:uid="{00000000-0005-0000-0000-0000C5770000}"/>
    <cellStyle name="Normal 17 2 2 2 2 5" xfId="36526" xr:uid="{00000000-0005-0000-0000-0000C6770000}"/>
    <cellStyle name="Normal 17 2 2 2 3" xfId="7380" xr:uid="{00000000-0005-0000-0000-0000C7770000}"/>
    <cellStyle name="Normal 17 2 2 2 3 2" xfId="15125" xr:uid="{00000000-0005-0000-0000-0000C8770000}"/>
    <cellStyle name="Normal 17 2 2 2 3 2 2" xfId="30717" xr:uid="{00000000-0005-0000-0000-0000C9770000}"/>
    <cellStyle name="Normal 17 2 2 2 3 2 3" xfId="46209" xr:uid="{00000000-0005-0000-0000-0000CA770000}"/>
    <cellStyle name="Normal 17 2 2 2 3 3" xfId="22977" xr:uid="{00000000-0005-0000-0000-0000CB770000}"/>
    <cellStyle name="Normal 17 2 2 2 3 4" xfId="38469" xr:uid="{00000000-0005-0000-0000-0000CC770000}"/>
    <cellStyle name="Normal 17 2 2 2 4" xfId="11255" xr:uid="{00000000-0005-0000-0000-0000CD770000}"/>
    <cellStyle name="Normal 17 2 2 2 4 2" xfId="26847" xr:uid="{00000000-0005-0000-0000-0000CE770000}"/>
    <cellStyle name="Normal 17 2 2 2 4 3" xfId="42339" xr:uid="{00000000-0005-0000-0000-0000CF770000}"/>
    <cellStyle name="Normal 17 2 2 2 5" xfId="19107" xr:uid="{00000000-0005-0000-0000-0000D0770000}"/>
    <cellStyle name="Normal 17 2 2 2 6" xfId="34599" xr:uid="{00000000-0005-0000-0000-0000D1770000}"/>
    <cellStyle name="Normal 17 2 2 3" xfId="4488" xr:uid="{00000000-0005-0000-0000-0000D2770000}"/>
    <cellStyle name="Normal 17 2 2 3 2" xfId="8359" xr:uid="{00000000-0005-0000-0000-0000D3770000}"/>
    <cellStyle name="Normal 17 2 2 3 2 2" xfId="16104" xr:uid="{00000000-0005-0000-0000-0000D4770000}"/>
    <cellStyle name="Normal 17 2 2 3 2 2 2" xfId="31696" xr:uid="{00000000-0005-0000-0000-0000D5770000}"/>
    <cellStyle name="Normal 17 2 2 3 2 2 3" xfId="47188" xr:uid="{00000000-0005-0000-0000-0000D6770000}"/>
    <cellStyle name="Normal 17 2 2 3 2 3" xfId="23956" xr:uid="{00000000-0005-0000-0000-0000D7770000}"/>
    <cellStyle name="Normal 17 2 2 3 2 4" xfId="39448" xr:uid="{00000000-0005-0000-0000-0000D8770000}"/>
    <cellStyle name="Normal 17 2 2 3 3" xfId="12234" xr:uid="{00000000-0005-0000-0000-0000D9770000}"/>
    <cellStyle name="Normal 17 2 2 3 3 2" xfId="27826" xr:uid="{00000000-0005-0000-0000-0000DA770000}"/>
    <cellStyle name="Normal 17 2 2 3 3 3" xfId="43318" xr:uid="{00000000-0005-0000-0000-0000DB770000}"/>
    <cellStyle name="Normal 17 2 2 3 4" xfId="20086" xr:uid="{00000000-0005-0000-0000-0000DC770000}"/>
    <cellStyle name="Normal 17 2 2 3 5" xfId="35578" xr:uid="{00000000-0005-0000-0000-0000DD770000}"/>
    <cellStyle name="Normal 17 2 2 4" xfId="6432" xr:uid="{00000000-0005-0000-0000-0000DE770000}"/>
    <cellStyle name="Normal 17 2 2 4 2" xfId="14177" xr:uid="{00000000-0005-0000-0000-0000DF770000}"/>
    <cellStyle name="Normal 17 2 2 4 2 2" xfId="29769" xr:uid="{00000000-0005-0000-0000-0000E0770000}"/>
    <cellStyle name="Normal 17 2 2 4 2 3" xfId="45261" xr:uid="{00000000-0005-0000-0000-0000E1770000}"/>
    <cellStyle name="Normal 17 2 2 4 3" xfId="22029" xr:uid="{00000000-0005-0000-0000-0000E2770000}"/>
    <cellStyle name="Normal 17 2 2 4 4" xfId="37521" xr:uid="{00000000-0005-0000-0000-0000E3770000}"/>
    <cellStyle name="Normal 17 2 2 5" xfId="10307" xr:uid="{00000000-0005-0000-0000-0000E4770000}"/>
    <cellStyle name="Normal 17 2 2 5 2" xfId="25899" xr:uid="{00000000-0005-0000-0000-0000E5770000}"/>
    <cellStyle name="Normal 17 2 2 5 3" xfId="41391" xr:uid="{00000000-0005-0000-0000-0000E6770000}"/>
    <cellStyle name="Normal 17 2 2 6" xfId="18159" xr:uid="{00000000-0005-0000-0000-0000E7770000}"/>
    <cellStyle name="Normal 17 2 2 7" xfId="33651" xr:uid="{00000000-0005-0000-0000-0000E8770000}"/>
    <cellStyle name="Normal 17 2 3" xfId="3188" xr:uid="{00000000-0005-0000-0000-0000E9770000}"/>
    <cellStyle name="Normal 17 2 3 2" xfId="5127" xr:uid="{00000000-0005-0000-0000-0000EA770000}"/>
    <cellStyle name="Normal 17 2 3 2 2" xfId="8998" xr:uid="{00000000-0005-0000-0000-0000EB770000}"/>
    <cellStyle name="Normal 17 2 3 2 2 2" xfId="16743" xr:uid="{00000000-0005-0000-0000-0000EC770000}"/>
    <cellStyle name="Normal 17 2 3 2 2 2 2" xfId="32335" xr:uid="{00000000-0005-0000-0000-0000ED770000}"/>
    <cellStyle name="Normal 17 2 3 2 2 2 3" xfId="47827" xr:uid="{00000000-0005-0000-0000-0000EE770000}"/>
    <cellStyle name="Normal 17 2 3 2 2 3" xfId="24595" xr:uid="{00000000-0005-0000-0000-0000EF770000}"/>
    <cellStyle name="Normal 17 2 3 2 2 4" xfId="40087" xr:uid="{00000000-0005-0000-0000-0000F0770000}"/>
    <cellStyle name="Normal 17 2 3 2 3" xfId="12873" xr:uid="{00000000-0005-0000-0000-0000F1770000}"/>
    <cellStyle name="Normal 17 2 3 2 3 2" xfId="28465" xr:uid="{00000000-0005-0000-0000-0000F2770000}"/>
    <cellStyle name="Normal 17 2 3 2 3 3" xfId="43957" xr:uid="{00000000-0005-0000-0000-0000F3770000}"/>
    <cellStyle name="Normal 17 2 3 2 4" xfId="20725" xr:uid="{00000000-0005-0000-0000-0000F4770000}"/>
    <cellStyle name="Normal 17 2 3 2 5" xfId="36217" xr:uid="{00000000-0005-0000-0000-0000F5770000}"/>
    <cellStyle name="Normal 17 2 3 3" xfId="7071" xr:uid="{00000000-0005-0000-0000-0000F6770000}"/>
    <cellStyle name="Normal 17 2 3 3 2" xfId="14816" xr:uid="{00000000-0005-0000-0000-0000F7770000}"/>
    <cellStyle name="Normal 17 2 3 3 2 2" xfId="30408" xr:uid="{00000000-0005-0000-0000-0000F8770000}"/>
    <cellStyle name="Normal 17 2 3 3 2 3" xfId="45900" xr:uid="{00000000-0005-0000-0000-0000F9770000}"/>
    <cellStyle name="Normal 17 2 3 3 3" xfId="22668" xr:uid="{00000000-0005-0000-0000-0000FA770000}"/>
    <cellStyle name="Normal 17 2 3 3 4" xfId="38160" xr:uid="{00000000-0005-0000-0000-0000FB770000}"/>
    <cellStyle name="Normal 17 2 3 4" xfId="10946" xr:uid="{00000000-0005-0000-0000-0000FC770000}"/>
    <cellStyle name="Normal 17 2 3 4 2" xfId="26538" xr:uid="{00000000-0005-0000-0000-0000FD770000}"/>
    <cellStyle name="Normal 17 2 3 4 3" xfId="42030" xr:uid="{00000000-0005-0000-0000-0000FE770000}"/>
    <cellStyle name="Normal 17 2 3 5" xfId="18798" xr:uid="{00000000-0005-0000-0000-0000FF770000}"/>
    <cellStyle name="Normal 17 2 3 6" xfId="34290" xr:uid="{00000000-0005-0000-0000-000000780000}"/>
    <cellStyle name="Normal 17 2 4" xfId="4179" xr:uid="{00000000-0005-0000-0000-000001780000}"/>
    <cellStyle name="Normal 17 2 4 2" xfId="8050" xr:uid="{00000000-0005-0000-0000-000002780000}"/>
    <cellStyle name="Normal 17 2 4 2 2" xfId="15795" xr:uid="{00000000-0005-0000-0000-000003780000}"/>
    <cellStyle name="Normal 17 2 4 2 2 2" xfId="31387" xr:uid="{00000000-0005-0000-0000-000004780000}"/>
    <cellStyle name="Normal 17 2 4 2 2 3" xfId="46879" xr:uid="{00000000-0005-0000-0000-000005780000}"/>
    <cellStyle name="Normal 17 2 4 2 3" xfId="23647" xr:uid="{00000000-0005-0000-0000-000006780000}"/>
    <cellStyle name="Normal 17 2 4 2 4" xfId="39139" xr:uid="{00000000-0005-0000-0000-000007780000}"/>
    <cellStyle name="Normal 17 2 4 3" xfId="11925" xr:uid="{00000000-0005-0000-0000-000008780000}"/>
    <cellStyle name="Normal 17 2 4 3 2" xfId="27517" xr:uid="{00000000-0005-0000-0000-000009780000}"/>
    <cellStyle name="Normal 17 2 4 3 3" xfId="43009" xr:uid="{00000000-0005-0000-0000-00000A780000}"/>
    <cellStyle name="Normal 17 2 4 4" xfId="19777" xr:uid="{00000000-0005-0000-0000-00000B780000}"/>
    <cellStyle name="Normal 17 2 4 5" xfId="35269" xr:uid="{00000000-0005-0000-0000-00000C780000}"/>
    <cellStyle name="Normal 17 2 5" xfId="6123" xr:uid="{00000000-0005-0000-0000-00000D780000}"/>
    <cellStyle name="Normal 17 2 5 2" xfId="13868" xr:uid="{00000000-0005-0000-0000-00000E780000}"/>
    <cellStyle name="Normal 17 2 5 2 2" xfId="29460" xr:uid="{00000000-0005-0000-0000-00000F780000}"/>
    <cellStyle name="Normal 17 2 5 2 3" xfId="44952" xr:uid="{00000000-0005-0000-0000-000010780000}"/>
    <cellStyle name="Normal 17 2 5 3" xfId="21720" xr:uid="{00000000-0005-0000-0000-000011780000}"/>
    <cellStyle name="Normal 17 2 5 4" xfId="37212" xr:uid="{00000000-0005-0000-0000-000012780000}"/>
    <cellStyle name="Normal 17 2 6" xfId="9998" xr:uid="{00000000-0005-0000-0000-000013780000}"/>
    <cellStyle name="Normal 17 2 6 2" xfId="25590" xr:uid="{00000000-0005-0000-0000-000014780000}"/>
    <cellStyle name="Normal 17 2 6 3" xfId="41082" xr:uid="{00000000-0005-0000-0000-000015780000}"/>
    <cellStyle name="Normal 17 2 7" xfId="17850" xr:uid="{00000000-0005-0000-0000-000016780000}"/>
    <cellStyle name="Normal 17 2 8" xfId="33342" xr:uid="{00000000-0005-0000-0000-000017780000}"/>
    <cellStyle name="Normal 17 3" xfId="2541" xr:uid="{00000000-0005-0000-0000-000018780000}"/>
    <cellStyle name="Normal 17 3 2" xfId="3549" xr:uid="{00000000-0005-0000-0000-000019780000}"/>
    <cellStyle name="Normal 17 3 2 2" xfId="5488" xr:uid="{00000000-0005-0000-0000-00001A780000}"/>
    <cellStyle name="Normal 17 3 2 2 2" xfId="9359" xr:uid="{00000000-0005-0000-0000-00001B780000}"/>
    <cellStyle name="Normal 17 3 2 2 2 2" xfId="17104" xr:uid="{00000000-0005-0000-0000-00001C780000}"/>
    <cellStyle name="Normal 17 3 2 2 2 2 2" xfId="32696" xr:uid="{00000000-0005-0000-0000-00001D780000}"/>
    <cellStyle name="Normal 17 3 2 2 2 2 3" xfId="48188" xr:uid="{00000000-0005-0000-0000-00001E780000}"/>
    <cellStyle name="Normal 17 3 2 2 2 3" xfId="24956" xr:uid="{00000000-0005-0000-0000-00001F780000}"/>
    <cellStyle name="Normal 17 3 2 2 2 4" xfId="40448" xr:uid="{00000000-0005-0000-0000-000020780000}"/>
    <cellStyle name="Normal 17 3 2 2 3" xfId="13234" xr:uid="{00000000-0005-0000-0000-000021780000}"/>
    <cellStyle name="Normal 17 3 2 2 3 2" xfId="28826" xr:uid="{00000000-0005-0000-0000-000022780000}"/>
    <cellStyle name="Normal 17 3 2 2 3 3" xfId="44318" xr:uid="{00000000-0005-0000-0000-000023780000}"/>
    <cellStyle name="Normal 17 3 2 2 4" xfId="21086" xr:uid="{00000000-0005-0000-0000-000024780000}"/>
    <cellStyle name="Normal 17 3 2 2 5" xfId="36578" xr:uid="{00000000-0005-0000-0000-000025780000}"/>
    <cellStyle name="Normal 17 3 2 3" xfId="7432" xr:uid="{00000000-0005-0000-0000-000026780000}"/>
    <cellStyle name="Normal 17 3 2 3 2" xfId="15177" xr:uid="{00000000-0005-0000-0000-000027780000}"/>
    <cellStyle name="Normal 17 3 2 3 2 2" xfId="30769" xr:uid="{00000000-0005-0000-0000-000028780000}"/>
    <cellStyle name="Normal 17 3 2 3 2 3" xfId="46261" xr:uid="{00000000-0005-0000-0000-000029780000}"/>
    <cellStyle name="Normal 17 3 2 3 3" xfId="23029" xr:uid="{00000000-0005-0000-0000-00002A780000}"/>
    <cellStyle name="Normal 17 3 2 3 4" xfId="38521" xr:uid="{00000000-0005-0000-0000-00002B780000}"/>
    <cellStyle name="Normal 17 3 2 4" xfId="11307" xr:uid="{00000000-0005-0000-0000-00002C780000}"/>
    <cellStyle name="Normal 17 3 2 4 2" xfId="26899" xr:uid="{00000000-0005-0000-0000-00002D780000}"/>
    <cellStyle name="Normal 17 3 2 4 3" xfId="42391" xr:uid="{00000000-0005-0000-0000-00002E780000}"/>
    <cellStyle name="Normal 17 3 2 5" xfId="19159" xr:uid="{00000000-0005-0000-0000-00002F780000}"/>
    <cellStyle name="Normal 17 3 2 6" xfId="34651" xr:uid="{00000000-0005-0000-0000-000030780000}"/>
    <cellStyle name="Normal 17 3 3" xfId="4540" xr:uid="{00000000-0005-0000-0000-000031780000}"/>
    <cellStyle name="Normal 17 3 3 2" xfId="8411" xr:uid="{00000000-0005-0000-0000-000032780000}"/>
    <cellStyle name="Normal 17 3 3 2 2" xfId="16156" xr:uid="{00000000-0005-0000-0000-000033780000}"/>
    <cellStyle name="Normal 17 3 3 2 2 2" xfId="31748" xr:uid="{00000000-0005-0000-0000-000034780000}"/>
    <cellStyle name="Normal 17 3 3 2 2 3" xfId="47240" xr:uid="{00000000-0005-0000-0000-000035780000}"/>
    <cellStyle name="Normal 17 3 3 2 3" xfId="24008" xr:uid="{00000000-0005-0000-0000-000036780000}"/>
    <cellStyle name="Normal 17 3 3 2 4" xfId="39500" xr:uid="{00000000-0005-0000-0000-000037780000}"/>
    <cellStyle name="Normal 17 3 3 3" xfId="12286" xr:uid="{00000000-0005-0000-0000-000038780000}"/>
    <cellStyle name="Normal 17 3 3 3 2" xfId="27878" xr:uid="{00000000-0005-0000-0000-000039780000}"/>
    <cellStyle name="Normal 17 3 3 3 3" xfId="43370" xr:uid="{00000000-0005-0000-0000-00003A780000}"/>
    <cellStyle name="Normal 17 3 3 4" xfId="20138" xr:uid="{00000000-0005-0000-0000-00003B780000}"/>
    <cellStyle name="Normal 17 3 3 5" xfId="35630" xr:uid="{00000000-0005-0000-0000-00003C780000}"/>
    <cellStyle name="Normal 17 3 4" xfId="6484" xr:uid="{00000000-0005-0000-0000-00003D780000}"/>
    <cellStyle name="Normal 17 3 4 2" xfId="14229" xr:uid="{00000000-0005-0000-0000-00003E780000}"/>
    <cellStyle name="Normal 17 3 4 2 2" xfId="29821" xr:uid="{00000000-0005-0000-0000-00003F780000}"/>
    <cellStyle name="Normal 17 3 4 2 3" xfId="45313" xr:uid="{00000000-0005-0000-0000-000040780000}"/>
    <cellStyle name="Normal 17 3 4 3" xfId="22081" xr:uid="{00000000-0005-0000-0000-000041780000}"/>
    <cellStyle name="Normal 17 3 4 4" xfId="37573" xr:uid="{00000000-0005-0000-0000-000042780000}"/>
    <cellStyle name="Normal 17 3 5" xfId="10359" xr:uid="{00000000-0005-0000-0000-000043780000}"/>
    <cellStyle name="Normal 17 3 5 2" xfId="25951" xr:uid="{00000000-0005-0000-0000-000044780000}"/>
    <cellStyle name="Normal 17 3 5 3" xfId="41443" xr:uid="{00000000-0005-0000-0000-000045780000}"/>
    <cellStyle name="Normal 17 3 6" xfId="18211" xr:uid="{00000000-0005-0000-0000-000046780000}"/>
    <cellStyle name="Normal 17 3 7" xfId="33703" xr:uid="{00000000-0005-0000-0000-000047780000}"/>
    <cellStyle name="Normal 17 4" xfId="3240" xr:uid="{00000000-0005-0000-0000-000048780000}"/>
    <cellStyle name="Normal 17 4 2" xfId="5179" xr:uid="{00000000-0005-0000-0000-000049780000}"/>
    <cellStyle name="Normal 17 4 2 2" xfId="9050" xr:uid="{00000000-0005-0000-0000-00004A780000}"/>
    <cellStyle name="Normal 17 4 2 2 2" xfId="16795" xr:uid="{00000000-0005-0000-0000-00004B780000}"/>
    <cellStyle name="Normal 17 4 2 2 2 2" xfId="32387" xr:uid="{00000000-0005-0000-0000-00004C780000}"/>
    <cellStyle name="Normal 17 4 2 2 2 3" xfId="47879" xr:uid="{00000000-0005-0000-0000-00004D780000}"/>
    <cellStyle name="Normal 17 4 2 2 3" xfId="24647" xr:uid="{00000000-0005-0000-0000-00004E780000}"/>
    <cellStyle name="Normal 17 4 2 2 4" xfId="40139" xr:uid="{00000000-0005-0000-0000-00004F780000}"/>
    <cellStyle name="Normal 17 4 2 3" xfId="12925" xr:uid="{00000000-0005-0000-0000-000050780000}"/>
    <cellStyle name="Normal 17 4 2 3 2" xfId="28517" xr:uid="{00000000-0005-0000-0000-000051780000}"/>
    <cellStyle name="Normal 17 4 2 3 3" xfId="44009" xr:uid="{00000000-0005-0000-0000-000052780000}"/>
    <cellStyle name="Normal 17 4 2 4" xfId="20777" xr:uid="{00000000-0005-0000-0000-000053780000}"/>
    <cellStyle name="Normal 17 4 2 5" xfId="36269" xr:uid="{00000000-0005-0000-0000-000054780000}"/>
    <cellStyle name="Normal 17 4 3" xfId="7123" xr:uid="{00000000-0005-0000-0000-000055780000}"/>
    <cellStyle name="Normal 17 4 3 2" xfId="14868" xr:uid="{00000000-0005-0000-0000-000056780000}"/>
    <cellStyle name="Normal 17 4 3 2 2" xfId="30460" xr:uid="{00000000-0005-0000-0000-000057780000}"/>
    <cellStyle name="Normal 17 4 3 2 3" xfId="45952" xr:uid="{00000000-0005-0000-0000-000058780000}"/>
    <cellStyle name="Normal 17 4 3 3" xfId="22720" xr:uid="{00000000-0005-0000-0000-000059780000}"/>
    <cellStyle name="Normal 17 4 3 4" xfId="38212" xr:uid="{00000000-0005-0000-0000-00005A780000}"/>
    <cellStyle name="Normal 17 4 4" xfId="10998" xr:uid="{00000000-0005-0000-0000-00005B780000}"/>
    <cellStyle name="Normal 17 4 4 2" xfId="26590" xr:uid="{00000000-0005-0000-0000-00005C780000}"/>
    <cellStyle name="Normal 17 4 4 3" xfId="42082" xr:uid="{00000000-0005-0000-0000-00005D780000}"/>
    <cellStyle name="Normal 17 4 5" xfId="18850" xr:uid="{00000000-0005-0000-0000-00005E780000}"/>
    <cellStyle name="Normal 17 4 6" xfId="34342" xr:uid="{00000000-0005-0000-0000-00005F780000}"/>
    <cellStyle name="Normal 17 5" xfId="4231" xr:uid="{00000000-0005-0000-0000-000060780000}"/>
    <cellStyle name="Normal 17 5 2" xfId="8102" xr:uid="{00000000-0005-0000-0000-000061780000}"/>
    <cellStyle name="Normal 17 5 2 2" xfId="15847" xr:uid="{00000000-0005-0000-0000-000062780000}"/>
    <cellStyle name="Normal 17 5 2 2 2" xfId="31439" xr:uid="{00000000-0005-0000-0000-000063780000}"/>
    <cellStyle name="Normal 17 5 2 2 3" xfId="46931" xr:uid="{00000000-0005-0000-0000-000064780000}"/>
    <cellStyle name="Normal 17 5 2 3" xfId="23699" xr:uid="{00000000-0005-0000-0000-000065780000}"/>
    <cellStyle name="Normal 17 5 2 4" xfId="39191" xr:uid="{00000000-0005-0000-0000-000066780000}"/>
    <cellStyle name="Normal 17 5 3" xfId="11977" xr:uid="{00000000-0005-0000-0000-000067780000}"/>
    <cellStyle name="Normal 17 5 3 2" xfId="27569" xr:uid="{00000000-0005-0000-0000-000068780000}"/>
    <cellStyle name="Normal 17 5 3 3" xfId="43061" xr:uid="{00000000-0005-0000-0000-000069780000}"/>
    <cellStyle name="Normal 17 5 4" xfId="19829" xr:uid="{00000000-0005-0000-0000-00006A780000}"/>
    <cellStyle name="Normal 17 5 5" xfId="35321" xr:uid="{00000000-0005-0000-0000-00006B780000}"/>
    <cellStyle name="Normal 17 6" xfId="6175" xr:uid="{00000000-0005-0000-0000-00006C780000}"/>
    <cellStyle name="Normal 17 6 2" xfId="13920" xr:uid="{00000000-0005-0000-0000-00006D780000}"/>
    <cellStyle name="Normal 17 6 2 2" xfId="29512" xr:uid="{00000000-0005-0000-0000-00006E780000}"/>
    <cellStyle name="Normal 17 6 2 3" xfId="45004" xr:uid="{00000000-0005-0000-0000-00006F780000}"/>
    <cellStyle name="Normal 17 6 3" xfId="21772" xr:uid="{00000000-0005-0000-0000-000070780000}"/>
    <cellStyle name="Normal 17 6 4" xfId="37264" xr:uid="{00000000-0005-0000-0000-000071780000}"/>
    <cellStyle name="Normal 17 7" xfId="10050" xr:uid="{00000000-0005-0000-0000-000072780000}"/>
    <cellStyle name="Normal 17 7 2" xfId="25642" xr:uid="{00000000-0005-0000-0000-000073780000}"/>
    <cellStyle name="Normal 17 7 3" xfId="41134" xr:uid="{00000000-0005-0000-0000-000074780000}"/>
    <cellStyle name="Normal 17 8" xfId="17902" xr:uid="{00000000-0005-0000-0000-000075780000}"/>
    <cellStyle name="Normal 17 9" xfId="33394" xr:uid="{00000000-0005-0000-0000-000076780000}"/>
    <cellStyle name="Normal 18" xfId="1900" xr:uid="{00000000-0005-0000-0000-000077780000}"/>
    <cellStyle name="Normal 18 2" xfId="49091" xr:uid="{A1AB0AA3-7267-4C1E-BD0F-23752E059156}"/>
    <cellStyle name="Normal 19" xfId="2832" xr:uid="{00000000-0005-0000-0000-000078780000}"/>
    <cellStyle name="Normal 19 10" xfId="48868" xr:uid="{00000000-0005-0000-0000-000079780000}"/>
    <cellStyle name="Normal 19 2" xfId="1901" xr:uid="{00000000-0005-0000-0000-00007A780000}"/>
    <cellStyle name="Normal 19 3" xfId="1902" xr:uid="{00000000-0005-0000-0000-00007B780000}"/>
    <cellStyle name="Normal 19 4" xfId="3839" xr:uid="{00000000-0005-0000-0000-00007C780000}"/>
    <cellStyle name="Normal 19 4 2" xfId="5778" xr:uid="{00000000-0005-0000-0000-00007D780000}"/>
    <cellStyle name="Normal 19 4 2 2" xfId="9649" xr:uid="{00000000-0005-0000-0000-00007E780000}"/>
    <cellStyle name="Normal 19 4 2 2 2" xfId="17394" xr:uid="{00000000-0005-0000-0000-00007F780000}"/>
    <cellStyle name="Normal 19 4 2 2 2 2" xfId="32986" xr:uid="{00000000-0005-0000-0000-000080780000}"/>
    <cellStyle name="Normal 19 4 2 2 2 3" xfId="48478" xr:uid="{00000000-0005-0000-0000-000081780000}"/>
    <cellStyle name="Normal 19 4 2 2 3" xfId="25246" xr:uid="{00000000-0005-0000-0000-000082780000}"/>
    <cellStyle name="Normal 19 4 2 2 4" xfId="40738" xr:uid="{00000000-0005-0000-0000-000083780000}"/>
    <cellStyle name="Normal 19 4 2 3" xfId="13524" xr:uid="{00000000-0005-0000-0000-000084780000}"/>
    <cellStyle name="Normal 19 4 2 3 2" xfId="29116" xr:uid="{00000000-0005-0000-0000-000085780000}"/>
    <cellStyle name="Normal 19 4 2 3 3" xfId="44608" xr:uid="{00000000-0005-0000-0000-000086780000}"/>
    <cellStyle name="Normal 19 4 2 4" xfId="21376" xr:uid="{00000000-0005-0000-0000-000087780000}"/>
    <cellStyle name="Normal 19 4 2 5" xfId="36868" xr:uid="{00000000-0005-0000-0000-000088780000}"/>
    <cellStyle name="Normal 19 4 3" xfId="7722" xr:uid="{00000000-0005-0000-0000-000089780000}"/>
    <cellStyle name="Normal 19 4 3 2" xfId="15467" xr:uid="{00000000-0005-0000-0000-00008A780000}"/>
    <cellStyle name="Normal 19 4 3 2 2" xfId="31059" xr:uid="{00000000-0005-0000-0000-00008B780000}"/>
    <cellStyle name="Normal 19 4 3 2 3" xfId="46551" xr:uid="{00000000-0005-0000-0000-00008C780000}"/>
    <cellStyle name="Normal 19 4 3 3" xfId="23319" xr:uid="{00000000-0005-0000-0000-00008D780000}"/>
    <cellStyle name="Normal 19 4 3 4" xfId="38811" xr:uid="{00000000-0005-0000-0000-00008E780000}"/>
    <cellStyle name="Normal 19 4 4" xfId="11597" xr:uid="{00000000-0005-0000-0000-00008F780000}"/>
    <cellStyle name="Normal 19 4 4 2" xfId="27189" xr:uid="{00000000-0005-0000-0000-000090780000}"/>
    <cellStyle name="Normal 19 4 4 3" xfId="42681" xr:uid="{00000000-0005-0000-0000-000091780000}"/>
    <cellStyle name="Normal 19 4 5" xfId="19449" xr:uid="{00000000-0005-0000-0000-000092780000}"/>
    <cellStyle name="Normal 19 4 6" xfId="34941" xr:uid="{00000000-0005-0000-0000-000093780000}"/>
    <cellStyle name="Normal 19 5" xfId="4830" xr:uid="{00000000-0005-0000-0000-000094780000}"/>
    <cellStyle name="Normal 19 5 2" xfId="8701" xr:uid="{00000000-0005-0000-0000-000095780000}"/>
    <cellStyle name="Normal 19 5 2 2" xfId="16446" xr:uid="{00000000-0005-0000-0000-000096780000}"/>
    <cellStyle name="Normal 19 5 2 2 2" xfId="32038" xr:uid="{00000000-0005-0000-0000-000097780000}"/>
    <cellStyle name="Normal 19 5 2 2 3" xfId="47530" xr:uid="{00000000-0005-0000-0000-000098780000}"/>
    <cellStyle name="Normal 19 5 2 3" xfId="24298" xr:uid="{00000000-0005-0000-0000-000099780000}"/>
    <cellStyle name="Normal 19 5 2 4" xfId="39790" xr:uid="{00000000-0005-0000-0000-00009A780000}"/>
    <cellStyle name="Normal 19 5 3" xfId="12576" xr:uid="{00000000-0005-0000-0000-00009B780000}"/>
    <cellStyle name="Normal 19 5 3 2" xfId="28168" xr:uid="{00000000-0005-0000-0000-00009C780000}"/>
    <cellStyle name="Normal 19 5 3 3" xfId="43660" xr:uid="{00000000-0005-0000-0000-00009D780000}"/>
    <cellStyle name="Normal 19 5 4" xfId="20428" xr:uid="{00000000-0005-0000-0000-00009E780000}"/>
    <cellStyle name="Normal 19 5 5" xfId="35920" xr:uid="{00000000-0005-0000-0000-00009F780000}"/>
    <cellStyle name="Normal 19 6" xfId="6774" xr:uid="{00000000-0005-0000-0000-0000A0780000}"/>
    <cellStyle name="Normal 19 6 2" xfId="14519" xr:uid="{00000000-0005-0000-0000-0000A1780000}"/>
    <cellStyle name="Normal 19 6 2 2" xfId="30111" xr:uid="{00000000-0005-0000-0000-0000A2780000}"/>
    <cellStyle name="Normal 19 6 2 3" xfId="45603" xr:uid="{00000000-0005-0000-0000-0000A3780000}"/>
    <cellStyle name="Normal 19 6 3" xfId="22371" xr:uid="{00000000-0005-0000-0000-0000A4780000}"/>
    <cellStyle name="Normal 19 6 4" xfId="37863" xr:uid="{00000000-0005-0000-0000-0000A5780000}"/>
    <cellStyle name="Normal 19 7" xfId="10649" xr:uid="{00000000-0005-0000-0000-0000A6780000}"/>
    <cellStyle name="Normal 19 7 2" xfId="26241" xr:uid="{00000000-0005-0000-0000-0000A7780000}"/>
    <cellStyle name="Normal 19 7 3" xfId="41733" xr:uid="{00000000-0005-0000-0000-0000A8780000}"/>
    <cellStyle name="Normal 19 8" xfId="18501" xr:uid="{00000000-0005-0000-0000-0000A9780000}"/>
    <cellStyle name="Normal 19 9" xfId="33993" xr:uid="{00000000-0005-0000-0000-0000AA780000}"/>
    <cellStyle name="Normal 2" xfId="1903" xr:uid="{00000000-0005-0000-0000-0000AB780000}"/>
    <cellStyle name="Normal 2 10" xfId="1904" xr:uid="{00000000-0005-0000-0000-0000AC780000}"/>
    <cellStyle name="Normal 2 11" xfId="1905" xr:uid="{00000000-0005-0000-0000-0000AD780000}"/>
    <cellStyle name="Normal 2 12" xfId="1906" xr:uid="{00000000-0005-0000-0000-0000AE780000}"/>
    <cellStyle name="Normal 2 13" xfId="1907" xr:uid="{00000000-0005-0000-0000-0000AF780000}"/>
    <cellStyle name="Normal 2 13 2" xfId="1908" xr:uid="{00000000-0005-0000-0000-0000B0780000}"/>
    <cellStyle name="Normal 2 14" xfId="1909" xr:uid="{00000000-0005-0000-0000-0000B1780000}"/>
    <cellStyle name="Normal 2 14 2" xfId="1910" xr:uid="{00000000-0005-0000-0000-0000B2780000}"/>
    <cellStyle name="Normal 2 15" xfId="1911" xr:uid="{00000000-0005-0000-0000-0000B3780000}"/>
    <cellStyle name="Normal 2 15 2" xfId="1912" xr:uid="{00000000-0005-0000-0000-0000B4780000}"/>
    <cellStyle name="Normal 2 16" xfId="1913" xr:uid="{00000000-0005-0000-0000-0000B5780000}"/>
    <cellStyle name="Normal 2 16 2" xfId="1914" xr:uid="{00000000-0005-0000-0000-0000B6780000}"/>
    <cellStyle name="Normal 2 17" xfId="1915" xr:uid="{00000000-0005-0000-0000-0000B7780000}"/>
    <cellStyle name="Normal 2 17 2" xfId="1916" xr:uid="{00000000-0005-0000-0000-0000B8780000}"/>
    <cellStyle name="Normal 2 18" xfId="1917" xr:uid="{00000000-0005-0000-0000-0000B9780000}"/>
    <cellStyle name="Normal 2 18 2" xfId="1918" xr:uid="{00000000-0005-0000-0000-0000BA780000}"/>
    <cellStyle name="Normal 2 19" xfId="1919" xr:uid="{00000000-0005-0000-0000-0000BB780000}"/>
    <cellStyle name="Normal 2 19 2" xfId="1920" xr:uid="{00000000-0005-0000-0000-0000BC780000}"/>
    <cellStyle name="Normal 2 2" xfId="1921" xr:uid="{00000000-0005-0000-0000-0000BD780000}"/>
    <cellStyle name="Normal 2 2 10" xfId="1922" xr:uid="{00000000-0005-0000-0000-0000BE780000}"/>
    <cellStyle name="Normal 2 2 10 2" xfId="3150" xr:uid="{00000000-0005-0000-0000-0000BF780000}"/>
    <cellStyle name="Normal 2 2 10 3" xfId="49092" xr:uid="{833A1B70-0117-4ED9-8C72-840ABCF296C6}"/>
    <cellStyle name="Normal 2 2 11" xfId="1923" xr:uid="{00000000-0005-0000-0000-0000C0780000}"/>
    <cellStyle name="Normal 2 2 12" xfId="1924" xr:uid="{00000000-0005-0000-0000-0000C1780000}"/>
    <cellStyle name="Normal 2 2 12 2" xfId="1925" xr:uid="{00000000-0005-0000-0000-0000C2780000}"/>
    <cellStyle name="Normal 2 2 12 3" xfId="2491" xr:uid="{00000000-0005-0000-0000-0000C3780000}"/>
    <cellStyle name="Normal 2 2 12 3 2" xfId="3499" xr:uid="{00000000-0005-0000-0000-0000C4780000}"/>
    <cellStyle name="Normal 2 2 12 3 2 2" xfId="5438" xr:uid="{00000000-0005-0000-0000-0000C5780000}"/>
    <cellStyle name="Normal 2 2 12 3 2 2 2" xfId="9309" xr:uid="{00000000-0005-0000-0000-0000C6780000}"/>
    <cellStyle name="Normal 2 2 12 3 2 2 2 2" xfId="17054" xr:uid="{00000000-0005-0000-0000-0000C7780000}"/>
    <cellStyle name="Normal 2 2 12 3 2 2 2 2 2" xfId="32646" xr:uid="{00000000-0005-0000-0000-0000C8780000}"/>
    <cellStyle name="Normal 2 2 12 3 2 2 2 2 3" xfId="48138" xr:uid="{00000000-0005-0000-0000-0000C9780000}"/>
    <cellStyle name="Normal 2 2 12 3 2 2 2 3" xfId="24906" xr:uid="{00000000-0005-0000-0000-0000CA780000}"/>
    <cellStyle name="Normal 2 2 12 3 2 2 2 4" xfId="40398" xr:uid="{00000000-0005-0000-0000-0000CB780000}"/>
    <cellStyle name="Normal 2 2 12 3 2 2 3" xfId="13184" xr:uid="{00000000-0005-0000-0000-0000CC780000}"/>
    <cellStyle name="Normal 2 2 12 3 2 2 3 2" xfId="28776" xr:uid="{00000000-0005-0000-0000-0000CD780000}"/>
    <cellStyle name="Normal 2 2 12 3 2 2 3 3" xfId="44268" xr:uid="{00000000-0005-0000-0000-0000CE780000}"/>
    <cellStyle name="Normal 2 2 12 3 2 2 4" xfId="21036" xr:uid="{00000000-0005-0000-0000-0000CF780000}"/>
    <cellStyle name="Normal 2 2 12 3 2 2 5" xfId="36528" xr:uid="{00000000-0005-0000-0000-0000D0780000}"/>
    <cellStyle name="Normal 2 2 12 3 2 3" xfId="7382" xr:uid="{00000000-0005-0000-0000-0000D1780000}"/>
    <cellStyle name="Normal 2 2 12 3 2 3 2" xfId="15127" xr:uid="{00000000-0005-0000-0000-0000D2780000}"/>
    <cellStyle name="Normal 2 2 12 3 2 3 2 2" xfId="30719" xr:uid="{00000000-0005-0000-0000-0000D3780000}"/>
    <cellStyle name="Normal 2 2 12 3 2 3 2 3" xfId="46211" xr:uid="{00000000-0005-0000-0000-0000D4780000}"/>
    <cellStyle name="Normal 2 2 12 3 2 3 3" xfId="22979" xr:uid="{00000000-0005-0000-0000-0000D5780000}"/>
    <cellStyle name="Normal 2 2 12 3 2 3 4" xfId="38471" xr:uid="{00000000-0005-0000-0000-0000D6780000}"/>
    <cellStyle name="Normal 2 2 12 3 2 4" xfId="11257" xr:uid="{00000000-0005-0000-0000-0000D7780000}"/>
    <cellStyle name="Normal 2 2 12 3 2 4 2" xfId="26849" xr:uid="{00000000-0005-0000-0000-0000D8780000}"/>
    <cellStyle name="Normal 2 2 12 3 2 4 3" xfId="42341" xr:uid="{00000000-0005-0000-0000-0000D9780000}"/>
    <cellStyle name="Normal 2 2 12 3 2 5" xfId="19109" xr:uid="{00000000-0005-0000-0000-0000DA780000}"/>
    <cellStyle name="Normal 2 2 12 3 2 6" xfId="34601" xr:uid="{00000000-0005-0000-0000-0000DB780000}"/>
    <cellStyle name="Normal 2 2 12 3 3" xfId="4490" xr:uid="{00000000-0005-0000-0000-0000DC780000}"/>
    <cellStyle name="Normal 2 2 12 3 3 2" xfId="8361" xr:uid="{00000000-0005-0000-0000-0000DD780000}"/>
    <cellStyle name="Normal 2 2 12 3 3 2 2" xfId="16106" xr:uid="{00000000-0005-0000-0000-0000DE780000}"/>
    <cellStyle name="Normal 2 2 12 3 3 2 2 2" xfId="31698" xr:uid="{00000000-0005-0000-0000-0000DF780000}"/>
    <cellStyle name="Normal 2 2 12 3 3 2 2 3" xfId="47190" xr:uid="{00000000-0005-0000-0000-0000E0780000}"/>
    <cellStyle name="Normal 2 2 12 3 3 2 3" xfId="23958" xr:uid="{00000000-0005-0000-0000-0000E1780000}"/>
    <cellStyle name="Normal 2 2 12 3 3 2 4" xfId="39450" xr:uid="{00000000-0005-0000-0000-0000E2780000}"/>
    <cellStyle name="Normal 2 2 12 3 3 3" xfId="12236" xr:uid="{00000000-0005-0000-0000-0000E3780000}"/>
    <cellStyle name="Normal 2 2 12 3 3 3 2" xfId="27828" xr:uid="{00000000-0005-0000-0000-0000E4780000}"/>
    <cellStyle name="Normal 2 2 12 3 3 3 3" xfId="43320" xr:uid="{00000000-0005-0000-0000-0000E5780000}"/>
    <cellStyle name="Normal 2 2 12 3 3 4" xfId="20088" xr:uid="{00000000-0005-0000-0000-0000E6780000}"/>
    <cellStyle name="Normal 2 2 12 3 3 5" xfId="35580" xr:uid="{00000000-0005-0000-0000-0000E7780000}"/>
    <cellStyle name="Normal 2 2 12 3 4" xfId="6434" xr:uid="{00000000-0005-0000-0000-0000E8780000}"/>
    <cellStyle name="Normal 2 2 12 3 4 2" xfId="14179" xr:uid="{00000000-0005-0000-0000-0000E9780000}"/>
    <cellStyle name="Normal 2 2 12 3 4 2 2" xfId="29771" xr:uid="{00000000-0005-0000-0000-0000EA780000}"/>
    <cellStyle name="Normal 2 2 12 3 4 2 3" xfId="45263" xr:uid="{00000000-0005-0000-0000-0000EB780000}"/>
    <cellStyle name="Normal 2 2 12 3 4 3" xfId="22031" xr:uid="{00000000-0005-0000-0000-0000EC780000}"/>
    <cellStyle name="Normal 2 2 12 3 4 4" xfId="37523" xr:uid="{00000000-0005-0000-0000-0000ED780000}"/>
    <cellStyle name="Normal 2 2 12 3 5" xfId="10309" xr:uid="{00000000-0005-0000-0000-0000EE780000}"/>
    <cellStyle name="Normal 2 2 12 3 5 2" xfId="25901" xr:uid="{00000000-0005-0000-0000-0000EF780000}"/>
    <cellStyle name="Normal 2 2 12 3 5 3" xfId="41393" xr:uid="{00000000-0005-0000-0000-0000F0780000}"/>
    <cellStyle name="Normal 2 2 12 3 6" xfId="18161" xr:uid="{00000000-0005-0000-0000-0000F1780000}"/>
    <cellStyle name="Normal 2 2 12 3 7" xfId="33653" xr:uid="{00000000-0005-0000-0000-0000F2780000}"/>
    <cellStyle name="Normal 2 2 12 4" xfId="3190" xr:uid="{00000000-0005-0000-0000-0000F3780000}"/>
    <cellStyle name="Normal 2 2 12 4 2" xfId="5129" xr:uid="{00000000-0005-0000-0000-0000F4780000}"/>
    <cellStyle name="Normal 2 2 12 4 2 2" xfId="9000" xr:uid="{00000000-0005-0000-0000-0000F5780000}"/>
    <cellStyle name="Normal 2 2 12 4 2 2 2" xfId="16745" xr:uid="{00000000-0005-0000-0000-0000F6780000}"/>
    <cellStyle name="Normal 2 2 12 4 2 2 2 2" xfId="32337" xr:uid="{00000000-0005-0000-0000-0000F7780000}"/>
    <cellStyle name="Normal 2 2 12 4 2 2 2 3" xfId="47829" xr:uid="{00000000-0005-0000-0000-0000F8780000}"/>
    <cellStyle name="Normal 2 2 12 4 2 2 3" xfId="24597" xr:uid="{00000000-0005-0000-0000-0000F9780000}"/>
    <cellStyle name="Normal 2 2 12 4 2 2 4" xfId="40089" xr:uid="{00000000-0005-0000-0000-0000FA780000}"/>
    <cellStyle name="Normal 2 2 12 4 2 3" xfId="12875" xr:uid="{00000000-0005-0000-0000-0000FB780000}"/>
    <cellStyle name="Normal 2 2 12 4 2 3 2" xfId="28467" xr:uid="{00000000-0005-0000-0000-0000FC780000}"/>
    <cellStyle name="Normal 2 2 12 4 2 3 3" xfId="43959" xr:uid="{00000000-0005-0000-0000-0000FD780000}"/>
    <cellStyle name="Normal 2 2 12 4 2 4" xfId="20727" xr:uid="{00000000-0005-0000-0000-0000FE780000}"/>
    <cellStyle name="Normal 2 2 12 4 2 5" xfId="36219" xr:uid="{00000000-0005-0000-0000-0000FF780000}"/>
    <cellStyle name="Normal 2 2 12 4 3" xfId="7073" xr:uid="{00000000-0005-0000-0000-000000790000}"/>
    <cellStyle name="Normal 2 2 12 4 3 2" xfId="14818" xr:uid="{00000000-0005-0000-0000-000001790000}"/>
    <cellStyle name="Normal 2 2 12 4 3 2 2" xfId="30410" xr:uid="{00000000-0005-0000-0000-000002790000}"/>
    <cellStyle name="Normal 2 2 12 4 3 2 3" xfId="45902" xr:uid="{00000000-0005-0000-0000-000003790000}"/>
    <cellStyle name="Normal 2 2 12 4 3 3" xfId="22670" xr:uid="{00000000-0005-0000-0000-000004790000}"/>
    <cellStyle name="Normal 2 2 12 4 3 4" xfId="38162" xr:uid="{00000000-0005-0000-0000-000005790000}"/>
    <cellStyle name="Normal 2 2 12 4 4" xfId="10948" xr:uid="{00000000-0005-0000-0000-000006790000}"/>
    <cellStyle name="Normal 2 2 12 4 4 2" xfId="26540" xr:uid="{00000000-0005-0000-0000-000007790000}"/>
    <cellStyle name="Normal 2 2 12 4 4 3" xfId="42032" xr:uid="{00000000-0005-0000-0000-000008790000}"/>
    <cellStyle name="Normal 2 2 12 4 5" xfId="18800" xr:uid="{00000000-0005-0000-0000-000009790000}"/>
    <cellStyle name="Normal 2 2 12 4 6" xfId="34292" xr:uid="{00000000-0005-0000-0000-00000A790000}"/>
    <cellStyle name="Normal 2 2 12 5" xfId="4181" xr:uid="{00000000-0005-0000-0000-00000B790000}"/>
    <cellStyle name="Normal 2 2 12 5 2" xfId="8052" xr:uid="{00000000-0005-0000-0000-00000C790000}"/>
    <cellStyle name="Normal 2 2 12 5 2 2" xfId="15797" xr:uid="{00000000-0005-0000-0000-00000D790000}"/>
    <cellStyle name="Normal 2 2 12 5 2 2 2" xfId="31389" xr:uid="{00000000-0005-0000-0000-00000E790000}"/>
    <cellStyle name="Normal 2 2 12 5 2 2 3" xfId="46881" xr:uid="{00000000-0005-0000-0000-00000F790000}"/>
    <cellStyle name="Normal 2 2 12 5 2 3" xfId="23649" xr:uid="{00000000-0005-0000-0000-000010790000}"/>
    <cellStyle name="Normal 2 2 12 5 2 4" xfId="39141" xr:uid="{00000000-0005-0000-0000-000011790000}"/>
    <cellStyle name="Normal 2 2 12 5 3" xfId="11927" xr:uid="{00000000-0005-0000-0000-000012790000}"/>
    <cellStyle name="Normal 2 2 12 5 3 2" xfId="27519" xr:uid="{00000000-0005-0000-0000-000013790000}"/>
    <cellStyle name="Normal 2 2 12 5 3 3" xfId="43011" xr:uid="{00000000-0005-0000-0000-000014790000}"/>
    <cellStyle name="Normal 2 2 12 5 4" xfId="19779" xr:uid="{00000000-0005-0000-0000-000015790000}"/>
    <cellStyle name="Normal 2 2 12 5 5" xfId="35271" xr:uid="{00000000-0005-0000-0000-000016790000}"/>
    <cellStyle name="Normal 2 2 12 6" xfId="6125" xr:uid="{00000000-0005-0000-0000-000017790000}"/>
    <cellStyle name="Normal 2 2 12 6 2" xfId="13870" xr:uid="{00000000-0005-0000-0000-000018790000}"/>
    <cellStyle name="Normal 2 2 12 6 2 2" xfId="29462" xr:uid="{00000000-0005-0000-0000-000019790000}"/>
    <cellStyle name="Normal 2 2 12 6 2 3" xfId="44954" xr:uid="{00000000-0005-0000-0000-00001A790000}"/>
    <cellStyle name="Normal 2 2 12 6 3" xfId="21722" xr:uid="{00000000-0005-0000-0000-00001B790000}"/>
    <cellStyle name="Normal 2 2 12 6 4" xfId="37214" xr:uid="{00000000-0005-0000-0000-00001C790000}"/>
    <cellStyle name="Normal 2 2 12 7" xfId="10000" xr:uid="{00000000-0005-0000-0000-00001D790000}"/>
    <cellStyle name="Normal 2 2 12 7 2" xfId="25592" xr:uid="{00000000-0005-0000-0000-00001E790000}"/>
    <cellStyle name="Normal 2 2 12 7 3" xfId="41084" xr:uid="{00000000-0005-0000-0000-00001F790000}"/>
    <cellStyle name="Normal 2 2 12 8" xfId="17852" xr:uid="{00000000-0005-0000-0000-000020790000}"/>
    <cellStyle name="Normal 2 2 12 9" xfId="33344" xr:uid="{00000000-0005-0000-0000-000021790000}"/>
    <cellStyle name="Normal 2 2 13" xfId="1926" xr:uid="{00000000-0005-0000-0000-000022790000}"/>
    <cellStyle name="Normal 2 2 2" xfId="1927" xr:uid="{00000000-0005-0000-0000-000023790000}"/>
    <cellStyle name="Normal 2 2 2 2" xfId="1928" xr:uid="{00000000-0005-0000-0000-000024790000}"/>
    <cellStyle name="Normal 2 2 2 2 2" xfId="1929" xr:uid="{00000000-0005-0000-0000-000025790000}"/>
    <cellStyle name="Normal 2 2 2 2 2 2" xfId="1930" xr:uid="{00000000-0005-0000-0000-000026790000}"/>
    <cellStyle name="Normal 2 2 2 2 2 2 2" xfId="1931" xr:uid="{00000000-0005-0000-0000-000027790000}"/>
    <cellStyle name="Normal 2 2 2 2 2 3" xfId="1932" xr:uid="{00000000-0005-0000-0000-000028790000}"/>
    <cellStyle name="Normal 2 2 2 2 2 4" xfId="1933" xr:uid="{00000000-0005-0000-0000-000029790000}"/>
    <cellStyle name="Normal 2 2 2 2 3" xfId="1934" xr:uid="{00000000-0005-0000-0000-00002A790000}"/>
    <cellStyle name="Normal 2 2 2 2 3 2" xfId="1935" xr:uid="{00000000-0005-0000-0000-00002B790000}"/>
    <cellStyle name="Normal 2 2 2 2 4" xfId="1936" xr:uid="{00000000-0005-0000-0000-00002C790000}"/>
    <cellStyle name="Normal 2 2 2 3" xfId="1937" xr:uid="{00000000-0005-0000-0000-00002D790000}"/>
    <cellStyle name="Normal 2 2 2 4" xfId="1938" xr:uid="{00000000-0005-0000-0000-00002E790000}"/>
    <cellStyle name="Normal 2 2 2 5" xfId="1939" xr:uid="{00000000-0005-0000-0000-00002F790000}"/>
    <cellStyle name="Normal 2 2 2 5 2" xfId="1940" xr:uid="{00000000-0005-0000-0000-000030790000}"/>
    <cellStyle name="Normal 2 2 2 5 3" xfId="48930" xr:uid="{00000000-0005-0000-0000-000031790000}"/>
    <cellStyle name="Normal 2 2 2 6" xfId="1941" xr:uid="{00000000-0005-0000-0000-000032790000}"/>
    <cellStyle name="Normal 2 2 3" xfId="1942" xr:uid="{00000000-0005-0000-0000-000033790000}"/>
    <cellStyle name="Normal 2 2 4" xfId="1943" xr:uid="{00000000-0005-0000-0000-000034790000}"/>
    <cellStyle name="Normal 2 2 5" xfId="1944" xr:uid="{00000000-0005-0000-0000-000035790000}"/>
    <cellStyle name="Normal 2 2 6" xfId="1945" xr:uid="{00000000-0005-0000-0000-000036790000}"/>
    <cellStyle name="Normal 2 2 7" xfId="1946" xr:uid="{00000000-0005-0000-0000-000037790000}"/>
    <cellStyle name="Normal 2 2 8" xfId="1947" xr:uid="{00000000-0005-0000-0000-000038790000}"/>
    <cellStyle name="Normal 2 2 9" xfId="1948" xr:uid="{00000000-0005-0000-0000-000039790000}"/>
    <cellStyle name="Normal 2 20" xfId="1949" xr:uid="{00000000-0005-0000-0000-00003A790000}"/>
    <cellStyle name="Normal 2 20 2" xfId="1950" xr:uid="{00000000-0005-0000-0000-00003B790000}"/>
    <cellStyle name="Normal 2 21" xfId="1951" xr:uid="{00000000-0005-0000-0000-00003C790000}"/>
    <cellStyle name="Normal 2 22" xfId="1952" xr:uid="{00000000-0005-0000-0000-00003D790000}"/>
    <cellStyle name="Normal 2 23" xfId="1953" xr:uid="{00000000-0005-0000-0000-00003E790000}"/>
    <cellStyle name="Normal 2 24" xfId="1954" xr:uid="{00000000-0005-0000-0000-00003F790000}"/>
    <cellStyle name="Normal 2 25" xfId="1955" xr:uid="{00000000-0005-0000-0000-000040790000}"/>
    <cellStyle name="Normal 2 26" xfId="1956" xr:uid="{00000000-0005-0000-0000-000041790000}"/>
    <cellStyle name="Normal 2 26 10" xfId="1957" xr:uid="{00000000-0005-0000-0000-000042790000}"/>
    <cellStyle name="Normal 2 26 11" xfId="1958" xr:uid="{00000000-0005-0000-0000-000043790000}"/>
    <cellStyle name="Normal 2 26 12" xfId="1959" xr:uid="{00000000-0005-0000-0000-000044790000}"/>
    <cellStyle name="Normal 2 26 13" xfId="1960" xr:uid="{00000000-0005-0000-0000-000045790000}"/>
    <cellStyle name="Normal 2 26 14" xfId="1961" xr:uid="{00000000-0005-0000-0000-000046790000}"/>
    <cellStyle name="Normal 2 26 15" xfId="4158" xr:uid="{00000000-0005-0000-0000-000047790000}"/>
    <cellStyle name="Normal 2 26 16" xfId="48870" xr:uid="{00000000-0005-0000-0000-000048790000}"/>
    <cellStyle name="Normal 2 26 2" xfId="1962" xr:uid="{00000000-0005-0000-0000-000049790000}"/>
    <cellStyle name="Normal 2 26 2 2" xfId="1963" xr:uid="{00000000-0005-0000-0000-00004A790000}"/>
    <cellStyle name="Normal 2 26 2 2 2" xfId="2492" xr:uid="{00000000-0005-0000-0000-00004B790000}"/>
    <cellStyle name="Normal 2 26 2 2 2 2" xfId="3500" xr:uid="{00000000-0005-0000-0000-00004C790000}"/>
    <cellStyle name="Normal 2 26 2 2 2 2 2" xfId="5439" xr:uid="{00000000-0005-0000-0000-00004D790000}"/>
    <cellStyle name="Normal 2 26 2 2 2 2 2 2" xfId="9310" xr:uid="{00000000-0005-0000-0000-00004E790000}"/>
    <cellStyle name="Normal 2 26 2 2 2 2 2 2 2" xfId="17055" xr:uid="{00000000-0005-0000-0000-00004F790000}"/>
    <cellStyle name="Normal 2 26 2 2 2 2 2 2 2 2" xfId="32647" xr:uid="{00000000-0005-0000-0000-000050790000}"/>
    <cellStyle name="Normal 2 26 2 2 2 2 2 2 2 3" xfId="48139" xr:uid="{00000000-0005-0000-0000-000051790000}"/>
    <cellStyle name="Normal 2 26 2 2 2 2 2 2 3" xfId="24907" xr:uid="{00000000-0005-0000-0000-000052790000}"/>
    <cellStyle name="Normal 2 26 2 2 2 2 2 2 4" xfId="40399" xr:uid="{00000000-0005-0000-0000-000053790000}"/>
    <cellStyle name="Normal 2 26 2 2 2 2 2 3" xfId="13185" xr:uid="{00000000-0005-0000-0000-000054790000}"/>
    <cellStyle name="Normal 2 26 2 2 2 2 2 3 2" xfId="28777" xr:uid="{00000000-0005-0000-0000-000055790000}"/>
    <cellStyle name="Normal 2 26 2 2 2 2 2 3 3" xfId="44269" xr:uid="{00000000-0005-0000-0000-000056790000}"/>
    <cellStyle name="Normal 2 26 2 2 2 2 2 4" xfId="21037" xr:uid="{00000000-0005-0000-0000-000057790000}"/>
    <cellStyle name="Normal 2 26 2 2 2 2 2 5" xfId="36529" xr:uid="{00000000-0005-0000-0000-000058790000}"/>
    <cellStyle name="Normal 2 26 2 2 2 2 3" xfId="7383" xr:uid="{00000000-0005-0000-0000-000059790000}"/>
    <cellStyle name="Normal 2 26 2 2 2 2 3 2" xfId="15128" xr:uid="{00000000-0005-0000-0000-00005A790000}"/>
    <cellStyle name="Normal 2 26 2 2 2 2 3 2 2" xfId="30720" xr:uid="{00000000-0005-0000-0000-00005B790000}"/>
    <cellStyle name="Normal 2 26 2 2 2 2 3 2 3" xfId="46212" xr:uid="{00000000-0005-0000-0000-00005C790000}"/>
    <cellStyle name="Normal 2 26 2 2 2 2 3 3" xfId="22980" xr:uid="{00000000-0005-0000-0000-00005D790000}"/>
    <cellStyle name="Normal 2 26 2 2 2 2 3 4" xfId="38472" xr:uid="{00000000-0005-0000-0000-00005E790000}"/>
    <cellStyle name="Normal 2 26 2 2 2 2 4" xfId="11258" xr:uid="{00000000-0005-0000-0000-00005F790000}"/>
    <cellStyle name="Normal 2 26 2 2 2 2 4 2" xfId="26850" xr:uid="{00000000-0005-0000-0000-000060790000}"/>
    <cellStyle name="Normal 2 26 2 2 2 2 4 3" xfId="42342" xr:uid="{00000000-0005-0000-0000-000061790000}"/>
    <cellStyle name="Normal 2 26 2 2 2 2 5" xfId="19110" xr:uid="{00000000-0005-0000-0000-000062790000}"/>
    <cellStyle name="Normal 2 26 2 2 2 2 6" xfId="34602" xr:uid="{00000000-0005-0000-0000-000063790000}"/>
    <cellStyle name="Normal 2 26 2 2 2 3" xfId="4491" xr:uid="{00000000-0005-0000-0000-000064790000}"/>
    <cellStyle name="Normal 2 26 2 2 2 3 2" xfId="8362" xr:uid="{00000000-0005-0000-0000-000065790000}"/>
    <cellStyle name="Normal 2 26 2 2 2 3 2 2" xfId="16107" xr:uid="{00000000-0005-0000-0000-000066790000}"/>
    <cellStyle name="Normal 2 26 2 2 2 3 2 2 2" xfId="31699" xr:uid="{00000000-0005-0000-0000-000067790000}"/>
    <cellStyle name="Normal 2 26 2 2 2 3 2 2 3" xfId="47191" xr:uid="{00000000-0005-0000-0000-000068790000}"/>
    <cellStyle name="Normal 2 26 2 2 2 3 2 3" xfId="23959" xr:uid="{00000000-0005-0000-0000-000069790000}"/>
    <cellStyle name="Normal 2 26 2 2 2 3 2 4" xfId="39451" xr:uid="{00000000-0005-0000-0000-00006A790000}"/>
    <cellStyle name="Normal 2 26 2 2 2 3 3" xfId="12237" xr:uid="{00000000-0005-0000-0000-00006B790000}"/>
    <cellStyle name="Normal 2 26 2 2 2 3 3 2" xfId="27829" xr:uid="{00000000-0005-0000-0000-00006C790000}"/>
    <cellStyle name="Normal 2 26 2 2 2 3 3 3" xfId="43321" xr:uid="{00000000-0005-0000-0000-00006D790000}"/>
    <cellStyle name="Normal 2 26 2 2 2 3 4" xfId="20089" xr:uid="{00000000-0005-0000-0000-00006E790000}"/>
    <cellStyle name="Normal 2 26 2 2 2 3 5" xfId="35581" xr:uid="{00000000-0005-0000-0000-00006F790000}"/>
    <cellStyle name="Normal 2 26 2 2 2 4" xfId="6435" xr:uid="{00000000-0005-0000-0000-000070790000}"/>
    <cellStyle name="Normal 2 26 2 2 2 4 2" xfId="14180" xr:uid="{00000000-0005-0000-0000-000071790000}"/>
    <cellStyle name="Normal 2 26 2 2 2 4 2 2" xfId="29772" xr:uid="{00000000-0005-0000-0000-000072790000}"/>
    <cellStyle name="Normal 2 26 2 2 2 4 2 3" xfId="45264" xr:uid="{00000000-0005-0000-0000-000073790000}"/>
    <cellStyle name="Normal 2 26 2 2 2 4 3" xfId="22032" xr:uid="{00000000-0005-0000-0000-000074790000}"/>
    <cellStyle name="Normal 2 26 2 2 2 4 4" xfId="37524" xr:uid="{00000000-0005-0000-0000-000075790000}"/>
    <cellStyle name="Normal 2 26 2 2 2 5" xfId="10310" xr:uid="{00000000-0005-0000-0000-000076790000}"/>
    <cellStyle name="Normal 2 26 2 2 2 5 2" xfId="25902" xr:uid="{00000000-0005-0000-0000-000077790000}"/>
    <cellStyle name="Normal 2 26 2 2 2 5 3" xfId="41394" xr:uid="{00000000-0005-0000-0000-000078790000}"/>
    <cellStyle name="Normal 2 26 2 2 2 6" xfId="18162" xr:uid="{00000000-0005-0000-0000-000079790000}"/>
    <cellStyle name="Normal 2 26 2 2 2 7" xfId="33654" xr:uid="{00000000-0005-0000-0000-00007A790000}"/>
    <cellStyle name="Normal 2 26 2 2 3" xfId="3191" xr:uid="{00000000-0005-0000-0000-00007B790000}"/>
    <cellStyle name="Normal 2 26 2 2 3 2" xfId="5130" xr:uid="{00000000-0005-0000-0000-00007C790000}"/>
    <cellStyle name="Normal 2 26 2 2 3 2 2" xfId="9001" xr:uid="{00000000-0005-0000-0000-00007D790000}"/>
    <cellStyle name="Normal 2 26 2 2 3 2 2 2" xfId="16746" xr:uid="{00000000-0005-0000-0000-00007E790000}"/>
    <cellStyle name="Normal 2 26 2 2 3 2 2 2 2" xfId="32338" xr:uid="{00000000-0005-0000-0000-00007F790000}"/>
    <cellStyle name="Normal 2 26 2 2 3 2 2 2 3" xfId="47830" xr:uid="{00000000-0005-0000-0000-000080790000}"/>
    <cellStyle name="Normal 2 26 2 2 3 2 2 3" xfId="24598" xr:uid="{00000000-0005-0000-0000-000081790000}"/>
    <cellStyle name="Normal 2 26 2 2 3 2 2 4" xfId="40090" xr:uid="{00000000-0005-0000-0000-000082790000}"/>
    <cellStyle name="Normal 2 26 2 2 3 2 3" xfId="12876" xr:uid="{00000000-0005-0000-0000-000083790000}"/>
    <cellStyle name="Normal 2 26 2 2 3 2 3 2" xfId="28468" xr:uid="{00000000-0005-0000-0000-000084790000}"/>
    <cellStyle name="Normal 2 26 2 2 3 2 3 3" xfId="43960" xr:uid="{00000000-0005-0000-0000-000085790000}"/>
    <cellStyle name="Normal 2 26 2 2 3 2 4" xfId="20728" xr:uid="{00000000-0005-0000-0000-000086790000}"/>
    <cellStyle name="Normal 2 26 2 2 3 2 5" xfId="36220" xr:uid="{00000000-0005-0000-0000-000087790000}"/>
    <cellStyle name="Normal 2 26 2 2 3 3" xfId="7074" xr:uid="{00000000-0005-0000-0000-000088790000}"/>
    <cellStyle name="Normal 2 26 2 2 3 3 2" xfId="14819" xr:uid="{00000000-0005-0000-0000-000089790000}"/>
    <cellStyle name="Normal 2 26 2 2 3 3 2 2" xfId="30411" xr:uid="{00000000-0005-0000-0000-00008A790000}"/>
    <cellStyle name="Normal 2 26 2 2 3 3 2 3" xfId="45903" xr:uid="{00000000-0005-0000-0000-00008B790000}"/>
    <cellStyle name="Normal 2 26 2 2 3 3 3" xfId="22671" xr:uid="{00000000-0005-0000-0000-00008C790000}"/>
    <cellStyle name="Normal 2 26 2 2 3 3 4" xfId="38163" xr:uid="{00000000-0005-0000-0000-00008D790000}"/>
    <cellStyle name="Normal 2 26 2 2 3 4" xfId="10949" xr:uid="{00000000-0005-0000-0000-00008E790000}"/>
    <cellStyle name="Normal 2 26 2 2 3 4 2" xfId="26541" xr:uid="{00000000-0005-0000-0000-00008F790000}"/>
    <cellStyle name="Normal 2 26 2 2 3 4 3" xfId="42033" xr:uid="{00000000-0005-0000-0000-000090790000}"/>
    <cellStyle name="Normal 2 26 2 2 3 5" xfId="18801" xr:uid="{00000000-0005-0000-0000-000091790000}"/>
    <cellStyle name="Normal 2 26 2 2 3 6" xfId="34293" xr:uid="{00000000-0005-0000-0000-000092790000}"/>
    <cellStyle name="Normal 2 26 2 2 4" xfId="4182" xr:uid="{00000000-0005-0000-0000-000093790000}"/>
    <cellStyle name="Normal 2 26 2 2 4 2" xfId="8053" xr:uid="{00000000-0005-0000-0000-000094790000}"/>
    <cellStyle name="Normal 2 26 2 2 4 2 2" xfId="15798" xr:uid="{00000000-0005-0000-0000-000095790000}"/>
    <cellStyle name="Normal 2 26 2 2 4 2 2 2" xfId="31390" xr:uid="{00000000-0005-0000-0000-000096790000}"/>
    <cellStyle name="Normal 2 26 2 2 4 2 2 3" xfId="46882" xr:uid="{00000000-0005-0000-0000-000097790000}"/>
    <cellStyle name="Normal 2 26 2 2 4 2 3" xfId="23650" xr:uid="{00000000-0005-0000-0000-000098790000}"/>
    <cellStyle name="Normal 2 26 2 2 4 2 4" xfId="39142" xr:uid="{00000000-0005-0000-0000-000099790000}"/>
    <cellStyle name="Normal 2 26 2 2 4 3" xfId="11928" xr:uid="{00000000-0005-0000-0000-00009A790000}"/>
    <cellStyle name="Normal 2 26 2 2 4 3 2" xfId="27520" xr:uid="{00000000-0005-0000-0000-00009B790000}"/>
    <cellStyle name="Normal 2 26 2 2 4 3 3" xfId="43012" xr:uid="{00000000-0005-0000-0000-00009C790000}"/>
    <cellStyle name="Normal 2 26 2 2 4 4" xfId="19780" xr:uid="{00000000-0005-0000-0000-00009D790000}"/>
    <cellStyle name="Normal 2 26 2 2 4 5" xfId="35272" xr:uid="{00000000-0005-0000-0000-00009E790000}"/>
    <cellStyle name="Normal 2 26 2 2 5" xfId="6126" xr:uid="{00000000-0005-0000-0000-00009F790000}"/>
    <cellStyle name="Normal 2 26 2 2 5 2" xfId="13871" xr:uid="{00000000-0005-0000-0000-0000A0790000}"/>
    <cellStyle name="Normal 2 26 2 2 5 2 2" xfId="29463" xr:uid="{00000000-0005-0000-0000-0000A1790000}"/>
    <cellStyle name="Normal 2 26 2 2 5 2 3" xfId="44955" xr:uid="{00000000-0005-0000-0000-0000A2790000}"/>
    <cellStyle name="Normal 2 26 2 2 5 3" xfId="21723" xr:uid="{00000000-0005-0000-0000-0000A3790000}"/>
    <cellStyle name="Normal 2 26 2 2 5 4" xfId="37215" xr:uid="{00000000-0005-0000-0000-0000A4790000}"/>
    <cellStyle name="Normal 2 26 2 2 6" xfId="10001" xr:uid="{00000000-0005-0000-0000-0000A5790000}"/>
    <cellStyle name="Normal 2 26 2 2 6 2" xfId="25593" xr:uid="{00000000-0005-0000-0000-0000A6790000}"/>
    <cellStyle name="Normal 2 26 2 2 6 3" xfId="41085" xr:uid="{00000000-0005-0000-0000-0000A7790000}"/>
    <cellStyle name="Normal 2 26 2 2 7" xfId="17853" xr:uid="{00000000-0005-0000-0000-0000A8790000}"/>
    <cellStyle name="Normal 2 26 2 2 8" xfId="33345" xr:uid="{00000000-0005-0000-0000-0000A9790000}"/>
    <cellStyle name="Normal 2 26 3" xfId="1964" xr:uid="{00000000-0005-0000-0000-0000AA790000}"/>
    <cellStyle name="Normal 2 26 4" xfId="1965" xr:uid="{00000000-0005-0000-0000-0000AB790000}"/>
    <cellStyle name="Normal 2 26 5" xfId="1966" xr:uid="{00000000-0005-0000-0000-0000AC790000}"/>
    <cellStyle name="Normal 2 26 6" xfId="1967" xr:uid="{00000000-0005-0000-0000-0000AD790000}"/>
    <cellStyle name="Normal 2 26 7" xfId="1968" xr:uid="{00000000-0005-0000-0000-0000AE790000}"/>
    <cellStyle name="Normal 2 26 8" xfId="1969" xr:uid="{00000000-0005-0000-0000-0000AF790000}"/>
    <cellStyle name="Normal 2 26 9" xfId="1970" xr:uid="{00000000-0005-0000-0000-0000B0790000}"/>
    <cellStyle name="Normal 2 27" xfId="1971" xr:uid="{00000000-0005-0000-0000-0000B1790000}"/>
    <cellStyle name="Normal 2 27 10" xfId="1972" xr:uid="{00000000-0005-0000-0000-0000B2790000}"/>
    <cellStyle name="Normal 2 27 11" xfId="1973" xr:uid="{00000000-0005-0000-0000-0000B3790000}"/>
    <cellStyle name="Normal 2 27 12" xfId="1974" xr:uid="{00000000-0005-0000-0000-0000B4790000}"/>
    <cellStyle name="Normal 2 27 13" xfId="1975" xr:uid="{00000000-0005-0000-0000-0000B5790000}"/>
    <cellStyle name="Normal 2 27 2" xfId="1976" xr:uid="{00000000-0005-0000-0000-0000B6790000}"/>
    <cellStyle name="Normal 2 27 2 2" xfId="1977" xr:uid="{00000000-0005-0000-0000-0000B7790000}"/>
    <cellStyle name="Normal 2 27 2 3" xfId="2493" xr:uid="{00000000-0005-0000-0000-0000B8790000}"/>
    <cellStyle name="Normal 2 27 2 3 2" xfId="3501" xr:uid="{00000000-0005-0000-0000-0000B9790000}"/>
    <cellStyle name="Normal 2 27 2 3 2 2" xfId="5440" xr:uid="{00000000-0005-0000-0000-0000BA790000}"/>
    <cellStyle name="Normal 2 27 2 3 2 2 2" xfId="9311" xr:uid="{00000000-0005-0000-0000-0000BB790000}"/>
    <cellStyle name="Normal 2 27 2 3 2 2 2 2" xfId="17056" xr:uid="{00000000-0005-0000-0000-0000BC790000}"/>
    <cellStyle name="Normal 2 27 2 3 2 2 2 2 2" xfId="32648" xr:uid="{00000000-0005-0000-0000-0000BD790000}"/>
    <cellStyle name="Normal 2 27 2 3 2 2 2 2 3" xfId="48140" xr:uid="{00000000-0005-0000-0000-0000BE790000}"/>
    <cellStyle name="Normal 2 27 2 3 2 2 2 3" xfId="24908" xr:uid="{00000000-0005-0000-0000-0000BF790000}"/>
    <cellStyle name="Normal 2 27 2 3 2 2 2 4" xfId="40400" xr:uid="{00000000-0005-0000-0000-0000C0790000}"/>
    <cellStyle name="Normal 2 27 2 3 2 2 3" xfId="13186" xr:uid="{00000000-0005-0000-0000-0000C1790000}"/>
    <cellStyle name="Normal 2 27 2 3 2 2 3 2" xfId="28778" xr:uid="{00000000-0005-0000-0000-0000C2790000}"/>
    <cellStyle name="Normal 2 27 2 3 2 2 3 3" xfId="44270" xr:uid="{00000000-0005-0000-0000-0000C3790000}"/>
    <cellStyle name="Normal 2 27 2 3 2 2 4" xfId="21038" xr:uid="{00000000-0005-0000-0000-0000C4790000}"/>
    <cellStyle name="Normal 2 27 2 3 2 2 5" xfId="36530" xr:uid="{00000000-0005-0000-0000-0000C5790000}"/>
    <cellStyle name="Normal 2 27 2 3 2 3" xfId="7384" xr:uid="{00000000-0005-0000-0000-0000C6790000}"/>
    <cellStyle name="Normal 2 27 2 3 2 3 2" xfId="15129" xr:uid="{00000000-0005-0000-0000-0000C7790000}"/>
    <cellStyle name="Normal 2 27 2 3 2 3 2 2" xfId="30721" xr:uid="{00000000-0005-0000-0000-0000C8790000}"/>
    <cellStyle name="Normal 2 27 2 3 2 3 2 3" xfId="46213" xr:uid="{00000000-0005-0000-0000-0000C9790000}"/>
    <cellStyle name="Normal 2 27 2 3 2 3 3" xfId="22981" xr:uid="{00000000-0005-0000-0000-0000CA790000}"/>
    <cellStyle name="Normal 2 27 2 3 2 3 4" xfId="38473" xr:uid="{00000000-0005-0000-0000-0000CB790000}"/>
    <cellStyle name="Normal 2 27 2 3 2 4" xfId="11259" xr:uid="{00000000-0005-0000-0000-0000CC790000}"/>
    <cellStyle name="Normal 2 27 2 3 2 4 2" xfId="26851" xr:uid="{00000000-0005-0000-0000-0000CD790000}"/>
    <cellStyle name="Normal 2 27 2 3 2 4 3" xfId="42343" xr:uid="{00000000-0005-0000-0000-0000CE790000}"/>
    <cellStyle name="Normal 2 27 2 3 2 5" xfId="19111" xr:uid="{00000000-0005-0000-0000-0000CF790000}"/>
    <cellStyle name="Normal 2 27 2 3 2 6" xfId="34603" xr:uid="{00000000-0005-0000-0000-0000D0790000}"/>
    <cellStyle name="Normal 2 27 2 3 3" xfId="4492" xr:uid="{00000000-0005-0000-0000-0000D1790000}"/>
    <cellStyle name="Normal 2 27 2 3 3 2" xfId="8363" xr:uid="{00000000-0005-0000-0000-0000D2790000}"/>
    <cellStyle name="Normal 2 27 2 3 3 2 2" xfId="16108" xr:uid="{00000000-0005-0000-0000-0000D3790000}"/>
    <cellStyle name="Normal 2 27 2 3 3 2 2 2" xfId="31700" xr:uid="{00000000-0005-0000-0000-0000D4790000}"/>
    <cellStyle name="Normal 2 27 2 3 3 2 2 3" xfId="47192" xr:uid="{00000000-0005-0000-0000-0000D5790000}"/>
    <cellStyle name="Normal 2 27 2 3 3 2 3" xfId="23960" xr:uid="{00000000-0005-0000-0000-0000D6790000}"/>
    <cellStyle name="Normal 2 27 2 3 3 2 4" xfId="39452" xr:uid="{00000000-0005-0000-0000-0000D7790000}"/>
    <cellStyle name="Normal 2 27 2 3 3 3" xfId="12238" xr:uid="{00000000-0005-0000-0000-0000D8790000}"/>
    <cellStyle name="Normal 2 27 2 3 3 3 2" xfId="27830" xr:uid="{00000000-0005-0000-0000-0000D9790000}"/>
    <cellStyle name="Normal 2 27 2 3 3 3 3" xfId="43322" xr:uid="{00000000-0005-0000-0000-0000DA790000}"/>
    <cellStyle name="Normal 2 27 2 3 3 4" xfId="20090" xr:uid="{00000000-0005-0000-0000-0000DB790000}"/>
    <cellStyle name="Normal 2 27 2 3 3 5" xfId="35582" xr:uid="{00000000-0005-0000-0000-0000DC790000}"/>
    <cellStyle name="Normal 2 27 2 3 4" xfId="6436" xr:uid="{00000000-0005-0000-0000-0000DD790000}"/>
    <cellStyle name="Normal 2 27 2 3 4 2" xfId="14181" xr:uid="{00000000-0005-0000-0000-0000DE790000}"/>
    <cellStyle name="Normal 2 27 2 3 4 2 2" xfId="29773" xr:uid="{00000000-0005-0000-0000-0000DF790000}"/>
    <cellStyle name="Normal 2 27 2 3 4 2 3" xfId="45265" xr:uid="{00000000-0005-0000-0000-0000E0790000}"/>
    <cellStyle name="Normal 2 27 2 3 4 3" xfId="22033" xr:uid="{00000000-0005-0000-0000-0000E1790000}"/>
    <cellStyle name="Normal 2 27 2 3 4 4" xfId="37525" xr:uid="{00000000-0005-0000-0000-0000E2790000}"/>
    <cellStyle name="Normal 2 27 2 3 5" xfId="10311" xr:uid="{00000000-0005-0000-0000-0000E3790000}"/>
    <cellStyle name="Normal 2 27 2 3 5 2" xfId="25903" xr:uid="{00000000-0005-0000-0000-0000E4790000}"/>
    <cellStyle name="Normal 2 27 2 3 5 3" xfId="41395" xr:uid="{00000000-0005-0000-0000-0000E5790000}"/>
    <cellStyle name="Normal 2 27 2 3 6" xfId="18163" xr:uid="{00000000-0005-0000-0000-0000E6790000}"/>
    <cellStyle name="Normal 2 27 2 3 7" xfId="33655" xr:uid="{00000000-0005-0000-0000-0000E7790000}"/>
    <cellStyle name="Normal 2 27 2 4" xfId="3192" xr:uid="{00000000-0005-0000-0000-0000E8790000}"/>
    <cellStyle name="Normal 2 27 2 4 2" xfId="5131" xr:uid="{00000000-0005-0000-0000-0000E9790000}"/>
    <cellStyle name="Normal 2 27 2 4 2 2" xfId="9002" xr:uid="{00000000-0005-0000-0000-0000EA790000}"/>
    <cellStyle name="Normal 2 27 2 4 2 2 2" xfId="16747" xr:uid="{00000000-0005-0000-0000-0000EB790000}"/>
    <cellStyle name="Normal 2 27 2 4 2 2 2 2" xfId="32339" xr:uid="{00000000-0005-0000-0000-0000EC790000}"/>
    <cellStyle name="Normal 2 27 2 4 2 2 2 3" xfId="47831" xr:uid="{00000000-0005-0000-0000-0000ED790000}"/>
    <cellStyle name="Normal 2 27 2 4 2 2 3" xfId="24599" xr:uid="{00000000-0005-0000-0000-0000EE790000}"/>
    <cellStyle name="Normal 2 27 2 4 2 2 4" xfId="40091" xr:uid="{00000000-0005-0000-0000-0000EF790000}"/>
    <cellStyle name="Normal 2 27 2 4 2 3" xfId="12877" xr:uid="{00000000-0005-0000-0000-0000F0790000}"/>
    <cellStyle name="Normal 2 27 2 4 2 3 2" xfId="28469" xr:uid="{00000000-0005-0000-0000-0000F1790000}"/>
    <cellStyle name="Normal 2 27 2 4 2 3 3" xfId="43961" xr:uid="{00000000-0005-0000-0000-0000F2790000}"/>
    <cellStyle name="Normal 2 27 2 4 2 4" xfId="20729" xr:uid="{00000000-0005-0000-0000-0000F3790000}"/>
    <cellStyle name="Normal 2 27 2 4 2 5" xfId="36221" xr:uid="{00000000-0005-0000-0000-0000F4790000}"/>
    <cellStyle name="Normal 2 27 2 4 3" xfId="7075" xr:uid="{00000000-0005-0000-0000-0000F5790000}"/>
    <cellStyle name="Normal 2 27 2 4 3 2" xfId="14820" xr:uid="{00000000-0005-0000-0000-0000F6790000}"/>
    <cellStyle name="Normal 2 27 2 4 3 2 2" xfId="30412" xr:uid="{00000000-0005-0000-0000-0000F7790000}"/>
    <cellStyle name="Normal 2 27 2 4 3 2 3" xfId="45904" xr:uid="{00000000-0005-0000-0000-0000F8790000}"/>
    <cellStyle name="Normal 2 27 2 4 3 3" xfId="22672" xr:uid="{00000000-0005-0000-0000-0000F9790000}"/>
    <cellStyle name="Normal 2 27 2 4 3 4" xfId="38164" xr:uid="{00000000-0005-0000-0000-0000FA790000}"/>
    <cellStyle name="Normal 2 27 2 4 4" xfId="10950" xr:uid="{00000000-0005-0000-0000-0000FB790000}"/>
    <cellStyle name="Normal 2 27 2 4 4 2" xfId="26542" xr:uid="{00000000-0005-0000-0000-0000FC790000}"/>
    <cellStyle name="Normal 2 27 2 4 4 3" xfId="42034" xr:uid="{00000000-0005-0000-0000-0000FD790000}"/>
    <cellStyle name="Normal 2 27 2 4 5" xfId="18802" xr:uid="{00000000-0005-0000-0000-0000FE790000}"/>
    <cellStyle name="Normal 2 27 2 4 6" xfId="34294" xr:uid="{00000000-0005-0000-0000-0000FF790000}"/>
    <cellStyle name="Normal 2 27 2 5" xfId="4183" xr:uid="{00000000-0005-0000-0000-0000007A0000}"/>
    <cellStyle name="Normal 2 27 2 5 2" xfId="8054" xr:uid="{00000000-0005-0000-0000-0000017A0000}"/>
    <cellStyle name="Normal 2 27 2 5 2 2" xfId="15799" xr:uid="{00000000-0005-0000-0000-0000027A0000}"/>
    <cellStyle name="Normal 2 27 2 5 2 2 2" xfId="31391" xr:uid="{00000000-0005-0000-0000-0000037A0000}"/>
    <cellStyle name="Normal 2 27 2 5 2 2 3" xfId="46883" xr:uid="{00000000-0005-0000-0000-0000047A0000}"/>
    <cellStyle name="Normal 2 27 2 5 2 3" xfId="23651" xr:uid="{00000000-0005-0000-0000-0000057A0000}"/>
    <cellStyle name="Normal 2 27 2 5 2 4" xfId="39143" xr:uid="{00000000-0005-0000-0000-0000067A0000}"/>
    <cellStyle name="Normal 2 27 2 5 3" xfId="11929" xr:uid="{00000000-0005-0000-0000-0000077A0000}"/>
    <cellStyle name="Normal 2 27 2 5 3 2" xfId="27521" xr:uid="{00000000-0005-0000-0000-0000087A0000}"/>
    <cellStyle name="Normal 2 27 2 5 3 3" xfId="43013" xr:uid="{00000000-0005-0000-0000-0000097A0000}"/>
    <cellStyle name="Normal 2 27 2 5 4" xfId="19781" xr:uid="{00000000-0005-0000-0000-00000A7A0000}"/>
    <cellStyle name="Normal 2 27 2 5 5" xfId="35273" xr:uid="{00000000-0005-0000-0000-00000B7A0000}"/>
    <cellStyle name="Normal 2 27 2 6" xfId="6127" xr:uid="{00000000-0005-0000-0000-00000C7A0000}"/>
    <cellStyle name="Normal 2 27 2 6 2" xfId="13872" xr:uid="{00000000-0005-0000-0000-00000D7A0000}"/>
    <cellStyle name="Normal 2 27 2 6 2 2" xfId="29464" xr:uid="{00000000-0005-0000-0000-00000E7A0000}"/>
    <cellStyle name="Normal 2 27 2 6 2 3" xfId="44956" xr:uid="{00000000-0005-0000-0000-00000F7A0000}"/>
    <cellStyle name="Normal 2 27 2 6 3" xfId="21724" xr:uid="{00000000-0005-0000-0000-0000107A0000}"/>
    <cellStyle name="Normal 2 27 2 6 4" xfId="37216" xr:uid="{00000000-0005-0000-0000-0000117A0000}"/>
    <cellStyle name="Normal 2 27 2 7" xfId="10002" xr:uid="{00000000-0005-0000-0000-0000127A0000}"/>
    <cellStyle name="Normal 2 27 2 7 2" xfId="25594" xr:uid="{00000000-0005-0000-0000-0000137A0000}"/>
    <cellStyle name="Normal 2 27 2 7 3" xfId="41086" xr:uid="{00000000-0005-0000-0000-0000147A0000}"/>
    <cellStyle name="Normal 2 27 2 8" xfId="17854" xr:uid="{00000000-0005-0000-0000-0000157A0000}"/>
    <cellStyle name="Normal 2 27 2 9" xfId="33346" xr:uid="{00000000-0005-0000-0000-0000167A0000}"/>
    <cellStyle name="Normal 2 27 3" xfId="1978" xr:uid="{00000000-0005-0000-0000-0000177A0000}"/>
    <cellStyle name="Normal 2 27 4" xfId="1979" xr:uid="{00000000-0005-0000-0000-0000187A0000}"/>
    <cellStyle name="Normal 2 27 5" xfId="1980" xr:uid="{00000000-0005-0000-0000-0000197A0000}"/>
    <cellStyle name="Normal 2 27 6" xfId="1981" xr:uid="{00000000-0005-0000-0000-00001A7A0000}"/>
    <cellStyle name="Normal 2 27 7" xfId="1982" xr:uid="{00000000-0005-0000-0000-00001B7A0000}"/>
    <cellStyle name="Normal 2 27 8" xfId="1983" xr:uid="{00000000-0005-0000-0000-00001C7A0000}"/>
    <cellStyle name="Normal 2 27 9" xfId="1984" xr:uid="{00000000-0005-0000-0000-00001D7A0000}"/>
    <cellStyle name="Normal 2 28" xfId="1985" xr:uid="{00000000-0005-0000-0000-00001E7A0000}"/>
    <cellStyle name="Normal 2 29" xfId="2195" xr:uid="{00000000-0005-0000-0000-00001F7A0000}"/>
    <cellStyle name="Normal 2 29 2" xfId="2528" xr:uid="{00000000-0005-0000-0000-0000207A0000}"/>
    <cellStyle name="Normal 2 29 2 2" xfId="3536" xr:uid="{00000000-0005-0000-0000-0000217A0000}"/>
    <cellStyle name="Normal 2 29 2 2 2" xfId="5475" xr:uid="{00000000-0005-0000-0000-0000227A0000}"/>
    <cellStyle name="Normal 2 29 2 2 2 2" xfId="9346" xr:uid="{00000000-0005-0000-0000-0000237A0000}"/>
    <cellStyle name="Normal 2 29 2 2 2 2 2" xfId="17091" xr:uid="{00000000-0005-0000-0000-0000247A0000}"/>
    <cellStyle name="Normal 2 29 2 2 2 2 2 2" xfId="32683" xr:uid="{00000000-0005-0000-0000-0000257A0000}"/>
    <cellStyle name="Normal 2 29 2 2 2 2 2 3" xfId="48175" xr:uid="{00000000-0005-0000-0000-0000267A0000}"/>
    <cellStyle name="Normal 2 29 2 2 2 2 3" xfId="24943" xr:uid="{00000000-0005-0000-0000-0000277A0000}"/>
    <cellStyle name="Normal 2 29 2 2 2 2 4" xfId="40435" xr:uid="{00000000-0005-0000-0000-0000287A0000}"/>
    <cellStyle name="Normal 2 29 2 2 2 3" xfId="13221" xr:uid="{00000000-0005-0000-0000-0000297A0000}"/>
    <cellStyle name="Normal 2 29 2 2 2 3 2" xfId="28813" xr:uid="{00000000-0005-0000-0000-00002A7A0000}"/>
    <cellStyle name="Normal 2 29 2 2 2 3 3" xfId="44305" xr:uid="{00000000-0005-0000-0000-00002B7A0000}"/>
    <cellStyle name="Normal 2 29 2 2 2 4" xfId="21073" xr:uid="{00000000-0005-0000-0000-00002C7A0000}"/>
    <cellStyle name="Normal 2 29 2 2 2 5" xfId="36565" xr:uid="{00000000-0005-0000-0000-00002D7A0000}"/>
    <cellStyle name="Normal 2 29 2 2 3" xfId="7419" xr:uid="{00000000-0005-0000-0000-00002E7A0000}"/>
    <cellStyle name="Normal 2 29 2 2 3 2" xfId="15164" xr:uid="{00000000-0005-0000-0000-00002F7A0000}"/>
    <cellStyle name="Normal 2 29 2 2 3 2 2" xfId="30756" xr:uid="{00000000-0005-0000-0000-0000307A0000}"/>
    <cellStyle name="Normal 2 29 2 2 3 2 3" xfId="46248" xr:uid="{00000000-0005-0000-0000-0000317A0000}"/>
    <cellStyle name="Normal 2 29 2 2 3 3" xfId="23016" xr:uid="{00000000-0005-0000-0000-0000327A0000}"/>
    <cellStyle name="Normal 2 29 2 2 3 4" xfId="38508" xr:uid="{00000000-0005-0000-0000-0000337A0000}"/>
    <cellStyle name="Normal 2 29 2 2 4" xfId="11294" xr:uid="{00000000-0005-0000-0000-0000347A0000}"/>
    <cellStyle name="Normal 2 29 2 2 4 2" xfId="26886" xr:uid="{00000000-0005-0000-0000-0000357A0000}"/>
    <cellStyle name="Normal 2 29 2 2 4 3" xfId="42378" xr:uid="{00000000-0005-0000-0000-0000367A0000}"/>
    <cellStyle name="Normal 2 29 2 2 5" xfId="19146" xr:uid="{00000000-0005-0000-0000-0000377A0000}"/>
    <cellStyle name="Normal 2 29 2 2 6" xfId="34638" xr:uid="{00000000-0005-0000-0000-0000387A0000}"/>
    <cellStyle name="Normal 2 29 2 3" xfId="4527" xr:uid="{00000000-0005-0000-0000-0000397A0000}"/>
    <cellStyle name="Normal 2 29 2 3 2" xfId="8398" xr:uid="{00000000-0005-0000-0000-00003A7A0000}"/>
    <cellStyle name="Normal 2 29 2 3 2 2" xfId="16143" xr:uid="{00000000-0005-0000-0000-00003B7A0000}"/>
    <cellStyle name="Normal 2 29 2 3 2 2 2" xfId="31735" xr:uid="{00000000-0005-0000-0000-00003C7A0000}"/>
    <cellStyle name="Normal 2 29 2 3 2 2 3" xfId="47227" xr:uid="{00000000-0005-0000-0000-00003D7A0000}"/>
    <cellStyle name="Normal 2 29 2 3 2 3" xfId="23995" xr:uid="{00000000-0005-0000-0000-00003E7A0000}"/>
    <cellStyle name="Normal 2 29 2 3 2 4" xfId="39487" xr:uid="{00000000-0005-0000-0000-00003F7A0000}"/>
    <cellStyle name="Normal 2 29 2 3 3" xfId="12273" xr:uid="{00000000-0005-0000-0000-0000407A0000}"/>
    <cellStyle name="Normal 2 29 2 3 3 2" xfId="27865" xr:uid="{00000000-0005-0000-0000-0000417A0000}"/>
    <cellStyle name="Normal 2 29 2 3 3 3" xfId="43357" xr:uid="{00000000-0005-0000-0000-0000427A0000}"/>
    <cellStyle name="Normal 2 29 2 3 4" xfId="20125" xr:uid="{00000000-0005-0000-0000-0000437A0000}"/>
    <cellStyle name="Normal 2 29 2 3 5" xfId="35617" xr:uid="{00000000-0005-0000-0000-0000447A0000}"/>
    <cellStyle name="Normal 2 29 2 4" xfId="6471" xr:uid="{00000000-0005-0000-0000-0000457A0000}"/>
    <cellStyle name="Normal 2 29 2 4 2" xfId="14216" xr:uid="{00000000-0005-0000-0000-0000467A0000}"/>
    <cellStyle name="Normal 2 29 2 4 2 2" xfId="29808" xr:uid="{00000000-0005-0000-0000-0000477A0000}"/>
    <cellStyle name="Normal 2 29 2 4 2 3" xfId="45300" xr:uid="{00000000-0005-0000-0000-0000487A0000}"/>
    <cellStyle name="Normal 2 29 2 4 3" xfId="22068" xr:uid="{00000000-0005-0000-0000-0000497A0000}"/>
    <cellStyle name="Normal 2 29 2 4 4" xfId="37560" xr:uid="{00000000-0005-0000-0000-00004A7A0000}"/>
    <cellStyle name="Normal 2 29 2 5" xfId="10346" xr:uid="{00000000-0005-0000-0000-00004B7A0000}"/>
    <cellStyle name="Normal 2 29 2 5 2" xfId="25938" xr:uid="{00000000-0005-0000-0000-00004C7A0000}"/>
    <cellStyle name="Normal 2 29 2 5 3" xfId="41430" xr:uid="{00000000-0005-0000-0000-00004D7A0000}"/>
    <cellStyle name="Normal 2 29 2 6" xfId="18198" xr:uid="{00000000-0005-0000-0000-00004E7A0000}"/>
    <cellStyle name="Normal 2 29 2 7" xfId="33690" xr:uid="{00000000-0005-0000-0000-00004F7A0000}"/>
    <cellStyle name="Normal 2 29 3" xfId="3227" xr:uid="{00000000-0005-0000-0000-0000507A0000}"/>
    <cellStyle name="Normal 2 29 3 2" xfId="5166" xr:uid="{00000000-0005-0000-0000-0000517A0000}"/>
    <cellStyle name="Normal 2 29 3 2 2" xfId="9037" xr:uid="{00000000-0005-0000-0000-0000527A0000}"/>
    <cellStyle name="Normal 2 29 3 2 2 2" xfId="16782" xr:uid="{00000000-0005-0000-0000-0000537A0000}"/>
    <cellStyle name="Normal 2 29 3 2 2 2 2" xfId="32374" xr:uid="{00000000-0005-0000-0000-0000547A0000}"/>
    <cellStyle name="Normal 2 29 3 2 2 2 3" xfId="47866" xr:uid="{00000000-0005-0000-0000-0000557A0000}"/>
    <cellStyle name="Normal 2 29 3 2 2 3" xfId="24634" xr:uid="{00000000-0005-0000-0000-0000567A0000}"/>
    <cellStyle name="Normal 2 29 3 2 2 4" xfId="40126" xr:uid="{00000000-0005-0000-0000-0000577A0000}"/>
    <cellStyle name="Normal 2 29 3 2 3" xfId="12912" xr:uid="{00000000-0005-0000-0000-0000587A0000}"/>
    <cellStyle name="Normal 2 29 3 2 3 2" xfId="28504" xr:uid="{00000000-0005-0000-0000-0000597A0000}"/>
    <cellStyle name="Normal 2 29 3 2 3 3" xfId="43996" xr:uid="{00000000-0005-0000-0000-00005A7A0000}"/>
    <cellStyle name="Normal 2 29 3 2 4" xfId="20764" xr:uid="{00000000-0005-0000-0000-00005B7A0000}"/>
    <cellStyle name="Normal 2 29 3 2 5" xfId="36256" xr:uid="{00000000-0005-0000-0000-00005C7A0000}"/>
    <cellStyle name="Normal 2 29 3 3" xfId="7110" xr:uid="{00000000-0005-0000-0000-00005D7A0000}"/>
    <cellStyle name="Normal 2 29 3 3 2" xfId="14855" xr:uid="{00000000-0005-0000-0000-00005E7A0000}"/>
    <cellStyle name="Normal 2 29 3 3 2 2" xfId="30447" xr:uid="{00000000-0005-0000-0000-00005F7A0000}"/>
    <cellStyle name="Normal 2 29 3 3 2 3" xfId="45939" xr:uid="{00000000-0005-0000-0000-0000607A0000}"/>
    <cellStyle name="Normal 2 29 3 3 3" xfId="22707" xr:uid="{00000000-0005-0000-0000-0000617A0000}"/>
    <cellStyle name="Normal 2 29 3 3 4" xfId="38199" xr:uid="{00000000-0005-0000-0000-0000627A0000}"/>
    <cellStyle name="Normal 2 29 3 4" xfId="10985" xr:uid="{00000000-0005-0000-0000-0000637A0000}"/>
    <cellStyle name="Normal 2 29 3 4 2" xfId="26577" xr:uid="{00000000-0005-0000-0000-0000647A0000}"/>
    <cellStyle name="Normal 2 29 3 4 3" xfId="42069" xr:uid="{00000000-0005-0000-0000-0000657A0000}"/>
    <cellStyle name="Normal 2 29 3 5" xfId="18837" xr:uid="{00000000-0005-0000-0000-0000667A0000}"/>
    <cellStyle name="Normal 2 29 3 6" xfId="34329" xr:uid="{00000000-0005-0000-0000-0000677A0000}"/>
    <cellStyle name="Normal 2 29 4" xfId="4218" xr:uid="{00000000-0005-0000-0000-0000687A0000}"/>
    <cellStyle name="Normal 2 29 4 2" xfId="8089" xr:uid="{00000000-0005-0000-0000-0000697A0000}"/>
    <cellStyle name="Normal 2 29 4 2 2" xfId="15834" xr:uid="{00000000-0005-0000-0000-00006A7A0000}"/>
    <cellStyle name="Normal 2 29 4 2 2 2" xfId="31426" xr:uid="{00000000-0005-0000-0000-00006B7A0000}"/>
    <cellStyle name="Normal 2 29 4 2 2 3" xfId="46918" xr:uid="{00000000-0005-0000-0000-00006C7A0000}"/>
    <cellStyle name="Normal 2 29 4 2 3" xfId="23686" xr:uid="{00000000-0005-0000-0000-00006D7A0000}"/>
    <cellStyle name="Normal 2 29 4 2 4" xfId="39178" xr:uid="{00000000-0005-0000-0000-00006E7A0000}"/>
    <cellStyle name="Normal 2 29 4 3" xfId="11964" xr:uid="{00000000-0005-0000-0000-00006F7A0000}"/>
    <cellStyle name="Normal 2 29 4 3 2" xfId="27556" xr:uid="{00000000-0005-0000-0000-0000707A0000}"/>
    <cellStyle name="Normal 2 29 4 3 3" xfId="43048" xr:uid="{00000000-0005-0000-0000-0000717A0000}"/>
    <cellStyle name="Normal 2 29 4 4" xfId="19816" xr:uid="{00000000-0005-0000-0000-0000727A0000}"/>
    <cellStyle name="Normal 2 29 4 5" xfId="35308" xr:uid="{00000000-0005-0000-0000-0000737A0000}"/>
    <cellStyle name="Normal 2 29 5" xfId="6162" xr:uid="{00000000-0005-0000-0000-0000747A0000}"/>
    <cellStyle name="Normal 2 29 5 2" xfId="13907" xr:uid="{00000000-0005-0000-0000-0000757A0000}"/>
    <cellStyle name="Normal 2 29 5 2 2" xfId="29499" xr:uid="{00000000-0005-0000-0000-0000767A0000}"/>
    <cellStyle name="Normal 2 29 5 2 3" xfId="44991" xr:uid="{00000000-0005-0000-0000-0000777A0000}"/>
    <cellStyle name="Normal 2 29 5 3" xfId="21759" xr:uid="{00000000-0005-0000-0000-0000787A0000}"/>
    <cellStyle name="Normal 2 29 5 4" xfId="37251" xr:uid="{00000000-0005-0000-0000-0000797A0000}"/>
    <cellStyle name="Normal 2 29 6" xfId="10037" xr:uid="{00000000-0005-0000-0000-00007A7A0000}"/>
    <cellStyle name="Normal 2 29 6 2" xfId="25629" xr:uid="{00000000-0005-0000-0000-00007B7A0000}"/>
    <cellStyle name="Normal 2 29 6 3" xfId="41121" xr:uid="{00000000-0005-0000-0000-00007C7A0000}"/>
    <cellStyle name="Normal 2 29 7" xfId="17889" xr:uid="{00000000-0005-0000-0000-00007D7A0000}"/>
    <cellStyle name="Normal 2 29 8" xfId="33381" xr:uid="{00000000-0005-0000-0000-00007E7A0000}"/>
    <cellStyle name="Normal 2 3" xfId="1986" xr:uid="{00000000-0005-0000-0000-00007F7A0000}"/>
    <cellStyle name="Normal 2 3 2" xfId="1987" xr:uid="{00000000-0005-0000-0000-0000807A0000}"/>
    <cellStyle name="Normal 2 3 2 2" xfId="48915" xr:uid="{00000000-0005-0000-0000-0000817A0000}"/>
    <cellStyle name="Normal 2 3 3" xfId="1988" xr:uid="{00000000-0005-0000-0000-0000827A0000}"/>
    <cellStyle name="Normal 2 3 4" xfId="17778" xr:uid="{00000000-0005-0000-0000-0000837A0000}"/>
    <cellStyle name="Normal 2 3 4 2" xfId="48929" xr:uid="{00000000-0005-0000-0000-0000847A0000}"/>
    <cellStyle name="Normal 2 3 5" xfId="17764" xr:uid="{00000000-0005-0000-0000-0000857A0000}"/>
    <cellStyle name="Normal 2 3 5 2" xfId="33331" xr:uid="{00000000-0005-0000-0000-0000867A0000}"/>
    <cellStyle name="Normal 2 3 5 3" xfId="48823" xr:uid="{00000000-0005-0000-0000-0000877A0000}"/>
    <cellStyle name="Normal 2 3 5 4" xfId="48941" xr:uid="{00000000-0005-0000-0000-0000887A0000}"/>
    <cellStyle name="Normal 2 30" xfId="2249" xr:uid="{00000000-0005-0000-0000-0000897A0000}"/>
    <cellStyle name="Normal 2 30 2" xfId="2566" xr:uid="{00000000-0005-0000-0000-00008A7A0000}"/>
    <cellStyle name="Normal 2 30 2 2" xfId="3574" xr:uid="{00000000-0005-0000-0000-00008B7A0000}"/>
    <cellStyle name="Normal 2 30 2 2 2" xfId="5513" xr:uid="{00000000-0005-0000-0000-00008C7A0000}"/>
    <cellStyle name="Normal 2 30 2 2 2 2" xfId="9384" xr:uid="{00000000-0005-0000-0000-00008D7A0000}"/>
    <cellStyle name="Normal 2 30 2 2 2 2 2" xfId="17129" xr:uid="{00000000-0005-0000-0000-00008E7A0000}"/>
    <cellStyle name="Normal 2 30 2 2 2 2 2 2" xfId="32721" xr:uid="{00000000-0005-0000-0000-00008F7A0000}"/>
    <cellStyle name="Normal 2 30 2 2 2 2 2 3" xfId="48213" xr:uid="{00000000-0005-0000-0000-0000907A0000}"/>
    <cellStyle name="Normal 2 30 2 2 2 2 3" xfId="24981" xr:uid="{00000000-0005-0000-0000-0000917A0000}"/>
    <cellStyle name="Normal 2 30 2 2 2 2 4" xfId="40473" xr:uid="{00000000-0005-0000-0000-0000927A0000}"/>
    <cellStyle name="Normal 2 30 2 2 2 3" xfId="13259" xr:uid="{00000000-0005-0000-0000-0000937A0000}"/>
    <cellStyle name="Normal 2 30 2 2 2 3 2" xfId="28851" xr:uid="{00000000-0005-0000-0000-0000947A0000}"/>
    <cellStyle name="Normal 2 30 2 2 2 3 3" xfId="44343" xr:uid="{00000000-0005-0000-0000-0000957A0000}"/>
    <cellStyle name="Normal 2 30 2 2 2 4" xfId="21111" xr:uid="{00000000-0005-0000-0000-0000967A0000}"/>
    <cellStyle name="Normal 2 30 2 2 2 5" xfId="36603" xr:uid="{00000000-0005-0000-0000-0000977A0000}"/>
    <cellStyle name="Normal 2 30 2 2 3" xfId="7457" xr:uid="{00000000-0005-0000-0000-0000987A0000}"/>
    <cellStyle name="Normal 2 30 2 2 3 2" xfId="15202" xr:uid="{00000000-0005-0000-0000-0000997A0000}"/>
    <cellStyle name="Normal 2 30 2 2 3 2 2" xfId="30794" xr:uid="{00000000-0005-0000-0000-00009A7A0000}"/>
    <cellStyle name="Normal 2 30 2 2 3 2 3" xfId="46286" xr:uid="{00000000-0005-0000-0000-00009B7A0000}"/>
    <cellStyle name="Normal 2 30 2 2 3 3" xfId="23054" xr:uid="{00000000-0005-0000-0000-00009C7A0000}"/>
    <cellStyle name="Normal 2 30 2 2 3 4" xfId="38546" xr:uid="{00000000-0005-0000-0000-00009D7A0000}"/>
    <cellStyle name="Normal 2 30 2 2 4" xfId="11332" xr:uid="{00000000-0005-0000-0000-00009E7A0000}"/>
    <cellStyle name="Normal 2 30 2 2 4 2" xfId="26924" xr:uid="{00000000-0005-0000-0000-00009F7A0000}"/>
    <cellStyle name="Normal 2 30 2 2 4 3" xfId="42416" xr:uid="{00000000-0005-0000-0000-0000A07A0000}"/>
    <cellStyle name="Normal 2 30 2 2 5" xfId="19184" xr:uid="{00000000-0005-0000-0000-0000A17A0000}"/>
    <cellStyle name="Normal 2 30 2 2 6" xfId="34676" xr:uid="{00000000-0005-0000-0000-0000A27A0000}"/>
    <cellStyle name="Normal 2 30 2 3" xfId="4565" xr:uid="{00000000-0005-0000-0000-0000A37A0000}"/>
    <cellStyle name="Normal 2 30 2 3 2" xfId="8436" xr:uid="{00000000-0005-0000-0000-0000A47A0000}"/>
    <cellStyle name="Normal 2 30 2 3 2 2" xfId="16181" xr:uid="{00000000-0005-0000-0000-0000A57A0000}"/>
    <cellStyle name="Normal 2 30 2 3 2 2 2" xfId="31773" xr:uid="{00000000-0005-0000-0000-0000A67A0000}"/>
    <cellStyle name="Normal 2 30 2 3 2 2 3" xfId="47265" xr:uid="{00000000-0005-0000-0000-0000A77A0000}"/>
    <cellStyle name="Normal 2 30 2 3 2 3" xfId="24033" xr:uid="{00000000-0005-0000-0000-0000A87A0000}"/>
    <cellStyle name="Normal 2 30 2 3 2 4" xfId="39525" xr:uid="{00000000-0005-0000-0000-0000A97A0000}"/>
    <cellStyle name="Normal 2 30 2 3 3" xfId="12311" xr:uid="{00000000-0005-0000-0000-0000AA7A0000}"/>
    <cellStyle name="Normal 2 30 2 3 3 2" xfId="27903" xr:uid="{00000000-0005-0000-0000-0000AB7A0000}"/>
    <cellStyle name="Normal 2 30 2 3 3 3" xfId="43395" xr:uid="{00000000-0005-0000-0000-0000AC7A0000}"/>
    <cellStyle name="Normal 2 30 2 3 4" xfId="20163" xr:uid="{00000000-0005-0000-0000-0000AD7A0000}"/>
    <cellStyle name="Normal 2 30 2 3 5" xfId="35655" xr:uid="{00000000-0005-0000-0000-0000AE7A0000}"/>
    <cellStyle name="Normal 2 30 2 4" xfId="6509" xr:uid="{00000000-0005-0000-0000-0000AF7A0000}"/>
    <cellStyle name="Normal 2 30 2 4 2" xfId="14254" xr:uid="{00000000-0005-0000-0000-0000B07A0000}"/>
    <cellStyle name="Normal 2 30 2 4 2 2" xfId="29846" xr:uid="{00000000-0005-0000-0000-0000B17A0000}"/>
    <cellStyle name="Normal 2 30 2 4 2 3" xfId="45338" xr:uid="{00000000-0005-0000-0000-0000B27A0000}"/>
    <cellStyle name="Normal 2 30 2 4 3" xfId="22106" xr:uid="{00000000-0005-0000-0000-0000B37A0000}"/>
    <cellStyle name="Normal 2 30 2 4 4" xfId="37598" xr:uid="{00000000-0005-0000-0000-0000B47A0000}"/>
    <cellStyle name="Normal 2 30 2 5" xfId="10384" xr:uid="{00000000-0005-0000-0000-0000B57A0000}"/>
    <cellStyle name="Normal 2 30 2 5 2" xfId="25976" xr:uid="{00000000-0005-0000-0000-0000B67A0000}"/>
    <cellStyle name="Normal 2 30 2 5 3" xfId="41468" xr:uid="{00000000-0005-0000-0000-0000B77A0000}"/>
    <cellStyle name="Normal 2 30 2 6" xfId="18236" xr:uid="{00000000-0005-0000-0000-0000B87A0000}"/>
    <cellStyle name="Normal 2 30 2 7" xfId="33728" xr:uid="{00000000-0005-0000-0000-0000B97A0000}"/>
    <cellStyle name="Normal 2 30 3" xfId="3265" xr:uid="{00000000-0005-0000-0000-0000BA7A0000}"/>
    <cellStyle name="Normal 2 30 3 2" xfId="5204" xr:uid="{00000000-0005-0000-0000-0000BB7A0000}"/>
    <cellStyle name="Normal 2 30 3 2 2" xfId="9075" xr:uid="{00000000-0005-0000-0000-0000BC7A0000}"/>
    <cellStyle name="Normal 2 30 3 2 2 2" xfId="16820" xr:uid="{00000000-0005-0000-0000-0000BD7A0000}"/>
    <cellStyle name="Normal 2 30 3 2 2 2 2" xfId="32412" xr:uid="{00000000-0005-0000-0000-0000BE7A0000}"/>
    <cellStyle name="Normal 2 30 3 2 2 2 3" xfId="47904" xr:uid="{00000000-0005-0000-0000-0000BF7A0000}"/>
    <cellStyle name="Normal 2 30 3 2 2 3" xfId="24672" xr:uid="{00000000-0005-0000-0000-0000C07A0000}"/>
    <cellStyle name="Normal 2 30 3 2 2 4" xfId="40164" xr:uid="{00000000-0005-0000-0000-0000C17A0000}"/>
    <cellStyle name="Normal 2 30 3 2 3" xfId="12950" xr:uid="{00000000-0005-0000-0000-0000C27A0000}"/>
    <cellStyle name="Normal 2 30 3 2 3 2" xfId="28542" xr:uid="{00000000-0005-0000-0000-0000C37A0000}"/>
    <cellStyle name="Normal 2 30 3 2 3 3" xfId="44034" xr:uid="{00000000-0005-0000-0000-0000C47A0000}"/>
    <cellStyle name="Normal 2 30 3 2 4" xfId="20802" xr:uid="{00000000-0005-0000-0000-0000C57A0000}"/>
    <cellStyle name="Normal 2 30 3 2 5" xfId="36294" xr:uid="{00000000-0005-0000-0000-0000C67A0000}"/>
    <cellStyle name="Normal 2 30 3 3" xfId="7148" xr:uid="{00000000-0005-0000-0000-0000C77A0000}"/>
    <cellStyle name="Normal 2 30 3 3 2" xfId="14893" xr:uid="{00000000-0005-0000-0000-0000C87A0000}"/>
    <cellStyle name="Normal 2 30 3 3 2 2" xfId="30485" xr:uid="{00000000-0005-0000-0000-0000C97A0000}"/>
    <cellStyle name="Normal 2 30 3 3 2 3" xfId="45977" xr:uid="{00000000-0005-0000-0000-0000CA7A0000}"/>
    <cellStyle name="Normal 2 30 3 3 3" xfId="22745" xr:uid="{00000000-0005-0000-0000-0000CB7A0000}"/>
    <cellStyle name="Normal 2 30 3 3 4" xfId="38237" xr:uid="{00000000-0005-0000-0000-0000CC7A0000}"/>
    <cellStyle name="Normal 2 30 3 4" xfId="11023" xr:uid="{00000000-0005-0000-0000-0000CD7A0000}"/>
    <cellStyle name="Normal 2 30 3 4 2" xfId="26615" xr:uid="{00000000-0005-0000-0000-0000CE7A0000}"/>
    <cellStyle name="Normal 2 30 3 4 3" xfId="42107" xr:uid="{00000000-0005-0000-0000-0000CF7A0000}"/>
    <cellStyle name="Normal 2 30 3 5" xfId="18875" xr:uid="{00000000-0005-0000-0000-0000D07A0000}"/>
    <cellStyle name="Normal 2 30 3 6" xfId="34367" xr:uid="{00000000-0005-0000-0000-0000D17A0000}"/>
    <cellStyle name="Normal 2 30 4" xfId="4256" xr:uid="{00000000-0005-0000-0000-0000D27A0000}"/>
    <cellStyle name="Normal 2 30 4 2" xfId="8127" xr:uid="{00000000-0005-0000-0000-0000D37A0000}"/>
    <cellStyle name="Normal 2 30 4 2 2" xfId="15872" xr:uid="{00000000-0005-0000-0000-0000D47A0000}"/>
    <cellStyle name="Normal 2 30 4 2 2 2" xfId="31464" xr:uid="{00000000-0005-0000-0000-0000D57A0000}"/>
    <cellStyle name="Normal 2 30 4 2 2 3" xfId="46956" xr:uid="{00000000-0005-0000-0000-0000D67A0000}"/>
    <cellStyle name="Normal 2 30 4 2 3" xfId="23724" xr:uid="{00000000-0005-0000-0000-0000D77A0000}"/>
    <cellStyle name="Normal 2 30 4 2 4" xfId="39216" xr:uid="{00000000-0005-0000-0000-0000D87A0000}"/>
    <cellStyle name="Normal 2 30 4 3" xfId="12002" xr:uid="{00000000-0005-0000-0000-0000D97A0000}"/>
    <cellStyle name="Normal 2 30 4 3 2" xfId="27594" xr:uid="{00000000-0005-0000-0000-0000DA7A0000}"/>
    <cellStyle name="Normal 2 30 4 3 3" xfId="43086" xr:uid="{00000000-0005-0000-0000-0000DB7A0000}"/>
    <cellStyle name="Normal 2 30 4 4" xfId="19854" xr:uid="{00000000-0005-0000-0000-0000DC7A0000}"/>
    <cellStyle name="Normal 2 30 4 5" xfId="35346" xr:uid="{00000000-0005-0000-0000-0000DD7A0000}"/>
    <cellStyle name="Normal 2 30 5" xfId="6200" xr:uid="{00000000-0005-0000-0000-0000DE7A0000}"/>
    <cellStyle name="Normal 2 30 5 2" xfId="13945" xr:uid="{00000000-0005-0000-0000-0000DF7A0000}"/>
    <cellStyle name="Normal 2 30 5 2 2" xfId="29537" xr:uid="{00000000-0005-0000-0000-0000E07A0000}"/>
    <cellStyle name="Normal 2 30 5 2 3" xfId="45029" xr:uid="{00000000-0005-0000-0000-0000E17A0000}"/>
    <cellStyle name="Normal 2 30 5 3" xfId="21797" xr:uid="{00000000-0005-0000-0000-0000E27A0000}"/>
    <cellStyle name="Normal 2 30 5 4" xfId="37289" xr:uid="{00000000-0005-0000-0000-0000E37A0000}"/>
    <cellStyle name="Normal 2 30 6" xfId="10075" xr:uid="{00000000-0005-0000-0000-0000E47A0000}"/>
    <cellStyle name="Normal 2 30 6 2" xfId="25667" xr:uid="{00000000-0005-0000-0000-0000E57A0000}"/>
    <cellStyle name="Normal 2 30 6 3" xfId="41159" xr:uid="{00000000-0005-0000-0000-0000E67A0000}"/>
    <cellStyle name="Normal 2 30 7" xfId="17927" xr:uid="{00000000-0005-0000-0000-0000E77A0000}"/>
    <cellStyle name="Normal 2 30 8" xfId="33419" xr:uid="{00000000-0005-0000-0000-0000E87A0000}"/>
    <cellStyle name="Normal 2 31" xfId="2286" xr:uid="{00000000-0005-0000-0000-0000E97A0000}"/>
    <cellStyle name="Normal 2 31 2" xfId="2602" xr:uid="{00000000-0005-0000-0000-0000EA7A0000}"/>
    <cellStyle name="Normal 2 31 2 2" xfId="3610" xr:uid="{00000000-0005-0000-0000-0000EB7A0000}"/>
    <cellStyle name="Normal 2 31 2 2 2" xfId="5549" xr:uid="{00000000-0005-0000-0000-0000EC7A0000}"/>
    <cellStyle name="Normal 2 31 2 2 2 2" xfId="9420" xr:uid="{00000000-0005-0000-0000-0000ED7A0000}"/>
    <cellStyle name="Normal 2 31 2 2 2 2 2" xfId="17165" xr:uid="{00000000-0005-0000-0000-0000EE7A0000}"/>
    <cellStyle name="Normal 2 31 2 2 2 2 2 2" xfId="32757" xr:uid="{00000000-0005-0000-0000-0000EF7A0000}"/>
    <cellStyle name="Normal 2 31 2 2 2 2 2 3" xfId="48249" xr:uid="{00000000-0005-0000-0000-0000F07A0000}"/>
    <cellStyle name="Normal 2 31 2 2 2 2 3" xfId="25017" xr:uid="{00000000-0005-0000-0000-0000F17A0000}"/>
    <cellStyle name="Normal 2 31 2 2 2 2 4" xfId="40509" xr:uid="{00000000-0005-0000-0000-0000F27A0000}"/>
    <cellStyle name="Normal 2 31 2 2 2 3" xfId="13295" xr:uid="{00000000-0005-0000-0000-0000F37A0000}"/>
    <cellStyle name="Normal 2 31 2 2 2 3 2" xfId="28887" xr:uid="{00000000-0005-0000-0000-0000F47A0000}"/>
    <cellStyle name="Normal 2 31 2 2 2 3 3" xfId="44379" xr:uid="{00000000-0005-0000-0000-0000F57A0000}"/>
    <cellStyle name="Normal 2 31 2 2 2 4" xfId="21147" xr:uid="{00000000-0005-0000-0000-0000F67A0000}"/>
    <cellStyle name="Normal 2 31 2 2 2 5" xfId="36639" xr:uid="{00000000-0005-0000-0000-0000F77A0000}"/>
    <cellStyle name="Normal 2 31 2 2 3" xfId="7493" xr:uid="{00000000-0005-0000-0000-0000F87A0000}"/>
    <cellStyle name="Normal 2 31 2 2 3 2" xfId="15238" xr:uid="{00000000-0005-0000-0000-0000F97A0000}"/>
    <cellStyle name="Normal 2 31 2 2 3 2 2" xfId="30830" xr:uid="{00000000-0005-0000-0000-0000FA7A0000}"/>
    <cellStyle name="Normal 2 31 2 2 3 2 3" xfId="46322" xr:uid="{00000000-0005-0000-0000-0000FB7A0000}"/>
    <cellStyle name="Normal 2 31 2 2 3 3" xfId="23090" xr:uid="{00000000-0005-0000-0000-0000FC7A0000}"/>
    <cellStyle name="Normal 2 31 2 2 3 4" xfId="38582" xr:uid="{00000000-0005-0000-0000-0000FD7A0000}"/>
    <cellStyle name="Normal 2 31 2 2 4" xfId="11368" xr:uid="{00000000-0005-0000-0000-0000FE7A0000}"/>
    <cellStyle name="Normal 2 31 2 2 4 2" xfId="26960" xr:uid="{00000000-0005-0000-0000-0000FF7A0000}"/>
    <cellStyle name="Normal 2 31 2 2 4 3" xfId="42452" xr:uid="{00000000-0005-0000-0000-0000007B0000}"/>
    <cellStyle name="Normal 2 31 2 2 5" xfId="19220" xr:uid="{00000000-0005-0000-0000-0000017B0000}"/>
    <cellStyle name="Normal 2 31 2 2 6" xfId="34712" xr:uid="{00000000-0005-0000-0000-0000027B0000}"/>
    <cellStyle name="Normal 2 31 2 3" xfId="4601" xr:uid="{00000000-0005-0000-0000-0000037B0000}"/>
    <cellStyle name="Normal 2 31 2 3 2" xfId="8472" xr:uid="{00000000-0005-0000-0000-0000047B0000}"/>
    <cellStyle name="Normal 2 31 2 3 2 2" xfId="16217" xr:uid="{00000000-0005-0000-0000-0000057B0000}"/>
    <cellStyle name="Normal 2 31 2 3 2 2 2" xfId="31809" xr:uid="{00000000-0005-0000-0000-0000067B0000}"/>
    <cellStyle name="Normal 2 31 2 3 2 2 3" xfId="47301" xr:uid="{00000000-0005-0000-0000-0000077B0000}"/>
    <cellStyle name="Normal 2 31 2 3 2 3" xfId="24069" xr:uid="{00000000-0005-0000-0000-0000087B0000}"/>
    <cellStyle name="Normal 2 31 2 3 2 4" xfId="39561" xr:uid="{00000000-0005-0000-0000-0000097B0000}"/>
    <cellStyle name="Normal 2 31 2 3 3" xfId="12347" xr:uid="{00000000-0005-0000-0000-00000A7B0000}"/>
    <cellStyle name="Normal 2 31 2 3 3 2" xfId="27939" xr:uid="{00000000-0005-0000-0000-00000B7B0000}"/>
    <cellStyle name="Normal 2 31 2 3 3 3" xfId="43431" xr:uid="{00000000-0005-0000-0000-00000C7B0000}"/>
    <cellStyle name="Normal 2 31 2 3 4" xfId="20199" xr:uid="{00000000-0005-0000-0000-00000D7B0000}"/>
    <cellStyle name="Normal 2 31 2 3 5" xfId="35691" xr:uid="{00000000-0005-0000-0000-00000E7B0000}"/>
    <cellStyle name="Normal 2 31 2 4" xfId="6545" xr:uid="{00000000-0005-0000-0000-00000F7B0000}"/>
    <cellStyle name="Normal 2 31 2 4 2" xfId="14290" xr:uid="{00000000-0005-0000-0000-0000107B0000}"/>
    <cellStyle name="Normal 2 31 2 4 2 2" xfId="29882" xr:uid="{00000000-0005-0000-0000-0000117B0000}"/>
    <cellStyle name="Normal 2 31 2 4 2 3" xfId="45374" xr:uid="{00000000-0005-0000-0000-0000127B0000}"/>
    <cellStyle name="Normal 2 31 2 4 3" xfId="22142" xr:uid="{00000000-0005-0000-0000-0000137B0000}"/>
    <cellStyle name="Normal 2 31 2 4 4" xfId="37634" xr:uid="{00000000-0005-0000-0000-0000147B0000}"/>
    <cellStyle name="Normal 2 31 2 5" xfId="10420" xr:uid="{00000000-0005-0000-0000-0000157B0000}"/>
    <cellStyle name="Normal 2 31 2 5 2" xfId="26012" xr:uid="{00000000-0005-0000-0000-0000167B0000}"/>
    <cellStyle name="Normal 2 31 2 5 3" xfId="41504" xr:uid="{00000000-0005-0000-0000-0000177B0000}"/>
    <cellStyle name="Normal 2 31 2 6" xfId="18272" xr:uid="{00000000-0005-0000-0000-0000187B0000}"/>
    <cellStyle name="Normal 2 31 2 7" xfId="33764" xr:uid="{00000000-0005-0000-0000-0000197B0000}"/>
    <cellStyle name="Normal 2 31 3" xfId="3301" xr:uid="{00000000-0005-0000-0000-00001A7B0000}"/>
    <cellStyle name="Normal 2 31 3 2" xfId="5240" xr:uid="{00000000-0005-0000-0000-00001B7B0000}"/>
    <cellStyle name="Normal 2 31 3 2 2" xfId="9111" xr:uid="{00000000-0005-0000-0000-00001C7B0000}"/>
    <cellStyle name="Normal 2 31 3 2 2 2" xfId="16856" xr:uid="{00000000-0005-0000-0000-00001D7B0000}"/>
    <cellStyle name="Normal 2 31 3 2 2 2 2" xfId="32448" xr:uid="{00000000-0005-0000-0000-00001E7B0000}"/>
    <cellStyle name="Normal 2 31 3 2 2 2 3" xfId="47940" xr:uid="{00000000-0005-0000-0000-00001F7B0000}"/>
    <cellStyle name="Normal 2 31 3 2 2 3" xfId="24708" xr:uid="{00000000-0005-0000-0000-0000207B0000}"/>
    <cellStyle name="Normal 2 31 3 2 2 4" xfId="40200" xr:uid="{00000000-0005-0000-0000-0000217B0000}"/>
    <cellStyle name="Normal 2 31 3 2 3" xfId="12986" xr:uid="{00000000-0005-0000-0000-0000227B0000}"/>
    <cellStyle name="Normal 2 31 3 2 3 2" xfId="28578" xr:uid="{00000000-0005-0000-0000-0000237B0000}"/>
    <cellStyle name="Normal 2 31 3 2 3 3" xfId="44070" xr:uid="{00000000-0005-0000-0000-0000247B0000}"/>
    <cellStyle name="Normal 2 31 3 2 4" xfId="20838" xr:uid="{00000000-0005-0000-0000-0000257B0000}"/>
    <cellStyle name="Normal 2 31 3 2 5" xfId="36330" xr:uid="{00000000-0005-0000-0000-0000267B0000}"/>
    <cellStyle name="Normal 2 31 3 3" xfId="7184" xr:uid="{00000000-0005-0000-0000-0000277B0000}"/>
    <cellStyle name="Normal 2 31 3 3 2" xfId="14929" xr:uid="{00000000-0005-0000-0000-0000287B0000}"/>
    <cellStyle name="Normal 2 31 3 3 2 2" xfId="30521" xr:uid="{00000000-0005-0000-0000-0000297B0000}"/>
    <cellStyle name="Normal 2 31 3 3 2 3" xfId="46013" xr:uid="{00000000-0005-0000-0000-00002A7B0000}"/>
    <cellStyle name="Normal 2 31 3 3 3" xfId="22781" xr:uid="{00000000-0005-0000-0000-00002B7B0000}"/>
    <cellStyle name="Normal 2 31 3 3 4" xfId="38273" xr:uid="{00000000-0005-0000-0000-00002C7B0000}"/>
    <cellStyle name="Normal 2 31 3 4" xfId="11059" xr:uid="{00000000-0005-0000-0000-00002D7B0000}"/>
    <cellStyle name="Normal 2 31 3 4 2" xfId="26651" xr:uid="{00000000-0005-0000-0000-00002E7B0000}"/>
    <cellStyle name="Normal 2 31 3 4 3" xfId="42143" xr:uid="{00000000-0005-0000-0000-00002F7B0000}"/>
    <cellStyle name="Normal 2 31 3 5" xfId="18911" xr:uid="{00000000-0005-0000-0000-0000307B0000}"/>
    <cellStyle name="Normal 2 31 3 6" xfId="34403" xr:uid="{00000000-0005-0000-0000-0000317B0000}"/>
    <cellStyle name="Normal 2 31 4" xfId="4292" xr:uid="{00000000-0005-0000-0000-0000327B0000}"/>
    <cellStyle name="Normal 2 31 4 2" xfId="8163" xr:uid="{00000000-0005-0000-0000-0000337B0000}"/>
    <cellStyle name="Normal 2 31 4 2 2" xfId="15908" xr:uid="{00000000-0005-0000-0000-0000347B0000}"/>
    <cellStyle name="Normal 2 31 4 2 2 2" xfId="31500" xr:uid="{00000000-0005-0000-0000-0000357B0000}"/>
    <cellStyle name="Normal 2 31 4 2 2 3" xfId="46992" xr:uid="{00000000-0005-0000-0000-0000367B0000}"/>
    <cellStyle name="Normal 2 31 4 2 3" xfId="23760" xr:uid="{00000000-0005-0000-0000-0000377B0000}"/>
    <cellStyle name="Normal 2 31 4 2 4" xfId="39252" xr:uid="{00000000-0005-0000-0000-0000387B0000}"/>
    <cellStyle name="Normal 2 31 4 3" xfId="12038" xr:uid="{00000000-0005-0000-0000-0000397B0000}"/>
    <cellStyle name="Normal 2 31 4 3 2" xfId="27630" xr:uid="{00000000-0005-0000-0000-00003A7B0000}"/>
    <cellStyle name="Normal 2 31 4 3 3" xfId="43122" xr:uid="{00000000-0005-0000-0000-00003B7B0000}"/>
    <cellStyle name="Normal 2 31 4 4" xfId="19890" xr:uid="{00000000-0005-0000-0000-00003C7B0000}"/>
    <cellStyle name="Normal 2 31 4 5" xfId="35382" xr:uid="{00000000-0005-0000-0000-00003D7B0000}"/>
    <cellStyle name="Normal 2 31 5" xfId="6236" xr:uid="{00000000-0005-0000-0000-00003E7B0000}"/>
    <cellStyle name="Normal 2 31 5 2" xfId="13981" xr:uid="{00000000-0005-0000-0000-00003F7B0000}"/>
    <cellStyle name="Normal 2 31 5 2 2" xfId="29573" xr:uid="{00000000-0005-0000-0000-0000407B0000}"/>
    <cellStyle name="Normal 2 31 5 2 3" xfId="45065" xr:uid="{00000000-0005-0000-0000-0000417B0000}"/>
    <cellStyle name="Normal 2 31 5 3" xfId="21833" xr:uid="{00000000-0005-0000-0000-0000427B0000}"/>
    <cellStyle name="Normal 2 31 5 4" xfId="37325" xr:uid="{00000000-0005-0000-0000-0000437B0000}"/>
    <cellStyle name="Normal 2 31 6" xfId="10111" xr:uid="{00000000-0005-0000-0000-0000447B0000}"/>
    <cellStyle name="Normal 2 31 6 2" xfId="25703" xr:uid="{00000000-0005-0000-0000-0000457B0000}"/>
    <cellStyle name="Normal 2 31 6 3" xfId="41195" xr:uid="{00000000-0005-0000-0000-0000467B0000}"/>
    <cellStyle name="Normal 2 31 7" xfId="17963" xr:uid="{00000000-0005-0000-0000-0000477B0000}"/>
    <cellStyle name="Normal 2 31 8" xfId="33455" xr:uid="{00000000-0005-0000-0000-0000487B0000}"/>
    <cellStyle name="Normal 2 32" xfId="2323" xr:uid="{00000000-0005-0000-0000-0000497B0000}"/>
    <cellStyle name="Normal 2 32 2" xfId="2638" xr:uid="{00000000-0005-0000-0000-00004A7B0000}"/>
    <cellStyle name="Normal 2 32 2 2" xfId="3646" xr:uid="{00000000-0005-0000-0000-00004B7B0000}"/>
    <cellStyle name="Normal 2 32 2 2 2" xfId="5585" xr:uid="{00000000-0005-0000-0000-00004C7B0000}"/>
    <cellStyle name="Normal 2 32 2 2 2 2" xfId="9456" xr:uid="{00000000-0005-0000-0000-00004D7B0000}"/>
    <cellStyle name="Normal 2 32 2 2 2 2 2" xfId="17201" xr:uid="{00000000-0005-0000-0000-00004E7B0000}"/>
    <cellStyle name="Normal 2 32 2 2 2 2 2 2" xfId="32793" xr:uid="{00000000-0005-0000-0000-00004F7B0000}"/>
    <cellStyle name="Normal 2 32 2 2 2 2 2 3" xfId="48285" xr:uid="{00000000-0005-0000-0000-0000507B0000}"/>
    <cellStyle name="Normal 2 32 2 2 2 2 3" xfId="25053" xr:uid="{00000000-0005-0000-0000-0000517B0000}"/>
    <cellStyle name="Normal 2 32 2 2 2 2 4" xfId="40545" xr:uid="{00000000-0005-0000-0000-0000527B0000}"/>
    <cellStyle name="Normal 2 32 2 2 2 3" xfId="13331" xr:uid="{00000000-0005-0000-0000-0000537B0000}"/>
    <cellStyle name="Normal 2 32 2 2 2 3 2" xfId="28923" xr:uid="{00000000-0005-0000-0000-0000547B0000}"/>
    <cellStyle name="Normal 2 32 2 2 2 3 3" xfId="44415" xr:uid="{00000000-0005-0000-0000-0000557B0000}"/>
    <cellStyle name="Normal 2 32 2 2 2 4" xfId="21183" xr:uid="{00000000-0005-0000-0000-0000567B0000}"/>
    <cellStyle name="Normal 2 32 2 2 2 5" xfId="36675" xr:uid="{00000000-0005-0000-0000-0000577B0000}"/>
    <cellStyle name="Normal 2 32 2 2 3" xfId="7529" xr:uid="{00000000-0005-0000-0000-0000587B0000}"/>
    <cellStyle name="Normal 2 32 2 2 3 2" xfId="15274" xr:uid="{00000000-0005-0000-0000-0000597B0000}"/>
    <cellStyle name="Normal 2 32 2 2 3 2 2" xfId="30866" xr:uid="{00000000-0005-0000-0000-00005A7B0000}"/>
    <cellStyle name="Normal 2 32 2 2 3 2 3" xfId="46358" xr:uid="{00000000-0005-0000-0000-00005B7B0000}"/>
    <cellStyle name="Normal 2 32 2 2 3 3" xfId="23126" xr:uid="{00000000-0005-0000-0000-00005C7B0000}"/>
    <cellStyle name="Normal 2 32 2 2 3 4" xfId="38618" xr:uid="{00000000-0005-0000-0000-00005D7B0000}"/>
    <cellStyle name="Normal 2 32 2 2 4" xfId="11404" xr:uid="{00000000-0005-0000-0000-00005E7B0000}"/>
    <cellStyle name="Normal 2 32 2 2 4 2" xfId="26996" xr:uid="{00000000-0005-0000-0000-00005F7B0000}"/>
    <cellStyle name="Normal 2 32 2 2 4 3" xfId="42488" xr:uid="{00000000-0005-0000-0000-0000607B0000}"/>
    <cellStyle name="Normal 2 32 2 2 5" xfId="19256" xr:uid="{00000000-0005-0000-0000-0000617B0000}"/>
    <cellStyle name="Normal 2 32 2 2 6" xfId="34748" xr:uid="{00000000-0005-0000-0000-0000627B0000}"/>
    <cellStyle name="Normal 2 32 2 3" xfId="4637" xr:uid="{00000000-0005-0000-0000-0000637B0000}"/>
    <cellStyle name="Normal 2 32 2 3 2" xfId="8508" xr:uid="{00000000-0005-0000-0000-0000647B0000}"/>
    <cellStyle name="Normal 2 32 2 3 2 2" xfId="16253" xr:uid="{00000000-0005-0000-0000-0000657B0000}"/>
    <cellStyle name="Normal 2 32 2 3 2 2 2" xfId="31845" xr:uid="{00000000-0005-0000-0000-0000667B0000}"/>
    <cellStyle name="Normal 2 32 2 3 2 2 3" xfId="47337" xr:uid="{00000000-0005-0000-0000-0000677B0000}"/>
    <cellStyle name="Normal 2 32 2 3 2 3" xfId="24105" xr:uid="{00000000-0005-0000-0000-0000687B0000}"/>
    <cellStyle name="Normal 2 32 2 3 2 4" xfId="39597" xr:uid="{00000000-0005-0000-0000-0000697B0000}"/>
    <cellStyle name="Normal 2 32 2 3 3" xfId="12383" xr:uid="{00000000-0005-0000-0000-00006A7B0000}"/>
    <cellStyle name="Normal 2 32 2 3 3 2" xfId="27975" xr:uid="{00000000-0005-0000-0000-00006B7B0000}"/>
    <cellStyle name="Normal 2 32 2 3 3 3" xfId="43467" xr:uid="{00000000-0005-0000-0000-00006C7B0000}"/>
    <cellStyle name="Normal 2 32 2 3 4" xfId="20235" xr:uid="{00000000-0005-0000-0000-00006D7B0000}"/>
    <cellStyle name="Normal 2 32 2 3 5" xfId="35727" xr:uid="{00000000-0005-0000-0000-00006E7B0000}"/>
    <cellStyle name="Normal 2 32 2 4" xfId="6581" xr:uid="{00000000-0005-0000-0000-00006F7B0000}"/>
    <cellStyle name="Normal 2 32 2 4 2" xfId="14326" xr:uid="{00000000-0005-0000-0000-0000707B0000}"/>
    <cellStyle name="Normal 2 32 2 4 2 2" xfId="29918" xr:uid="{00000000-0005-0000-0000-0000717B0000}"/>
    <cellStyle name="Normal 2 32 2 4 2 3" xfId="45410" xr:uid="{00000000-0005-0000-0000-0000727B0000}"/>
    <cellStyle name="Normal 2 32 2 4 3" xfId="22178" xr:uid="{00000000-0005-0000-0000-0000737B0000}"/>
    <cellStyle name="Normal 2 32 2 4 4" xfId="37670" xr:uid="{00000000-0005-0000-0000-0000747B0000}"/>
    <cellStyle name="Normal 2 32 2 5" xfId="10456" xr:uid="{00000000-0005-0000-0000-0000757B0000}"/>
    <cellStyle name="Normal 2 32 2 5 2" xfId="26048" xr:uid="{00000000-0005-0000-0000-0000767B0000}"/>
    <cellStyle name="Normal 2 32 2 5 3" xfId="41540" xr:uid="{00000000-0005-0000-0000-0000777B0000}"/>
    <cellStyle name="Normal 2 32 2 6" xfId="18308" xr:uid="{00000000-0005-0000-0000-0000787B0000}"/>
    <cellStyle name="Normal 2 32 2 7" xfId="33800" xr:uid="{00000000-0005-0000-0000-0000797B0000}"/>
    <cellStyle name="Normal 2 32 3" xfId="3337" xr:uid="{00000000-0005-0000-0000-00007A7B0000}"/>
    <cellStyle name="Normal 2 32 3 2" xfId="5276" xr:uid="{00000000-0005-0000-0000-00007B7B0000}"/>
    <cellStyle name="Normal 2 32 3 2 2" xfId="9147" xr:uid="{00000000-0005-0000-0000-00007C7B0000}"/>
    <cellStyle name="Normal 2 32 3 2 2 2" xfId="16892" xr:uid="{00000000-0005-0000-0000-00007D7B0000}"/>
    <cellStyle name="Normal 2 32 3 2 2 2 2" xfId="32484" xr:uid="{00000000-0005-0000-0000-00007E7B0000}"/>
    <cellStyle name="Normal 2 32 3 2 2 2 3" xfId="47976" xr:uid="{00000000-0005-0000-0000-00007F7B0000}"/>
    <cellStyle name="Normal 2 32 3 2 2 3" xfId="24744" xr:uid="{00000000-0005-0000-0000-0000807B0000}"/>
    <cellStyle name="Normal 2 32 3 2 2 4" xfId="40236" xr:uid="{00000000-0005-0000-0000-0000817B0000}"/>
    <cellStyle name="Normal 2 32 3 2 3" xfId="13022" xr:uid="{00000000-0005-0000-0000-0000827B0000}"/>
    <cellStyle name="Normal 2 32 3 2 3 2" xfId="28614" xr:uid="{00000000-0005-0000-0000-0000837B0000}"/>
    <cellStyle name="Normal 2 32 3 2 3 3" xfId="44106" xr:uid="{00000000-0005-0000-0000-0000847B0000}"/>
    <cellStyle name="Normal 2 32 3 2 4" xfId="20874" xr:uid="{00000000-0005-0000-0000-0000857B0000}"/>
    <cellStyle name="Normal 2 32 3 2 5" xfId="36366" xr:uid="{00000000-0005-0000-0000-0000867B0000}"/>
    <cellStyle name="Normal 2 32 3 3" xfId="7220" xr:uid="{00000000-0005-0000-0000-0000877B0000}"/>
    <cellStyle name="Normal 2 32 3 3 2" xfId="14965" xr:uid="{00000000-0005-0000-0000-0000887B0000}"/>
    <cellStyle name="Normal 2 32 3 3 2 2" xfId="30557" xr:uid="{00000000-0005-0000-0000-0000897B0000}"/>
    <cellStyle name="Normal 2 32 3 3 2 3" xfId="46049" xr:uid="{00000000-0005-0000-0000-00008A7B0000}"/>
    <cellStyle name="Normal 2 32 3 3 3" xfId="22817" xr:uid="{00000000-0005-0000-0000-00008B7B0000}"/>
    <cellStyle name="Normal 2 32 3 3 4" xfId="38309" xr:uid="{00000000-0005-0000-0000-00008C7B0000}"/>
    <cellStyle name="Normal 2 32 3 4" xfId="11095" xr:uid="{00000000-0005-0000-0000-00008D7B0000}"/>
    <cellStyle name="Normal 2 32 3 4 2" xfId="26687" xr:uid="{00000000-0005-0000-0000-00008E7B0000}"/>
    <cellStyle name="Normal 2 32 3 4 3" xfId="42179" xr:uid="{00000000-0005-0000-0000-00008F7B0000}"/>
    <cellStyle name="Normal 2 32 3 5" xfId="18947" xr:uid="{00000000-0005-0000-0000-0000907B0000}"/>
    <cellStyle name="Normal 2 32 3 6" xfId="34439" xr:uid="{00000000-0005-0000-0000-0000917B0000}"/>
    <cellStyle name="Normal 2 32 4" xfId="4328" xr:uid="{00000000-0005-0000-0000-0000927B0000}"/>
    <cellStyle name="Normal 2 32 4 2" xfId="8199" xr:uid="{00000000-0005-0000-0000-0000937B0000}"/>
    <cellStyle name="Normal 2 32 4 2 2" xfId="15944" xr:uid="{00000000-0005-0000-0000-0000947B0000}"/>
    <cellStyle name="Normal 2 32 4 2 2 2" xfId="31536" xr:uid="{00000000-0005-0000-0000-0000957B0000}"/>
    <cellStyle name="Normal 2 32 4 2 2 3" xfId="47028" xr:uid="{00000000-0005-0000-0000-0000967B0000}"/>
    <cellStyle name="Normal 2 32 4 2 3" xfId="23796" xr:uid="{00000000-0005-0000-0000-0000977B0000}"/>
    <cellStyle name="Normal 2 32 4 2 4" xfId="39288" xr:uid="{00000000-0005-0000-0000-0000987B0000}"/>
    <cellStyle name="Normal 2 32 4 3" xfId="12074" xr:uid="{00000000-0005-0000-0000-0000997B0000}"/>
    <cellStyle name="Normal 2 32 4 3 2" xfId="27666" xr:uid="{00000000-0005-0000-0000-00009A7B0000}"/>
    <cellStyle name="Normal 2 32 4 3 3" xfId="43158" xr:uid="{00000000-0005-0000-0000-00009B7B0000}"/>
    <cellStyle name="Normal 2 32 4 4" xfId="19926" xr:uid="{00000000-0005-0000-0000-00009C7B0000}"/>
    <cellStyle name="Normal 2 32 4 5" xfId="35418" xr:uid="{00000000-0005-0000-0000-00009D7B0000}"/>
    <cellStyle name="Normal 2 32 5" xfId="6272" xr:uid="{00000000-0005-0000-0000-00009E7B0000}"/>
    <cellStyle name="Normal 2 32 5 2" xfId="14017" xr:uid="{00000000-0005-0000-0000-00009F7B0000}"/>
    <cellStyle name="Normal 2 32 5 2 2" xfId="29609" xr:uid="{00000000-0005-0000-0000-0000A07B0000}"/>
    <cellStyle name="Normal 2 32 5 2 3" xfId="45101" xr:uid="{00000000-0005-0000-0000-0000A17B0000}"/>
    <cellStyle name="Normal 2 32 5 3" xfId="21869" xr:uid="{00000000-0005-0000-0000-0000A27B0000}"/>
    <cellStyle name="Normal 2 32 5 4" xfId="37361" xr:uid="{00000000-0005-0000-0000-0000A37B0000}"/>
    <cellStyle name="Normal 2 32 6" xfId="10147" xr:uid="{00000000-0005-0000-0000-0000A47B0000}"/>
    <cellStyle name="Normal 2 32 6 2" xfId="25739" xr:uid="{00000000-0005-0000-0000-0000A57B0000}"/>
    <cellStyle name="Normal 2 32 6 3" xfId="41231" xr:uid="{00000000-0005-0000-0000-0000A67B0000}"/>
    <cellStyle name="Normal 2 32 7" xfId="17999" xr:uid="{00000000-0005-0000-0000-0000A77B0000}"/>
    <cellStyle name="Normal 2 32 8" xfId="33491" xr:uid="{00000000-0005-0000-0000-0000A87B0000}"/>
    <cellStyle name="Normal 2 33" xfId="2361" xr:uid="{00000000-0005-0000-0000-0000A97B0000}"/>
    <cellStyle name="Normal 2 33 2" xfId="2674" xr:uid="{00000000-0005-0000-0000-0000AA7B0000}"/>
    <cellStyle name="Normal 2 33 2 2" xfId="3682" xr:uid="{00000000-0005-0000-0000-0000AB7B0000}"/>
    <cellStyle name="Normal 2 33 2 2 2" xfId="5621" xr:uid="{00000000-0005-0000-0000-0000AC7B0000}"/>
    <cellStyle name="Normal 2 33 2 2 2 2" xfId="9492" xr:uid="{00000000-0005-0000-0000-0000AD7B0000}"/>
    <cellStyle name="Normal 2 33 2 2 2 2 2" xfId="17237" xr:uid="{00000000-0005-0000-0000-0000AE7B0000}"/>
    <cellStyle name="Normal 2 33 2 2 2 2 2 2" xfId="32829" xr:uid="{00000000-0005-0000-0000-0000AF7B0000}"/>
    <cellStyle name="Normal 2 33 2 2 2 2 2 3" xfId="48321" xr:uid="{00000000-0005-0000-0000-0000B07B0000}"/>
    <cellStyle name="Normal 2 33 2 2 2 2 3" xfId="25089" xr:uid="{00000000-0005-0000-0000-0000B17B0000}"/>
    <cellStyle name="Normal 2 33 2 2 2 2 4" xfId="40581" xr:uid="{00000000-0005-0000-0000-0000B27B0000}"/>
    <cellStyle name="Normal 2 33 2 2 2 3" xfId="13367" xr:uid="{00000000-0005-0000-0000-0000B37B0000}"/>
    <cellStyle name="Normal 2 33 2 2 2 3 2" xfId="28959" xr:uid="{00000000-0005-0000-0000-0000B47B0000}"/>
    <cellStyle name="Normal 2 33 2 2 2 3 3" xfId="44451" xr:uid="{00000000-0005-0000-0000-0000B57B0000}"/>
    <cellStyle name="Normal 2 33 2 2 2 4" xfId="21219" xr:uid="{00000000-0005-0000-0000-0000B67B0000}"/>
    <cellStyle name="Normal 2 33 2 2 2 5" xfId="36711" xr:uid="{00000000-0005-0000-0000-0000B77B0000}"/>
    <cellStyle name="Normal 2 33 2 2 3" xfId="7565" xr:uid="{00000000-0005-0000-0000-0000B87B0000}"/>
    <cellStyle name="Normal 2 33 2 2 3 2" xfId="15310" xr:uid="{00000000-0005-0000-0000-0000B97B0000}"/>
    <cellStyle name="Normal 2 33 2 2 3 2 2" xfId="30902" xr:uid="{00000000-0005-0000-0000-0000BA7B0000}"/>
    <cellStyle name="Normal 2 33 2 2 3 2 3" xfId="46394" xr:uid="{00000000-0005-0000-0000-0000BB7B0000}"/>
    <cellStyle name="Normal 2 33 2 2 3 3" xfId="23162" xr:uid="{00000000-0005-0000-0000-0000BC7B0000}"/>
    <cellStyle name="Normal 2 33 2 2 3 4" xfId="38654" xr:uid="{00000000-0005-0000-0000-0000BD7B0000}"/>
    <cellStyle name="Normal 2 33 2 2 4" xfId="11440" xr:uid="{00000000-0005-0000-0000-0000BE7B0000}"/>
    <cellStyle name="Normal 2 33 2 2 4 2" xfId="27032" xr:uid="{00000000-0005-0000-0000-0000BF7B0000}"/>
    <cellStyle name="Normal 2 33 2 2 4 3" xfId="42524" xr:uid="{00000000-0005-0000-0000-0000C07B0000}"/>
    <cellStyle name="Normal 2 33 2 2 5" xfId="19292" xr:uid="{00000000-0005-0000-0000-0000C17B0000}"/>
    <cellStyle name="Normal 2 33 2 2 6" xfId="34784" xr:uid="{00000000-0005-0000-0000-0000C27B0000}"/>
    <cellStyle name="Normal 2 33 2 3" xfId="4673" xr:uid="{00000000-0005-0000-0000-0000C37B0000}"/>
    <cellStyle name="Normal 2 33 2 3 2" xfId="8544" xr:uid="{00000000-0005-0000-0000-0000C47B0000}"/>
    <cellStyle name="Normal 2 33 2 3 2 2" xfId="16289" xr:uid="{00000000-0005-0000-0000-0000C57B0000}"/>
    <cellStyle name="Normal 2 33 2 3 2 2 2" xfId="31881" xr:uid="{00000000-0005-0000-0000-0000C67B0000}"/>
    <cellStyle name="Normal 2 33 2 3 2 2 3" xfId="47373" xr:uid="{00000000-0005-0000-0000-0000C77B0000}"/>
    <cellStyle name="Normal 2 33 2 3 2 3" xfId="24141" xr:uid="{00000000-0005-0000-0000-0000C87B0000}"/>
    <cellStyle name="Normal 2 33 2 3 2 4" xfId="39633" xr:uid="{00000000-0005-0000-0000-0000C97B0000}"/>
    <cellStyle name="Normal 2 33 2 3 3" xfId="12419" xr:uid="{00000000-0005-0000-0000-0000CA7B0000}"/>
    <cellStyle name="Normal 2 33 2 3 3 2" xfId="28011" xr:uid="{00000000-0005-0000-0000-0000CB7B0000}"/>
    <cellStyle name="Normal 2 33 2 3 3 3" xfId="43503" xr:uid="{00000000-0005-0000-0000-0000CC7B0000}"/>
    <cellStyle name="Normal 2 33 2 3 4" xfId="20271" xr:uid="{00000000-0005-0000-0000-0000CD7B0000}"/>
    <cellStyle name="Normal 2 33 2 3 5" xfId="35763" xr:uid="{00000000-0005-0000-0000-0000CE7B0000}"/>
    <cellStyle name="Normal 2 33 2 4" xfId="6617" xr:uid="{00000000-0005-0000-0000-0000CF7B0000}"/>
    <cellStyle name="Normal 2 33 2 4 2" xfId="14362" xr:uid="{00000000-0005-0000-0000-0000D07B0000}"/>
    <cellStyle name="Normal 2 33 2 4 2 2" xfId="29954" xr:uid="{00000000-0005-0000-0000-0000D17B0000}"/>
    <cellStyle name="Normal 2 33 2 4 2 3" xfId="45446" xr:uid="{00000000-0005-0000-0000-0000D27B0000}"/>
    <cellStyle name="Normal 2 33 2 4 3" xfId="22214" xr:uid="{00000000-0005-0000-0000-0000D37B0000}"/>
    <cellStyle name="Normal 2 33 2 4 4" xfId="37706" xr:uid="{00000000-0005-0000-0000-0000D47B0000}"/>
    <cellStyle name="Normal 2 33 2 5" xfId="10492" xr:uid="{00000000-0005-0000-0000-0000D57B0000}"/>
    <cellStyle name="Normal 2 33 2 5 2" xfId="26084" xr:uid="{00000000-0005-0000-0000-0000D67B0000}"/>
    <cellStyle name="Normal 2 33 2 5 3" xfId="41576" xr:uid="{00000000-0005-0000-0000-0000D77B0000}"/>
    <cellStyle name="Normal 2 33 2 6" xfId="18344" xr:uid="{00000000-0005-0000-0000-0000D87B0000}"/>
    <cellStyle name="Normal 2 33 2 7" xfId="33836" xr:uid="{00000000-0005-0000-0000-0000D97B0000}"/>
    <cellStyle name="Normal 2 33 3" xfId="3373" xr:uid="{00000000-0005-0000-0000-0000DA7B0000}"/>
    <cellStyle name="Normal 2 33 3 2" xfId="5312" xr:uid="{00000000-0005-0000-0000-0000DB7B0000}"/>
    <cellStyle name="Normal 2 33 3 2 2" xfId="9183" xr:uid="{00000000-0005-0000-0000-0000DC7B0000}"/>
    <cellStyle name="Normal 2 33 3 2 2 2" xfId="16928" xr:uid="{00000000-0005-0000-0000-0000DD7B0000}"/>
    <cellStyle name="Normal 2 33 3 2 2 2 2" xfId="32520" xr:uid="{00000000-0005-0000-0000-0000DE7B0000}"/>
    <cellStyle name="Normal 2 33 3 2 2 2 3" xfId="48012" xr:uid="{00000000-0005-0000-0000-0000DF7B0000}"/>
    <cellStyle name="Normal 2 33 3 2 2 3" xfId="24780" xr:uid="{00000000-0005-0000-0000-0000E07B0000}"/>
    <cellStyle name="Normal 2 33 3 2 2 4" xfId="40272" xr:uid="{00000000-0005-0000-0000-0000E17B0000}"/>
    <cellStyle name="Normal 2 33 3 2 3" xfId="13058" xr:uid="{00000000-0005-0000-0000-0000E27B0000}"/>
    <cellStyle name="Normal 2 33 3 2 3 2" xfId="28650" xr:uid="{00000000-0005-0000-0000-0000E37B0000}"/>
    <cellStyle name="Normal 2 33 3 2 3 3" xfId="44142" xr:uid="{00000000-0005-0000-0000-0000E47B0000}"/>
    <cellStyle name="Normal 2 33 3 2 4" xfId="20910" xr:uid="{00000000-0005-0000-0000-0000E57B0000}"/>
    <cellStyle name="Normal 2 33 3 2 5" xfId="36402" xr:uid="{00000000-0005-0000-0000-0000E67B0000}"/>
    <cellStyle name="Normal 2 33 3 3" xfId="7256" xr:uid="{00000000-0005-0000-0000-0000E77B0000}"/>
    <cellStyle name="Normal 2 33 3 3 2" xfId="15001" xr:uid="{00000000-0005-0000-0000-0000E87B0000}"/>
    <cellStyle name="Normal 2 33 3 3 2 2" xfId="30593" xr:uid="{00000000-0005-0000-0000-0000E97B0000}"/>
    <cellStyle name="Normal 2 33 3 3 2 3" xfId="46085" xr:uid="{00000000-0005-0000-0000-0000EA7B0000}"/>
    <cellStyle name="Normal 2 33 3 3 3" xfId="22853" xr:uid="{00000000-0005-0000-0000-0000EB7B0000}"/>
    <cellStyle name="Normal 2 33 3 3 4" xfId="38345" xr:uid="{00000000-0005-0000-0000-0000EC7B0000}"/>
    <cellStyle name="Normal 2 33 3 4" xfId="11131" xr:uid="{00000000-0005-0000-0000-0000ED7B0000}"/>
    <cellStyle name="Normal 2 33 3 4 2" xfId="26723" xr:uid="{00000000-0005-0000-0000-0000EE7B0000}"/>
    <cellStyle name="Normal 2 33 3 4 3" xfId="42215" xr:uid="{00000000-0005-0000-0000-0000EF7B0000}"/>
    <cellStyle name="Normal 2 33 3 5" xfId="18983" xr:uid="{00000000-0005-0000-0000-0000F07B0000}"/>
    <cellStyle name="Normal 2 33 3 6" xfId="34475" xr:uid="{00000000-0005-0000-0000-0000F17B0000}"/>
    <cellStyle name="Normal 2 33 4" xfId="4364" xr:uid="{00000000-0005-0000-0000-0000F27B0000}"/>
    <cellStyle name="Normal 2 33 4 2" xfId="8235" xr:uid="{00000000-0005-0000-0000-0000F37B0000}"/>
    <cellStyle name="Normal 2 33 4 2 2" xfId="15980" xr:uid="{00000000-0005-0000-0000-0000F47B0000}"/>
    <cellStyle name="Normal 2 33 4 2 2 2" xfId="31572" xr:uid="{00000000-0005-0000-0000-0000F57B0000}"/>
    <cellStyle name="Normal 2 33 4 2 2 3" xfId="47064" xr:uid="{00000000-0005-0000-0000-0000F67B0000}"/>
    <cellStyle name="Normal 2 33 4 2 3" xfId="23832" xr:uid="{00000000-0005-0000-0000-0000F77B0000}"/>
    <cellStyle name="Normal 2 33 4 2 4" xfId="39324" xr:uid="{00000000-0005-0000-0000-0000F87B0000}"/>
    <cellStyle name="Normal 2 33 4 3" xfId="12110" xr:uid="{00000000-0005-0000-0000-0000F97B0000}"/>
    <cellStyle name="Normal 2 33 4 3 2" xfId="27702" xr:uid="{00000000-0005-0000-0000-0000FA7B0000}"/>
    <cellStyle name="Normal 2 33 4 3 3" xfId="43194" xr:uid="{00000000-0005-0000-0000-0000FB7B0000}"/>
    <cellStyle name="Normal 2 33 4 4" xfId="19962" xr:uid="{00000000-0005-0000-0000-0000FC7B0000}"/>
    <cellStyle name="Normal 2 33 4 5" xfId="35454" xr:uid="{00000000-0005-0000-0000-0000FD7B0000}"/>
    <cellStyle name="Normal 2 33 5" xfId="6308" xr:uid="{00000000-0005-0000-0000-0000FE7B0000}"/>
    <cellStyle name="Normal 2 33 5 2" xfId="14053" xr:uid="{00000000-0005-0000-0000-0000FF7B0000}"/>
    <cellStyle name="Normal 2 33 5 2 2" xfId="29645" xr:uid="{00000000-0005-0000-0000-0000007C0000}"/>
    <cellStyle name="Normal 2 33 5 2 3" xfId="45137" xr:uid="{00000000-0005-0000-0000-0000017C0000}"/>
    <cellStyle name="Normal 2 33 5 3" xfId="21905" xr:uid="{00000000-0005-0000-0000-0000027C0000}"/>
    <cellStyle name="Normal 2 33 5 4" xfId="37397" xr:uid="{00000000-0005-0000-0000-0000037C0000}"/>
    <cellStyle name="Normal 2 33 6" xfId="10183" xr:uid="{00000000-0005-0000-0000-0000047C0000}"/>
    <cellStyle name="Normal 2 33 6 2" xfId="25775" xr:uid="{00000000-0005-0000-0000-0000057C0000}"/>
    <cellStyle name="Normal 2 33 6 3" xfId="41267" xr:uid="{00000000-0005-0000-0000-0000067C0000}"/>
    <cellStyle name="Normal 2 33 7" xfId="18035" xr:uid="{00000000-0005-0000-0000-0000077C0000}"/>
    <cellStyle name="Normal 2 33 8" xfId="33527" xr:uid="{00000000-0005-0000-0000-0000087C0000}"/>
    <cellStyle name="Normal 2 34" xfId="2398" xr:uid="{00000000-0005-0000-0000-0000097C0000}"/>
    <cellStyle name="Normal 2 34 2" xfId="2710" xr:uid="{00000000-0005-0000-0000-00000A7C0000}"/>
    <cellStyle name="Normal 2 34 2 2" xfId="3718" xr:uid="{00000000-0005-0000-0000-00000B7C0000}"/>
    <cellStyle name="Normal 2 34 2 2 2" xfId="5657" xr:uid="{00000000-0005-0000-0000-00000C7C0000}"/>
    <cellStyle name="Normal 2 34 2 2 2 2" xfId="9528" xr:uid="{00000000-0005-0000-0000-00000D7C0000}"/>
    <cellStyle name="Normal 2 34 2 2 2 2 2" xfId="17273" xr:uid="{00000000-0005-0000-0000-00000E7C0000}"/>
    <cellStyle name="Normal 2 34 2 2 2 2 2 2" xfId="32865" xr:uid="{00000000-0005-0000-0000-00000F7C0000}"/>
    <cellStyle name="Normal 2 34 2 2 2 2 2 3" xfId="48357" xr:uid="{00000000-0005-0000-0000-0000107C0000}"/>
    <cellStyle name="Normal 2 34 2 2 2 2 3" xfId="25125" xr:uid="{00000000-0005-0000-0000-0000117C0000}"/>
    <cellStyle name="Normal 2 34 2 2 2 2 4" xfId="40617" xr:uid="{00000000-0005-0000-0000-0000127C0000}"/>
    <cellStyle name="Normal 2 34 2 2 2 3" xfId="13403" xr:uid="{00000000-0005-0000-0000-0000137C0000}"/>
    <cellStyle name="Normal 2 34 2 2 2 3 2" xfId="28995" xr:uid="{00000000-0005-0000-0000-0000147C0000}"/>
    <cellStyle name="Normal 2 34 2 2 2 3 3" xfId="44487" xr:uid="{00000000-0005-0000-0000-0000157C0000}"/>
    <cellStyle name="Normal 2 34 2 2 2 4" xfId="21255" xr:uid="{00000000-0005-0000-0000-0000167C0000}"/>
    <cellStyle name="Normal 2 34 2 2 2 5" xfId="36747" xr:uid="{00000000-0005-0000-0000-0000177C0000}"/>
    <cellStyle name="Normal 2 34 2 2 3" xfId="7601" xr:uid="{00000000-0005-0000-0000-0000187C0000}"/>
    <cellStyle name="Normal 2 34 2 2 3 2" xfId="15346" xr:uid="{00000000-0005-0000-0000-0000197C0000}"/>
    <cellStyle name="Normal 2 34 2 2 3 2 2" xfId="30938" xr:uid="{00000000-0005-0000-0000-00001A7C0000}"/>
    <cellStyle name="Normal 2 34 2 2 3 2 3" xfId="46430" xr:uid="{00000000-0005-0000-0000-00001B7C0000}"/>
    <cellStyle name="Normal 2 34 2 2 3 3" xfId="23198" xr:uid="{00000000-0005-0000-0000-00001C7C0000}"/>
    <cellStyle name="Normal 2 34 2 2 3 4" xfId="38690" xr:uid="{00000000-0005-0000-0000-00001D7C0000}"/>
    <cellStyle name="Normal 2 34 2 2 4" xfId="11476" xr:uid="{00000000-0005-0000-0000-00001E7C0000}"/>
    <cellStyle name="Normal 2 34 2 2 4 2" xfId="27068" xr:uid="{00000000-0005-0000-0000-00001F7C0000}"/>
    <cellStyle name="Normal 2 34 2 2 4 3" xfId="42560" xr:uid="{00000000-0005-0000-0000-0000207C0000}"/>
    <cellStyle name="Normal 2 34 2 2 5" xfId="19328" xr:uid="{00000000-0005-0000-0000-0000217C0000}"/>
    <cellStyle name="Normal 2 34 2 2 6" xfId="34820" xr:uid="{00000000-0005-0000-0000-0000227C0000}"/>
    <cellStyle name="Normal 2 34 2 3" xfId="4709" xr:uid="{00000000-0005-0000-0000-0000237C0000}"/>
    <cellStyle name="Normal 2 34 2 3 2" xfId="8580" xr:uid="{00000000-0005-0000-0000-0000247C0000}"/>
    <cellStyle name="Normal 2 34 2 3 2 2" xfId="16325" xr:uid="{00000000-0005-0000-0000-0000257C0000}"/>
    <cellStyle name="Normal 2 34 2 3 2 2 2" xfId="31917" xr:uid="{00000000-0005-0000-0000-0000267C0000}"/>
    <cellStyle name="Normal 2 34 2 3 2 2 3" xfId="47409" xr:uid="{00000000-0005-0000-0000-0000277C0000}"/>
    <cellStyle name="Normal 2 34 2 3 2 3" xfId="24177" xr:uid="{00000000-0005-0000-0000-0000287C0000}"/>
    <cellStyle name="Normal 2 34 2 3 2 4" xfId="39669" xr:uid="{00000000-0005-0000-0000-0000297C0000}"/>
    <cellStyle name="Normal 2 34 2 3 3" xfId="12455" xr:uid="{00000000-0005-0000-0000-00002A7C0000}"/>
    <cellStyle name="Normal 2 34 2 3 3 2" xfId="28047" xr:uid="{00000000-0005-0000-0000-00002B7C0000}"/>
    <cellStyle name="Normal 2 34 2 3 3 3" xfId="43539" xr:uid="{00000000-0005-0000-0000-00002C7C0000}"/>
    <cellStyle name="Normal 2 34 2 3 4" xfId="20307" xr:uid="{00000000-0005-0000-0000-00002D7C0000}"/>
    <cellStyle name="Normal 2 34 2 3 5" xfId="35799" xr:uid="{00000000-0005-0000-0000-00002E7C0000}"/>
    <cellStyle name="Normal 2 34 2 4" xfId="6653" xr:uid="{00000000-0005-0000-0000-00002F7C0000}"/>
    <cellStyle name="Normal 2 34 2 4 2" xfId="14398" xr:uid="{00000000-0005-0000-0000-0000307C0000}"/>
    <cellStyle name="Normal 2 34 2 4 2 2" xfId="29990" xr:uid="{00000000-0005-0000-0000-0000317C0000}"/>
    <cellStyle name="Normal 2 34 2 4 2 3" xfId="45482" xr:uid="{00000000-0005-0000-0000-0000327C0000}"/>
    <cellStyle name="Normal 2 34 2 4 3" xfId="22250" xr:uid="{00000000-0005-0000-0000-0000337C0000}"/>
    <cellStyle name="Normal 2 34 2 4 4" xfId="37742" xr:uid="{00000000-0005-0000-0000-0000347C0000}"/>
    <cellStyle name="Normal 2 34 2 5" xfId="10528" xr:uid="{00000000-0005-0000-0000-0000357C0000}"/>
    <cellStyle name="Normal 2 34 2 5 2" xfId="26120" xr:uid="{00000000-0005-0000-0000-0000367C0000}"/>
    <cellStyle name="Normal 2 34 2 5 3" xfId="41612" xr:uid="{00000000-0005-0000-0000-0000377C0000}"/>
    <cellStyle name="Normal 2 34 2 6" xfId="18380" xr:uid="{00000000-0005-0000-0000-0000387C0000}"/>
    <cellStyle name="Normal 2 34 2 7" xfId="33872" xr:uid="{00000000-0005-0000-0000-0000397C0000}"/>
    <cellStyle name="Normal 2 34 3" xfId="3409" xr:uid="{00000000-0005-0000-0000-00003A7C0000}"/>
    <cellStyle name="Normal 2 34 3 2" xfId="5348" xr:uid="{00000000-0005-0000-0000-00003B7C0000}"/>
    <cellStyle name="Normal 2 34 3 2 2" xfId="9219" xr:uid="{00000000-0005-0000-0000-00003C7C0000}"/>
    <cellStyle name="Normal 2 34 3 2 2 2" xfId="16964" xr:uid="{00000000-0005-0000-0000-00003D7C0000}"/>
    <cellStyle name="Normal 2 34 3 2 2 2 2" xfId="32556" xr:uid="{00000000-0005-0000-0000-00003E7C0000}"/>
    <cellStyle name="Normal 2 34 3 2 2 2 3" xfId="48048" xr:uid="{00000000-0005-0000-0000-00003F7C0000}"/>
    <cellStyle name="Normal 2 34 3 2 2 3" xfId="24816" xr:uid="{00000000-0005-0000-0000-0000407C0000}"/>
    <cellStyle name="Normal 2 34 3 2 2 4" xfId="40308" xr:uid="{00000000-0005-0000-0000-0000417C0000}"/>
    <cellStyle name="Normal 2 34 3 2 3" xfId="13094" xr:uid="{00000000-0005-0000-0000-0000427C0000}"/>
    <cellStyle name="Normal 2 34 3 2 3 2" xfId="28686" xr:uid="{00000000-0005-0000-0000-0000437C0000}"/>
    <cellStyle name="Normal 2 34 3 2 3 3" xfId="44178" xr:uid="{00000000-0005-0000-0000-0000447C0000}"/>
    <cellStyle name="Normal 2 34 3 2 4" xfId="20946" xr:uid="{00000000-0005-0000-0000-0000457C0000}"/>
    <cellStyle name="Normal 2 34 3 2 5" xfId="36438" xr:uid="{00000000-0005-0000-0000-0000467C0000}"/>
    <cellStyle name="Normal 2 34 3 3" xfId="7292" xr:uid="{00000000-0005-0000-0000-0000477C0000}"/>
    <cellStyle name="Normal 2 34 3 3 2" xfId="15037" xr:uid="{00000000-0005-0000-0000-0000487C0000}"/>
    <cellStyle name="Normal 2 34 3 3 2 2" xfId="30629" xr:uid="{00000000-0005-0000-0000-0000497C0000}"/>
    <cellStyle name="Normal 2 34 3 3 2 3" xfId="46121" xr:uid="{00000000-0005-0000-0000-00004A7C0000}"/>
    <cellStyle name="Normal 2 34 3 3 3" xfId="22889" xr:uid="{00000000-0005-0000-0000-00004B7C0000}"/>
    <cellStyle name="Normal 2 34 3 3 4" xfId="38381" xr:uid="{00000000-0005-0000-0000-00004C7C0000}"/>
    <cellStyle name="Normal 2 34 3 4" xfId="11167" xr:uid="{00000000-0005-0000-0000-00004D7C0000}"/>
    <cellStyle name="Normal 2 34 3 4 2" xfId="26759" xr:uid="{00000000-0005-0000-0000-00004E7C0000}"/>
    <cellStyle name="Normal 2 34 3 4 3" xfId="42251" xr:uid="{00000000-0005-0000-0000-00004F7C0000}"/>
    <cellStyle name="Normal 2 34 3 5" xfId="19019" xr:uid="{00000000-0005-0000-0000-0000507C0000}"/>
    <cellStyle name="Normal 2 34 3 6" xfId="34511" xr:uid="{00000000-0005-0000-0000-0000517C0000}"/>
    <cellStyle name="Normal 2 34 4" xfId="4400" xr:uid="{00000000-0005-0000-0000-0000527C0000}"/>
    <cellStyle name="Normal 2 34 4 2" xfId="8271" xr:uid="{00000000-0005-0000-0000-0000537C0000}"/>
    <cellStyle name="Normal 2 34 4 2 2" xfId="16016" xr:uid="{00000000-0005-0000-0000-0000547C0000}"/>
    <cellStyle name="Normal 2 34 4 2 2 2" xfId="31608" xr:uid="{00000000-0005-0000-0000-0000557C0000}"/>
    <cellStyle name="Normal 2 34 4 2 2 3" xfId="47100" xr:uid="{00000000-0005-0000-0000-0000567C0000}"/>
    <cellStyle name="Normal 2 34 4 2 3" xfId="23868" xr:uid="{00000000-0005-0000-0000-0000577C0000}"/>
    <cellStyle name="Normal 2 34 4 2 4" xfId="39360" xr:uid="{00000000-0005-0000-0000-0000587C0000}"/>
    <cellStyle name="Normal 2 34 4 3" xfId="12146" xr:uid="{00000000-0005-0000-0000-0000597C0000}"/>
    <cellStyle name="Normal 2 34 4 3 2" xfId="27738" xr:uid="{00000000-0005-0000-0000-00005A7C0000}"/>
    <cellStyle name="Normal 2 34 4 3 3" xfId="43230" xr:uid="{00000000-0005-0000-0000-00005B7C0000}"/>
    <cellStyle name="Normal 2 34 4 4" xfId="19998" xr:uid="{00000000-0005-0000-0000-00005C7C0000}"/>
    <cellStyle name="Normal 2 34 4 5" xfId="35490" xr:uid="{00000000-0005-0000-0000-00005D7C0000}"/>
    <cellStyle name="Normal 2 34 5" xfId="6344" xr:uid="{00000000-0005-0000-0000-00005E7C0000}"/>
    <cellStyle name="Normal 2 34 5 2" xfId="14089" xr:uid="{00000000-0005-0000-0000-00005F7C0000}"/>
    <cellStyle name="Normal 2 34 5 2 2" xfId="29681" xr:uid="{00000000-0005-0000-0000-0000607C0000}"/>
    <cellStyle name="Normal 2 34 5 2 3" xfId="45173" xr:uid="{00000000-0005-0000-0000-0000617C0000}"/>
    <cellStyle name="Normal 2 34 5 3" xfId="21941" xr:uid="{00000000-0005-0000-0000-0000627C0000}"/>
    <cellStyle name="Normal 2 34 5 4" xfId="37433" xr:uid="{00000000-0005-0000-0000-0000637C0000}"/>
    <cellStyle name="Normal 2 34 6" xfId="10219" xr:uid="{00000000-0005-0000-0000-0000647C0000}"/>
    <cellStyle name="Normal 2 34 6 2" xfId="25811" xr:uid="{00000000-0005-0000-0000-0000657C0000}"/>
    <cellStyle name="Normal 2 34 6 3" xfId="41303" xr:uid="{00000000-0005-0000-0000-0000667C0000}"/>
    <cellStyle name="Normal 2 34 7" xfId="18071" xr:uid="{00000000-0005-0000-0000-0000677C0000}"/>
    <cellStyle name="Normal 2 34 8" xfId="33563" xr:uid="{00000000-0005-0000-0000-0000687C0000}"/>
    <cellStyle name="Normal 2 35" xfId="2436" xr:uid="{00000000-0005-0000-0000-0000697C0000}"/>
    <cellStyle name="Normal 2 35 2" xfId="2746" xr:uid="{00000000-0005-0000-0000-00006A7C0000}"/>
    <cellStyle name="Normal 2 35 2 2" xfId="3754" xr:uid="{00000000-0005-0000-0000-00006B7C0000}"/>
    <cellStyle name="Normal 2 35 2 2 2" xfId="5693" xr:uid="{00000000-0005-0000-0000-00006C7C0000}"/>
    <cellStyle name="Normal 2 35 2 2 2 2" xfId="9564" xr:uid="{00000000-0005-0000-0000-00006D7C0000}"/>
    <cellStyle name="Normal 2 35 2 2 2 2 2" xfId="17309" xr:uid="{00000000-0005-0000-0000-00006E7C0000}"/>
    <cellStyle name="Normal 2 35 2 2 2 2 2 2" xfId="32901" xr:uid="{00000000-0005-0000-0000-00006F7C0000}"/>
    <cellStyle name="Normal 2 35 2 2 2 2 2 3" xfId="48393" xr:uid="{00000000-0005-0000-0000-0000707C0000}"/>
    <cellStyle name="Normal 2 35 2 2 2 2 3" xfId="25161" xr:uid="{00000000-0005-0000-0000-0000717C0000}"/>
    <cellStyle name="Normal 2 35 2 2 2 2 4" xfId="40653" xr:uid="{00000000-0005-0000-0000-0000727C0000}"/>
    <cellStyle name="Normal 2 35 2 2 2 3" xfId="13439" xr:uid="{00000000-0005-0000-0000-0000737C0000}"/>
    <cellStyle name="Normal 2 35 2 2 2 3 2" xfId="29031" xr:uid="{00000000-0005-0000-0000-0000747C0000}"/>
    <cellStyle name="Normal 2 35 2 2 2 3 3" xfId="44523" xr:uid="{00000000-0005-0000-0000-0000757C0000}"/>
    <cellStyle name="Normal 2 35 2 2 2 4" xfId="21291" xr:uid="{00000000-0005-0000-0000-0000767C0000}"/>
    <cellStyle name="Normal 2 35 2 2 2 5" xfId="36783" xr:uid="{00000000-0005-0000-0000-0000777C0000}"/>
    <cellStyle name="Normal 2 35 2 2 3" xfId="7637" xr:uid="{00000000-0005-0000-0000-0000787C0000}"/>
    <cellStyle name="Normal 2 35 2 2 3 2" xfId="15382" xr:uid="{00000000-0005-0000-0000-0000797C0000}"/>
    <cellStyle name="Normal 2 35 2 2 3 2 2" xfId="30974" xr:uid="{00000000-0005-0000-0000-00007A7C0000}"/>
    <cellStyle name="Normal 2 35 2 2 3 2 3" xfId="46466" xr:uid="{00000000-0005-0000-0000-00007B7C0000}"/>
    <cellStyle name="Normal 2 35 2 2 3 3" xfId="23234" xr:uid="{00000000-0005-0000-0000-00007C7C0000}"/>
    <cellStyle name="Normal 2 35 2 2 3 4" xfId="38726" xr:uid="{00000000-0005-0000-0000-00007D7C0000}"/>
    <cellStyle name="Normal 2 35 2 2 4" xfId="11512" xr:uid="{00000000-0005-0000-0000-00007E7C0000}"/>
    <cellStyle name="Normal 2 35 2 2 4 2" xfId="27104" xr:uid="{00000000-0005-0000-0000-00007F7C0000}"/>
    <cellStyle name="Normal 2 35 2 2 4 3" xfId="42596" xr:uid="{00000000-0005-0000-0000-0000807C0000}"/>
    <cellStyle name="Normal 2 35 2 2 5" xfId="19364" xr:uid="{00000000-0005-0000-0000-0000817C0000}"/>
    <cellStyle name="Normal 2 35 2 2 6" xfId="34856" xr:uid="{00000000-0005-0000-0000-0000827C0000}"/>
    <cellStyle name="Normal 2 35 2 3" xfId="4745" xr:uid="{00000000-0005-0000-0000-0000837C0000}"/>
    <cellStyle name="Normal 2 35 2 3 2" xfId="8616" xr:uid="{00000000-0005-0000-0000-0000847C0000}"/>
    <cellStyle name="Normal 2 35 2 3 2 2" xfId="16361" xr:uid="{00000000-0005-0000-0000-0000857C0000}"/>
    <cellStyle name="Normal 2 35 2 3 2 2 2" xfId="31953" xr:uid="{00000000-0005-0000-0000-0000867C0000}"/>
    <cellStyle name="Normal 2 35 2 3 2 2 3" xfId="47445" xr:uid="{00000000-0005-0000-0000-0000877C0000}"/>
    <cellStyle name="Normal 2 35 2 3 2 3" xfId="24213" xr:uid="{00000000-0005-0000-0000-0000887C0000}"/>
    <cellStyle name="Normal 2 35 2 3 2 4" xfId="39705" xr:uid="{00000000-0005-0000-0000-0000897C0000}"/>
    <cellStyle name="Normal 2 35 2 3 3" xfId="12491" xr:uid="{00000000-0005-0000-0000-00008A7C0000}"/>
    <cellStyle name="Normal 2 35 2 3 3 2" xfId="28083" xr:uid="{00000000-0005-0000-0000-00008B7C0000}"/>
    <cellStyle name="Normal 2 35 2 3 3 3" xfId="43575" xr:uid="{00000000-0005-0000-0000-00008C7C0000}"/>
    <cellStyle name="Normal 2 35 2 3 4" xfId="20343" xr:uid="{00000000-0005-0000-0000-00008D7C0000}"/>
    <cellStyle name="Normal 2 35 2 3 5" xfId="35835" xr:uid="{00000000-0005-0000-0000-00008E7C0000}"/>
    <cellStyle name="Normal 2 35 2 4" xfId="6689" xr:uid="{00000000-0005-0000-0000-00008F7C0000}"/>
    <cellStyle name="Normal 2 35 2 4 2" xfId="14434" xr:uid="{00000000-0005-0000-0000-0000907C0000}"/>
    <cellStyle name="Normal 2 35 2 4 2 2" xfId="30026" xr:uid="{00000000-0005-0000-0000-0000917C0000}"/>
    <cellStyle name="Normal 2 35 2 4 2 3" xfId="45518" xr:uid="{00000000-0005-0000-0000-0000927C0000}"/>
    <cellStyle name="Normal 2 35 2 4 3" xfId="22286" xr:uid="{00000000-0005-0000-0000-0000937C0000}"/>
    <cellStyle name="Normal 2 35 2 4 4" xfId="37778" xr:uid="{00000000-0005-0000-0000-0000947C0000}"/>
    <cellStyle name="Normal 2 35 2 5" xfId="10564" xr:uid="{00000000-0005-0000-0000-0000957C0000}"/>
    <cellStyle name="Normal 2 35 2 5 2" xfId="26156" xr:uid="{00000000-0005-0000-0000-0000967C0000}"/>
    <cellStyle name="Normal 2 35 2 5 3" xfId="41648" xr:uid="{00000000-0005-0000-0000-0000977C0000}"/>
    <cellStyle name="Normal 2 35 2 6" xfId="18416" xr:uid="{00000000-0005-0000-0000-0000987C0000}"/>
    <cellStyle name="Normal 2 35 2 7" xfId="33908" xr:uid="{00000000-0005-0000-0000-0000997C0000}"/>
    <cellStyle name="Normal 2 35 3" xfId="3445" xr:uid="{00000000-0005-0000-0000-00009A7C0000}"/>
    <cellStyle name="Normal 2 35 3 2" xfId="5384" xr:uid="{00000000-0005-0000-0000-00009B7C0000}"/>
    <cellStyle name="Normal 2 35 3 2 2" xfId="9255" xr:uid="{00000000-0005-0000-0000-00009C7C0000}"/>
    <cellStyle name="Normal 2 35 3 2 2 2" xfId="17000" xr:uid="{00000000-0005-0000-0000-00009D7C0000}"/>
    <cellStyle name="Normal 2 35 3 2 2 2 2" xfId="32592" xr:uid="{00000000-0005-0000-0000-00009E7C0000}"/>
    <cellStyle name="Normal 2 35 3 2 2 2 3" xfId="48084" xr:uid="{00000000-0005-0000-0000-00009F7C0000}"/>
    <cellStyle name="Normal 2 35 3 2 2 3" xfId="24852" xr:uid="{00000000-0005-0000-0000-0000A07C0000}"/>
    <cellStyle name="Normal 2 35 3 2 2 4" xfId="40344" xr:uid="{00000000-0005-0000-0000-0000A17C0000}"/>
    <cellStyle name="Normal 2 35 3 2 3" xfId="13130" xr:uid="{00000000-0005-0000-0000-0000A27C0000}"/>
    <cellStyle name="Normal 2 35 3 2 3 2" xfId="28722" xr:uid="{00000000-0005-0000-0000-0000A37C0000}"/>
    <cellStyle name="Normal 2 35 3 2 3 3" xfId="44214" xr:uid="{00000000-0005-0000-0000-0000A47C0000}"/>
    <cellStyle name="Normal 2 35 3 2 4" xfId="20982" xr:uid="{00000000-0005-0000-0000-0000A57C0000}"/>
    <cellStyle name="Normal 2 35 3 2 5" xfId="36474" xr:uid="{00000000-0005-0000-0000-0000A67C0000}"/>
    <cellStyle name="Normal 2 35 3 3" xfId="7328" xr:uid="{00000000-0005-0000-0000-0000A77C0000}"/>
    <cellStyle name="Normal 2 35 3 3 2" xfId="15073" xr:uid="{00000000-0005-0000-0000-0000A87C0000}"/>
    <cellStyle name="Normal 2 35 3 3 2 2" xfId="30665" xr:uid="{00000000-0005-0000-0000-0000A97C0000}"/>
    <cellStyle name="Normal 2 35 3 3 2 3" xfId="46157" xr:uid="{00000000-0005-0000-0000-0000AA7C0000}"/>
    <cellStyle name="Normal 2 35 3 3 3" xfId="22925" xr:uid="{00000000-0005-0000-0000-0000AB7C0000}"/>
    <cellStyle name="Normal 2 35 3 3 4" xfId="38417" xr:uid="{00000000-0005-0000-0000-0000AC7C0000}"/>
    <cellStyle name="Normal 2 35 3 4" xfId="11203" xr:uid="{00000000-0005-0000-0000-0000AD7C0000}"/>
    <cellStyle name="Normal 2 35 3 4 2" xfId="26795" xr:uid="{00000000-0005-0000-0000-0000AE7C0000}"/>
    <cellStyle name="Normal 2 35 3 4 3" xfId="42287" xr:uid="{00000000-0005-0000-0000-0000AF7C0000}"/>
    <cellStyle name="Normal 2 35 3 5" xfId="19055" xr:uid="{00000000-0005-0000-0000-0000B07C0000}"/>
    <cellStyle name="Normal 2 35 3 6" xfId="34547" xr:uid="{00000000-0005-0000-0000-0000B17C0000}"/>
    <cellStyle name="Normal 2 35 4" xfId="4436" xr:uid="{00000000-0005-0000-0000-0000B27C0000}"/>
    <cellStyle name="Normal 2 35 4 2" xfId="8307" xr:uid="{00000000-0005-0000-0000-0000B37C0000}"/>
    <cellStyle name="Normal 2 35 4 2 2" xfId="16052" xr:uid="{00000000-0005-0000-0000-0000B47C0000}"/>
    <cellStyle name="Normal 2 35 4 2 2 2" xfId="31644" xr:uid="{00000000-0005-0000-0000-0000B57C0000}"/>
    <cellStyle name="Normal 2 35 4 2 2 3" xfId="47136" xr:uid="{00000000-0005-0000-0000-0000B67C0000}"/>
    <cellStyle name="Normal 2 35 4 2 3" xfId="23904" xr:uid="{00000000-0005-0000-0000-0000B77C0000}"/>
    <cellStyle name="Normal 2 35 4 2 4" xfId="39396" xr:uid="{00000000-0005-0000-0000-0000B87C0000}"/>
    <cellStyle name="Normal 2 35 4 3" xfId="12182" xr:uid="{00000000-0005-0000-0000-0000B97C0000}"/>
    <cellStyle name="Normal 2 35 4 3 2" xfId="27774" xr:uid="{00000000-0005-0000-0000-0000BA7C0000}"/>
    <cellStyle name="Normal 2 35 4 3 3" xfId="43266" xr:uid="{00000000-0005-0000-0000-0000BB7C0000}"/>
    <cellStyle name="Normal 2 35 4 4" xfId="20034" xr:uid="{00000000-0005-0000-0000-0000BC7C0000}"/>
    <cellStyle name="Normal 2 35 4 5" xfId="35526" xr:uid="{00000000-0005-0000-0000-0000BD7C0000}"/>
    <cellStyle name="Normal 2 35 5" xfId="6380" xr:uid="{00000000-0005-0000-0000-0000BE7C0000}"/>
    <cellStyle name="Normal 2 35 5 2" xfId="14125" xr:uid="{00000000-0005-0000-0000-0000BF7C0000}"/>
    <cellStyle name="Normal 2 35 5 2 2" xfId="29717" xr:uid="{00000000-0005-0000-0000-0000C07C0000}"/>
    <cellStyle name="Normal 2 35 5 2 3" xfId="45209" xr:uid="{00000000-0005-0000-0000-0000C17C0000}"/>
    <cellStyle name="Normal 2 35 5 3" xfId="21977" xr:uid="{00000000-0005-0000-0000-0000C27C0000}"/>
    <cellStyle name="Normal 2 35 5 4" xfId="37469" xr:uid="{00000000-0005-0000-0000-0000C37C0000}"/>
    <cellStyle name="Normal 2 35 6" xfId="10255" xr:uid="{00000000-0005-0000-0000-0000C47C0000}"/>
    <cellStyle name="Normal 2 35 6 2" xfId="25847" xr:uid="{00000000-0005-0000-0000-0000C57C0000}"/>
    <cellStyle name="Normal 2 35 6 3" xfId="41339" xr:uid="{00000000-0005-0000-0000-0000C67C0000}"/>
    <cellStyle name="Normal 2 35 7" xfId="18107" xr:uid="{00000000-0005-0000-0000-0000C77C0000}"/>
    <cellStyle name="Normal 2 35 8" xfId="33599" xr:uid="{00000000-0005-0000-0000-0000C87C0000}"/>
    <cellStyle name="Normal 2 36" xfId="2473" xr:uid="{00000000-0005-0000-0000-0000C97C0000}"/>
    <cellStyle name="Normal 2 36 2" xfId="2782" xr:uid="{00000000-0005-0000-0000-0000CA7C0000}"/>
    <cellStyle name="Normal 2 36 2 2" xfId="3790" xr:uid="{00000000-0005-0000-0000-0000CB7C0000}"/>
    <cellStyle name="Normal 2 36 2 2 2" xfId="5729" xr:uid="{00000000-0005-0000-0000-0000CC7C0000}"/>
    <cellStyle name="Normal 2 36 2 2 2 2" xfId="9600" xr:uid="{00000000-0005-0000-0000-0000CD7C0000}"/>
    <cellStyle name="Normal 2 36 2 2 2 2 2" xfId="17345" xr:uid="{00000000-0005-0000-0000-0000CE7C0000}"/>
    <cellStyle name="Normal 2 36 2 2 2 2 2 2" xfId="32937" xr:uid="{00000000-0005-0000-0000-0000CF7C0000}"/>
    <cellStyle name="Normal 2 36 2 2 2 2 2 3" xfId="48429" xr:uid="{00000000-0005-0000-0000-0000D07C0000}"/>
    <cellStyle name="Normal 2 36 2 2 2 2 3" xfId="25197" xr:uid="{00000000-0005-0000-0000-0000D17C0000}"/>
    <cellStyle name="Normal 2 36 2 2 2 2 4" xfId="40689" xr:uid="{00000000-0005-0000-0000-0000D27C0000}"/>
    <cellStyle name="Normal 2 36 2 2 2 3" xfId="13475" xr:uid="{00000000-0005-0000-0000-0000D37C0000}"/>
    <cellStyle name="Normal 2 36 2 2 2 3 2" xfId="29067" xr:uid="{00000000-0005-0000-0000-0000D47C0000}"/>
    <cellStyle name="Normal 2 36 2 2 2 3 3" xfId="44559" xr:uid="{00000000-0005-0000-0000-0000D57C0000}"/>
    <cellStyle name="Normal 2 36 2 2 2 4" xfId="21327" xr:uid="{00000000-0005-0000-0000-0000D67C0000}"/>
    <cellStyle name="Normal 2 36 2 2 2 5" xfId="36819" xr:uid="{00000000-0005-0000-0000-0000D77C0000}"/>
    <cellStyle name="Normal 2 36 2 2 3" xfId="7673" xr:uid="{00000000-0005-0000-0000-0000D87C0000}"/>
    <cellStyle name="Normal 2 36 2 2 3 2" xfId="15418" xr:uid="{00000000-0005-0000-0000-0000D97C0000}"/>
    <cellStyle name="Normal 2 36 2 2 3 2 2" xfId="31010" xr:uid="{00000000-0005-0000-0000-0000DA7C0000}"/>
    <cellStyle name="Normal 2 36 2 2 3 2 3" xfId="46502" xr:uid="{00000000-0005-0000-0000-0000DB7C0000}"/>
    <cellStyle name="Normal 2 36 2 2 3 3" xfId="23270" xr:uid="{00000000-0005-0000-0000-0000DC7C0000}"/>
    <cellStyle name="Normal 2 36 2 2 3 4" xfId="38762" xr:uid="{00000000-0005-0000-0000-0000DD7C0000}"/>
    <cellStyle name="Normal 2 36 2 2 4" xfId="11548" xr:uid="{00000000-0005-0000-0000-0000DE7C0000}"/>
    <cellStyle name="Normal 2 36 2 2 4 2" xfId="27140" xr:uid="{00000000-0005-0000-0000-0000DF7C0000}"/>
    <cellStyle name="Normal 2 36 2 2 4 3" xfId="42632" xr:uid="{00000000-0005-0000-0000-0000E07C0000}"/>
    <cellStyle name="Normal 2 36 2 2 5" xfId="19400" xr:uid="{00000000-0005-0000-0000-0000E17C0000}"/>
    <cellStyle name="Normal 2 36 2 2 6" xfId="34892" xr:uid="{00000000-0005-0000-0000-0000E27C0000}"/>
    <cellStyle name="Normal 2 36 2 3" xfId="4781" xr:uid="{00000000-0005-0000-0000-0000E37C0000}"/>
    <cellStyle name="Normal 2 36 2 3 2" xfId="8652" xr:uid="{00000000-0005-0000-0000-0000E47C0000}"/>
    <cellStyle name="Normal 2 36 2 3 2 2" xfId="16397" xr:uid="{00000000-0005-0000-0000-0000E57C0000}"/>
    <cellStyle name="Normal 2 36 2 3 2 2 2" xfId="31989" xr:uid="{00000000-0005-0000-0000-0000E67C0000}"/>
    <cellStyle name="Normal 2 36 2 3 2 2 3" xfId="47481" xr:uid="{00000000-0005-0000-0000-0000E77C0000}"/>
    <cellStyle name="Normal 2 36 2 3 2 3" xfId="24249" xr:uid="{00000000-0005-0000-0000-0000E87C0000}"/>
    <cellStyle name="Normal 2 36 2 3 2 4" xfId="39741" xr:uid="{00000000-0005-0000-0000-0000E97C0000}"/>
    <cellStyle name="Normal 2 36 2 3 3" xfId="12527" xr:uid="{00000000-0005-0000-0000-0000EA7C0000}"/>
    <cellStyle name="Normal 2 36 2 3 3 2" xfId="28119" xr:uid="{00000000-0005-0000-0000-0000EB7C0000}"/>
    <cellStyle name="Normal 2 36 2 3 3 3" xfId="43611" xr:uid="{00000000-0005-0000-0000-0000EC7C0000}"/>
    <cellStyle name="Normal 2 36 2 3 4" xfId="20379" xr:uid="{00000000-0005-0000-0000-0000ED7C0000}"/>
    <cellStyle name="Normal 2 36 2 3 5" xfId="35871" xr:uid="{00000000-0005-0000-0000-0000EE7C0000}"/>
    <cellStyle name="Normal 2 36 2 4" xfId="6725" xr:uid="{00000000-0005-0000-0000-0000EF7C0000}"/>
    <cellStyle name="Normal 2 36 2 4 2" xfId="14470" xr:uid="{00000000-0005-0000-0000-0000F07C0000}"/>
    <cellStyle name="Normal 2 36 2 4 2 2" xfId="30062" xr:uid="{00000000-0005-0000-0000-0000F17C0000}"/>
    <cellStyle name="Normal 2 36 2 4 2 3" xfId="45554" xr:uid="{00000000-0005-0000-0000-0000F27C0000}"/>
    <cellStyle name="Normal 2 36 2 4 3" xfId="22322" xr:uid="{00000000-0005-0000-0000-0000F37C0000}"/>
    <cellStyle name="Normal 2 36 2 4 4" xfId="37814" xr:uid="{00000000-0005-0000-0000-0000F47C0000}"/>
    <cellStyle name="Normal 2 36 2 5" xfId="10600" xr:uid="{00000000-0005-0000-0000-0000F57C0000}"/>
    <cellStyle name="Normal 2 36 2 5 2" xfId="26192" xr:uid="{00000000-0005-0000-0000-0000F67C0000}"/>
    <cellStyle name="Normal 2 36 2 5 3" xfId="41684" xr:uid="{00000000-0005-0000-0000-0000F77C0000}"/>
    <cellStyle name="Normal 2 36 2 6" xfId="18452" xr:uid="{00000000-0005-0000-0000-0000F87C0000}"/>
    <cellStyle name="Normal 2 36 2 7" xfId="33944" xr:uid="{00000000-0005-0000-0000-0000F97C0000}"/>
    <cellStyle name="Normal 2 36 3" xfId="3481" xr:uid="{00000000-0005-0000-0000-0000FA7C0000}"/>
    <cellStyle name="Normal 2 36 3 2" xfId="5420" xr:uid="{00000000-0005-0000-0000-0000FB7C0000}"/>
    <cellStyle name="Normal 2 36 3 2 2" xfId="9291" xr:uid="{00000000-0005-0000-0000-0000FC7C0000}"/>
    <cellStyle name="Normal 2 36 3 2 2 2" xfId="17036" xr:uid="{00000000-0005-0000-0000-0000FD7C0000}"/>
    <cellStyle name="Normal 2 36 3 2 2 2 2" xfId="32628" xr:uid="{00000000-0005-0000-0000-0000FE7C0000}"/>
    <cellStyle name="Normal 2 36 3 2 2 2 3" xfId="48120" xr:uid="{00000000-0005-0000-0000-0000FF7C0000}"/>
    <cellStyle name="Normal 2 36 3 2 2 3" xfId="24888" xr:uid="{00000000-0005-0000-0000-0000007D0000}"/>
    <cellStyle name="Normal 2 36 3 2 2 4" xfId="40380" xr:uid="{00000000-0005-0000-0000-0000017D0000}"/>
    <cellStyle name="Normal 2 36 3 2 3" xfId="13166" xr:uid="{00000000-0005-0000-0000-0000027D0000}"/>
    <cellStyle name="Normal 2 36 3 2 3 2" xfId="28758" xr:uid="{00000000-0005-0000-0000-0000037D0000}"/>
    <cellStyle name="Normal 2 36 3 2 3 3" xfId="44250" xr:uid="{00000000-0005-0000-0000-0000047D0000}"/>
    <cellStyle name="Normal 2 36 3 2 4" xfId="21018" xr:uid="{00000000-0005-0000-0000-0000057D0000}"/>
    <cellStyle name="Normal 2 36 3 2 5" xfId="36510" xr:uid="{00000000-0005-0000-0000-0000067D0000}"/>
    <cellStyle name="Normal 2 36 3 3" xfId="7364" xr:uid="{00000000-0005-0000-0000-0000077D0000}"/>
    <cellStyle name="Normal 2 36 3 3 2" xfId="15109" xr:uid="{00000000-0005-0000-0000-0000087D0000}"/>
    <cellStyle name="Normal 2 36 3 3 2 2" xfId="30701" xr:uid="{00000000-0005-0000-0000-0000097D0000}"/>
    <cellStyle name="Normal 2 36 3 3 2 3" xfId="46193" xr:uid="{00000000-0005-0000-0000-00000A7D0000}"/>
    <cellStyle name="Normal 2 36 3 3 3" xfId="22961" xr:uid="{00000000-0005-0000-0000-00000B7D0000}"/>
    <cellStyle name="Normal 2 36 3 3 4" xfId="38453" xr:uid="{00000000-0005-0000-0000-00000C7D0000}"/>
    <cellStyle name="Normal 2 36 3 4" xfId="11239" xr:uid="{00000000-0005-0000-0000-00000D7D0000}"/>
    <cellStyle name="Normal 2 36 3 4 2" xfId="26831" xr:uid="{00000000-0005-0000-0000-00000E7D0000}"/>
    <cellStyle name="Normal 2 36 3 4 3" xfId="42323" xr:uid="{00000000-0005-0000-0000-00000F7D0000}"/>
    <cellStyle name="Normal 2 36 3 5" xfId="19091" xr:uid="{00000000-0005-0000-0000-0000107D0000}"/>
    <cellStyle name="Normal 2 36 3 6" xfId="34583" xr:uid="{00000000-0005-0000-0000-0000117D0000}"/>
    <cellStyle name="Normal 2 36 4" xfId="4472" xr:uid="{00000000-0005-0000-0000-0000127D0000}"/>
    <cellStyle name="Normal 2 36 4 2" xfId="8343" xr:uid="{00000000-0005-0000-0000-0000137D0000}"/>
    <cellStyle name="Normal 2 36 4 2 2" xfId="16088" xr:uid="{00000000-0005-0000-0000-0000147D0000}"/>
    <cellStyle name="Normal 2 36 4 2 2 2" xfId="31680" xr:uid="{00000000-0005-0000-0000-0000157D0000}"/>
    <cellStyle name="Normal 2 36 4 2 2 3" xfId="47172" xr:uid="{00000000-0005-0000-0000-0000167D0000}"/>
    <cellStyle name="Normal 2 36 4 2 3" xfId="23940" xr:uid="{00000000-0005-0000-0000-0000177D0000}"/>
    <cellStyle name="Normal 2 36 4 2 4" xfId="39432" xr:uid="{00000000-0005-0000-0000-0000187D0000}"/>
    <cellStyle name="Normal 2 36 4 3" xfId="12218" xr:uid="{00000000-0005-0000-0000-0000197D0000}"/>
    <cellStyle name="Normal 2 36 4 3 2" xfId="27810" xr:uid="{00000000-0005-0000-0000-00001A7D0000}"/>
    <cellStyle name="Normal 2 36 4 3 3" xfId="43302" xr:uid="{00000000-0005-0000-0000-00001B7D0000}"/>
    <cellStyle name="Normal 2 36 4 4" xfId="20070" xr:uid="{00000000-0005-0000-0000-00001C7D0000}"/>
    <cellStyle name="Normal 2 36 4 5" xfId="35562" xr:uid="{00000000-0005-0000-0000-00001D7D0000}"/>
    <cellStyle name="Normal 2 36 5" xfId="6416" xr:uid="{00000000-0005-0000-0000-00001E7D0000}"/>
    <cellStyle name="Normal 2 36 5 2" xfId="14161" xr:uid="{00000000-0005-0000-0000-00001F7D0000}"/>
    <cellStyle name="Normal 2 36 5 2 2" xfId="29753" xr:uid="{00000000-0005-0000-0000-0000207D0000}"/>
    <cellStyle name="Normal 2 36 5 2 3" xfId="45245" xr:uid="{00000000-0005-0000-0000-0000217D0000}"/>
    <cellStyle name="Normal 2 36 5 3" xfId="22013" xr:uid="{00000000-0005-0000-0000-0000227D0000}"/>
    <cellStyle name="Normal 2 36 5 4" xfId="37505" xr:uid="{00000000-0005-0000-0000-0000237D0000}"/>
    <cellStyle name="Normal 2 36 6" xfId="10291" xr:uid="{00000000-0005-0000-0000-0000247D0000}"/>
    <cellStyle name="Normal 2 36 6 2" xfId="25883" xr:uid="{00000000-0005-0000-0000-0000257D0000}"/>
    <cellStyle name="Normal 2 36 6 3" xfId="41375" xr:uid="{00000000-0005-0000-0000-0000267D0000}"/>
    <cellStyle name="Normal 2 36 7" xfId="18143" xr:uid="{00000000-0005-0000-0000-0000277D0000}"/>
    <cellStyle name="Normal 2 36 8" xfId="33635" xr:uid="{00000000-0005-0000-0000-0000287D0000}"/>
    <cellStyle name="Normal 2 37" xfId="2490" xr:uid="{00000000-0005-0000-0000-0000297D0000}"/>
    <cellStyle name="Normal 2 37 2" xfId="3498" xr:uid="{00000000-0005-0000-0000-00002A7D0000}"/>
    <cellStyle name="Normal 2 37 2 2" xfId="5437" xr:uid="{00000000-0005-0000-0000-00002B7D0000}"/>
    <cellStyle name="Normal 2 37 2 2 2" xfId="9308" xr:uid="{00000000-0005-0000-0000-00002C7D0000}"/>
    <cellStyle name="Normal 2 37 2 2 2 2" xfId="17053" xr:uid="{00000000-0005-0000-0000-00002D7D0000}"/>
    <cellStyle name="Normal 2 37 2 2 2 2 2" xfId="32645" xr:uid="{00000000-0005-0000-0000-00002E7D0000}"/>
    <cellStyle name="Normal 2 37 2 2 2 2 3" xfId="48137" xr:uid="{00000000-0005-0000-0000-00002F7D0000}"/>
    <cellStyle name="Normal 2 37 2 2 2 3" xfId="24905" xr:uid="{00000000-0005-0000-0000-0000307D0000}"/>
    <cellStyle name="Normal 2 37 2 2 2 4" xfId="40397" xr:uid="{00000000-0005-0000-0000-0000317D0000}"/>
    <cellStyle name="Normal 2 37 2 2 3" xfId="13183" xr:uid="{00000000-0005-0000-0000-0000327D0000}"/>
    <cellStyle name="Normal 2 37 2 2 3 2" xfId="28775" xr:uid="{00000000-0005-0000-0000-0000337D0000}"/>
    <cellStyle name="Normal 2 37 2 2 3 3" xfId="44267" xr:uid="{00000000-0005-0000-0000-0000347D0000}"/>
    <cellStyle name="Normal 2 37 2 2 4" xfId="21035" xr:uid="{00000000-0005-0000-0000-0000357D0000}"/>
    <cellStyle name="Normal 2 37 2 2 5" xfId="36527" xr:uid="{00000000-0005-0000-0000-0000367D0000}"/>
    <cellStyle name="Normal 2 37 2 3" xfId="7381" xr:uid="{00000000-0005-0000-0000-0000377D0000}"/>
    <cellStyle name="Normal 2 37 2 3 2" xfId="15126" xr:uid="{00000000-0005-0000-0000-0000387D0000}"/>
    <cellStyle name="Normal 2 37 2 3 2 2" xfId="30718" xr:uid="{00000000-0005-0000-0000-0000397D0000}"/>
    <cellStyle name="Normal 2 37 2 3 2 3" xfId="46210" xr:uid="{00000000-0005-0000-0000-00003A7D0000}"/>
    <cellStyle name="Normal 2 37 2 3 3" xfId="22978" xr:uid="{00000000-0005-0000-0000-00003B7D0000}"/>
    <cellStyle name="Normal 2 37 2 3 4" xfId="38470" xr:uid="{00000000-0005-0000-0000-00003C7D0000}"/>
    <cellStyle name="Normal 2 37 2 4" xfId="11256" xr:uid="{00000000-0005-0000-0000-00003D7D0000}"/>
    <cellStyle name="Normal 2 37 2 4 2" xfId="26848" xr:uid="{00000000-0005-0000-0000-00003E7D0000}"/>
    <cellStyle name="Normal 2 37 2 4 3" xfId="42340" xr:uid="{00000000-0005-0000-0000-00003F7D0000}"/>
    <cellStyle name="Normal 2 37 2 5" xfId="19108" xr:uid="{00000000-0005-0000-0000-0000407D0000}"/>
    <cellStyle name="Normal 2 37 2 6" xfId="34600" xr:uid="{00000000-0005-0000-0000-0000417D0000}"/>
    <cellStyle name="Normal 2 37 3" xfId="4489" xr:uid="{00000000-0005-0000-0000-0000427D0000}"/>
    <cellStyle name="Normal 2 37 3 2" xfId="8360" xr:uid="{00000000-0005-0000-0000-0000437D0000}"/>
    <cellStyle name="Normal 2 37 3 2 2" xfId="16105" xr:uid="{00000000-0005-0000-0000-0000447D0000}"/>
    <cellStyle name="Normal 2 37 3 2 2 2" xfId="31697" xr:uid="{00000000-0005-0000-0000-0000457D0000}"/>
    <cellStyle name="Normal 2 37 3 2 2 3" xfId="47189" xr:uid="{00000000-0005-0000-0000-0000467D0000}"/>
    <cellStyle name="Normal 2 37 3 2 3" xfId="23957" xr:uid="{00000000-0005-0000-0000-0000477D0000}"/>
    <cellStyle name="Normal 2 37 3 2 4" xfId="39449" xr:uid="{00000000-0005-0000-0000-0000487D0000}"/>
    <cellStyle name="Normal 2 37 3 3" xfId="12235" xr:uid="{00000000-0005-0000-0000-0000497D0000}"/>
    <cellStyle name="Normal 2 37 3 3 2" xfId="27827" xr:uid="{00000000-0005-0000-0000-00004A7D0000}"/>
    <cellStyle name="Normal 2 37 3 3 3" xfId="43319" xr:uid="{00000000-0005-0000-0000-00004B7D0000}"/>
    <cellStyle name="Normal 2 37 3 4" xfId="20087" xr:uid="{00000000-0005-0000-0000-00004C7D0000}"/>
    <cellStyle name="Normal 2 37 3 5" xfId="35579" xr:uid="{00000000-0005-0000-0000-00004D7D0000}"/>
    <cellStyle name="Normal 2 37 4" xfId="6433" xr:uid="{00000000-0005-0000-0000-00004E7D0000}"/>
    <cellStyle name="Normal 2 37 4 2" xfId="14178" xr:uid="{00000000-0005-0000-0000-00004F7D0000}"/>
    <cellStyle name="Normal 2 37 4 2 2" xfId="29770" xr:uid="{00000000-0005-0000-0000-0000507D0000}"/>
    <cellStyle name="Normal 2 37 4 2 3" xfId="45262" xr:uid="{00000000-0005-0000-0000-0000517D0000}"/>
    <cellStyle name="Normal 2 37 4 3" xfId="22030" xr:uid="{00000000-0005-0000-0000-0000527D0000}"/>
    <cellStyle name="Normal 2 37 4 4" xfId="37522" xr:uid="{00000000-0005-0000-0000-0000537D0000}"/>
    <cellStyle name="Normal 2 37 5" xfId="10308" xr:uid="{00000000-0005-0000-0000-0000547D0000}"/>
    <cellStyle name="Normal 2 37 5 2" xfId="25900" xr:uid="{00000000-0005-0000-0000-0000557D0000}"/>
    <cellStyle name="Normal 2 37 5 3" xfId="41392" xr:uid="{00000000-0005-0000-0000-0000567D0000}"/>
    <cellStyle name="Normal 2 37 6" xfId="18160" xr:uid="{00000000-0005-0000-0000-0000577D0000}"/>
    <cellStyle name="Normal 2 37 7" xfId="33652" xr:uid="{00000000-0005-0000-0000-0000587D0000}"/>
    <cellStyle name="Normal 2 38" xfId="2819" xr:uid="{00000000-0005-0000-0000-0000597D0000}"/>
    <cellStyle name="Normal 2 38 2" xfId="3826" xr:uid="{00000000-0005-0000-0000-00005A7D0000}"/>
    <cellStyle name="Normal 2 38 2 2" xfId="5765" xr:uid="{00000000-0005-0000-0000-00005B7D0000}"/>
    <cellStyle name="Normal 2 38 2 2 2" xfId="9636" xr:uid="{00000000-0005-0000-0000-00005C7D0000}"/>
    <cellStyle name="Normal 2 38 2 2 2 2" xfId="17381" xr:uid="{00000000-0005-0000-0000-00005D7D0000}"/>
    <cellStyle name="Normal 2 38 2 2 2 2 2" xfId="32973" xr:uid="{00000000-0005-0000-0000-00005E7D0000}"/>
    <cellStyle name="Normal 2 38 2 2 2 2 3" xfId="48465" xr:uid="{00000000-0005-0000-0000-00005F7D0000}"/>
    <cellStyle name="Normal 2 38 2 2 2 3" xfId="25233" xr:uid="{00000000-0005-0000-0000-0000607D0000}"/>
    <cellStyle name="Normal 2 38 2 2 2 4" xfId="40725" xr:uid="{00000000-0005-0000-0000-0000617D0000}"/>
    <cellStyle name="Normal 2 38 2 2 3" xfId="13511" xr:uid="{00000000-0005-0000-0000-0000627D0000}"/>
    <cellStyle name="Normal 2 38 2 2 3 2" xfId="29103" xr:uid="{00000000-0005-0000-0000-0000637D0000}"/>
    <cellStyle name="Normal 2 38 2 2 3 3" xfId="44595" xr:uid="{00000000-0005-0000-0000-0000647D0000}"/>
    <cellStyle name="Normal 2 38 2 2 4" xfId="21363" xr:uid="{00000000-0005-0000-0000-0000657D0000}"/>
    <cellStyle name="Normal 2 38 2 2 5" xfId="36855" xr:uid="{00000000-0005-0000-0000-0000667D0000}"/>
    <cellStyle name="Normal 2 38 2 3" xfId="7709" xr:uid="{00000000-0005-0000-0000-0000677D0000}"/>
    <cellStyle name="Normal 2 38 2 3 2" xfId="15454" xr:uid="{00000000-0005-0000-0000-0000687D0000}"/>
    <cellStyle name="Normal 2 38 2 3 2 2" xfId="31046" xr:uid="{00000000-0005-0000-0000-0000697D0000}"/>
    <cellStyle name="Normal 2 38 2 3 2 3" xfId="46538" xr:uid="{00000000-0005-0000-0000-00006A7D0000}"/>
    <cellStyle name="Normal 2 38 2 3 3" xfId="23306" xr:uid="{00000000-0005-0000-0000-00006B7D0000}"/>
    <cellStyle name="Normal 2 38 2 3 4" xfId="38798" xr:uid="{00000000-0005-0000-0000-00006C7D0000}"/>
    <cellStyle name="Normal 2 38 2 4" xfId="11584" xr:uid="{00000000-0005-0000-0000-00006D7D0000}"/>
    <cellStyle name="Normal 2 38 2 4 2" xfId="27176" xr:uid="{00000000-0005-0000-0000-00006E7D0000}"/>
    <cellStyle name="Normal 2 38 2 4 3" xfId="42668" xr:uid="{00000000-0005-0000-0000-00006F7D0000}"/>
    <cellStyle name="Normal 2 38 2 5" xfId="19436" xr:uid="{00000000-0005-0000-0000-0000707D0000}"/>
    <cellStyle name="Normal 2 38 2 6" xfId="34928" xr:uid="{00000000-0005-0000-0000-0000717D0000}"/>
    <cellStyle name="Normal 2 38 3" xfId="4817" xr:uid="{00000000-0005-0000-0000-0000727D0000}"/>
    <cellStyle name="Normal 2 38 3 2" xfId="8688" xr:uid="{00000000-0005-0000-0000-0000737D0000}"/>
    <cellStyle name="Normal 2 38 3 2 2" xfId="16433" xr:uid="{00000000-0005-0000-0000-0000747D0000}"/>
    <cellStyle name="Normal 2 38 3 2 2 2" xfId="32025" xr:uid="{00000000-0005-0000-0000-0000757D0000}"/>
    <cellStyle name="Normal 2 38 3 2 2 3" xfId="47517" xr:uid="{00000000-0005-0000-0000-0000767D0000}"/>
    <cellStyle name="Normal 2 38 3 2 3" xfId="24285" xr:uid="{00000000-0005-0000-0000-0000777D0000}"/>
    <cellStyle name="Normal 2 38 3 2 4" xfId="39777" xr:uid="{00000000-0005-0000-0000-0000787D0000}"/>
    <cellStyle name="Normal 2 38 3 3" xfId="12563" xr:uid="{00000000-0005-0000-0000-0000797D0000}"/>
    <cellStyle name="Normal 2 38 3 3 2" xfId="28155" xr:uid="{00000000-0005-0000-0000-00007A7D0000}"/>
    <cellStyle name="Normal 2 38 3 3 3" xfId="43647" xr:uid="{00000000-0005-0000-0000-00007B7D0000}"/>
    <cellStyle name="Normal 2 38 3 4" xfId="20415" xr:uid="{00000000-0005-0000-0000-00007C7D0000}"/>
    <cellStyle name="Normal 2 38 3 5" xfId="35907" xr:uid="{00000000-0005-0000-0000-00007D7D0000}"/>
    <cellStyle name="Normal 2 38 4" xfId="6761" xr:uid="{00000000-0005-0000-0000-00007E7D0000}"/>
    <cellStyle name="Normal 2 38 4 2" xfId="14506" xr:uid="{00000000-0005-0000-0000-00007F7D0000}"/>
    <cellStyle name="Normal 2 38 4 2 2" xfId="30098" xr:uid="{00000000-0005-0000-0000-0000807D0000}"/>
    <cellStyle name="Normal 2 38 4 2 3" xfId="45590" xr:uid="{00000000-0005-0000-0000-0000817D0000}"/>
    <cellStyle name="Normal 2 38 4 3" xfId="22358" xr:uid="{00000000-0005-0000-0000-0000827D0000}"/>
    <cellStyle name="Normal 2 38 4 4" xfId="37850" xr:uid="{00000000-0005-0000-0000-0000837D0000}"/>
    <cellStyle name="Normal 2 38 5" xfId="10636" xr:uid="{00000000-0005-0000-0000-0000847D0000}"/>
    <cellStyle name="Normal 2 38 5 2" xfId="26228" xr:uid="{00000000-0005-0000-0000-0000857D0000}"/>
    <cellStyle name="Normal 2 38 5 3" xfId="41720" xr:uid="{00000000-0005-0000-0000-0000867D0000}"/>
    <cellStyle name="Normal 2 38 6" xfId="18488" xr:uid="{00000000-0005-0000-0000-0000877D0000}"/>
    <cellStyle name="Normal 2 38 7" xfId="33980" xr:uid="{00000000-0005-0000-0000-0000887D0000}"/>
    <cellStyle name="Normal 2 39" xfId="2858" xr:uid="{00000000-0005-0000-0000-0000897D0000}"/>
    <cellStyle name="Normal 2 39 2" xfId="3864" xr:uid="{00000000-0005-0000-0000-00008A7D0000}"/>
    <cellStyle name="Normal 2 39 2 2" xfId="5803" xr:uid="{00000000-0005-0000-0000-00008B7D0000}"/>
    <cellStyle name="Normal 2 39 2 2 2" xfId="9674" xr:uid="{00000000-0005-0000-0000-00008C7D0000}"/>
    <cellStyle name="Normal 2 39 2 2 2 2" xfId="17419" xr:uid="{00000000-0005-0000-0000-00008D7D0000}"/>
    <cellStyle name="Normal 2 39 2 2 2 2 2" xfId="33011" xr:uid="{00000000-0005-0000-0000-00008E7D0000}"/>
    <cellStyle name="Normal 2 39 2 2 2 2 3" xfId="48503" xr:uid="{00000000-0005-0000-0000-00008F7D0000}"/>
    <cellStyle name="Normal 2 39 2 2 2 3" xfId="25271" xr:uid="{00000000-0005-0000-0000-0000907D0000}"/>
    <cellStyle name="Normal 2 39 2 2 2 4" xfId="40763" xr:uid="{00000000-0005-0000-0000-0000917D0000}"/>
    <cellStyle name="Normal 2 39 2 2 3" xfId="13549" xr:uid="{00000000-0005-0000-0000-0000927D0000}"/>
    <cellStyle name="Normal 2 39 2 2 3 2" xfId="29141" xr:uid="{00000000-0005-0000-0000-0000937D0000}"/>
    <cellStyle name="Normal 2 39 2 2 3 3" xfId="44633" xr:uid="{00000000-0005-0000-0000-0000947D0000}"/>
    <cellStyle name="Normal 2 39 2 2 4" xfId="21401" xr:uid="{00000000-0005-0000-0000-0000957D0000}"/>
    <cellStyle name="Normal 2 39 2 2 5" xfId="36893" xr:uid="{00000000-0005-0000-0000-0000967D0000}"/>
    <cellStyle name="Normal 2 39 2 3" xfId="7747" xr:uid="{00000000-0005-0000-0000-0000977D0000}"/>
    <cellStyle name="Normal 2 39 2 3 2" xfId="15492" xr:uid="{00000000-0005-0000-0000-0000987D0000}"/>
    <cellStyle name="Normal 2 39 2 3 2 2" xfId="31084" xr:uid="{00000000-0005-0000-0000-0000997D0000}"/>
    <cellStyle name="Normal 2 39 2 3 2 3" xfId="46576" xr:uid="{00000000-0005-0000-0000-00009A7D0000}"/>
    <cellStyle name="Normal 2 39 2 3 3" xfId="23344" xr:uid="{00000000-0005-0000-0000-00009B7D0000}"/>
    <cellStyle name="Normal 2 39 2 3 4" xfId="38836" xr:uid="{00000000-0005-0000-0000-00009C7D0000}"/>
    <cellStyle name="Normal 2 39 2 4" xfId="11622" xr:uid="{00000000-0005-0000-0000-00009D7D0000}"/>
    <cellStyle name="Normal 2 39 2 4 2" xfId="27214" xr:uid="{00000000-0005-0000-0000-00009E7D0000}"/>
    <cellStyle name="Normal 2 39 2 4 3" xfId="42706" xr:uid="{00000000-0005-0000-0000-00009F7D0000}"/>
    <cellStyle name="Normal 2 39 2 5" xfId="19474" xr:uid="{00000000-0005-0000-0000-0000A07D0000}"/>
    <cellStyle name="Normal 2 39 2 6" xfId="34966" xr:uid="{00000000-0005-0000-0000-0000A17D0000}"/>
    <cellStyle name="Normal 2 39 3" xfId="4855" xr:uid="{00000000-0005-0000-0000-0000A27D0000}"/>
    <cellStyle name="Normal 2 39 3 2" xfId="8726" xr:uid="{00000000-0005-0000-0000-0000A37D0000}"/>
    <cellStyle name="Normal 2 39 3 2 2" xfId="16471" xr:uid="{00000000-0005-0000-0000-0000A47D0000}"/>
    <cellStyle name="Normal 2 39 3 2 2 2" xfId="32063" xr:uid="{00000000-0005-0000-0000-0000A57D0000}"/>
    <cellStyle name="Normal 2 39 3 2 2 3" xfId="47555" xr:uid="{00000000-0005-0000-0000-0000A67D0000}"/>
    <cellStyle name="Normal 2 39 3 2 3" xfId="24323" xr:uid="{00000000-0005-0000-0000-0000A77D0000}"/>
    <cellStyle name="Normal 2 39 3 2 4" xfId="39815" xr:uid="{00000000-0005-0000-0000-0000A87D0000}"/>
    <cellStyle name="Normal 2 39 3 3" xfId="12601" xr:uid="{00000000-0005-0000-0000-0000A97D0000}"/>
    <cellStyle name="Normal 2 39 3 3 2" xfId="28193" xr:uid="{00000000-0005-0000-0000-0000AA7D0000}"/>
    <cellStyle name="Normal 2 39 3 3 3" xfId="43685" xr:uid="{00000000-0005-0000-0000-0000AB7D0000}"/>
    <cellStyle name="Normal 2 39 3 4" xfId="20453" xr:uid="{00000000-0005-0000-0000-0000AC7D0000}"/>
    <cellStyle name="Normal 2 39 3 5" xfId="35945" xr:uid="{00000000-0005-0000-0000-0000AD7D0000}"/>
    <cellStyle name="Normal 2 39 4" xfId="6799" xr:uid="{00000000-0005-0000-0000-0000AE7D0000}"/>
    <cellStyle name="Normal 2 39 4 2" xfId="14544" xr:uid="{00000000-0005-0000-0000-0000AF7D0000}"/>
    <cellStyle name="Normal 2 39 4 2 2" xfId="30136" xr:uid="{00000000-0005-0000-0000-0000B07D0000}"/>
    <cellStyle name="Normal 2 39 4 2 3" xfId="45628" xr:uid="{00000000-0005-0000-0000-0000B17D0000}"/>
    <cellStyle name="Normal 2 39 4 3" xfId="22396" xr:uid="{00000000-0005-0000-0000-0000B27D0000}"/>
    <cellStyle name="Normal 2 39 4 4" xfId="37888" xr:uid="{00000000-0005-0000-0000-0000B37D0000}"/>
    <cellStyle name="Normal 2 39 5" xfId="10674" xr:uid="{00000000-0005-0000-0000-0000B47D0000}"/>
    <cellStyle name="Normal 2 39 5 2" xfId="26266" xr:uid="{00000000-0005-0000-0000-0000B57D0000}"/>
    <cellStyle name="Normal 2 39 5 3" xfId="41758" xr:uid="{00000000-0005-0000-0000-0000B67D0000}"/>
    <cellStyle name="Normal 2 39 6" xfId="18526" xr:uid="{00000000-0005-0000-0000-0000B77D0000}"/>
    <cellStyle name="Normal 2 39 7" xfId="34018" xr:uid="{00000000-0005-0000-0000-0000B87D0000}"/>
    <cellStyle name="Normal 2 4" xfId="1989" xr:uid="{00000000-0005-0000-0000-0000B97D0000}"/>
    <cellStyle name="Normal 2 4 2" xfId="1990" xr:uid="{00000000-0005-0000-0000-0000BA7D0000}"/>
    <cellStyle name="Normal 2 4 3" xfId="1991" xr:uid="{00000000-0005-0000-0000-0000BB7D0000}"/>
    <cellStyle name="Normal 2 40" xfId="2895" xr:uid="{00000000-0005-0000-0000-0000BC7D0000}"/>
    <cellStyle name="Normal 2 40 2" xfId="3900" xr:uid="{00000000-0005-0000-0000-0000BD7D0000}"/>
    <cellStyle name="Normal 2 40 2 2" xfId="5839" xr:uid="{00000000-0005-0000-0000-0000BE7D0000}"/>
    <cellStyle name="Normal 2 40 2 2 2" xfId="9710" xr:uid="{00000000-0005-0000-0000-0000BF7D0000}"/>
    <cellStyle name="Normal 2 40 2 2 2 2" xfId="17455" xr:uid="{00000000-0005-0000-0000-0000C07D0000}"/>
    <cellStyle name="Normal 2 40 2 2 2 2 2" xfId="33047" xr:uid="{00000000-0005-0000-0000-0000C17D0000}"/>
    <cellStyle name="Normal 2 40 2 2 2 2 3" xfId="48539" xr:uid="{00000000-0005-0000-0000-0000C27D0000}"/>
    <cellStyle name="Normal 2 40 2 2 2 3" xfId="25307" xr:uid="{00000000-0005-0000-0000-0000C37D0000}"/>
    <cellStyle name="Normal 2 40 2 2 2 4" xfId="40799" xr:uid="{00000000-0005-0000-0000-0000C47D0000}"/>
    <cellStyle name="Normal 2 40 2 2 3" xfId="13585" xr:uid="{00000000-0005-0000-0000-0000C57D0000}"/>
    <cellStyle name="Normal 2 40 2 2 3 2" xfId="29177" xr:uid="{00000000-0005-0000-0000-0000C67D0000}"/>
    <cellStyle name="Normal 2 40 2 2 3 3" xfId="44669" xr:uid="{00000000-0005-0000-0000-0000C77D0000}"/>
    <cellStyle name="Normal 2 40 2 2 4" xfId="21437" xr:uid="{00000000-0005-0000-0000-0000C87D0000}"/>
    <cellStyle name="Normal 2 40 2 2 5" xfId="36929" xr:uid="{00000000-0005-0000-0000-0000C97D0000}"/>
    <cellStyle name="Normal 2 40 2 3" xfId="7783" xr:uid="{00000000-0005-0000-0000-0000CA7D0000}"/>
    <cellStyle name="Normal 2 40 2 3 2" xfId="15528" xr:uid="{00000000-0005-0000-0000-0000CB7D0000}"/>
    <cellStyle name="Normal 2 40 2 3 2 2" xfId="31120" xr:uid="{00000000-0005-0000-0000-0000CC7D0000}"/>
    <cellStyle name="Normal 2 40 2 3 2 3" xfId="46612" xr:uid="{00000000-0005-0000-0000-0000CD7D0000}"/>
    <cellStyle name="Normal 2 40 2 3 3" xfId="23380" xr:uid="{00000000-0005-0000-0000-0000CE7D0000}"/>
    <cellStyle name="Normal 2 40 2 3 4" xfId="38872" xr:uid="{00000000-0005-0000-0000-0000CF7D0000}"/>
    <cellStyle name="Normal 2 40 2 4" xfId="11658" xr:uid="{00000000-0005-0000-0000-0000D07D0000}"/>
    <cellStyle name="Normal 2 40 2 4 2" xfId="27250" xr:uid="{00000000-0005-0000-0000-0000D17D0000}"/>
    <cellStyle name="Normal 2 40 2 4 3" xfId="42742" xr:uid="{00000000-0005-0000-0000-0000D27D0000}"/>
    <cellStyle name="Normal 2 40 2 5" xfId="19510" xr:uid="{00000000-0005-0000-0000-0000D37D0000}"/>
    <cellStyle name="Normal 2 40 2 6" xfId="35002" xr:uid="{00000000-0005-0000-0000-0000D47D0000}"/>
    <cellStyle name="Normal 2 40 3" xfId="4891" xr:uid="{00000000-0005-0000-0000-0000D57D0000}"/>
    <cellStyle name="Normal 2 40 3 2" xfId="8762" xr:uid="{00000000-0005-0000-0000-0000D67D0000}"/>
    <cellStyle name="Normal 2 40 3 2 2" xfId="16507" xr:uid="{00000000-0005-0000-0000-0000D77D0000}"/>
    <cellStyle name="Normal 2 40 3 2 2 2" xfId="32099" xr:uid="{00000000-0005-0000-0000-0000D87D0000}"/>
    <cellStyle name="Normal 2 40 3 2 2 3" xfId="47591" xr:uid="{00000000-0005-0000-0000-0000D97D0000}"/>
    <cellStyle name="Normal 2 40 3 2 3" xfId="24359" xr:uid="{00000000-0005-0000-0000-0000DA7D0000}"/>
    <cellStyle name="Normal 2 40 3 2 4" xfId="39851" xr:uid="{00000000-0005-0000-0000-0000DB7D0000}"/>
    <cellStyle name="Normal 2 40 3 3" xfId="12637" xr:uid="{00000000-0005-0000-0000-0000DC7D0000}"/>
    <cellStyle name="Normal 2 40 3 3 2" xfId="28229" xr:uid="{00000000-0005-0000-0000-0000DD7D0000}"/>
    <cellStyle name="Normal 2 40 3 3 3" xfId="43721" xr:uid="{00000000-0005-0000-0000-0000DE7D0000}"/>
    <cellStyle name="Normal 2 40 3 4" xfId="20489" xr:uid="{00000000-0005-0000-0000-0000DF7D0000}"/>
    <cellStyle name="Normal 2 40 3 5" xfId="35981" xr:uid="{00000000-0005-0000-0000-0000E07D0000}"/>
    <cellStyle name="Normal 2 40 4" xfId="6835" xr:uid="{00000000-0005-0000-0000-0000E17D0000}"/>
    <cellStyle name="Normal 2 40 4 2" xfId="14580" xr:uid="{00000000-0005-0000-0000-0000E27D0000}"/>
    <cellStyle name="Normal 2 40 4 2 2" xfId="30172" xr:uid="{00000000-0005-0000-0000-0000E37D0000}"/>
    <cellStyle name="Normal 2 40 4 2 3" xfId="45664" xr:uid="{00000000-0005-0000-0000-0000E47D0000}"/>
    <cellStyle name="Normal 2 40 4 3" xfId="22432" xr:uid="{00000000-0005-0000-0000-0000E57D0000}"/>
    <cellStyle name="Normal 2 40 4 4" xfId="37924" xr:uid="{00000000-0005-0000-0000-0000E67D0000}"/>
    <cellStyle name="Normal 2 40 5" xfId="10710" xr:uid="{00000000-0005-0000-0000-0000E77D0000}"/>
    <cellStyle name="Normal 2 40 5 2" xfId="26302" xr:uid="{00000000-0005-0000-0000-0000E87D0000}"/>
    <cellStyle name="Normal 2 40 5 3" xfId="41794" xr:uid="{00000000-0005-0000-0000-0000E97D0000}"/>
    <cellStyle name="Normal 2 40 6" xfId="18562" xr:uid="{00000000-0005-0000-0000-0000EA7D0000}"/>
    <cellStyle name="Normal 2 40 7" xfId="34054" xr:uid="{00000000-0005-0000-0000-0000EB7D0000}"/>
    <cellStyle name="Normal 2 41" xfId="2932" xr:uid="{00000000-0005-0000-0000-0000EC7D0000}"/>
    <cellStyle name="Normal 2 41 2" xfId="3936" xr:uid="{00000000-0005-0000-0000-0000ED7D0000}"/>
    <cellStyle name="Normal 2 41 2 2" xfId="5875" xr:uid="{00000000-0005-0000-0000-0000EE7D0000}"/>
    <cellStyle name="Normal 2 41 2 2 2" xfId="9746" xr:uid="{00000000-0005-0000-0000-0000EF7D0000}"/>
    <cellStyle name="Normal 2 41 2 2 2 2" xfId="17491" xr:uid="{00000000-0005-0000-0000-0000F07D0000}"/>
    <cellStyle name="Normal 2 41 2 2 2 2 2" xfId="33083" xr:uid="{00000000-0005-0000-0000-0000F17D0000}"/>
    <cellStyle name="Normal 2 41 2 2 2 2 3" xfId="48575" xr:uid="{00000000-0005-0000-0000-0000F27D0000}"/>
    <cellStyle name="Normal 2 41 2 2 2 3" xfId="25343" xr:uid="{00000000-0005-0000-0000-0000F37D0000}"/>
    <cellStyle name="Normal 2 41 2 2 2 4" xfId="40835" xr:uid="{00000000-0005-0000-0000-0000F47D0000}"/>
    <cellStyle name="Normal 2 41 2 2 3" xfId="13621" xr:uid="{00000000-0005-0000-0000-0000F57D0000}"/>
    <cellStyle name="Normal 2 41 2 2 3 2" xfId="29213" xr:uid="{00000000-0005-0000-0000-0000F67D0000}"/>
    <cellStyle name="Normal 2 41 2 2 3 3" xfId="44705" xr:uid="{00000000-0005-0000-0000-0000F77D0000}"/>
    <cellStyle name="Normal 2 41 2 2 4" xfId="21473" xr:uid="{00000000-0005-0000-0000-0000F87D0000}"/>
    <cellStyle name="Normal 2 41 2 2 5" xfId="36965" xr:uid="{00000000-0005-0000-0000-0000F97D0000}"/>
    <cellStyle name="Normal 2 41 2 3" xfId="7819" xr:uid="{00000000-0005-0000-0000-0000FA7D0000}"/>
    <cellStyle name="Normal 2 41 2 3 2" xfId="15564" xr:uid="{00000000-0005-0000-0000-0000FB7D0000}"/>
    <cellStyle name="Normal 2 41 2 3 2 2" xfId="31156" xr:uid="{00000000-0005-0000-0000-0000FC7D0000}"/>
    <cellStyle name="Normal 2 41 2 3 2 3" xfId="46648" xr:uid="{00000000-0005-0000-0000-0000FD7D0000}"/>
    <cellStyle name="Normal 2 41 2 3 3" xfId="23416" xr:uid="{00000000-0005-0000-0000-0000FE7D0000}"/>
    <cellStyle name="Normal 2 41 2 3 4" xfId="38908" xr:uid="{00000000-0005-0000-0000-0000FF7D0000}"/>
    <cellStyle name="Normal 2 41 2 4" xfId="11694" xr:uid="{00000000-0005-0000-0000-0000007E0000}"/>
    <cellStyle name="Normal 2 41 2 4 2" xfId="27286" xr:uid="{00000000-0005-0000-0000-0000017E0000}"/>
    <cellStyle name="Normal 2 41 2 4 3" xfId="42778" xr:uid="{00000000-0005-0000-0000-0000027E0000}"/>
    <cellStyle name="Normal 2 41 2 5" xfId="19546" xr:uid="{00000000-0005-0000-0000-0000037E0000}"/>
    <cellStyle name="Normal 2 41 2 6" xfId="35038" xr:uid="{00000000-0005-0000-0000-0000047E0000}"/>
    <cellStyle name="Normal 2 41 3" xfId="4927" xr:uid="{00000000-0005-0000-0000-0000057E0000}"/>
    <cellStyle name="Normal 2 41 3 2" xfId="8798" xr:uid="{00000000-0005-0000-0000-0000067E0000}"/>
    <cellStyle name="Normal 2 41 3 2 2" xfId="16543" xr:uid="{00000000-0005-0000-0000-0000077E0000}"/>
    <cellStyle name="Normal 2 41 3 2 2 2" xfId="32135" xr:uid="{00000000-0005-0000-0000-0000087E0000}"/>
    <cellStyle name="Normal 2 41 3 2 2 3" xfId="47627" xr:uid="{00000000-0005-0000-0000-0000097E0000}"/>
    <cellStyle name="Normal 2 41 3 2 3" xfId="24395" xr:uid="{00000000-0005-0000-0000-00000A7E0000}"/>
    <cellStyle name="Normal 2 41 3 2 4" xfId="39887" xr:uid="{00000000-0005-0000-0000-00000B7E0000}"/>
    <cellStyle name="Normal 2 41 3 3" xfId="12673" xr:uid="{00000000-0005-0000-0000-00000C7E0000}"/>
    <cellStyle name="Normal 2 41 3 3 2" xfId="28265" xr:uid="{00000000-0005-0000-0000-00000D7E0000}"/>
    <cellStyle name="Normal 2 41 3 3 3" xfId="43757" xr:uid="{00000000-0005-0000-0000-00000E7E0000}"/>
    <cellStyle name="Normal 2 41 3 4" xfId="20525" xr:uid="{00000000-0005-0000-0000-00000F7E0000}"/>
    <cellStyle name="Normal 2 41 3 5" xfId="36017" xr:uid="{00000000-0005-0000-0000-0000107E0000}"/>
    <cellStyle name="Normal 2 41 4" xfId="6871" xr:uid="{00000000-0005-0000-0000-0000117E0000}"/>
    <cellStyle name="Normal 2 41 4 2" xfId="14616" xr:uid="{00000000-0005-0000-0000-0000127E0000}"/>
    <cellStyle name="Normal 2 41 4 2 2" xfId="30208" xr:uid="{00000000-0005-0000-0000-0000137E0000}"/>
    <cellStyle name="Normal 2 41 4 2 3" xfId="45700" xr:uid="{00000000-0005-0000-0000-0000147E0000}"/>
    <cellStyle name="Normal 2 41 4 3" xfId="22468" xr:uid="{00000000-0005-0000-0000-0000157E0000}"/>
    <cellStyle name="Normal 2 41 4 4" xfId="37960" xr:uid="{00000000-0005-0000-0000-0000167E0000}"/>
    <cellStyle name="Normal 2 41 5" xfId="10746" xr:uid="{00000000-0005-0000-0000-0000177E0000}"/>
    <cellStyle name="Normal 2 41 5 2" xfId="26338" xr:uid="{00000000-0005-0000-0000-0000187E0000}"/>
    <cellStyle name="Normal 2 41 5 3" xfId="41830" xr:uid="{00000000-0005-0000-0000-0000197E0000}"/>
    <cellStyle name="Normal 2 41 6" xfId="18598" xr:uid="{00000000-0005-0000-0000-00001A7E0000}"/>
    <cellStyle name="Normal 2 41 7" xfId="34090" xr:uid="{00000000-0005-0000-0000-00001B7E0000}"/>
    <cellStyle name="Normal 2 42" xfId="2971" xr:uid="{00000000-0005-0000-0000-00001C7E0000}"/>
    <cellStyle name="Normal 2 42 2" xfId="3972" xr:uid="{00000000-0005-0000-0000-00001D7E0000}"/>
    <cellStyle name="Normal 2 42 2 2" xfId="5911" xr:uid="{00000000-0005-0000-0000-00001E7E0000}"/>
    <cellStyle name="Normal 2 42 2 2 2" xfId="9782" xr:uid="{00000000-0005-0000-0000-00001F7E0000}"/>
    <cellStyle name="Normal 2 42 2 2 2 2" xfId="17527" xr:uid="{00000000-0005-0000-0000-0000207E0000}"/>
    <cellStyle name="Normal 2 42 2 2 2 2 2" xfId="33119" xr:uid="{00000000-0005-0000-0000-0000217E0000}"/>
    <cellStyle name="Normal 2 42 2 2 2 2 3" xfId="48611" xr:uid="{00000000-0005-0000-0000-0000227E0000}"/>
    <cellStyle name="Normal 2 42 2 2 2 3" xfId="25379" xr:uid="{00000000-0005-0000-0000-0000237E0000}"/>
    <cellStyle name="Normal 2 42 2 2 2 4" xfId="40871" xr:uid="{00000000-0005-0000-0000-0000247E0000}"/>
    <cellStyle name="Normal 2 42 2 2 3" xfId="13657" xr:uid="{00000000-0005-0000-0000-0000257E0000}"/>
    <cellStyle name="Normal 2 42 2 2 3 2" xfId="29249" xr:uid="{00000000-0005-0000-0000-0000267E0000}"/>
    <cellStyle name="Normal 2 42 2 2 3 3" xfId="44741" xr:uid="{00000000-0005-0000-0000-0000277E0000}"/>
    <cellStyle name="Normal 2 42 2 2 4" xfId="21509" xr:uid="{00000000-0005-0000-0000-0000287E0000}"/>
    <cellStyle name="Normal 2 42 2 2 5" xfId="37001" xr:uid="{00000000-0005-0000-0000-0000297E0000}"/>
    <cellStyle name="Normal 2 42 2 3" xfId="7855" xr:uid="{00000000-0005-0000-0000-00002A7E0000}"/>
    <cellStyle name="Normal 2 42 2 3 2" xfId="15600" xr:uid="{00000000-0005-0000-0000-00002B7E0000}"/>
    <cellStyle name="Normal 2 42 2 3 2 2" xfId="31192" xr:uid="{00000000-0005-0000-0000-00002C7E0000}"/>
    <cellStyle name="Normal 2 42 2 3 2 3" xfId="46684" xr:uid="{00000000-0005-0000-0000-00002D7E0000}"/>
    <cellStyle name="Normal 2 42 2 3 3" xfId="23452" xr:uid="{00000000-0005-0000-0000-00002E7E0000}"/>
    <cellStyle name="Normal 2 42 2 3 4" xfId="38944" xr:uid="{00000000-0005-0000-0000-00002F7E0000}"/>
    <cellStyle name="Normal 2 42 2 4" xfId="11730" xr:uid="{00000000-0005-0000-0000-0000307E0000}"/>
    <cellStyle name="Normal 2 42 2 4 2" xfId="27322" xr:uid="{00000000-0005-0000-0000-0000317E0000}"/>
    <cellStyle name="Normal 2 42 2 4 3" xfId="42814" xr:uid="{00000000-0005-0000-0000-0000327E0000}"/>
    <cellStyle name="Normal 2 42 2 5" xfId="19582" xr:uid="{00000000-0005-0000-0000-0000337E0000}"/>
    <cellStyle name="Normal 2 42 2 6" xfId="35074" xr:uid="{00000000-0005-0000-0000-0000347E0000}"/>
    <cellStyle name="Normal 2 42 3" xfId="4963" xr:uid="{00000000-0005-0000-0000-0000357E0000}"/>
    <cellStyle name="Normal 2 42 3 2" xfId="8834" xr:uid="{00000000-0005-0000-0000-0000367E0000}"/>
    <cellStyle name="Normal 2 42 3 2 2" xfId="16579" xr:uid="{00000000-0005-0000-0000-0000377E0000}"/>
    <cellStyle name="Normal 2 42 3 2 2 2" xfId="32171" xr:uid="{00000000-0005-0000-0000-0000387E0000}"/>
    <cellStyle name="Normal 2 42 3 2 2 3" xfId="47663" xr:uid="{00000000-0005-0000-0000-0000397E0000}"/>
    <cellStyle name="Normal 2 42 3 2 3" xfId="24431" xr:uid="{00000000-0005-0000-0000-00003A7E0000}"/>
    <cellStyle name="Normal 2 42 3 2 4" xfId="39923" xr:uid="{00000000-0005-0000-0000-00003B7E0000}"/>
    <cellStyle name="Normal 2 42 3 3" xfId="12709" xr:uid="{00000000-0005-0000-0000-00003C7E0000}"/>
    <cellStyle name="Normal 2 42 3 3 2" xfId="28301" xr:uid="{00000000-0005-0000-0000-00003D7E0000}"/>
    <cellStyle name="Normal 2 42 3 3 3" xfId="43793" xr:uid="{00000000-0005-0000-0000-00003E7E0000}"/>
    <cellStyle name="Normal 2 42 3 4" xfId="20561" xr:uid="{00000000-0005-0000-0000-00003F7E0000}"/>
    <cellStyle name="Normal 2 42 3 5" xfId="36053" xr:uid="{00000000-0005-0000-0000-0000407E0000}"/>
    <cellStyle name="Normal 2 42 4" xfId="6907" xr:uid="{00000000-0005-0000-0000-0000417E0000}"/>
    <cellStyle name="Normal 2 42 4 2" xfId="14652" xr:uid="{00000000-0005-0000-0000-0000427E0000}"/>
    <cellStyle name="Normal 2 42 4 2 2" xfId="30244" xr:uid="{00000000-0005-0000-0000-0000437E0000}"/>
    <cellStyle name="Normal 2 42 4 2 3" xfId="45736" xr:uid="{00000000-0005-0000-0000-0000447E0000}"/>
    <cellStyle name="Normal 2 42 4 3" xfId="22504" xr:uid="{00000000-0005-0000-0000-0000457E0000}"/>
    <cellStyle name="Normal 2 42 4 4" xfId="37996" xr:uid="{00000000-0005-0000-0000-0000467E0000}"/>
    <cellStyle name="Normal 2 42 5" xfId="10782" xr:uid="{00000000-0005-0000-0000-0000477E0000}"/>
    <cellStyle name="Normal 2 42 5 2" xfId="26374" xr:uid="{00000000-0005-0000-0000-0000487E0000}"/>
    <cellStyle name="Normal 2 42 5 3" xfId="41866" xr:uid="{00000000-0005-0000-0000-0000497E0000}"/>
    <cellStyle name="Normal 2 42 6" xfId="18634" xr:uid="{00000000-0005-0000-0000-00004A7E0000}"/>
    <cellStyle name="Normal 2 42 7" xfId="34126" xr:uid="{00000000-0005-0000-0000-00004B7E0000}"/>
    <cellStyle name="Normal 2 43" xfId="3011" xr:uid="{00000000-0005-0000-0000-00004C7E0000}"/>
    <cellStyle name="Normal 2 43 2" xfId="4008" xr:uid="{00000000-0005-0000-0000-00004D7E0000}"/>
    <cellStyle name="Normal 2 43 2 2" xfId="5947" xr:uid="{00000000-0005-0000-0000-00004E7E0000}"/>
    <cellStyle name="Normal 2 43 2 2 2" xfId="9818" xr:uid="{00000000-0005-0000-0000-00004F7E0000}"/>
    <cellStyle name="Normal 2 43 2 2 2 2" xfId="17563" xr:uid="{00000000-0005-0000-0000-0000507E0000}"/>
    <cellStyle name="Normal 2 43 2 2 2 2 2" xfId="33155" xr:uid="{00000000-0005-0000-0000-0000517E0000}"/>
    <cellStyle name="Normal 2 43 2 2 2 2 3" xfId="48647" xr:uid="{00000000-0005-0000-0000-0000527E0000}"/>
    <cellStyle name="Normal 2 43 2 2 2 3" xfId="25415" xr:uid="{00000000-0005-0000-0000-0000537E0000}"/>
    <cellStyle name="Normal 2 43 2 2 2 4" xfId="40907" xr:uid="{00000000-0005-0000-0000-0000547E0000}"/>
    <cellStyle name="Normal 2 43 2 2 3" xfId="13693" xr:uid="{00000000-0005-0000-0000-0000557E0000}"/>
    <cellStyle name="Normal 2 43 2 2 3 2" xfId="29285" xr:uid="{00000000-0005-0000-0000-0000567E0000}"/>
    <cellStyle name="Normal 2 43 2 2 3 3" xfId="44777" xr:uid="{00000000-0005-0000-0000-0000577E0000}"/>
    <cellStyle name="Normal 2 43 2 2 4" xfId="21545" xr:uid="{00000000-0005-0000-0000-0000587E0000}"/>
    <cellStyle name="Normal 2 43 2 2 5" xfId="37037" xr:uid="{00000000-0005-0000-0000-0000597E0000}"/>
    <cellStyle name="Normal 2 43 2 3" xfId="7891" xr:uid="{00000000-0005-0000-0000-00005A7E0000}"/>
    <cellStyle name="Normal 2 43 2 3 2" xfId="15636" xr:uid="{00000000-0005-0000-0000-00005B7E0000}"/>
    <cellStyle name="Normal 2 43 2 3 2 2" xfId="31228" xr:uid="{00000000-0005-0000-0000-00005C7E0000}"/>
    <cellStyle name="Normal 2 43 2 3 2 3" xfId="46720" xr:uid="{00000000-0005-0000-0000-00005D7E0000}"/>
    <cellStyle name="Normal 2 43 2 3 3" xfId="23488" xr:uid="{00000000-0005-0000-0000-00005E7E0000}"/>
    <cellStyle name="Normal 2 43 2 3 4" xfId="38980" xr:uid="{00000000-0005-0000-0000-00005F7E0000}"/>
    <cellStyle name="Normal 2 43 2 4" xfId="11766" xr:uid="{00000000-0005-0000-0000-0000607E0000}"/>
    <cellStyle name="Normal 2 43 2 4 2" xfId="27358" xr:uid="{00000000-0005-0000-0000-0000617E0000}"/>
    <cellStyle name="Normal 2 43 2 4 3" xfId="42850" xr:uid="{00000000-0005-0000-0000-0000627E0000}"/>
    <cellStyle name="Normal 2 43 2 5" xfId="19618" xr:uid="{00000000-0005-0000-0000-0000637E0000}"/>
    <cellStyle name="Normal 2 43 2 6" xfId="35110" xr:uid="{00000000-0005-0000-0000-0000647E0000}"/>
    <cellStyle name="Normal 2 43 3" xfId="4999" xr:uid="{00000000-0005-0000-0000-0000657E0000}"/>
    <cellStyle name="Normal 2 43 3 2" xfId="8870" xr:uid="{00000000-0005-0000-0000-0000667E0000}"/>
    <cellStyle name="Normal 2 43 3 2 2" xfId="16615" xr:uid="{00000000-0005-0000-0000-0000677E0000}"/>
    <cellStyle name="Normal 2 43 3 2 2 2" xfId="32207" xr:uid="{00000000-0005-0000-0000-0000687E0000}"/>
    <cellStyle name="Normal 2 43 3 2 2 3" xfId="47699" xr:uid="{00000000-0005-0000-0000-0000697E0000}"/>
    <cellStyle name="Normal 2 43 3 2 3" xfId="24467" xr:uid="{00000000-0005-0000-0000-00006A7E0000}"/>
    <cellStyle name="Normal 2 43 3 2 4" xfId="39959" xr:uid="{00000000-0005-0000-0000-00006B7E0000}"/>
    <cellStyle name="Normal 2 43 3 3" xfId="12745" xr:uid="{00000000-0005-0000-0000-00006C7E0000}"/>
    <cellStyle name="Normal 2 43 3 3 2" xfId="28337" xr:uid="{00000000-0005-0000-0000-00006D7E0000}"/>
    <cellStyle name="Normal 2 43 3 3 3" xfId="43829" xr:uid="{00000000-0005-0000-0000-00006E7E0000}"/>
    <cellStyle name="Normal 2 43 3 4" xfId="20597" xr:uid="{00000000-0005-0000-0000-00006F7E0000}"/>
    <cellStyle name="Normal 2 43 3 5" xfId="36089" xr:uid="{00000000-0005-0000-0000-0000707E0000}"/>
    <cellStyle name="Normal 2 43 4" xfId="6943" xr:uid="{00000000-0005-0000-0000-0000717E0000}"/>
    <cellStyle name="Normal 2 43 4 2" xfId="14688" xr:uid="{00000000-0005-0000-0000-0000727E0000}"/>
    <cellStyle name="Normal 2 43 4 2 2" xfId="30280" xr:uid="{00000000-0005-0000-0000-0000737E0000}"/>
    <cellStyle name="Normal 2 43 4 2 3" xfId="45772" xr:uid="{00000000-0005-0000-0000-0000747E0000}"/>
    <cellStyle name="Normal 2 43 4 3" xfId="22540" xr:uid="{00000000-0005-0000-0000-0000757E0000}"/>
    <cellStyle name="Normal 2 43 4 4" xfId="38032" xr:uid="{00000000-0005-0000-0000-0000767E0000}"/>
    <cellStyle name="Normal 2 43 5" xfId="10818" xr:uid="{00000000-0005-0000-0000-0000777E0000}"/>
    <cellStyle name="Normal 2 43 5 2" xfId="26410" xr:uid="{00000000-0005-0000-0000-0000787E0000}"/>
    <cellStyle name="Normal 2 43 5 3" xfId="41902" xr:uid="{00000000-0005-0000-0000-0000797E0000}"/>
    <cellStyle name="Normal 2 43 6" xfId="18670" xr:uid="{00000000-0005-0000-0000-00007A7E0000}"/>
    <cellStyle name="Normal 2 43 7" xfId="34162" xr:uid="{00000000-0005-0000-0000-00007B7E0000}"/>
    <cellStyle name="Normal 2 44" xfId="3049" xr:uid="{00000000-0005-0000-0000-00007C7E0000}"/>
    <cellStyle name="Normal 2 44 2" xfId="4044" xr:uid="{00000000-0005-0000-0000-00007D7E0000}"/>
    <cellStyle name="Normal 2 44 2 2" xfId="5983" xr:uid="{00000000-0005-0000-0000-00007E7E0000}"/>
    <cellStyle name="Normal 2 44 2 2 2" xfId="9854" xr:uid="{00000000-0005-0000-0000-00007F7E0000}"/>
    <cellStyle name="Normal 2 44 2 2 2 2" xfId="17599" xr:uid="{00000000-0005-0000-0000-0000807E0000}"/>
    <cellStyle name="Normal 2 44 2 2 2 2 2" xfId="33191" xr:uid="{00000000-0005-0000-0000-0000817E0000}"/>
    <cellStyle name="Normal 2 44 2 2 2 2 3" xfId="48683" xr:uid="{00000000-0005-0000-0000-0000827E0000}"/>
    <cellStyle name="Normal 2 44 2 2 2 3" xfId="25451" xr:uid="{00000000-0005-0000-0000-0000837E0000}"/>
    <cellStyle name="Normal 2 44 2 2 2 4" xfId="40943" xr:uid="{00000000-0005-0000-0000-0000847E0000}"/>
    <cellStyle name="Normal 2 44 2 2 3" xfId="13729" xr:uid="{00000000-0005-0000-0000-0000857E0000}"/>
    <cellStyle name="Normal 2 44 2 2 3 2" xfId="29321" xr:uid="{00000000-0005-0000-0000-0000867E0000}"/>
    <cellStyle name="Normal 2 44 2 2 3 3" xfId="44813" xr:uid="{00000000-0005-0000-0000-0000877E0000}"/>
    <cellStyle name="Normal 2 44 2 2 4" xfId="21581" xr:uid="{00000000-0005-0000-0000-0000887E0000}"/>
    <cellStyle name="Normal 2 44 2 2 5" xfId="37073" xr:uid="{00000000-0005-0000-0000-0000897E0000}"/>
    <cellStyle name="Normal 2 44 2 3" xfId="7927" xr:uid="{00000000-0005-0000-0000-00008A7E0000}"/>
    <cellStyle name="Normal 2 44 2 3 2" xfId="15672" xr:uid="{00000000-0005-0000-0000-00008B7E0000}"/>
    <cellStyle name="Normal 2 44 2 3 2 2" xfId="31264" xr:uid="{00000000-0005-0000-0000-00008C7E0000}"/>
    <cellStyle name="Normal 2 44 2 3 2 3" xfId="46756" xr:uid="{00000000-0005-0000-0000-00008D7E0000}"/>
    <cellStyle name="Normal 2 44 2 3 3" xfId="23524" xr:uid="{00000000-0005-0000-0000-00008E7E0000}"/>
    <cellStyle name="Normal 2 44 2 3 4" xfId="39016" xr:uid="{00000000-0005-0000-0000-00008F7E0000}"/>
    <cellStyle name="Normal 2 44 2 4" xfId="11802" xr:uid="{00000000-0005-0000-0000-0000907E0000}"/>
    <cellStyle name="Normal 2 44 2 4 2" xfId="27394" xr:uid="{00000000-0005-0000-0000-0000917E0000}"/>
    <cellStyle name="Normal 2 44 2 4 3" xfId="42886" xr:uid="{00000000-0005-0000-0000-0000927E0000}"/>
    <cellStyle name="Normal 2 44 2 5" xfId="19654" xr:uid="{00000000-0005-0000-0000-0000937E0000}"/>
    <cellStyle name="Normal 2 44 2 6" xfId="35146" xr:uid="{00000000-0005-0000-0000-0000947E0000}"/>
    <cellStyle name="Normal 2 44 3" xfId="5035" xr:uid="{00000000-0005-0000-0000-0000957E0000}"/>
    <cellStyle name="Normal 2 44 3 2" xfId="8906" xr:uid="{00000000-0005-0000-0000-0000967E0000}"/>
    <cellStyle name="Normal 2 44 3 2 2" xfId="16651" xr:uid="{00000000-0005-0000-0000-0000977E0000}"/>
    <cellStyle name="Normal 2 44 3 2 2 2" xfId="32243" xr:uid="{00000000-0005-0000-0000-0000987E0000}"/>
    <cellStyle name="Normal 2 44 3 2 2 3" xfId="47735" xr:uid="{00000000-0005-0000-0000-0000997E0000}"/>
    <cellStyle name="Normal 2 44 3 2 3" xfId="24503" xr:uid="{00000000-0005-0000-0000-00009A7E0000}"/>
    <cellStyle name="Normal 2 44 3 2 4" xfId="39995" xr:uid="{00000000-0005-0000-0000-00009B7E0000}"/>
    <cellStyle name="Normal 2 44 3 3" xfId="12781" xr:uid="{00000000-0005-0000-0000-00009C7E0000}"/>
    <cellStyle name="Normal 2 44 3 3 2" xfId="28373" xr:uid="{00000000-0005-0000-0000-00009D7E0000}"/>
    <cellStyle name="Normal 2 44 3 3 3" xfId="43865" xr:uid="{00000000-0005-0000-0000-00009E7E0000}"/>
    <cellStyle name="Normal 2 44 3 4" xfId="20633" xr:uid="{00000000-0005-0000-0000-00009F7E0000}"/>
    <cellStyle name="Normal 2 44 3 5" xfId="36125" xr:uid="{00000000-0005-0000-0000-0000A07E0000}"/>
    <cellStyle name="Normal 2 44 4" xfId="6979" xr:uid="{00000000-0005-0000-0000-0000A17E0000}"/>
    <cellStyle name="Normal 2 44 4 2" xfId="14724" xr:uid="{00000000-0005-0000-0000-0000A27E0000}"/>
    <cellStyle name="Normal 2 44 4 2 2" xfId="30316" xr:uid="{00000000-0005-0000-0000-0000A37E0000}"/>
    <cellStyle name="Normal 2 44 4 2 3" xfId="45808" xr:uid="{00000000-0005-0000-0000-0000A47E0000}"/>
    <cellStyle name="Normal 2 44 4 3" xfId="22576" xr:uid="{00000000-0005-0000-0000-0000A57E0000}"/>
    <cellStyle name="Normal 2 44 4 4" xfId="38068" xr:uid="{00000000-0005-0000-0000-0000A67E0000}"/>
    <cellStyle name="Normal 2 44 5" xfId="10854" xr:uid="{00000000-0005-0000-0000-0000A77E0000}"/>
    <cellStyle name="Normal 2 44 5 2" xfId="26446" xr:uid="{00000000-0005-0000-0000-0000A87E0000}"/>
    <cellStyle name="Normal 2 44 5 3" xfId="41938" xr:uid="{00000000-0005-0000-0000-0000A97E0000}"/>
    <cellStyle name="Normal 2 44 6" xfId="18706" xr:uid="{00000000-0005-0000-0000-0000AA7E0000}"/>
    <cellStyle name="Normal 2 44 7" xfId="34198" xr:uid="{00000000-0005-0000-0000-0000AB7E0000}"/>
    <cellStyle name="Normal 2 45" xfId="3086" xr:uid="{00000000-0005-0000-0000-0000AC7E0000}"/>
    <cellStyle name="Normal 2 45 2" xfId="4080" xr:uid="{00000000-0005-0000-0000-0000AD7E0000}"/>
    <cellStyle name="Normal 2 45 2 2" xfId="6019" xr:uid="{00000000-0005-0000-0000-0000AE7E0000}"/>
    <cellStyle name="Normal 2 45 2 2 2" xfId="9890" xr:uid="{00000000-0005-0000-0000-0000AF7E0000}"/>
    <cellStyle name="Normal 2 45 2 2 2 2" xfId="17635" xr:uid="{00000000-0005-0000-0000-0000B07E0000}"/>
    <cellStyle name="Normal 2 45 2 2 2 2 2" xfId="33227" xr:uid="{00000000-0005-0000-0000-0000B17E0000}"/>
    <cellStyle name="Normal 2 45 2 2 2 2 3" xfId="48719" xr:uid="{00000000-0005-0000-0000-0000B27E0000}"/>
    <cellStyle name="Normal 2 45 2 2 2 3" xfId="25487" xr:uid="{00000000-0005-0000-0000-0000B37E0000}"/>
    <cellStyle name="Normal 2 45 2 2 2 4" xfId="40979" xr:uid="{00000000-0005-0000-0000-0000B47E0000}"/>
    <cellStyle name="Normal 2 45 2 2 3" xfId="13765" xr:uid="{00000000-0005-0000-0000-0000B57E0000}"/>
    <cellStyle name="Normal 2 45 2 2 3 2" xfId="29357" xr:uid="{00000000-0005-0000-0000-0000B67E0000}"/>
    <cellStyle name="Normal 2 45 2 2 3 3" xfId="44849" xr:uid="{00000000-0005-0000-0000-0000B77E0000}"/>
    <cellStyle name="Normal 2 45 2 2 4" xfId="21617" xr:uid="{00000000-0005-0000-0000-0000B87E0000}"/>
    <cellStyle name="Normal 2 45 2 2 5" xfId="37109" xr:uid="{00000000-0005-0000-0000-0000B97E0000}"/>
    <cellStyle name="Normal 2 45 2 3" xfId="7963" xr:uid="{00000000-0005-0000-0000-0000BA7E0000}"/>
    <cellStyle name="Normal 2 45 2 3 2" xfId="15708" xr:uid="{00000000-0005-0000-0000-0000BB7E0000}"/>
    <cellStyle name="Normal 2 45 2 3 2 2" xfId="31300" xr:uid="{00000000-0005-0000-0000-0000BC7E0000}"/>
    <cellStyle name="Normal 2 45 2 3 2 3" xfId="46792" xr:uid="{00000000-0005-0000-0000-0000BD7E0000}"/>
    <cellStyle name="Normal 2 45 2 3 3" xfId="23560" xr:uid="{00000000-0005-0000-0000-0000BE7E0000}"/>
    <cellStyle name="Normal 2 45 2 3 4" xfId="39052" xr:uid="{00000000-0005-0000-0000-0000BF7E0000}"/>
    <cellStyle name="Normal 2 45 2 4" xfId="11838" xr:uid="{00000000-0005-0000-0000-0000C07E0000}"/>
    <cellStyle name="Normal 2 45 2 4 2" xfId="27430" xr:uid="{00000000-0005-0000-0000-0000C17E0000}"/>
    <cellStyle name="Normal 2 45 2 4 3" xfId="42922" xr:uid="{00000000-0005-0000-0000-0000C27E0000}"/>
    <cellStyle name="Normal 2 45 2 5" xfId="19690" xr:uid="{00000000-0005-0000-0000-0000C37E0000}"/>
    <cellStyle name="Normal 2 45 2 6" xfId="35182" xr:uid="{00000000-0005-0000-0000-0000C47E0000}"/>
    <cellStyle name="Normal 2 45 3" xfId="5071" xr:uid="{00000000-0005-0000-0000-0000C57E0000}"/>
    <cellStyle name="Normal 2 45 3 2" xfId="8942" xr:uid="{00000000-0005-0000-0000-0000C67E0000}"/>
    <cellStyle name="Normal 2 45 3 2 2" xfId="16687" xr:uid="{00000000-0005-0000-0000-0000C77E0000}"/>
    <cellStyle name="Normal 2 45 3 2 2 2" xfId="32279" xr:uid="{00000000-0005-0000-0000-0000C87E0000}"/>
    <cellStyle name="Normal 2 45 3 2 2 3" xfId="47771" xr:uid="{00000000-0005-0000-0000-0000C97E0000}"/>
    <cellStyle name="Normal 2 45 3 2 3" xfId="24539" xr:uid="{00000000-0005-0000-0000-0000CA7E0000}"/>
    <cellStyle name="Normal 2 45 3 2 4" xfId="40031" xr:uid="{00000000-0005-0000-0000-0000CB7E0000}"/>
    <cellStyle name="Normal 2 45 3 3" xfId="12817" xr:uid="{00000000-0005-0000-0000-0000CC7E0000}"/>
    <cellStyle name="Normal 2 45 3 3 2" xfId="28409" xr:uid="{00000000-0005-0000-0000-0000CD7E0000}"/>
    <cellStyle name="Normal 2 45 3 3 3" xfId="43901" xr:uid="{00000000-0005-0000-0000-0000CE7E0000}"/>
    <cellStyle name="Normal 2 45 3 4" xfId="20669" xr:uid="{00000000-0005-0000-0000-0000CF7E0000}"/>
    <cellStyle name="Normal 2 45 3 5" xfId="36161" xr:uid="{00000000-0005-0000-0000-0000D07E0000}"/>
    <cellStyle name="Normal 2 45 4" xfId="7015" xr:uid="{00000000-0005-0000-0000-0000D17E0000}"/>
    <cellStyle name="Normal 2 45 4 2" xfId="14760" xr:uid="{00000000-0005-0000-0000-0000D27E0000}"/>
    <cellStyle name="Normal 2 45 4 2 2" xfId="30352" xr:uid="{00000000-0005-0000-0000-0000D37E0000}"/>
    <cellStyle name="Normal 2 45 4 2 3" xfId="45844" xr:uid="{00000000-0005-0000-0000-0000D47E0000}"/>
    <cellStyle name="Normal 2 45 4 3" xfId="22612" xr:uid="{00000000-0005-0000-0000-0000D57E0000}"/>
    <cellStyle name="Normal 2 45 4 4" xfId="38104" xr:uid="{00000000-0005-0000-0000-0000D67E0000}"/>
    <cellStyle name="Normal 2 45 5" xfId="10890" xr:uid="{00000000-0005-0000-0000-0000D77E0000}"/>
    <cellStyle name="Normal 2 45 5 2" xfId="26482" xr:uid="{00000000-0005-0000-0000-0000D87E0000}"/>
    <cellStyle name="Normal 2 45 5 3" xfId="41974" xr:uid="{00000000-0005-0000-0000-0000D97E0000}"/>
    <cellStyle name="Normal 2 45 6" xfId="18742" xr:uid="{00000000-0005-0000-0000-0000DA7E0000}"/>
    <cellStyle name="Normal 2 45 7" xfId="34234" xr:uid="{00000000-0005-0000-0000-0000DB7E0000}"/>
    <cellStyle name="Normal 2 46" xfId="3133" xr:uid="{00000000-0005-0000-0000-0000DC7E0000}"/>
    <cellStyle name="Normal 2 46 2" xfId="4116" xr:uid="{00000000-0005-0000-0000-0000DD7E0000}"/>
    <cellStyle name="Normal 2 46 2 2" xfId="6055" xr:uid="{00000000-0005-0000-0000-0000DE7E0000}"/>
    <cellStyle name="Normal 2 46 2 2 2" xfId="9926" xr:uid="{00000000-0005-0000-0000-0000DF7E0000}"/>
    <cellStyle name="Normal 2 46 2 2 2 2" xfId="17671" xr:uid="{00000000-0005-0000-0000-0000E07E0000}"/>
    <cellStyle name="Normal 2 46 2 2 2 2 2" xfId="33263" xr:uid="{00000000-0005-0000-0000-0000E17E0000}"/>
    <cellStyle name="Normal 2 46 2 2 2 2 3" xfId="48755" xr:uid="{00000000-0005-0000-0000-0000E27E0000}"/>
    <cellStyle name="Normal 2 46 2 2 2 3" xfId="25523" xr:uid="{00000000-0005-0000-0000-0000E37E0000}"/>
    <cellStyle name="Normal 2 46 2 2 2 4" xfId="41015" xr:uid="{00000000-0005-0000-0000-0000E47E0000}"/>
    <cellStyle name="Normal 2 46 2 2 3" xfId="13801" xr:uid="{00000000-0005-0000-0000-0000E57E0000}"/>
    <cellStyle name="Normal 2 46 2 2 3 2" xfId="29393" xr:uid="{00000000-0005-0000-0000-0000E67E0000}"/>
    <cellStyle name="Normal 2 46 2 2 3 3" xfId="44885" xr:uid="{00000000-0005-0000-0000-0000E77E0000}"/>
    <cellStyle name="Normal 2 46 2 2 4" xfId="21653" xr:uid="{00000000-0005-0000-0000-0000E87E0000}"/>
    <cellStyle name="Normal 2 46 2 2 5" xfId="37145" xr:uid="{00000000-0005-0000-0000-0000E97E0000}"/>
    <cellStyle name="Normal 2 46 2 3" xfId="7999" xr:uid="{00000000-0005-0000-0000-0000EA7E0000}"/>
    <cellStyle name="Normal 2 46 2 3 2" xfId="15744" xr:uid="{00000000-0005-0000-0000-0000EB7E0000}"/>
    <cellStyle name="Normal 2 46 2 3 2 2" xfId="31336" xr:uid="{00000000-0005-0000-0000-0000EC7E0000}"/>
    <cellStyle name="Normal 2 46 2 3 2 3" xfId="46828" xr:uid="{00000000-0005-0000-0000-0000ED7E0000}"/>
    <cellStyle name="Normal 2 46 2 3 3" xfId="23596" xr:uid="{00000000-0005-0000-0000-0000EE7E0000}"/>
    <cellStyle name="Normal 2 46 2 3 4" xfId="39088" xr:uid="{00000000-0005-0000-0000-0000EF7E0000}"/>
    <cellStyle name="Normal 2 46 2 4" xfId="11874" xr:uid="{00000000-0005-0000-0000-0000F07E0000}"/>
    <cellStyle name="Normal 2 46 2 4 2" xfId="27466" xr:uid="{00000000-0005-0000-0000-0000F17E0000}"/>
    <cellStyle name="Normal 2 46 2 4 3" xfId="42958" xr:uid="{00000000-0005-0000-0000-0000F27E0000}"/>
    <cellStyle name="Normal 2 46 2 5" xfId="19726" xr:uid="{00000000-0005-0000-0000-0000F37E0000}"/>
    <cellStyle name="Normal 2 46 2 6" xfId="35218" xr:uid="{00000000-0005-0000-0000-0000F47E0000}"/>
    <cellStyle name="Normal 2 46 3" xfId="5107" xr:uid="{00000000-0005-0000-0000-0000F57E0000}"/>
    <cellStyle name="Normal 2 46 3 2" xfId="8978" xr:uid="{00000000-0005-0000-0000-0000F67E0000}"/>
    <cellStyle name="Normal 2 46 3 2 2" xfId="16723" xr:uid="{00000000-0005-0000-0000-0000F77E0000}"/>
    <cellStyle name="Normal 2 46 3 2 2 2" xfId="32315" xr:uid="{00000000-0005-0000-0000-0000F87E0000}"/>
    <cellStyle name="Normal 2 46 3 2 2 3" xfId="47807" xr:uid="{00000000-0005-0000-0000-0000F97E0000}"/>
    <cellStyle name="Normal 2 46 3 2 3" xfId="24575" xr:uid="{00000000-0005-0000-0000-0000FA7E0000}"/>
    <cellStyle name="Normal 2 46 3 2 4" xfId="40067" xr:uid="{00000000-0005-0000-0000-0000FB7E0000}"/>
    <cellStyle name="Normal 2 46 3 3" xfId="12853" xr:uid="{00000000-0005-0000-0000-0000FC7E0000}"/>
    <cellStyle name="Normal 2 46 3 3 2" xfId="28445" xr:uid="{00000000-0005-0000-0000-0000FD7E0000}"/>
    <cellStyle name="Normal 2 46 3 3 3" xfId="43937" xr:uid="{00000000-0005-0000-0000-0000FE7E0000}"/>
    <cellStyle name="Normal 2 46 3 4" xfId="20705" xr:uid="{00000000-0005-0000-0000-0000FF7E0000}"/>
    <cellStyle name="Normal 2 46 3 5" xfId="36197" xr:uid="{00000000-0005-0000-0000-0000007F0000}"/>
    <cellStyle name="Normal 2 46 4" xfId="7051" xr:uid="{00000000-0005-0000-0000-0000017F0000}"/>
    <cellStyle name="Normal 2 46 4 2" xfId="14796" xr:uid="{00000000-0005-0000-0000-0000027F0000}"/>
    <cellStyle name="Normal 2 46 4 2 2" xfId="30388" xr:uid="{00000000-0005-0000-0000-0000037F0000}"/>
    <cellStyle name="Normal 2 46 4 2 3" xfId="45880" xr:uid="{00000000-0005-0000-0000-0000047F0000}"/>
    <cellStyle name="Normal 2 46 4 3" xfId="22648" xr:uid="{00000000-0005-0000-0000-0000057F0000}"/>
    <cellStyle name="Normal 2 46 4 4" xfId="38140" xr:uid="{00000000-0005-0000-0000-0000067F0000}"/>
    <cellStyle name="Normal 2 46 5" xfId="10926" xr:uid="{00000000-0005-0000-0000-0000077F0000}"/>
    <cellStyle name="Normal 2 46 5 2" xfId="26518" xr:uid="{00000000-0005-0000-0000-0000087F0000}"/>
    <cellStyle name="Normal 2 46 5 3" xfId="42010" xr:uid="{00000000-0005-0000-0000-0000097F0000}"/>
    <cellStyle name="Normal 2 46 6" xfId="18778" xr:uid="{00000000-0005-0000-0000-00000A7F0000}"/>
    <cellStyle name="Normal 2 46 7" xfId="34270" xr:uid="{00000000-0005-0000-0000-00000B7F0000}"/>
    <cellStyle name="Normal 2 47" xfId="3189" xr:uid="{00000000-0005-0000-0000-00000C7F0000}"/>
    <cellStyle name="Normal 2 47 2" xfId="5128" xr:uid="{00000000-0005-0000-0000-00000D7F0000}"/>
    <cellStyle name="Normal 2 47 2 2" xfId="8999" xr:uid="{00000000-0005-0000-0000-00000E7F0000}"/>
    <cellStyle name="Normal 2 47 2 2 2" xfId="16744" xr:uid="{00000000-0005-0000-0000-00000F7F0000}"/>
    <cellStyle name="Normal 2 47 2 2 2 2" xfId="32336" xr:uid="{00000000-0005-0000-0000-0000107F0000}"/>
    <cellStyle name="Normal 2 47 2 2 2 3" xfId="47828" xr:uid="{00000000-0005-0000-0000-0000117F0000}"/>
    <cellStyle name="Normal 2 47 2 2 3" xfId="24596" xr:uid="{00000000-0005-0000-0000-0000127F0000}"/>
    <cellStyle name="Normal 2 47 2 2 4" xfId="40088" xr:uid="{00000000-0005-0000-0000-0000137F0000}"/>
    <cellStyle name="Normal 2 47 2 3" xfId="12874" xr:uid="{00000000-0005-0000-0000-0000147F0000}"/>
    <cellStyle name="Normal 2 47 2 3 2" xfId="28466" xr:uid="{00000000-0005-0000-0000-0000157F0000}"/>
    <cellStyle name="Normal 2 47 2 3 3" xfId="43958" xr:uid="{00000000-0005-0000-0000-0000167F0000}"/>
    <cellStyle name="Normal 2 47 2 4" xfId="20726" xr:uid="{00000000-0005-0000-0000-0000177F0000}"/>
    <cellStyle name="Normal 2 47 2 5" xfId="36218" xr:uid="{00000000-0005-0000-0000-0000187F0000}"/>
    <cellStyle name="Normal 2 47 3" xfId="7072" xr:uid="{00000000-0005-0000-0000-0000197F0000}"/>
    <cellStyle name="Normal 2 47 3 2" xfId="14817" xr:uid="{00000000-0005-0000-0000-00001A7F0000}"/>
    <cellStyle name="Normal 2 47 3 2 2" xfId="30409" xr:uid="{00000000-0005-0000-0000-00001B7F0000}"/>
    <cellStyle name="Normal 2 47 3 2 3" xfId="45901" xr:uid="{00000000-0005-0000-0000-00001C7F0000}"/>
    <cellStyle name="Normal 2 47 3 3" xfId="22669" xr:uid="{00000000-0005-0000-0000-00001D7F0000}"/>
    <cellStyle name="Normal 2 47 3 4" xfId="38161" xr:uid="{00000000-0005-0000-0000-00001E7F0000}"/>
    <cellStyle name="Normal 2 47 4" xfId="10947" xr:uid="{00000000-0005-0000-0000-00001F7F0000}"/>
    <cellStyle name="Normal 2 47 4 2" xfId="26539" xr:uid="{00000000-0005-0000-0000-0000207F0000}"/>
    <cellStyle name="Normal 2 47 4 3" xfId="42031" xr:uid="{00000000-0005-0000-0000-0000217F0000}"/>
    <cellStyle name="Normal 2 47 5" xfId="18799" xr:uid="{00000000-0005-0000-0000-0000227F0000}"/>
    <cellStyle name="Normal 2 47 6" xfId="34291" xr:uid="{00000000-0005-0000-0000-0000237F0000}"/>
    <cellStyle name="Normal 2 48" xfId="4138" xr:uid="{00000000-0005-0000-0000-0000247F0000}"/>
    <cellStyle name="Normal 2 48 2" xfId="6076" xr:uid="{00000000-0005-0000-0000-0000257F0000}"/>
    <cellStyle name="Normal 2 48 2 2" xfId="9947" xr:uid="{00000000-0005-0000-0000-0000267F0000}"/>
    <cellStyle name="Normal 2 48 2 2 2" xfId="17692" xr:uid="{00000000-0005-0000-0000-0000277F0000}"/>
    <cellStyle name="Normal 2 48 2 2 2 2" xfId="33284" xr:uid="{00000000-0005-0000-0000-0000287F0000}"/>
    <cellStyle name="Normal 2 48 2 2 2 3" xfId="48776" xr:uid="{00000000-0005-0000-0000-0000297F0000}"/>
    <cellStyle name="Normal 2 48 2 2 3" xfId="25544" xr:uid="{00000000-0005-0000-0000-00002A7F0000}"/>
    <cellStyle name="Normal 2 48 2 2 4" xfId="41036" xr:uid="{00000000-0005-0000-0000-00002B7F0000}"/>
    <cellStyle name="Normal 2 48 2 3" xfId="13822" xr:uid="{00000000-0005-0000-0000-00002C7F0000}"/>
    <cellStyle name="Normal 2 48 2 3 2" xfId="29414" xr:uid="{00000000-0005-0000-0000-00002D7F0000}"/>
    <cellStyle name="Normal 2 48 2 3 3" xfId="44906" xr:uid="{00000000-0005-0000-0000-00002E7F0000}"/>
    <cellStyle name="Normal 2 48 2 4" xfId="21674" xr:uid="{00000000-0005-0000-0000-00002F7F0000}"/>
    <cellStyle name="Normal 2 48 2 5" xfId="37166" xr:uid="{00000000-0005-0000-0000-0000307F0000}"/>
    <cellStyle name="Normal 2 48 3" xfId="8020" xr:uid="{00000000-0005-0000-0000-0000317F0000}"/>
    <cellStyle name="Normal 2 48 3 2" xfId="15765" xr:uid="{00000000-0005-0000-0000-0000327F0000}"/>
    <cellStyle name="Normal 2 48 3 2 2" xfId="31357" xr:uid="{00000000-0005-0000-0000-0000337F0000}"/>
    <cellStyle name="Normal 2 48 3 2 3" xfId="46849" xr:uid="{00000000-0005-0000-0000-0000347F0000}"/>
    <cellStyle name="Normal 2 48 3 3" xfId="23617" xr:uid="{00000000-0005-0000-0000-0000357F0000}"/>
    <cellStyle name="Normal 2 48 3 4" xfId="39109" xr:uid="{00000000-0005-0000-0000-0000367F0000}"/>
    <cellStyle name="Normal 2 48 4" xfId="11895" xr:uid="{00000000-0005-0000-0000-0000377F0000}"/>
    <cellStyle name="Normal 2 48 4 2" xfId="27487" xr:uid="{00000000-0005-0000-0000-0000387F0000}"/>
    <cellStyle name="Normal 2 48 4 3" xfId="42979" xr:uid="{00000000-0005-0000-0000-0000397F0000}"/>
    <cellStyle name="Normal 2 48 5" xfId="19747" xr:uid="{00000000-0005-0000-0000-00003A7F0000}"/>
    <cellStyle name="Normal 2 48 6" xfId="35239" xr:uid="{00000000-0005-0000-0000-00003B7F0000}"/>
    <cellStyle name="Normal 2 49" xfId="4162" xr:uid="{00000000-0005-0000-0000-00003C7F0000}"/>
    <cellStyle name="Normal 2 49 2" xfId="6091" xr:uid="{00000000-0005-0000-0000-00003D7F0000}"/>
    <cellStyle name="Normal 2 49 2 2" xfId="9962" xr:uid="{00000000-0005-0000-0000-00003E7F0000}"/>
    <cellStyle name="Normal 2 49 2 2 2" xfId="17707" xr:uid="{00000000-0005-0000-0000-00003F7F0000}"/>
    <cellStyle name="Normal 2 49 2 2 2 2" xfId="33299" xr:uid="{00000000-0005-0000-0000-0000407F0000}"/>
    <cellStyle name="Normal 2 49 2 2 2 3" xfId="48791" xr:uid="{00000000-0005-0000-0000-0000417F0000}"/>
    <cellStyle name="Normal 2 49 2 2 3" xfId="25559" xr:uid="{00000000-0005-0000-0000-0000427F0000}"/>
    <cellStyle name="Normal 2 49 2 2 4" xfId="41051" xr:uid="{00000000-0005-0000-0000-0000437F0000}"/>
    <cellStyle name="Normal 2 49 2 3" xfId="13837" xr:uid="{00000000-0005-0000-0000-0000447F0000}"/>
    <cellStyle name="Normal 2 49 2 3 2" xfId="29429" xr:uid="{00000000-0005-0000-0000-0000457F0000}"/>
    <cellStyle name="Normal 2 49 2 3 3" xfId="44921" xr:uid="{00000000-0005-0000-0000-0000467F0000}"/>
    <cellStyle name="Normal 2 49 2 4" xfId="21689" xr:uid="{00000000-0005-0000-0000-0000477F0000}"/>
    <cellStyle name="Normal 2 49 2 5" xfId="37181" xr:uid="{00000000-0005-0000-0000-0000487F0000}"/>
    <cellStyle name="Normal 2 49 3" xfId="8035" xr:uid="{00000000-0005-0000-0000-0000497F0000}"/>
    <cellStyle name="Normal 2 49 3 2" xfId="15780" xr:uid="{00000000-0005-0000-0000-00004A7F0000}"/>
    <cellStyle name="Normal 2 49 3 2 2" xfId="31372" xr:uid="{00000000-0005-0000-0000-00004B7F0000}"/>
    <cellStyle name="Normal 2 49 3 2 3" xfId="46864" xr:uid="{00000000-0005-0000-0000-00004C7F0000}"/>
    <cellStyle name="Normal 2 49 3 3" xfId="23632" xr:uid="{00000000-0005-0000-0000-00004D7F0000}"/>
    <cellStyle name="Normal 2 49 3 4" xfId="39124" xr:uid="{00000000-0005-0000-0000-00004E7F0000}"/>
    <cellStyle name="Normal 2 49 4" xfId="11910" xr:uid="{00000000-0005-0000-0000-00004F7F0000}"/>
    <cellStyle name="Normal 2 49 4 2" xfId="27502" xr:uid="{00000000-0005-0000-0000-0000507F0000}"/>
    <cellStyle name="Normal 2 49 4 3" xfId="42994" xr:uid="{00000000-0005-0000-0000-0000517F0000}"/>
    <cellStyle name="Normal 2 49 5" xfId="19762" xr:uid="{00000000-0005-0000-0000-0000527F0000}"/>
    <cellStyle name="Normal 2 49 6" xfId="35254" xr:uid="{00000000-0005-0000-0000-0000537F0000}"/>
    <cellStyle name="Normal 2 5" xfId="1992" xr:uid="{00000000-0005-0000-0000-0000547F0000}"/>
    <cellStyle name="Normal 2 5 2" xfId="1993" xr:uid="{00000000-0005-0000-0000-0000557F0000}"/>
    <cellStyle name="Normal 2 5 3" xfId="1994" xr:uid="{00000000-0005-0000-0000-0000567F0000}"/>
    <cellStyle name="Normal 2 50" xfId="4180" xr:uid="{00000000-0005-0000-0000-0000577F0000}"/>
    <cellStyle name="Normal 2 50 2" xfId="8051" xr:uid="{00000000-0005-0000-0000-0000587F0000}"/>
    <cellStyle name="Normal 2 50 2 2" xfId="15796" xr:uid="{00000000-0005-0000-0000-0000597F0000}"/>
    <cellStyle name="Normal 2 50 2 2 2" xfId="31388" xr:uid="{00000000-0005-0000-0000-00005A7F0000}"/>
    <cellStyle name="Normal 2 50 2 2 3" xfId="46880" xr:uid="{00000000-0005-0000-0000-00005B7F0000}"/>
    <cellStyle name="Normal 2 50 2 3" xfId="23648" xr:uid="{00000000-0005-0000-0000-00005C7F0000}"/>
    <cellStyle name="Normal 2 50 2 4" xfId="39140" xr:uid="{00000000-0005-0000-0000-00005D7F0000}"/>
    <cellStyle name="Normal 2 50 3" xfId="11926" xr:uid="{00000000-0005-0000-0000-00005E7F0000}"/>
    <cellStyle name="Normal 2 50 3 2" xfId="27518" xr:uid="{00000000-0005-0000-0000-00005F7F0000}"/>
    <cellStyle name="Normal 2 50 3 3" xfId="43010" xr:uid="{00000000-0005-0000-0000-0000607F0000}"/>
    <cellStyle name="Normal 2 50 4" xfId="19778" xr:uid="{00000000-0005-0000-0000-0000617F0000}"/>
    <cellStyle name="Normal 2 50 5" xfId="35270" xr:uid="{00000000-0005-0000-0000-0000627F0000}"/>
    <cellStyle name="Normal 2 51" xfId="6108" xr:uid="{00000000-0005-0000-0000-0000637F0000}"/>
    <cellStyle name="Normal 2 51 2" xfId="9978" xr:uid="{00000000-0005-0000-0000-0000647F0000}"/>
    <cellStyle name="Normal 2 51 2 2" xfId="17723" xr:uid="{00000000-0005-0000-0000-0000657F0000}"/>
    <cellStyle name="Normal 2 51 2 2 2" xfId="33315" xr:uid="{00000000-0005-0000-0000-0000667F0000}"/>
    <cellStyle name="Normal 2 51 2 2 3" xfId="48807" xr:uid="{00000000-0005-0000-0000-0000677F0000}"/>
    <cellStyle name="Normal 2 51 2 3" xfId="25575" xr:uid="{00000000-0005-0000-0000-0000687F0000}"/>
    <cellStyle name="Normal 2 51 2 4" xfId="41067" xr:uid="{00000000-0005-0000-0000-0000697F0000}"/>
    <cellStyle name="Normal 2 51 3" xfId="13853" xr:uid="{00000000-0005-0000-0000-00006A7F0000}"/>
    <cellStyle name="Normal 2 51 3 2" xfId="29445" xr:uid="{00000000-0005-0000-0000-00006B7F0000}"/>
    <cellStyle name="Normal 2 51 3 3" xfId="44937" xr:uid="{00000000-0005-0000-0000-00006C7F0000}"/>
    <cellStyle name="Normal 2 51 4" xfId="21705" xr:uid="{00000000-0005-0000-0000-00006D7F0000}"/>
    <cellStyle name="Normal 2 51 5" xfId="37197" xr:uid="{00000000-0005-0000-0000-00006E7F0000}"/>
    <cellStyle name="Normal 2 52" xfId="6124" xr:uid="{00000000-0005-0000-0000-00006F7F0000}"/>
    <cellStyle name="Normal 2 52 2" xfId="13869" xr:uid="{00000000-0005-0000-0000-0000707F0000}"/>
    <cellStyle name="Normal 2 52 2 2" xfId="29461" xr:uid="{00000000-0005-0000-0000-0000717F0000}"/>
    <cellStyle name="Normal 2 52 2 3" xfId="44953" xr:uid="{00000000-0005-0000-0000-0000727F0000}"/>
    <cellStyle name="Normal 2 52 3" xfId="21721" xr:uid="{00000000-0005-0000-0000-0000737F0000}"/>
    <cellStyle name="Normal 2 52 4" xfId="37213" xr:uid="{00000000-0005-0000-0000-0000747F0000}"/>
    <cellStyle name="Normal 2 53" xfId="9999" xr:uid="{00000000-0005-0000-0000-0000757F0000}"/>
    <cellStyle name="Normal 2 53 2" xfId="25591" xr:uid="{00000000-0005-0000-0000-0000767F0000}"/>
    <cellStyle name="Normal 2 53 3" xfId="41083" xr:uid="{00000000-0005-0000-0000-0000777F0000}"/>
    <cellStyle name="Normal 2 54" xfId="17851" xr:uid="{00000000-0005-0000-0000-0000787F0000}"/>
    <cellStyle name="Normal 2 55" xfId="33343" xr:uid="{00000000-0005-0000-0000-0000797F0000}"/>
    <cellStyle name="Normal 2 6" xfId="1995" xr:uid="{00000000-0005-0000-0000-00007A7F0000}"/>
    <cellStyle name="Normal 2 7" xfId="1996" xr:uid="{00000000-0005-0000-0000-00007B7F0000}"/>
    <cellStyle name="Normal 2 8" xfId="1997" xr:uid="{00000000-0005-0000-0000-00007C7F0000}"/>
    <cellStyle name="Normal 2 9" xfId="1998" xr:uid="{00000000-0005-0000-0000-00007D7F0000}"/>
    <cellStyle name="Normal 2_List usulan" xfId="1999" xr:uid="{00000000-0005-0000-0000-00007E7F0000}"/>
    <cellStyle name="Normal 20" xfId="2000" xr:uid="{00000000-0005-0000-0000-00007F7F0000}"/>
    <cellStyle name="Normal 20 2" xfId="48872" xr:uid="{00000000-0005-0000-0000-0000807F0000}"/>
    <cellStyle name="Normal 21" xfId="17805" xr:uid="{00000000-0005-0000-0000-0000817F0000}"/>
    <cellStyle name="Normal 21 2" xfId="48931" xr:uid="{00000000-0005-0000-0000-0000827F0000}"/>
    <cellStyle name="Normal 22" xfId="3165" xr:uid="{00000000-0005-0000-0000-0000837F0000}"/>
    <cellStyle name="Normal 22 2" xfId="48935" xr:uid="{00000000-0005-0000-0000-0000847F0000}"/>
    <cellStyle name="Normal 23" xfId="2001" xr:uid="{00000000-0005-0000-0000-0000857F0000}"/>
    <cellStyle name="Normal 23 2" xfId="3166" xr:uid="{00000000-0005-0000-0000-0000867F0000}"/>
    <cellStyle name="Normal 24" xfId="3167" xr:uid="{00000000-0005-0000-0000-0000877F0000}"/>
    <cellStyle name="Normal 24 2" xfId="48938" xr:uid="{00000000-0005-0000-0000-0000887F0000}"/>
    <cellStyle name="Normal 25" xfId="48943" xr:uid="{00000000-0005-0000-0000-0000897F0000}"/>
    <cellStyle name="Normal 26" xfId="3169" xr:uid="{00000000-0005-0000-0000-00008A7F0000}"/>
    <cellStyle name="Normal 26 2" xfId="2002" xr:uid="{00000000-0005-0000-0000-00008B7F0000}"/>
    <cellStyle name="Normal 26 2 10" xfId="2494" xr:uid="{00000000-0005-0000-0000-00008C7F0000}"/>
    <cellStyle name="Normal 26 2 10 2" xfId="3502" xr:uid="{00000000-0005-0000-0000-00008D7F0000}"/>
    <cellStyle name="Normal 26 2 10 2 2" xfId="5441" xr:uid="{00000000-0005-0000-0000-00008E7F0000}"/>
    <cellStyle name="Normal 26 2 10 2 2 2" xfId="9312" xr:uid="{00000000-0005-0000-0000-00008F7F0000}"/>
    <cellStyle name="Normal 26 2 10 2 2 2 2" xfId="17057" xr:uid="{00000000-0005-0000-0000-0000907F0000}"/>
    <cellStyle name="Normal 26 2 10 2 2 2 2 2" xfId="32649" xr:uid="{00000000-0005-0000-0000-0000917F0000}"/>
    <cellStyle name="Normal 26 2 10 2 2 2 2 3" xfId="48141" xr:uid="{00000000-0005-0000-0000-0000927F0000}"/>
    <cellStyle name="Normal 26 2 10 2 2 2 3" xfId="24909" xr:uid="{00000000-0005-0000-0000-0000937F0000}"/>
    <cellStyle name="Normal 26 2 10 2 2 2 4" xfId="40401" xr:uid="{00000000-0005-0000-0000-0000947F0000}"/>
    <cellStyle name="Normal 26 2 10 2 2 3" xfId="13187" xr:uid="{00000000-0005-0000-0000-0000957F0000}"/>
    <cellStyle name="Normal 26 2 10 2 2 3 2" xfId="28779" xr:uid="{00000000-0005-0000-0000-0000967F0000}"/>
    <cellStyle name="Normal 26 2 10 2 2 3 3" xfId="44271" xr:uid="{00000000-0005-0000-0000-0000977F0000}"/>
    <cellStyle name="Normal 26 2 10 2 2 4" xfId="21039" xr:uid="{00000000-0005-0000-0000-0000987F0000}"/>
    <cellStyle name="Normal 26 2 10 2 2 5" xfId="36531" xr:uid="{00000000-0005-0000-0000-0000997F0000}"/>
    <cellStyle name="Normal 26 2 10 2 3" xfId="7385" xr:uid="{00000000-0005-0000-0000-00009A7F0000}"/>
    <cellStyle name="Normal 26 2 10 2 3 2" xfId="15130" xr:uid="{00000000-0005-0000-0000-00009B7F0000}"/>
    <cellStyle name="Normal 26 2 10 2 3 2 2" xfId="30722" xr:uid="{00000000-0005-0000-0000-00009C7F0000}"/>
    <cellStyle name="Normal 26 2 10 2 3 2 3" xfId="46214" xr:uid="{00000000-0005-0000-0000-00009D7F0000}"/>
    <cellStyle name="Normal 26 2 10 2 3 3" xfId="22982" xr:uid="{00000000-0005-0000-0000-00009E7F0000}"/>
    <cellStyle name="Normal 26 2 10 2 3 4" xfId="38474" xr:uid="{00000000-0005-0000-0000-00009F7F0000}"/>
    <cellStyle name="Normal 26 2 10 2 4" xfId="11260" xr:uid="{00000000-0005-0000-0000-0000A07F0000}"/>
    <cellStyle name="Normal 26 2 10 2 4 2" xfId="26852" xr:uid="{00000000-0005-0000-0000-0000A17F0000}"/>
    <cellStyle name="Normal 26 2 10 2 4 3" xfId="42344" xr:uid="{00000000-0005-0000-0000-0000A27F0000}"/>
    <cellStyle name="Normal 26 2 10 2 5" xfId="19112" xr:uid="{00000000-0005-0000-0000-0000A37F0000}"/>
    <cellStyle name="Normal 26 2 10 2 6" xfId="34604" xr:uid="{00000000-0005-0000-0000-0000A47F0000}"/>
    <cellStyle name="Normal 26 2 10 3" xfId="4493" xr:uid="{00000000-0005-0000-0000-0000A57F0000}"/>
    <cellStyle name="Normal 26 2 10 3 2" xfId="8364" xr:uid="{00000000-0005-0000-0000-0000A67F0000}"/>
    <cellStyle name="Normal 26 2 10 3 2 2" xfId="16109" xr:uid="{00000000-0005-0000-0000-0000A77F0000}"/>
    <cellStyle name="Normal 26 2 10 3 2 2 2" xfId="31701" xr:uid="{00000000-0005-0000-0000-0000A87F0000}"/>
    <cellStyle name="Normal 26 2 10 3 2 2 3" xfId="47193" xr:uid="{00000000-0005-0000-0000-0000A97F0000}"/>
    <cellStyle name="Normal 26 2 10 3 2 3" xfId="23961" xr:uid="{00000000-0005-0000-0000-0000AA7F0000}"/>
    <cellStyle name="Normal 26 2 10 3 2 4" xfId="39453" xr:uid="{00000000-0005-0000-0000-0000AB7F0000}"/>
    <cellStyle name="Normal 26 2 10 3 3" xfId="12239" xr:uid="{00000000-0005-0000-0000-0000AC7F0000}"/>
    <cellStyle name="Normal 26 2 10 3 3 2" xfId="27831" xr:uid="{00000000-0005-0000-0000-0000AD7F0000}"/>
    <cellStyle name="Normal 26 2 10 3 3 3" xfId="43323" xr:uid="{00000000-0005-0000-0000-0000AE7F0000}"/>
    <cellStyle name="Normal 26 2 10 3 4" xfId="20091" xr:uid="{00000000-0005-0000-0000-0000AF7F0000}"/>
    <cellStyle name="Normal 26 2 10 3 5" xfId="35583" xr:uid="{00000000-0005-0000-0000-0000B07F0000}"/>
    <cellStyle name="Normal 26 2 10 4" xfId="6437" xr:uid="{00000000-0005-0000-0000-0000B17F0000}"/>
    <cellStyle name="Normal 26 2 10 4 2" xfId="14182" xr:uid="{00000000-0005-0000-0000-0000B27F0000}"/>
    <cellStyle name="Normal 26 2 10 4 2 2" xfId="29774" xr:uid="{00000000-0005-0000-0000-0000B37F0000}"/>
    <cellStyle name="Normal 26 2 10 4 2 3" xfId="45266" xr:uid="{00000000-0005-0000-0000-0000B47F0000}"/>
    <cellStyle name="Normal 26 2 10 4 3" xfId="22034" xr:uid="{00000000-0005-0000-0000-0000B57F0000}"/>
    <cellStyle name="Normal 26 2 10 4 4" xfId="37526" xr:uid="{00000000-0005-0000-0000-0000B67F0000}"/>
    <cellStyle name="Normal 26 2 10 5" xfId="10312" xr:uid="{00000000-0005-0000-0000-0000B77F0000}"/>
    <cellStyle name="Normal 26 2 10 5 2" xfId="25904" xr:uid="{00000000-0005-0000-0000-0000B87F0000}"/>
    <cellStyle name="Normal 26 2 10 5 3" xfId="41396" xr:uid="{00000000-0005-0000-0000-0000B97F0000}"/>
    <cellStyle name="Normal 26 2 10 6" xfId="18164" xr:uid="{00000000-0005-0000-0000-0000BA7F0000}"/>
    <cellStyle name="Normal 26 2 10 7" xfId="33656" xr:uid="{00000000-0005-0000-0000-0000BB7F0000}"/>
    <cellStyle name="Normal 26 2 11" xfId="2820" xr:uid="{00000000-0005-0000-0000-0000BC7F0000}"/>
    <cellStyle name="Normal 26 2 11 2" xfId="3827" xr:uid="{00000000-0005-0000-0000-0000BD7F0000}"/>
    <cellStyle name="Normal 26 2 11 2 2" xfId="5766" xr:uid="{00000000-0005-0000-0000-0000BE7F0000}"/>
    <cellStyle name="Normal 26 2 11 2 2 2" xfId="9637" xr:uid="{00000000-0005-0000-0000-0000BF7F0000}"/>
    <cellStyle name="Normal 26 2 11 2 2 2 2" xfId="17382" xr:uid="{00000000-0005-0000-0000-0000C07F0000}"/>
    <cellStyle name="Normal 26 2 11 2 2 2 2 2" xfId="32974" xr:uid="{00000000-0005-0000-0000-0000C17F0000}"/>
    <cellStyle name="Normal 26 2 11 2 2 2 2 3" xfId="48466" xr:uid="{00000000-0005-0000-0000-0000C27F0000}"/>
    <cellStyle name="Normal 26 2 11 2 2 2 3" xfId="25234" xr:uid="{00000000-0005-0000-0000-0000C37F0000}"/>
    <cellStyle name="Normal 26 2 11 2 2 2 4" xfId="40726" xr:uid="{00000000-0005-0000-0000-0000C47F0000}"/>
    <cellStyle name="Normal 26 2 11 2 2 3" xfId="13512" xr:uid="{00000000-0005-0000-0000-0000C57F0000}"/>
    <cellStyle name="Normal 26 2 11 2 2 3 2" xfId="29104" xr:uid="{00000000-0005-0000-0000-0000C67F0000}"/>
    <cellStyle name="Normal 26 2 11 2 2 3 3" xfId="44596" xr:uid="{00000000-0005-0000-0000-0000C77F0000}"/>
    <cellStyle name="Normal 26 2 11 2 2 4" xfId="21364" xr:uid="{00000000-0005-0000-0000-0000C87F0000}"/>
    <cellStyle name="Normal 26 2 11 2 2 5" xfId="36856" xr:uid="{00000000-0005-0000-0000-0000C97F0000}"/>
    <cellStyle name="Normal 26 2 11 2 3" xfId="7710" xr:uid="{00000000-0005-0000-0000-0000CA7F0000}"/>
    <cellStyle name="Normal 26 2 11 2 3 2" xfId="15455" xr:uid="{00000000-0005-0000-0000-0000CB7F0000}"/>
    <cellStyle name="Normal 26 2 11 2 3 2 2" xfId="31047" xr:uid="{00000000-0005-0000-0000-0000CC7F0000}"/>
    <cellStyle name="Normal 26 2 11 2 3 2 3" xfId="46539" xr:uid="{00000000-0005-0000-0000-0000CD7F0000}"/>
    <cellStyle name="Normal 26 2 11 2 3 3" xfId="23307" xr:uid="{00000000-0005-0000-0000-0000CE7F0000}"/>
    <cellStyle name="Normal 26 2 11 2 3 4" xfId="38799" xr:uid="{00000000-0005-0000-0000-0000CF7F0000}"/>
    <cellStyle name="Normal 26 2 11 2 4" xfId="11585" xr:uid="{00000000-0005-0000-0000-0000D07F0000}"/>
    <cellStyle name="Normal 26 2 11 2 4 2" xfId="27177" xr:uid="{00000000-0005-0000-0000-0000D17F0000}"/>
    <cellStyle name="Normal 26 2 11 2 4 3" xfId="42669" xr:uid="{00000000-0005-0000-0000-0000D27F0000}"/>
    <cellStyle name="Normal 26 2 11 2 5" xfId="19437" xr:uid="{00000000-0005-0000-0000-0000D37F0000}"/>
    <cellStyle name="Normal 26 2 11 2 6" xfId="34929" xr:uid="{00000000-0005-0000-0000-0000D47F0000}"/>
    <cellStyle name="Normal 26 2 11 3" xfId="4818" xr:uid="{00000000-0005-0000-0000-0000D57F0000}"/>
    <cellStyle name="Normal 26 2 11 3 2" xfId="8689" xr:uid="{00000000-0005-0000-0000-0000D67F0000}"/>
    <cellStyle name="Normal 26 2 11 3 2 2" xfId="16434" xr:uid="{00000000-0005-0000-0000-0000D77F0000}"/>
    <cellStyle name="Normal 26 2 11 3 2 2 2" xfId="32026" xr:uid="{00000000-0005-0000-0000-0000D87F0000}"/>
    <cellStyle name="Normal 26 2 11 3 2 2 3" xfId="47518" xr:uid="{00000000-0005-0000-0000-0000D97F0000}"/>
    <cellStyle name="Normal 26 2 11 3 2 3" xfId="24286" xr:uid="{00000000-0005-0000-0000-0000DA7F0000}"/>
    <cellStyle name="Normal 26 2 11 3 2 4" xfId="39778" xr:uid="{00000000-0005-0000-0000-0000DB7F0000}"/>
    <cellStyle name="Normal 26 2 11 3 3" xfId="12564" xr:uid="{00000000-0005-0000-0000-0000DC7F0000}"/>
    <cellStyle name="Normal 26 2 11 3 3 2" xfId="28156" xr:uid="{00000000-0005-0000-0000-0000DD7F0000}"/>
    <cellStyle name="Normal 26 2 11 3 3 3" xfId="43648" xr:uid="{00000000-0005-0000-0000-0000DE7F0000}"/>
    <cellStyle name="Normal 26 2 11 3 4" xfId="20416" xr:uid="{00000000-0005-0000-0000-0000DF7F0000}"/>
    <cellStyle name="Normal 26 2 11 3 5" xfId="35908" xr:uid="{00000000-0005-0000-0000-0000E07F0000}"/>
    <cellStyle name="Normal 26 2 11 4" xfId="6762" xr:uid="{00000000-0005-0000-0000-0000E17F0000}"/>
    <cellStyle name="Normal 26 2 11 4 2" xfId="14507" xr:uid="{00000000-0005-0000-0000-0000E27F0000}"/>
    <cellStyle name="Normal 26 2 11 4 2 2" xfId="30099" xr:uid="{00000000-0005-0000-0000-0000E37F0000}"/>
    <cellStyle name="Normal 26 2 11 4 2 3" xfId="45591" xr:uid="{00000000-0005-0000-0000-0000E47F0000}"/>
    <cellStyle name="Normal 26 2 11 4 3" xfId="22359" xr:uid="{00000000-0005-0000-0000-0000E57F0000}"/>
    <cellStyle name="Normal 26 2 11 4 4" xfId="37851" xr:uid="{00000000-0005-0000-0000-0000E67F0000}"/>
    <cellStyle name="Normal 26 2 11 5" xfId="10637" xr:uid="{00000000-0005-0000-0000-0000E77F0000}"/>
    <cellStyle name="Normal 26 2 11 5 2" xfId="26229" xr:uid="{00000000-0005-0000-0000-0000E87F0000}"/>
    <cellStyle name="Normal 26 2 11 5 3" xfId="41721" xr:uid="{00000000-0005-0000-0000-0000E97F0000}"/>
    <cellStyle name="Normal 26 2 11 6" xfId="18489" xr:uid="{00000000-0005-0000-0000-0000EA7F0000}"/>
    <cellStyle name="Normal 26 2 11 7" xfId="33981" xr:uid="{00000000-0005-0000-0000-0000EB7F0000}"/>
    <cellStyle name="Normal 26 2 12" xfId="2859" xr:uid="{00000000-0005-0000-0000-0000EC7F0000}"/>
    <cellStyle name="Normal 26 2 12 2" xfId="3865" xr:uid="{00000000-0005-0000-0000-0000ED7F0000}"/>
    <cellStyle name="Normal 26 2 12 2 2" xfId="5804" xr:uid="{00000000-0005-0000-0000-0000EE7F0000}"/>
    <cellStyle name="Normal 26 2 12 2 2 2" xfId="9675" xr:uid="{00000000-0005-0000-0000-0000EF7F0000}"/>
    <cellStyle name="Normal 26 2 12 2 2 2 2" xfId="17420" xr:uid="{00000000-0005-0000-0000-0000F07F0000}"/>
    <cellStyle name="Normal 26 2 12 2 2 2 2 2" xfId="33012" xr:uid="{00000000-0005-0000-0000-0000F17F0000}"/>
    <cellStyle name="Normal 26 2 12 2 2 2 2 3" xfId="48504" xr:uid="{00000000-0005-0000-0000-0000F27F0000}"/>
    <cellStyle name="Normal 26 2 12 2 2 2 3" xfId="25272" xr:uid="{00000000-0005-0000-0000-0000F37F0000}"/>
    <cellStyle name="Normal 26 2 12 2 2 2 4" xfId="40764" xr:uid="{00000000-0005-0000-0000-0000F47F0000}"/>
    <cellStyle name="Normal 26 2 12 2 2 3" xfId="13550" xr:uid="{00000000-0005-0000-0000-0000F57F0000}"/>
    <cellStyle name="Normal 26 2 12 2 2 3 2" xfId="29142" xr:uid="{00000000-0005-0000-0000-0000F67F0000}"/>
    <cellStyle name="Normal 26 2 12 2 2 3 3" xfId="44634" xr:uid="{00000000-0005-0000-0000-0000F77F0000}"/>
    <cellStyle name="Normal 26 2 12 2 2 4" xfId="21402" xr:uid="{00000000-0005-0000-0000-0000F87F0000}"/>
    <cellStyle name="Normal 26 2 12 2 2 5" xfId="36894" xr:uid="{00000000-0005-0000-0000-0000F97F0000}"/>
    <cellStyle name="Normal 26 2 12 2 3" xfId="7748" xr:uid="{00000000-0005-0000-0000-0000FA7F0000}"/>
    <cellStyle name="Normal 26 2 12 2 3 2" xfId="15493" xr:uid="{00000000-0005-0000-0000-0000FB7F0000}"/>
    <cellStyle name="Normal 26 2 12 2 3 2 2" xfId="31085" xr:uid="{00000000-0005-0000-0000-0000FC7F0000}"/>
    <cellStyle name="Normal 26 2 12 2 3 2 3" xfId="46577" xr:uid="{00000000-0005-0000-0000-0000FD7F0000}"/>
    <cellStyle name="Normal 26 2 12 2 3 3" xfId="23345" xr:uid="{00000000-0005-0000-0000-0000FE7F0000}"/>
    <cellStyle name="Normal 26 2 12 2 3 4" xfId="38837" xr:uid="{00000000-0005-0000-0000-0000FF7F0000}"/>
    <cellStyle name="Normal 26 2 12 2 4" xfId="11623" xr:uid="{00000000-0005-0000-0000-000000800000}"/>
    <cellStyle name="Normal 26 2 12 2 4 2" xfId="27215" xr:uid="{00000000-0005-0000-0000-000001800000}"/>
    <cellStyle name="Normal 26 2 12 2 4 3" xfId="42707" xr:uid="{00000000-0005-0000-0000-000002800000}"/>
    <cellStyle name="Normal 26 2 12 2 5" xfId="19475" xr:uid="{00000000-0005-0000-0000-000003800000}"/>
    <cellStyle name="Normal 26 2 12 2 6" xfId="34967" xr:uid="{00000000-0005-0000-0000-000004800000}"/>
    <cellStyle name="Normal 26 2 12 3" xfId="4856" xr:uid="{00000000-0005-0000-0000-000005800000}"/>
    <cellStyle name="Normal 26 2 12 3 2" xfId="8727" xr:uid="{00000000-0005-0000-0000-000006800000}"/>
    <cellStyle name="Normal 26 2 12 3 2 2" xfId="16472" xr:uid="{00000000-0005-0000-0000-000007800000}"/>
    <cellStyle name="Normal 26 2 12 3 2 2 2" xfId="32064" xr:uid="{00000000-0005-0000-0000-000008800000}"/>
    <cellStyle name="Normal 26 2 12 3 2 2 3" xfId="47556" xr:uid="{00000000-0005-0000-0000-000009800000}"/>
    <cellStyle name="Normal 26 2 12 3 2 3" xfId="24324" xr:uid="{00000000-0005-0000-0000-00000A800000}"/>
    <cellStyle name="Normal 26 2 12 3 2 4" xfId="39816" xr:uid="{00000000-0005-0000-0000-00000B800000}"/>
    <cellStyle name="Normal 26 2 12 3 3" xfId="12602" xr:uid="{00000000-0005-0000-0000-00000C800000}"/>
    <cellStyle name="Normal 26 2 12 3 3 2" xfId="28194" xr:uid="{00000000-0005-0000-0000-00000D800000}"/>
    <cellStyle name="Normal 26 2 12 3 3 3" xfId="43686" xr:uid="{00000000-0005-0000-0000-00000E800000}"/>
    <cellStyle name="Normal 26 2 12 3 4" xfId="20454" xr:uid="{00000000-0005-0000-0000-00000F800000}"/>
    <cellStyle name="Normal 26 2 12 3 5" xfId="35946" xr:uid="{00000000-0005-0000-0000-000010800000}"/>
    <cellStyle name="Normal 26 2 12 4" xfId="6800" xr:uid="{00000000-0005-0000-0000-000011800000}"/>
    <cellStyle name="Normal 26 2 12 4 2" xfId="14545" xr:uid="{00000000-0005-0000-0000-000012800000}"/>
    <cellStyle name="Normal 26 2 12 4 2 2" xfId="30137" xr:uid="{00000000-0005-0000-0000-000013800000}"/>
    <cellStyle name="Normal 26 2 12 4 2 3" xfId="45629" xr:uid="{00000000-0005-0000-0000-000014800000}"/>
    <cellStyle name="Normal 26 2 12 4 3" xfId="22397" xr:uid="{00000000-0005-0000-0000-000015800000}"/>
    <cellStyle name="Normal 26 2 12 4 4" xfId="37889" xr:uid="{00000000-0005-0000-0000-000016800000}"/>
    <cellStyle name="Normal 26 2 12 5" xfId="10675" xr:uid="{00000000-0005-0000-0000-000017800000}"/>
    <cellStyle name="Normal 26 2 12 5 2" xfId="26267" xr:uid="{00000000-0005-0000-0000-000018800000}"/>
    <cellStyle name="Normal 26 2 12 5 3" xfId="41759" xr:uid="{00000000-0005-0000-0000-000019800000}"/>
    <cellStyle name="Normal 26 2 12 6" xfId="18527" xr:uid="{00000000-0005-0000-0000-00001A800000}"/>
    <cellStyle name="Normal 26 2 12 7" xfId="34019" xr:uid="{00000000-0005-0000-0000-00001B800000}"/>
    <cellStyle name="Normal 26 2 13" xfId="2896" xr:uid="{00000000-0005-0000-0000-00001C800000}"/>
    <cellStyle name="Normal 26 2 13 2" xfId="3901" xr:uid="{00000000-0005-0000-0000-00001D800000}"/>
    <cellStyle name="Normal 26 2 13 2 2" xfId="5840" xr:uid="{00000000-0005-0000-0000-00001E800000}"/>
    <cellStyle name="Normal 26 2 13 2 2 2" xfId="9711" xr:uid="{00000000-0005-0000-0000-00001F800000}"/>
    <cellStyle name="Normal 26 2 13 2 2 2 2" xfId="17456" xr:uid="{00000000-0005-0000-0000-000020800000}"/>
    <cellStyle name="Normal 26 2 13 2 2 2 2 2" xfId="33048" xr:uid="{00000000-0005-0000-0000-000021800000}"/>
    <cellStyle name="Normal 26 2 13 2 2 2 2 3" xfId="48540" xr:uid="{00000000-0005-0000-0000-000022800000}"/>
    <cellStyle name="Normal 26 2 13 2 2 2 3" xfId="25308" xr:uid="{00000000-0005-0000-0000-000023800000}"/>
    <cellStyle name="Normal 26 2 13 2 2 2 4" xfId="40800" xr:uid="{00000000-0005-0000-0000-000024800000}"/>
    <cellStyle name="Normal 26 2 13 2 2 3" xfId="13586" xr:uid="{00000000-0005-0000-0000-000025800000}"/>
    <cellStyle name="Normal 26 2 13 2 2 3 2" xfId="29178" xr:uid="{00000000-0005-0000-0000-000026800000}"/>
    <cellStyle name="Normal 26 2 13 2 2 3 3" xfId="44670" xr:uid="{00000000-0005-0000-0000-000027800000}"/>
    <cellStyle name="Normal 26 2 13 2 2 4" xfId="21438" xr:uid="{00000000-0005-0000-0000-000028800000}"/>
    <cellStyle name="Normal 26 2 13 2 2 5" xfId="36930" xr:uid="{00000000-0005-0000-0000-000029800000}"/>
    <cellStyle name="Normal 26 2 13 2 3" xfId="7784" xr:uid="{00000000-0005-0000-0000-00002A800000}"/>
    <cellStyle name="Normal 26 2 13 2 3 2" xfId="15529" xr:uid="{00000000-0005-0000-0000-00002B800000}"/>
    <cellStyle name="Normal 26 2 13 2 3 2 2" xfId="31121" xr:uid="{00000000-0005-0000-0000-00002C800000}"/>
    <cellStyle name="Normal 26 2 13 2 3 2 3" xfId="46613" xr:uid="{00000000-0005-0000-0000-00002D800000}"/>
    <cellStyle name="Normal 26 2 13 2 3 3" xfId="23381" xr:uid="{00000000-0005-0000-0000-00002E800000}"/>
    <cellStyle name="Normal 26 2 13 2 3 4" xfId="38873" xr:uid="{00000000-0005-0000-0000-00002F800000}"/>
    <cellStyle name="Normal 26 2 13 2 4" xfId="11659" xr:uid="{00000000-0005-0000-0000-000030800000}"/>
    <cellStyle name="Normal 26 2 13 2 4 2" xfId="27251" xr:uid="{00000000-0005-0000-0000-000031800000}"/>
    <cellStyle name="Normal 26 2 13 2 4 3" xfId="42743" xr:uid="{00000000-0005-0000-0000-000032800000}"/>
    <cellStyle name="Normal 26 2 13 2 5" xfId="19511" xr:uid="{00000000-0005-0000-0000-000033800000}"/>
    <cellStyle name="Normal 26 2 13 2 6" xfId="35003" xr:uid="{00000000-0005-0000-0000-000034800000}"/>
    <cellStyle name="Normal 26 2 13 3" xfId="4892" xr:uid="{00000000-0005-0000-0000-000035800000}"/>
    <cellStyle name="Normal 26 2 13 3 2" xfId="8763" xr:uid="{00000000-0005-0000-0000-000036800000}"/>
    <cellStyle name="Normal 26 2 13 3 2 2" xfId="16508" xr:uid="{00000000-0005-0000-0000-000037800000}"/>
    <cellStyle name="Normal 26 2 13 3 2 2 2" xfId="32100" xr:uid="{00000000-0005-0000-0000-000038800000}"/>
    <cellStyle name="Normal 26 2 13 3 2 2 3" xfId="47592" xr:uid="{00000000-0005-0000-0000-000039800000}"/>
    <cellStyle name="Normal 26 2 13 3 2 3" xfId="24360" xr:uid="{00000000-0005-0000-0000-00003A800000}"/>
    <cellStyle name="Normal 26 2 13 3 2 4" xfId="39852" xr:uid="{00000000-0005-0000-0000-00003B800000}"/>
    <cellStyle name="Normal 26 2 13 3 3" xfId="12638" xr:uid="{00000000-0005-0000-0000-00003C800000}"/>
    <cellStyle name="Normal 26 2 13 3 3 2" xfId="28230" xr:uid="{00000000-0005-0000-0000-00003D800000}"/>
    <cellStyle name="Normal 26 2 13 3 3 3" xfId="43722" xr:uid="{00000000-0005-0000-0000-00003E800000}"/>
    <cellStyle name="Normal 26 2 13 3 4" xfId="20490" xr:uid="{00000000-0005-0000-0000-00003F800000}"/>
    <cellStyle name="Normal 26 2 13 3 5" xfId="35982" xr:uid="{00000000-0005-0000-0000-000040800000}"/>
    <cellStyle name="Normal 26 2 13 4" xfId="6836" xr:uid="{00000000-0005-0000-0000-000041800000}"/>
    <cellStyle name="Normal 26 2 13 4 2" xfId="14581" xr:uid="{00000000-0005-0000-0000-000042800000}"/>
    <cellStyle name="Normal 26 2 13 4 2 2" xfId="30173" xr:uid="{00000000-0005-0000-0000-000043800000}"/>
    <cellStyle name="Normal 26 2 13 4 2 3" xfId="45665" xr:uid="{00000000-0005-0000-0000-000044800000}"/>
    <cellStyle name="Normal 26 2 13 4 3" xfId="22433" xr:uid="{00000000-0005-0000-0000-000045800000}"/>
    <cellStyle name="Normal 26 2 13 4 4" xfId="37925" xr:uid="{00000000-0005-0000-0000-000046800000}"/>
    <cellStyle name="Normal 26 2 13 5" xfId="10711" xr:uid="{00000000-0005-0000-0000-000047800000}"/>
    <cellStyle name="Normal 26 2 13 5 2" xfId="26303" xr:uid="{00000000-0005-0000-0000-000048800000}"/>
    <cellStyle name="Normal 26 2 13 5 3" xfId="41795" xr:uid="{00000000-0005-0000-0000-000049800000}"/>
    <cellStyle name="Normal 26 2 13 6" xfId="18563" xr:uid="{00000000-0005-0000-0000-00004A800000}"/>
    <cellStyle name="Normal 26 2 13 7" xfId="34055" xr:uid="{00000000-0005-0000-0000-00004B800000}"/>
    <cellStyle name="Normal 26 2 14" xfId="2933" xr:uid="{00000000-0005-0000-0000-00004C800000}"/>
    <cellStyle name="Normal 26 2 14 2" xfId="3937" xr:uid="{00000000-0005-0000-0000-00004D800000}"/>
    <cellStyle name="Normal 26 2 14 2 2" xfId="5876" xr:uid="{00000000-0005-0000-0000-00004E800000}"/>
    <cellStyle name="Normal 26 2 14 2 2 2" xfId="9747" xr:uid="{00000000-0005-0000-0000-00004F800000}"/>
    <cellStyle name="Normal 26 2 14 2 2 2 2" xfId="17492" xr:uid="{00000000-0005-0000-0000-000050800000}"/>
    <cellStyle name="Normal 26 2 14 2 2 2 2 2" xfId="33084" xr:uid="{00000000-0005-0000-0000-000051800000}"/>
    <cellStyle name="Normal 26 2 14 2 2 2 2 3" xfId="48576" xr:uid="{00000000-0005-0000-0000-000052800000}"/>
    <cellStyle name="Normal 26 2 14 2 2 2 3" xfId="25344" xr:uid="{00000000-0005-0000-0000-000053800000}"/>
    <cellStyle name="Normal 26 2 14 2 2 2 4" xfId="40836" xr:uid="{00000000-0005-0000-0000-000054800000}"/>
    <cellStyle name="Normal 26 2 14 2 2 3" xfId="13622" xr:uid="{00000000-0005-0000-0000-000055800000}"/>
    <cellStyle name="Normal 26 2 14 2 2 3 2" xfId="29214" xr:uid="{00000000-0005-0000-0000-000056800000}"/>
    <cellStyle name="Normal 26 2 14 2 2 3 3" xfId="44706" xr:uid="{00000000-0005-0000-0000-000057800000}"/>
    <cellStyle name="Normal 26 2 14 2 2 4" xfId="21474" xr:uid="{00000000-0005-0000-0000-000058800000}"/>
    <cellStyle name="Normal 26 2 14 2 2 5" xfId="36966" xr:uid="{00000000-0005-0000-0000-000059800000}"/>
    <cellStyle name="Normal 26 2 14 2 3" xfId="7820" xr:uid="{00000000-0005-0000-0000-00005A800000}"/>
    <cellStyle name="Normal 26 2 14 2 3 2" xfId="15565" xr:uid="{00000000-0005-0000-0000-00005B800000}"/>
    <cellStyle name="Normal 26 2 14 2 3 2 2" xfId="31157" xr:uid="{00000000-0005-0000-0000-00005C800000}"/>
    <cellStyle name="Normal 26 2 14 2 3 2 3" xfId="46649" xr:uid="{00000000-0005-0000-0000-00005D800000}"/>
    <cellStyle name="Normal 26 2 14 2 3 3" xfId="23417" xr:uid="{00000000-0005-0000-0000-00005E800000}"/>
    <cellStyle name="Normal 26 2 14 2 3 4" xfId="38909" xr:uid="{00000000-0005-0000-0000-00005F800000}"/>
    <cellStyle name="Normal 26 2 14 2 4" xfId="11695" xr:uid="{00000000-0005-0000-0000-000060800000}"/>
    <cellStyle name="Normal 26 2 14 2 4 2" xfId="27287" xr:uid="{00000000-0005-0000-0000-000061800000}"/>
    <cellStyle name="Normal 26 2 14 2 4 3" xfId="42779" xr:uid="{00000000-0005-0000-0000-000062800000}"/>
    <cellStyle name="Normal 26 2 14 2 5" xfId="19547" xr:uid="{00000000-0005-0000-0000-000063800000}"/>
    <cellStyle name="Normal 26 2 14 2 6" xfId="35039" xr:uid="{00000000-0005-0000-0000-000064800000}"/>
    <cellStyle name="Normal 26 2 14 3" xfId="4928" xr:uid="{00000000-0005-0000-0000-000065800000}"/>
    <cellStyle name="Normal 26 2 14 3 2" xfId="8799" xr:uid="{00000000-0005-0000-0000-000066800000}"/>
    <cellStyle name="Normal 26 2 14 3 2 2" xfId="16544" xr:uid="{00000000-0005-0000-0000-000067800000}"/>
    <cellStyle name="Normal 26 2 14 3 2 2 2" xfId="32136" xr:uid="{00000000-0005-0000-0000-000068800000}"/>
    <cellStyle name="Normal 26 2 14 3 2 2 3" xfId="47628" xr:uid="{00000000-0005-0000-0000-000069800000}"/>
    <cellStyle name="Normal 26 2 14 3 2 3" xfId="24396" xr:uid="{00000000-0005-0000-0000-00006A800000}"/>
    <cellStyle name="Normal 26 2 14 3 2 4" xfId="39888" xr:uid="{00000000-0005-0000-0000-00006B800000}"/>
    <cellStyle name="Normal 26 2 14 3 3" xfId="12674" xr:uid="{00000000-0005-0000-0000-00006C800000}"/>
    <cellStyle name="Normal 26 2 14 3 3 2" xfId="28266" xr:uid="{00000000-0005-0000-0000-00006D800000}"/>
    <cellStyle name="Normal 26 2 14 3 3 3" xfId="43758" xr:uid="{00000000-0005-0000-0000-00006E800000}"/>
    <cellStyle name="Normal 26 2 14 3 4" xfId="20526" xr:uid="{00000000-0005-0000-0000-00006F800000}"/>
    <cellStyle name="Normal 26 2 14 3 5" xfId="36018" xr:uid="{00000000-0005-0000-0000-000070800000}"/>
    <cellStyle name="Normal 26 2 14 4" xfId="6872" xr:uid="{00000000-0005-0000-0000-000071800000}"/>
    <cellStyle name="Normal 26 2 14 4 2" xfId="14617" xr:uid="{00000000-0005-0000-0000-000072800000}"/>
    <cellStyle name="Normal 26 2 14 4 2 2" xfId="30209" xr:uid="{00000000-0005-0000-0000-000073800000}"/>
    <cellStyle name="Normal 26 2 14 4 2 3" xfId="45701" xr:uid="{00000000-0005-0000-0000-000074800000}"/>
    <cellStyle name="Normal 26 2 14 4 3" xfId="22469" xr:uid="{00000000-0005-0000-0000-000075800000}"/>
    <cellStyle name="Normal 26 2 14 4 4" xfId="37961" xr:uid="{00000000-0005-0000-0000-000076800000}"/>
    <cellStyle name="Normal 26 2 14 5" xfId="10747" xr:uid="{00000000-0005-0000-0000-000077800000}"/>
    <cellStyle name="Normal 26 2 14 5 2" xfId="26339" xr:uid="{00000000-0005-0000-0000-000078800000}"/>
    <cellStyle name="Normal 26 2 14 5 3" xfId="41831" xr:uid="{00000000-0005-0000-0000-000079800000}"/>
    <cellStyle name="Normal 26 2 14 6" xfId="18599" xr:uid="{00000000-0005-0000-0000-00007A800000}"/>
    <cellStyle name="Normal 26 2 14 7" xfId="34091" xr:uid="{00000000-0005-0000-0000-00007B800000}"/>
    <cellStyle name="Normal 26 2 15" xfId="2972" xr:uid="{00000000-0005-0000-0000-00007C800000}"/>
    <cellStyle name="Normal 26 2 15 2" xfId="3973" xr:uid="{00000000-0005-0000-0000-00007D800000}"/>
    <cellStyle name="Normal 26 2 15 2 2" xfId="5912" xr:uid="{00000000-0005-0000-0000-00007E800000}"/>
    <cellStyle name="Normal 26 2 15 2 2 2" xfId="9783" xr:uid="{00000000-0005-0000-0000-00007F800000}"/>
    <cellStyle name="Normal 26 2 15 2 2 2 2" xfId="17528" xr:uid="{00000000-0005-0000-0000-000080800000}"/>
    <cellStyle name="Normal 26 2 15 2 2 2 2 2" xfId="33120" xr:uid="{00000000-0005-0000-0000-000081800000}"/>
    <cellStyle name="Normal 26 2 15 2 2 2 2 3" xfId="48612" xr:uid="{00000000-0005-0000-0000-000082800000}"/>
    <cellStyle name="Normal 26 2 15 2 2 2 3" xfId="25380" xr:uid="{00000000-0005-0000-0000-000083800000}"/>
    <cellStyle name="Normal 26 2 15 2 2 2 4" xfId="40872" xr:uid="{00000000-0005-0000-0000-000084800000}"/>
    <cellStyle name="Normal 26 2 15 2 2 3" xfId="13658" xr:uid="{00000000-0005-0000-0000-000085800000}"/>
    <cellStyle name="Normal 26 2 15 2 2 3 2" xfId="29250" xr:uid="{00000000-0005-0000-0000-000086800000}"/>
    <cellStyle name="Normal 26 2 15 2 2 3 3" xfId="44742" xr:uid="{00000000-0005-0000-0000-000087800000}"/>
    <cellStyle name="Normal 26 2 15 2 2 4" xfId="21510" xr:uid="{00000000-0005-0000-0000-000088800000}"/>
    <cellStyle name="Normal 26 2 15 2 2 5" xfId="37002" xr:uid="{00000000-0005-0000-0000-000089800000}"/>
    <cellStyle name="Normal 26 2 15 2 3" xfId="7856" xr:uid="{00000000-0005-0000-0000-00008A800000}"/>
    <cellStyle name="Normal 26 2 15 2 3 2" xfId="15601" xr:uid="{00000000-0005-0000-0000-00008B800000}"/>
    <cellStyle name="Normal 26 2 15 2 3 2 2" xfId="31193" xr:uid="{00000000-0005-0000-0000-00008C800000}"/>
    <cellStyle name="Normal 26 2 15 2 3 2 3" xfId="46685" xr:uid="{00000000-0005-0000-0000-00008D800000}"/>
    <cellStyle name="Normal 26 2 15 2 3 3" xfId="23453" xr:uid="{00000000-0005-0000-0000-00008E800000}"/>
    <cellStyle name="Normal 26 2 15 2 3 4" xfId="38945" xr:uid="{00000000-0005-0000-0000-00008F800000}"/>
    <cellStyle name="Normal 26 2 15 2 4" xfId="11731" xr:uid="{00000000-0005-0000-0000-000090800000}"/>
    <cellStyle name="Normal 26 2 15 2 4 2" xfId="27323" xr:uid="{00000000-0005-0000-0000-000091800000}"/>
    <cellStyle name="Normal 26 2 15 2 4 3" xfId="42815" xr:uid="{00000000-0005-0000-0000-000092800000}"/>
    <cellStyle name="Normal 26 2 15 2 5" xfId="19583" xr:uid="{00000000-0005-0000-0000-000093800000}"/>
    <cellStyle name="Normal 26 2 15 2 6" xfId="35075" xr:uid="{00000000-0005-0000-0000-000094800000}"/>
    <cellStyle name="Normal 26 2 15 3" xfId="4964" xr:uid="{00000000-0005-0000-0000-000095800000}"/>
    <cellStyle name="Normal 26 2 15 3 2" xfId="8835" xr:uid="{00000000-0005-0000-0000-000096800000}"/>
    <cellStyle name="Normal 26 2 15 3 2 2" xfId="16580" xr:uid="{00000000-0005-0000-0000-000097800000}"/>
    <cellStyle name="Normal 26 2 15 3 2 2 2" xfId="32172" xr:uid="{00000000-0005-0000-0000-000098800000}"/>
    <cellStyle name="Normal 26 2 15 3 2 2 3" xfId="47664" xr:uid="{00000000-0005-0000-0000-000099800000}"/>
    <cellStyle name="Normal 26 2 15 3 2 3" xfId="24432" xr:uid="{00000000-0005-0000-0000-00009A800000}"/>
    <cellStyle name="Normal 26 2 15 3 2 4" xfId="39924" xr:uid="{00000000-0005-0000-0000-00009B800000}"/>
    <cellStyle name="Normal 26 2 15 3 3" xfId="12710" xr:uid="{00000000-0005-0000-0000-00009C800000}"/>
    <cellStyle name="Normal 26 2 15 3 3 2" xfId="28302" xr:uid="{00000000-0005-0000-0000-00009D800000}"/>
    <cellStyle name="Normal 26 2 15 3 3 3" xfId="43794" xr:uid="{00000000-0005-0000-0000-00009E800000}"/>
    <cellStyle name="Normal 26 2 15 3 4" xfId="20562" xr:uid="{00000000-0005-0000-0000-00009F800000}"/>
    <cellStyle name="Normal 26 2 15 3 5" xfId="36054" xr:uid="{00000000-0005-0000-0000-0000A0800000}"/>
    <cellStyle name="Normal 26 2 15 4" xfId="6908" xr:uid="{00000000-0005-0000-0000-0000A1800000}"/>
    <cellStyle name="Normal 26 2 15 4 2" xfId="14653" xr:uid="{00000000-0005-0000-0000-0000A2800000}"/>
    <cellStyle name="Normal 26 2 15 4 2 2" xfId="30245" xr:uid="{00000000-0005-0000-0000-0000A3800000}"/>
    <cellStyle name="Normal 26 2 15 4 2 3" xfId="45737" xr:uid="{00000000-0005-0000-0000-0000A4800000}"/>
    <cellStyle name="Normal 26 2 15 4 3" xfId="22505" xr:uid="{00000000-0005-0000-0000-0000A5800000}"/>
    <cellStyle name="Normal 26 2 15 4 4" xfId="37997" xr:uid="{00000000-0005-0000-0000-0000A6800000}"/>
    <cellStyle name="Normal 26 2 15 5" xfId="10783" xr:uid="{00000000-0005-0000-0000-0000A7800000}"/>
    <cellStyle name="Normal 26 2 15 5 2" xfId="26375" xr:uid="{00000000-0005-0000-0000-0000A8800000}"/>
    <cellStyle name="Normal 26 2 15 5 3" xfId="41867" xr:uid="{00000000-0005-0000-0000-0000A9800000}"/>
    <cellStyle name="Normal 26 2 15 6" xfId="18635" xr:uid="{00000000-0005-0000-0000-0000AA800000}"/>
    <cellStyle name="Normal 26 2 15 7" xfId="34127" xr:uid="{00000000-0005-0000-0000-0000AB800000}"/>
    <cellStyle name="Normal 26 2 16" xfId="3012" xr:uid="{00000000-0005-0000-0000-0000AC800000}"/>
    <cellStyle name="Normal 26 2 16 2" xfId="4009" xr:uid="{00000000-0005-0000-0000-0000AD800000}"/>
    <cellStyle name="Normal 26 2 16 2 2" xfId="5948" xr:uid="{00000000-0005-0000-0000-0000AE800000}"/>
    <cellStyle name="Normal 26 2 16 2 2 2" xfId="9819" xr:uid="{00000000-0005-0000-0000-0000AF800000}"/>
    <cellStyle name="Normal 26 2 16 2 2 2 2" xfId="17564" xr:uid="{00000000-0005-0000-0000-0000B0800000}"/>
    <cellStyle name="Normal 26 2 16 2 2 2 2 2" xfId="33156" xr:uid="{00000000-0005-0000-0000-0000B1800000}"/>
    <cellStyle name="Normal 26 2 16 2 2 2 2 3" xfId="48648" xr:uid="{00000000-0005-0000-0000-0000B2800000}"/>
    <cellStyle name="Normal 26 2 16 2 2 2 3" xfId="25416" xr:uid="{00000000-0005-0000-0000-0000B3800000}"/>
    <cellStyle name="Normal 26 2 16 2 2 2 4" xfId="40908" xr:uid="{00000000-0005-0000-0000-0000B4800000}"/>
    <cellStyle name="Normal 26 2 16 2 2 3" xfId="13694" xr:uid="{00000000-0005-0000-0000-0000B5800000}"/>
    <cellStyle name="Normal 26 2 16 2 2 3 2" xfId="29286" xr:uid="{00000000-0005-0000-0000-0000B6800000}"/>
    <cellStyle name="Normal 26 2 16 2 2 3 3" xfId="44778" xr:uid="{00000000-0005-0000-0000-0000B7800000}"/>
    <cellStyle name="Normal 26 2 16 2 2 4" xfId="21546" xr:uid="{00000000-0005-0000-0000-0000B8800000}"/>
    <cellStyle name="Normal 26 2 16 2 2 5" xfId="37038" xr:uid="{00000000-0005-0000-0000-0000B9800000}"/>
    <cellStyle name="Normal 26 2 16 2 3" xfId="7892" xr:uid="{00000000-0005-0000-0000-0000BA800000}"/>
    <cellStyle name="Normal 26 2 16 2 3 2" xfId="15637" xr:uid="{00000000-0005-0000-0000-0000BB800000}"/>
    <cellStyle name="Normal 26 2 16 2 3 2 2" xfId="31229" xr:uid="{00000000-0005-0000-0000-0000BC800000}"/>
    <cellStyle name="Normal 26 2 16 2 3 2 3" xfId="46721" xr:uid="{00000000-0005-0000-0000-0000BD800000}"/>
    <cellStyle name="Normal 26 2 16 2 3 3" xfId="23489" xr:uid="{00000000-0005-0000-0000-0000BE800000}"/>
    <cellStyle name="Normal 26 2 16 2 3 4" xfId="38981" xr:uid="{00000000-0005-0000-0000-0000BF800000}"/>
    <cellStyle name="Normal 26 2 16 2 4" xfId="11767" xr:uid="{00000000-0005-0000-0000-0000C0800000}"/>
    <cellStyle name="Normal 26 2 16 2 4 2" xfId="27359" xr:uid="{00000000-0005-0000-0000-0000C1800000}"/>
    <cellStyle name="Normal 26 2 16 2 4 3" xfId="42851" xr:uid="{00000000-0005-0000-0000-0000C2800000}"/>
    <cellStyle name="Normal 26 2 16 2 5" xfId="19619" xr:uid="{00000000-0005-0000-0000-0000C3800000}"/>
    <cellStyle name="Normal 26 2 16 2 6" xfId="35111" xr:uid="{00000000-0005-0000-0000-0000C4800000}"/>
    <cellStyle name="Normal 26 2 16 3" xfId="5000" xr:uid="{00000000-0005-0000-0000-0000C5800000}"/>
    <cellStyle name="Normal 26 2 16 3 2" xfId="8871" xr:uid="{00000000-0005-0000-0000-0000C6800000}"/>
    <cellStyle name="Normal 26 2 16 3 2 2" xfId="16616" xr:uid="{00000000-0005-0000-0000-0000C7800000}"/>
    <cellStyle name="Normal 26 2 16 3 2 2 2" xfId="32208" xr:uid="{00000000-0005-0000-0000-0000C8800000}"/>
    <cellStyle name="Normal 26 2 16 3 2 2 3" xfId="47700" xr:uid="{00000000-0005-0000-0000-0000C9800000}"/>
    <cellStyle name="Normal 26 2 16 3 2 3" xfId="24468" xr:uid="{00000000-0005-0000-0000-0000CA800000}"/>
    <cellStyle name="Normal 26 2 16 3 2 4" xfId="39960" xr:uid="{00000000-0005-0000-0000-0000CB800000}"/>
    <cellStyle name="Normal 26 2 16 3 3" xfId="12746" xr:uid="{00000000-0005-0000-0000-0000CC800000}"/>
    <cellStyle name="Normal 26 2 16 3 3 2" xfId="28338" xr:uid="{00000000-0005-0000-0000-0000CD800000}"/>
    <cellStyle name="Normal 26 2 16 3 3 3" xfId="43830" xr:uid="{00000000-0005-0000-0000-0000CE800000}"/>
    <cellStyle name="Normal 26 2 16 3 4" xfId="20598" xr:uid="{00000000-0005-0000-0000-0000CF800000}"/>
    <cellStyle name="Normal 26 2 16 3 5" xfId="36090" xr:uid="{00000000-0005-0000-0000-0000D0800000}"/>
    <cellStyle name="Normal 26 2 16 4" xfId="6944" xr:uid="{00000000-0005-0000-0000-0000D1800000}"/>
    <cellStyle name="Normal 26 2 16 4 2" xfId="14689" xr:uid="{00000000-0005-0000-0000-0000D2800000}"/>
    <cellStyle name="Normal 26 2 16 4 2 2" xfId="30281" xr:uid="{00000000-0005-0000-0000-0000D3800000}"/>
    <cellStyle name="Normal 26 2 16 4 2 3" xfId="45773" xr:uid="{00000000-0005-0000-0000-0000D4800000}"/>
    <cellStyle name="Normal 26 2 16 4 3" xfId="22541" xr:uid="{00000000-0005-0000-0000-0000D5800000}"/>
    <cellStyle name="Normal 26 2 16 4 4" xfId="38033" xr:uid="{00000000-0005-0000-0000-0000D6800000}"/>
    <cellStyle name="Normal 26 2 16 5" xfId="10819" xr:uid="{00000000-0005-0000-0000-0000D7800000}"/>
    <cellStyle name="Normal 26 2 16 5 2" xfId="26411" xr:uid="{00000000-0005-0000-0000-0000D8800000}"/>
    <cellStyle name="Normal 26 2 16 5 3" xfId="41903" xr:uid="{00000000-0005-0000-0000-0000D9800000}"/>
    <cellStyle name="Normal 26 2 16 6" xfId="18671" xr:uid="{00000000-0005-0000-0000-0000DA800000}"/>
    <cellStyle name="Normal 26 2 16 7" xfId="34163" xr:uid="{00000000-0005-0000-0000-0000DB800000}"/>
    <cellStyle name="Normal 26 2 17" xfId="3050" xr:uid="{00000000-0005-0000-0000-0000DC800000}"/>
    <cellStyle name="Normal 26 2 17 2" xfId="4045" xr:uid="{00000000-0005-0000-0000-0000DD800000}"/>
    <cellStyle name="Normal 26 2 17 2 2" xfId="5984" xr:uid="{00000000-0005-0000-0000-0000DE800000}"/>
    <cellStyle name="Normal 26 2 17 2 2 2" xfId="9855" xr:uid="{00000000-0005-0000-0000-0000DF800000}"/>
    <cellStyle name="Normal 26 2 17 2 2 2 2" xfId="17600" xr:uid="{00000000-0005-0000-0000-0000E0800000}"/>
    <cellStyle name="Normal 26 2 17 2 2 2 2 2" xfId="33192" xr:uid="{00000000-0005-0000-0000-0000E1800000}"/>
    <cellStyle name="Normal 26 2 17 2 2 2 2 3" xfId="48684" xr:uid="{00000000-0005-0000-0000-0000E2800000}"/>
    <cellStyle name="Normal 26 2 17 2 2 2 3" xfId="25452" xr:uid="{00000000-0005-0000-0000-0000E3800000}"/>
    <cellStyle name="Normal 26 2 17 2 2 2 4" xfId="40944" xr:uid="{00000000-0005-0000-0000-0000E4800000}"/>
    <cellStyle name="Normal 26 2 17 2 2 3" xfId="13730" xr:uid="{00000000-0005-0000-0000-0000E5800000}"/>
    <cellStyle name="Normal 26 2 17 2 2 3 2" xfId="29322" xr:uid="{00000000-0005-0000-0000-0000E6800000}"/>
    <cellStyle name="Normal 26 2 17 2 2 3 3" xfId="44814" xr:uid="{00000000-0005-0000-0000-0000E7800000}"/>
    <cellStyle name="Normal 26 2 17 2 2 4" xfId="21582" xr:uid="{00000000-0005-0000-0000-0000E8800000}"/>
    <cellStyle name="Normal 26 2 17 2 2 5" xfId="37074" xr:uid="{00000000-0005-0000-0000-0000E9800000}"/>
    <cellStyle name="Normal 26 2 17 2 3" xfId="7928" xr:uid="{00000000-0005-0000-0000-0000EA800000}"/>
    <cellStyle name="Normal 26 2 17 2 3 2" xfId="15673" xr:uid="{00000000-0005-0000-0000-0000EB800000}"/>
    <cellStyle name="Normal 26 2 17 2 3 2 2" xfId="31265" xr:uid="{00000000-0005-0000-0000-0000EC800000}"/>
    <cellStyle name="Normal 26 2 17 2 3 2 3" xfId="46757" xr:uid="{00000000-0005-0000-0000-0000ED800000}"/>
    <cellStyle name="Normal 26 2 17 2 3 3" xfId="23525" xr:uid="{00000000-0005-0000-0000-0000EE800000}"/>
    <cellStyle name="Normal 26 2 17 2 3 4" xfId="39017" xr:uid="{00000000-0005-0000-0000-0000EF800000}"/>
    <cellStyle name="Normal 26 2 17 2 4" xfId="11803" xr:uid="{00000000-0005-0000-0000-0000F0800000}"/>
    <cellStyle name="Normal 26 2 17 2 4 2" xfId="27395" xr:uid="{00000000-0005-0000-0000-0000F1800000}"/>
    <cellStyle name="Normal 26 2 17 2 4 3" xfId="42887" xr:uid="{00000000-0005-0000-0000-0000F2800000}"/>
    <cellStyle name="Normal 26 2 17 2 5" xfId="19655" xr:uid="{00000000-0005-0000-0000-0000F3800000}"/>
    <cellStyle name="Normal 26 2 17 2 6" xfId="35147" xr:uid="{00000000-0005-0000-0000-0000F4800000}"/>
    <cellStyle name="Normal 26 2 17 3" xfId="5036" xr:uid="{00000000-0005-0000-0000-0000F5800000}"/>
    <cellStyle name="Normal 26 2 17 3 2" xfId="8907" xr:uid="{00000000-0005-0000-0000-0000F6800000}"/>
    <cellStyle name="Normal 26 2 17 3 2 2" xfId="16652" xr:uid="{00000000-0005-0000-0000-0000F7800000}"/>
    <cellStyle name="Normal 26 2 17 3 2 2 2" xfId="32244" xr:uid="{00000000-0005-0000-0000-0000F8800000}"/>
    <cellStyle name="Normal 26 2 17 3 2 2 3" xfId="47736" xr:uid="{00000000-0005-0000-0000-0000F9800000}"/>
    <cellStyle name="Normal 26 2 17 3 2 3" xfId="24504" xr:uid="{00000000-0005-0000-0000-0000FA800000}"/>
    <cellStyle name="Normal 26 2 17 3 2 4" xfId="39996" xr:uid="{00000000-0005-0000-0000-0000FB800000}"/>
    <cellStyle name="Normal 26 2 17 3 3" xfId="12782" xr:uid="{00000000-0005-0000-0000-0000FC800000}"/>
    <cellStyle name="Normal 26 2 17 3 3 2" xfId="28374" xr:uid="{00000000-0005-0000-0000-0000FD800000}"/>
    <cellStyle name="Normal 26 2 17 3 3 3" xfId="43866" xr:uid="{00000000-0005-0000-0000-0000FE800000}"/>
    <cellStyle name="Normal 26 2 17 3 4" xfId="20634" xr:uid="{00000000-0005-0000-0000-0000FF800000}"/>
    <cellStyle name="Normal 26 2 17 3 5" xfId="36126" xr:uid="{00000000-0005-0000-0000-000000810000}"/>
    <cellStyle name="Normal 26 2 17 4" xfId="6980" xr:uid="{00000000-0005-0000-0000-000001810000}"/>
    <cellStyle name="Normal 26 2 17 4 2" xfId="14725" xr:uid="{00000000-0005-0000-0000-000002810000}"/>
    <cellStyle name="Normal 26 2 17 4 2 2" xfId="30317" xr:uid="{00000000-0005-0000-0000-000003810000}"/>
    <cellStyle name="Normal 26 2 17 4 2 3" xfId="45809" xr:uid="{00000000-0005-0000-0000-000004810000}"/>
    <cellStyle name="Normal 26 2 17 4 3" xfId="22577" xr:uid="{00000000-0005-0000-0000-000005810000}"/>
    <cellStyle name="Normal 26 2 17 4 4" xfId="38069" xr:uid="{00000000-0005-0000-0000-000006810000}"/>
    <cellStyle name="Normal 26 2 17 5" xfId="10855" xr:uid="{00000000-0005-0000-0000-000007810000}"/>
    <cellStyle name="Normal 26 2 17 5 2" xfId="26447" xr:uid="{00000000-0005-0000-0000-000008810000}"/>
    <cellStyle name="Normal 26 2 17 5 3" xfId="41939" xr:uid="{00000000-0005-0000-0000-000009810000}"/>
    <cellStyle name="Normal 26 2 17 6" xfId="18707" xr:uid="{00000000-0005-0000-0000-00000A810000}"/>
    <cellStyle name="Normal 26 2 17 7" xfId="34199" xr:uid="{00000000-0005-0000-0000-00000B810000}"/>
    <cellStyle name="Normal 26 2 18" xfId="3087" xr:uid="{00000000-0005-0000-0000-00000C810000}"/>
    <cellStyle name="Normal 26 2 18 2" xfId="4081" xr:uid="{00000000-0005-0000-0000-00000D810000}"/>
    <cellStyle name="Normal 26 2 18 2 2" xfId="6020" xr:uid="{00000000-0005-0000-0000-00000E810000}"/>
    <cellStyle name="Normal 26 2 18 2 2 2" xfId="9891" xr:uid="{00000000-0005-0000-0000-00000F810000}"/>
    <cellStyle name="Normal 26 2 18 2 2 2 2" xfId="17636" xr:uid="{00000000-0005-0000-0000-000010810000}"/>
    <cellStyle name="Normal 26 2 18 2 2 2 2 2" xfId="33228" xr:uid="{00000000-0005-0000-0000-000011810000}"/>
    <cellStyle name="Normal 26 2 18 2 2 2 2 3" xfId="48720" xr:uid="{00000000-0005-0000-0000-000012810000}"/>
    <cellStyle name="Normal 26 2 18 2 2 2 3" xfId="25488" xr:uid="{00000000-0005-0000-0000-000013810000}"/>
    <cellStyle name="Normal 26 2 18 2 2 2 4" xfId="40980" xr:uid="{00000000-0005-0000-0000-000014810000}"/>
    <cellStyle name="Normal 26 2 18 2 2 3" xfId="13766" xr:uid="{00000000-0005-0000-0000-000015810000}"/>
    <cellStyle name="Normal 26 2 18 2 2 3 2" xfId="29358" xr:uid="{00000000-0005-0000-0000-000016810000}"/>
    <cellStyle name="Normal 26 2 18 2 2 3 3" xfId="44850" xr:uid="{00000000-0005-0000-0000-000017810000}"/>
    <cellStyle name="Normal 26 2 18 2 2 4" xfId="21618" xr:uid="{00000000-0005-0000-0000-000018810000}"/>
    <cellStyle name="Normal 26 2 18 2 2 5" xfId="37110" xr:uid="{00000000-0005-0000-0000-000019810000}"/>
    <cellStyle name="Normal 26 2 18 2 3" xfId="7964" xr:uid="{00000000-0005-0000-0000-00001A810000}"/>
    <cellStyle name="Normal 26 2 18 2 3 2" xfId="15709" xr:uid="{00000000-0005-0000-0000-00001B810000}"/>
    <cellStyle name="Normal 26 2 18 2 3 2 2" xfId="31301" xr:uid="{00000000-0005-0000-0000-00001C810000}"/>
    <cellStyle name="Normal 26 2 18 2 3 2 3" xfId="46793" xr:uid="{00000000-0005-0000-0000-00001D810000}"/>
    <cellStyle name="Normal 26 2 18 2 3 3" xfId="23561" xr:uid="{00000000-0005-0000-0000-00001E810000}"/>
    <cellStyle name="Normal 26 2 18 2 3 4" xfId="39053" xr:uid="{00000000-0005-0000-0000-00001F810000}"/>
    <cellStyle name="Normal 26 2 18 2 4" xfId="11839" xr:uid="{00000000-0005-0000-0000-000020810000}"/>
    <cellStyle name="Normal 26 2 18 2 4 2" xfId="27431" xr:uid="{00000000-0005-0000-0000-000021810000}"/>
    <cellStyle name="Normal 26 2 18 2 4 3" xfId="42923" xr:uid="{00000000-0005-0000-0000-000022810000}"/>
    <cellStyle name="Normal 26 2 18 2 5" xfId="19691" xr:uid="{00000000-0005-0000-0000-000023810000}"/>
    <cellStyle name="Normal 26 2 18 2 6" xfId="35183" xr:uid="{00000000-0005-0000-0000-000024810000}"/>
    <cellStyle name="Normal 26 2 18 3" xfId="5072" xr:uid="{00000000-0005-0000-0000-000025810000}"/>
    <cellStyle name="Normal 26 2 18 3 2" xfId="8943" xr:uid="{00000000-0005-0000-0000-000026810000}"/>
    <cellStyle name="Normal 26 2 18 3 2 2" xfId="16688" xr:uid="{00000000-0005-0000-0000-000027810000}"/>
    <cellStyle name="Normal 26 2 18 3 2 2 2" xfId="32280" xr:uid="{00000000-0005-0000-0000-000028810000}"/>
    <cellStyle name="Normal 26 2 18 3 2 2 3" xfId="47772" xr:uid="{00000000-0005-0000-0000-000029810000}"/>
    <cellStyle name="Normal 26 2 18 3 2 3" xfId="24540" xr:uid="{00000000-0005-0000-0000-00002A810000}"/>
    <cellStyle name="Normal 26 2 18 3 2 4" xfId="40032" xr:uid="{00000000-0005-0000-0000-00002B810000}"/>
    <cellStyle name="Normal 26 2 18 3 3" xfId="12818" xr:uid="{00000000-0005-0000-0000-00002C810000}"/>
    <cellStyle name="Normal 26 2 18 3 3 2" xfId="28410" xr:uid="{00000000-0005-0000-0000-00002D810000}"/>
    <cellStyle name="Normal 26 2 18 3 3 3" xfId="43902" xr:uid="{00000000-0005-0000-0000-00002E810000}"/>
    <cellStyle name="Normal 26 2 18 3 4" xfId="20670" xr:uid="{00000000-0005-0000-0000-00002F810000}"/>
    <cellStyle name="Normal 26 2 18 3 5" xfId="36162" xr:uid="{00000000-0005-0000-0000-000030810000}"/>
    <cellStyle name="Normal 26 2 18 4" xfId="7016" xr:uid="{00000000-0005-0000-0000-000031810000}"/>
    <cellStyle name="Normal 26 2 18 4 2" xfId="14761" xr:uid="{00000000-0005-0000-0000-000032810000}"/>
    <cellStyle name="Normal 26 2 18 4 2 2" xfId="30353" xr:uid="{00000000-0005-0000-0000-000033810000}"/>
    <cellStyle name="Normal 26 2 18 4 2 3" xfId="45845" xr:uid="{00000000-0005-0000-0000-000034810000}"/>
    <cellStyle name="Normal 26 2 18 4 3" xfId="22613" xr:uid="{00000000-0005-0000-0000-000035810000}"/>
    <cellStyle name="Normal 26 2 18 4 4" xfId="38105" xr:uid="{00000000-0005-0000-0000-000036810000}"/>
    <cellStyle name="Normal 26 2 18 5" xfId="10891" xr:uid="{00000000-0005-0000-0000-000037810000}"/>
    <cellStyle name="Normal 26 2 18 5 2" xfId="26483" xr:uid="{00000000-0005-0000-0000-000038810000}"/>
    <cellStyle name="Normal 26 2 18 5 3" xfId="41975" xr:uid="{00000000-0005-0000-0000-000039810000}"/>
    <cellStyle name="Normal 26 2 18 6" xfId="18743" xr:uid="{00000000-0005-0000-0000-00003A810000}"/>
    <cellStyle name="Normal 26 2 18 7" xfId="34235" xr:uid="{00000000-0005-0000-0000-00003B810000}"/>
    <cellStyle name="Normal 26 2 19" xfId="3134" xr:uid="{00000000-0005-0000-0000-00003C810000}"/>
    <cellStyle name="Normal 26 2 19 2" xfId="4117" xr:uid="{00000000-0005-0000-0000-00003D810000}"/>
    <cellStyle name="Normal 26 2 19 2 2" xfId="6056" xr:uid="{00000000-0005-0000-0000-00003E810000}"/>
    <cellStyle name="Normal 26 2 19 2 2 2" xfId="9927" xr:uid="{00000000-0005-0000-0000-00003F810000}"/>
    <cellStyle name="Normal 26 2 19 2 2 2 2" xfId="17672" xr:uid="{00000000-0005-0000-0000-000040810000}"/>
    <cellStyle name="Normal 26 2 19 2 2 2 2 2" xfId="33264" xr:uid="{00000000-0005-0000-0000-000041810000}"/>
    <cellStyle name="Normal 26 2 19 2 2 2 2 3" xfId="48756" xr:uid="{00000000-0005-0000-0000-000042810000}"/>
    <cellStyle name="Normal 26 2 19 2 2 2 3" xfId="25524" xr:uid="{00000000-0005-0000-0000-000043810000}"/>
    <cellStyle name="Normal 26 2 19 2 2 2 4" xfId="41016" xr:uid="{00000000-0005-0000-0000-000044810000}"/>
    <cellStyle name="Normal 26 2 19 2 2 3" xfId="13802" xr:uid="{00000000-0005-0000-0000-000045810000}"/>
    <cellStyle name="Normal 26 2 19 2 2 3 2" xfId="29394" xr:uid="{00000000-0005-0000-0000-000046810000}"/>
    <cellStyle name="Normal 26 2 19 2 2 3 3" xfId="44886" xr:uid="{00000000-0005-0000-0000-000047810000}"/>
    <cellStyle name="Normal 26 2 19 2 2 4" xfId="21654" xr:uid="{00000000-0005-0000-0000-000048810000}"/>
    <cellStyle name="Normal 26 2 19 2 2 5" xfId="37146" xr:uid="{00000000-0005-0000-0000-000049810000}"/>
    <cellStyle name="Normal 26 2 19 2 3" xfId="8000" xr:uid="{00000000-0005-0000-0000-00004A810000}"/>
    <cellStyle name="Normal 26 2 19 2 3 2" xfId="15745" xr:uid="{00000000-0005-0000-0000-00004B810000}"/>
    <cellStyle name="Normal 26 2 19 2 3 2 2" xfId="31337" xr:uid="{00000000-0005-0000-0000-00004C810000}"/>
    <cellStyle name="Normal 26 2 19 2 3 2 3" xfId="46829" xr:uid="{00000000-0005-0000-0000-00004D810000}"/>
    <cellStyle name="Normal 26 2 19 2 3 3" xfId="23597" xr:uid="{00000000-0005-0000-0000-00004E810000}"/>
    <cellStyle name="Normal 26 2 19 2 3 4" xfId="39089" xr:uid="{00000000-0005-0000-0000-00004F810000}"/>
    <cellStyle name="Normal 26 2 19 2 4" xfId="11875" xr:uid="{00000000-0005-0000-0000-000050810000}"/>
    <cellStyle name="Normal 26 2 19 2 4 2" xfId="27467" xr:uid="{00000000-0005-0000-0000-000051810000}"/>
    <cellStyle name="Normal 26 2 19 2 4 3" xfId="42959" xr:uid="{00000000-0005-0000-0000-000052810000}"/>
    <cellStyle name="Normal 26 2 19 2 5" xfId="19727" xr:uid="{00000000-0005-0000-0000-000053810000}"/>
    <cellStyle name="Normal 26 2 19 2 6" xfId="35219" xr:uid="{00000000-0005-0000-0000-000054810000}"/>
    <cellStyle name="Normal 26 2 19 3" xfId="5108" xr:uid="{00000000-0005-0000-0000-000055810000}"/>
    <cellStyle name="Normal 26 2 19 3 2" xfId="8979" xr:uid="{00000000-0005-0000-0000-000056810000}"/>
    <cellStyle name="Normal 26 2 19 3 2 2" xfId="16724" xr:uid="{00000000-0005-0000-0000-000057810000}"/>
    <cellStyle name="Normal 26 2 19 3 2 2 2" xfId="32316" xr:uid="{00000000-0005-0000-0000-000058810000}"/>
    <cellStyle name="Normal 26 2 19 3 2 2 3" xfId="47808" xr:uid="{00000000-0005-0000-0000-000059810000}"/>
    <cellStyle name="Normal 26 2 19 3 2 3" xfId="24576" xr:uid="{00000000-0005-0000-0000-00005A810000}"/>
    <cellStyle name="Normal 26 2 19 3 2 4" xfId="40068" xr:uid="{00000000-0005-0000-0000-00005B810000}"/>
    <cellStyle name="Normal 26 2 19 3 3" xfId="12854" xr:uid="{00000000-0005-0000-0000-00005C810000}"/>
    <cellStyle name="Normal 26 2 19 3 3 2" xfId="28446" xr:uid="{00000000-0005-0000-0000-00005D810000}"/>
    <cellStyle name="Normal 26 2 19 3 3 3" xfId="43938" xr:uid="{00000000-0005-0000-0000-00005E810000}"/>
    <cellStyle name="Normal 26 2 19 3 4" xfId="20706" xr:uid="{00000000-0005-0000-0000-00005F810000}"/>
    <cellStyle name="Normal 26 2 19 3 5" xfId="36198" xr:uid="{00000000-0005-0000-0000-000060810000}"/>
    <cellStyle name="Normal 26 2 19 4" xfId="7052" xr:uid="{00000000-0005-0000-0000-000061810000}"/>
    <cellStyle name="Normal 26 2 19 4 2" xfId="14797" xr:uid="{00000000-0005-0000-0000-000062810000}"/>
    <cellStyle name="Normal 26 2 19 4 2 2" xfId="30389" xr:uid="{00000000-0005-0000-0000-000063810000}"/>
    <cellStyle name="Normal 26 2 19 4 2 3" xfId="45881" xr:uid="{00000000-0005-0000-0000-000064810000}"/>
    <cellStyle name="Normal 26 2 19 4 3" xfId="22649" xr:uid="{00000000-0005-0000-0000-000065810000}"/>
    <cellStyle name="Normal 26 2 19 4 4" xfId="38141" xr:uid="{00000000-0005-0000-0000-000066810000}"/>
    <cellStyle name="Normal 26 2 19 5" xfId="10927" xr:uid="{00000000-0005-0000-0000-000067810000}"/>
    <cellStyle name="Normal 26 2 19 5 2" xfId="26519" xr:uid="{00000000-0005-0000-0000-000068810000}"/>
    <cellStyle name="Normal 26 2 19 5 3" xfId="42011" xr:uid="{00000000-0005-0000-0000-000069810000}"/>
    <cellStyle name="Normal 26 2 19 6" xfId="18779" xr:uid="{00000000-0005-0000-0000-00006A810000}"/>
    <cellStyle name="Normal 26 2 19 7" xfId="34271" xr:uid="{00000000-0005-0000-0000-00006B810000}"/>
    <cellStyle name="Normal 26 2 2" xfId="2196" xr:uid="{00000000-0005-0000-0000-00006C810000}"/>
    <cellStyle name="Normal 26 2 2 2" xfId="2529" xr:uid="{00000000-0005-0000-0000-00006D810000}"/>
    <cellStyle name="Normal 26 2 2 2 2" xfId="3537" xr:uid="{00000000-0005-0000-0000-00006E810000}"/>
    <cellStyle name="Normal 26 2 2 2 2 2" xfId="5476" xr:uid="{00000000-0005-0000-0000-00006F810000}"/>
    <cellStyle name="Normal 26 2 2 2 2 2 2" xfId="9347" xr:uid="{00000000-0005-0000-0000-000070810000}"/>
    <cellStyle name="Normal 26 2 2 2 2 2 2 2" xfId="17092" xr:uid="{00000000-0005-0000-0000-000071810000}"/>
    <cellStyle name="Normal 26 2 2 2 2 2 2 2 2" xfId="32684" xr:uid="{00000000-0005-0000-0000-000072810000}"/>
    <cellStyle name="Normal 26 2 2 2 2 2 2 2 3" xfId="48176" xr:uid="{00000000-0005-0000-0000-000073810000}"/>
    <cellStyle name="Normal 26 2 2 2 2 2 2 3" xfId="24944" xr:uid="{00000000-0005-0000-0000-000074810000}"/>
    <cellStyle name="Normal 26 2 2 2 2 2 2 4" xfId="40436" xr:uid="{00000000-0005-0000-0000-000075810000}"/>
    <cellStyle name="Normal 26 2 2 2 2 2 3" xfId="13222" xr:uid="{00000000-0005-0000-0000-000076810000}"/>
    <cellStyle name="Normal 26 2 2 2 2 2 3 2" xfId="28814" xr:uid="{00000000-0005-0000-0000-000077810000}"/>
    <cellStyle name="Normal 26 2 2 2 2 2 3 3" xfId="44306" xr:uid="{00000000-0005-0000-0000-000078810000}"/>
    <cellStyle name="Normal 26 2 2 2 2 2 4" xfId="21074" xr:uid="{00000000-0005-0000-0000-000079810000}"/>
    <cellStyle name="Normal 26 2 2 2 2 2 5" xfId="36566" xr:uid="{00000000-0005-0000-0000-00007A810000}"/>
    <cellStyle name="Normal 26 2 2 2 2 3" xfId="7420" xr:uid="{00000000-0005-0000-0000-00007B810000}"/>
    <cellStyle name="Normal 26 2 2 2 2 3 2" xfId="15165" xr:uid="{00000000-0005-0000-0000-00007C810000}"/>
    <cellStyle name="Normal 26 2 2 2 2 3 2 2" xfId="30757" xr:uid="{00000000-0005-0000-0000-00007D810000}"/>
    <cellStyle name="Normal 26 2 2 2 2 3 2 3" xfId="46249" xr:uid="{00000000-0005-0000-0000-00007E810000}"/>
    <cellStyle name="Normal 26 2 2 2 2 3 3" xfId="23017" xr:uid="{00000000-0005-0000-0000-00007F810000}"/>
    <cellStyle name="Normal 26 2 2 2 2 3 4" xfId="38509" xr:uid="{00000000-0005-0000-0000-000080810000}"/>
    <cellStyle name="Normal 26 2 2 2 2 4" xfId="11295" xr:uid="{00000000-0005-0000-0000-000081810000}"/>
    <cellStyle name="Normal 26 2 2 2 2 4 2" xfId="26887" xr:uid="{00000000-0005-0000-0000-000082810000}"/>
    <cellStyle name="Normal 26 2 2 2 2 4 3" xfId="42379" xr:uid="{00000000-0005-0000-0000-000083810000}"/>
    <cellStyle name="Normal 26 2 2 2 2 5" xfId="19147" xr:uid="{00000000-0005-0000-0000-000084810000}"/>
    <cellStyle name="Normal 26 2 2 2 2 6" xfId="34639" xr:uid="{00000000-0005-0000-0000-000085810000}"/>
    <cellStyle name="Normal 26 2 2 2 3" xfId="4528" xr:uid="{00000000-0005-0000-0000-000086810000}"/>
    <cellStyle name="Normal 26 2 2 2 3 2" xfId="8399" xr:uid="{00000000-0005-0000-0000-000087810000}"/>
    <cellStyle name="Normal 26 2 2 2 3 2 2" xfId="16144" xr:uid="{00000000-0005-0000-0000-000088810000}"/>
    <cellStyle name="Normal 26 2 2 2 3 2 2 2" xfId="31736" xr:uid="{00000000-0005-0000-0000-000089810000}"/>
    <cellStyle name="Normal 26 2 2 2 3 2 2 3" xfId="47228" xr:uid="{00000000-0005-0000-0000-00008A810000}"/>
    <cellStyle name="Normal 26 2 2 2 3 2 3" xfId="23996" xr:uid="{00000000-0005-0000-0000-00008B810000}"/>
    <cellStyle name="Normal 26 2 2 2 3 2 4" xfId="39488" xr:uid="{00000000-0005-0000-0000-00008C810000}"/>
    <cellStyle name="Normal 26 2 2 2 3 3" xfId="12274" xr:uid="{00000000-0005-0000-0000-00008D810000}"/>
    <cellStyle name="Normal 26 2 2 2 3 3 2" xfId="27866" xr:uid="{00000000-0005-0000-0000-00008E810000}"/>
    <cellStyle name="Normal 26 2 2 2 3 3 3" xfId="43358" xr:uid="{00000000-0005-0000-0000-00008F810000}"/>
    <cellStyle name="Normal 26 2 2 2 3 4" xfId="20126" xr:uid="{00000000-0005-0000-0000-000090810000}"/>
    <cellStyle name="Normal 26 2 2 2 3 5" xfId="35618" xr:uid="{00000000-0005-0000-0000-000091810000}"/>
    <cellStyle name="Normal 26 2 2 2 4" xfId="6472" xr:uid="{00000000-0005-0000-0000-000092810000}"/>
    <cellStyle name="Normal 26 2 2 2 4 2" xfId="14217" xr:uid="{00000000-0005-0000-0000-000093810000}"/>
    <cellStyle name="Normal 26 2 2 2 4 2 2" xfId="29809" xr:uid="{00000000-0005-0000-0000-000094810000}"/>
    <cellStyle name="Normal 26 2 2 2 4 2 3" xfId="45301" xr:uid="{00000000-0005-0000-0000-000095810000}"/>
    <cellStyle name="Normal 26 2 2 2 4 3" xfId="22069" xr:uid="{00000000-0005-0000-0000-000096810000}"/>
    <cellStyle name="Normal 26 2 2 2 4 4" xfId="37561" xr:uid="{00000000-0005-0000-0000-000097810000}"/>
    <cellStyle name="Normal 26 2 2 2 5" xfId="10347" xr:uid="{00000000-0005-0000-0000-000098810000}"/>
    <cellStyle name="Normal 26 2 2 2 5 2" xfId="25939" xr:uid="{00000000-0005-0000-0000-000099810000}"/>
    <cellStyle name="Normal 26 2 2 2 5 3" xfId="41431" xr:uid="{00000000-0005-0000-0000-00009A810000}"/>
    <cellStyle name="Normal 26 2 2 2 6" xfId="18199" xr:uid="{00000000-0005-0000-0000-00009B810000}"/>
    <cellStyle name="Normal 26 2 2 2 7" xfId="33691" xr:uid="{00000000-0005-0000-0000-00009C810000}"/>
    <cellStyle name="Normal 26 2 2 3" xfId="3228" xr:uid="{00000000-0005-0000-0000-00009D810000}"/>
    <cellStyle name="Normal 26 2 2 3 2" xfId="5167" xr:uid="{00000000-0005-0000-0000-00009E810000}"/>
    <cellStyle name="Normal 26 2 2 3 2 2" xfId="9038" xr:uid="{00000000-0005-0000-0000-00009F810000}"/>
    <cellStyle name="Normal 26 2 2 3 2 2 2" xfId="16783" xr:uid="{00000000-0005-0000-0000-0000A0810000}"/>
    <cellStyle name="Normal 26 2 2 3 2 2 2 2" xfId="32375" xr:uid="{00000000-0005-0000-0000-0000A1810000}"/>
    <cellStyle name="Normal 26 2 2 3 2 2 2 3" xfId="47867" xr:uid="{00000000-0005-0000-0000-0000A2810000}"/>
    <cellStyle name="Normal 26 2 2 3 2 2 3" xfId="24635" xr:uid="{00000000-0005-0000-0000-0000A3810000}"/>
    <cellStyle name="Normal 26 2 2 3 2 2 4" xfId="40127" xr:uid="{00000000-0005-0000-0000-0000A4810000}"/>
    <cellStyle name="Normal 26 2 2 3 2 3" xfId="12913" xr:uid="{00000000-0005-0000-0000-0000A5810000}"/>
    <cellStyle name="Normal 26 2 2 3 2 3 2" xfId="28505" xr:uid="{00000000-0005-0000-0000-0000A6810000}"/>
    <cellStyle name="Normal 26 2 2 3 2 3 3" xfId="43997" xr:uid="{00000000-0005-0000-0000-0000A7810000}"/>
    <cellStyle name="Normal 26 2 2 3 2 4" xfId="20765" xr:uid="{00000000-0005-0000-0000-0000A8810000}"/>
    <cellStyle name="Normal 26 2 2 3 2 5" xfId="36257" xr:uid="{00000000-0005-0000-0000-0000A9810000}"/>
    <cellStyle name="Normal 26 2 2 3 3" xfId="7111" xr:uid="{00000000-0005-0000-0000-0000AA810000}"/>
    <cellStyle name="Normal 26 2 2 3 3 2" xfId="14856" xr:uid="{00000000-0005-0000-0000-0000AB810000}"/>
    <cellStyle name="Normal 26 2 2 3 3 2 2" xfId="30448" xr:uid="{00000000-0005-0000-0000-0000AC810000}"/>
    <cellStyle name="Normal 26 2 2 3 3 2 3" xfId="45940" xr:uid="{00000000-0005-0000-0000-0000AD810000}"/>
    <cellStyle name="Normal 26 2 2 3 3 3" xfId="22708" xr:uid="{00000000-0005-0000-0000-0000AE810000}"/>
    <cellStyle name="Normal 26 2 2 3 3 4" xfId="38200" xr:uid="{00000000-0005-0000-0000-0000AF810000}"/>
    <cellStyle name="Normal 26 2 2 3 4" xfId="10986" xr:uid="{00000000-0005-0000-0000-0000B0810000}"/>
    <cellStyle name="Normal 26 2 2 3 4 2" xfId="26578" xr:uid="{00000000-0005-0000-0000-0000B1810000}"/>
    <cellStyle name="Normal 26 2 2 3 4 3" xfId="42070" xr:uid="{00000000-0005-0000-0000-0000B2810000}"/>
    <cellStyle name="Normal 26 2 2 3 5" xfId="18838" xr:uid="{00000000-0005-0000-0000-0000B3810000}"/>
    <cellStyle name="Normal 26 2 2 3 6" xfId="34330" xr:uid="{00000000-0005-0000-0000-0000B4810000}"/>
    <cellStyle name="Normal 26 2 2 4" xfId="4219" xr:uid="{00000000-0005-0000-0000-0000B5810000}"/>
    <cellStyle name="Normal 26 2 2 4 2" xfId="8090" xr:uid="{00000000-0005-0000-0000-0000B6810000}"/>
    <cellStyle name="Normal 26 2 2 4 2 2" xfId="15835" xr:uid="{00000000-0005-0000-0000-0000B7810000}"/>
    <cellStyle name="Normal 26 2 2 4 2 2 2" xfId="31427" xr:uid="{00000000-0005-0000-0000-0000B8810000}"/>
    <cellStyle name="Normal 26 2 2 4 2 2 3" xfId="46919" xr:uid="{00000000-0005-0000-0000-0000B9810000}"/>
    <cellStyle name="Normal 26 2 2 4 2 3" xfId="23687" xr:uid="{00000000-0005-0000-0000-0000BA810000}"/>
    <cellStyle name="Normal 26 2 2 4 2 4" xfId="39179" xr:uid="{00000000-0005-0000-0000-0000BB810000}"/>
    <cellStyle name="Normal 26 2 2 4 3" xfId="11965" xr:uid="{00000000-0005-0000-0000-0000BC810000}"/>
    <cellStyle name="Normal 26 2 2 4 3 2" xfId="27557" xr:uid="{00000000-0005-0000-0000-0000BD810000}"/>
    <cellStyle name="Normal 26 2 2 4 3 3" xfId="43049" xr:uid="{00000000-0005-0000-0000-0000BE810000}"/>
    <cellStyle name="Normal 26 2 2 4 4" xfId="19817" xr:uid="{00000000-0005-0000-0000-0000BF810000}"/>
    <cellStyle name="Normal 26 2 2 4 5" xfId="35309" xr:uid="{00000000-0005-0000-0000-0000C0810000}"/>
    <cellStyle name="Normal 26 2 2 5" xfId="6163" xr:uid="{00000000-0005-0000-0000-0000C1810000}"/>
    <cellStyle name="Normal 26 2 2 5 2" xfId="13908" xr:uid="{00000000-0005-0000-0000-0000C2810000}"/>
    <cellStyle name="Normal 26 2 2 5 2 2" xfId="29500" xr:uid="{00000000-0005-0000-0000-0000C3810000}"/>
    <cellStyle name="Normal 26 2 2 5 2 3" xfId="44992" xr:uid="{00000000-0005-0000-0000-0000C4810000}"/>
    <cellStyle name="Normal 26 2 2 5 3" xfId="21760" xr:uid="{00000000-0005-0000-0000-0000C5810000}"/>
    <cellStyle name="Normal 26 2 2 5 4" xfId="37252" xr:uid="{00000000-0005-0000-0000-0000C6810000}"/>
    <cellStyle name="Normal 26 2 2 6" xfId="10038" xr:uid="{00000000-0005-0000-0000-0000C7810000}"/>
    <cellStyle name="Normal 26 2 2 6 2" xfId="25630" xr:uid="{00000000-0005-0000-0000-0000C8810000}"/>
    <cellStyle name="Normal 26 2 2 6 3" xfId="41122" xr:uid="{00000000-0005-0000-0000-0000C9810000}"/>
    <cellStyle name="Normal 26 2 2 7" xfId="17890" xr:uid="{00000000-0005-0000-0000-0000CA810000}"/>
    <cellStyle name="Normal 26 2 2 8" xfId="33382" xr:uid="{00000000-0005-0000-0000-0000CB810000}"/>
    <cellStyle name="Normal 26 2 20" xfId="3193" xr:uid="{00000000-0005-0000-0000-0000CC810000}"/>
    <cellStyle name="Normal 26 2 20 2" xfId="5132" xr:uid="{00000000-0005-0000-0000-0000CD810000}"/>
    <cellStyle name="Normal 26 2 20 2 2" xfId="9003" xr:uid="{00000000-0005-0000-0000-0000CE810000}"/>
    <cellStyle name="Normal 26 2 20 2 2 2" xfId="16748" xr:uid="{00000000-0005-0000-0000-0000CF810000}"/>
    <cellStyle name="Normal 26 2 20 2 2 2 2" xfId="32340" xr:uid="{00000000-0005-0000-0000-0000D0810000}"/>
    <cellStyle name="Normal 26 2 20 2 2 2 3" xfId="47832" xr:uid="{00000000-0005-0000-0000-0000D1810000}"/>
    <cellStyle name="Normal 26 2 20 2 2 3" xfId="24600" xr:uid="{00000000-0005-0000-0000-0000D2810000}"/>
    <cellStyle name="Normal 26 2 20 2 2 4" xfId="40092" xr:uid="{00000000-0005-0000-0000-0000D3810000}"/>
    <cellStyle name="Normal 26 2 20 2 3" xfId="12878" xr:uid="{00000000-0005-0000-0000-0000D4810000}"/>
    <cellStyle name="Normal 26 2 20 2 3 2" xfId="28470" xr:uid="{00000000-0005-0000-0000-0000D5810000}"/>
    <cellStyle name="Normal 26 2 20 2 3 3" xfId="43962" xr:uid="{00000000-0005-0000-0000-0000D6810000}"/>
    <cellStyle name="Normal 26 2 20 2 4" xfId="20730" xr:uid="{00000000-0005-0000-0000-0000D7810000}"/>
    <cellStyle name="Normal 26 2 20 2 5" xfId="36222" xr:uid="{00000000-0005-0000-0000-0000D8810000}"/>
    <cellStyle name="Normal 26 2 20 3" xfId="7076" xr:uid="{00000000-0005-0000-0000-0000D9810000}"/>
    <cellStyle name="Normal 26 2 20 3 2" xfId="14821" xr:uid="{00000000-0005-0000-0000-0000DA810000}"/>
    <cellStyle name="Normal 26 2 20 3 2 2" xfId="30413" xr:uid="{00000000-0005-0000-0000-0000DB810000}"/>
    <cellStyle name="Normal 26 2 20 3 2 3" xfId="45905" xr:uid="{00000000-0005-0000-0000-0000DC810000}"/>
    <cellStyle name="Normal 26 2 20 3 3" xfId="22673" xr:uid="{00000000-0005-0000-0000-0000DD810000}"/>
    <cellStyle name="Normal 26 2 20 3 4" xfId="38165" xr:uid="{00000000-0005-0000-0000-0000DE810000}"/>
    <cellStyle name="Normal 26 2 20 4" xfId="10951" xr:uid="{00000000-0005-0000-0000-0000DF810000}"/>
    <cellStyle name="Normal 26 2 20 4 2" xfId="26543" xr:uid="{00000000-0005-0000-0000-0000E0810000}"/>
    <cellStyle name="Normal 26 2 20 4 3" xfId="42035" xr:uid="{00000000-0005-0000-0000-0000E1810000}"/>
    <cellStyle name="Normal 26 2 20 5" xfId="18803" xr:uid="{00000000-0005-0000-0000-0000E2810000}"/>
    <cellStyle name="Normal 26 2 20 6" xfId="34295" xr:uid="{00000000-0005-0000-0000-0000E3810000}"/>
    <cellStyle name="Normal 26 2 21" xfId="4139" xr:uid="{00000000-0005-0000-0000-0000E4810000}"/>
    <cellStyle name="Normal 26 2 21 2" xfId="6077" xr:uid="{00000000-0005-0000-0000-0000E5810000}"/>
    <cellStyle name="Normal 26 2 21 2 2" xfId="9948" xr:uid="{00000000-0005-0000-0000-0000E6810000}"/>
    <cellStyle name="Normal 26 2 21 2 2 2" xfId="17693" xr:uid="{00000000-0005-0000-0000-0000E7810000}"/>
    <cellStyle name="Normal 26 2 21 2 2 2 2" xfId="33285" xr:uid="{00000000-0005-0000-0000-0000E8810000}"/>
    <cellStyle name="Normal 26 2 21 2 2 2 3" xfId="48777" xr:uid="{00000000-0005-0000-0000-0000E9810000}"/>
    <cellStyle name="Normal 26 2 21 2 2 3" xfId="25545" xr:uid="{00000000-0005-0000-0000-0000EA810000}"/>
    <cellStyle name="Normal 26 2 21 2 2 4" xfId="41037" xr:uid="{00000000-0005-0000-0000-0000EB810000}"/>
    <cellStyle name="Normal 26 2 21 2 3" xfId="13823" xr:uid="{00000000-0005-0000-0000-0000EC810000}"/>
    <cellStyle name="Normal 26 2 21 2 3 2" xfId="29415" xr:uid="{00000000-0005-0000-0000-0000ED810000}"/>
    <cellStyle name="Normal 26 2 21 2 3 3" xfId="44907" xr:uid="{00000000-0005-0000-0000-0000EE810000}"/>
    <cellStyle name="Normal 26 2 21 2 4" xfId="21675" xr:uid="{00000000-0005-0000-0000-0000EF810000}"/>
    <cellStyle name="Normal 26 2 21 2 5" xfId="37167" xr:uid="{00000000-0005-0000-0000-0000F0810000}"/>
    <cellStyle name="Normal 26 2 21 3" xfId="8021" xr:uid="{00000000-0005-0000-0000-0000F1810000}"/>
    <cellStyle name="Normal 26 2 21 3 2" xfId="15766" xr:uid="{00000000-0005-0000-0000-0000F2810000}"/>
    <cellStyle name="Normal 26 2 21 3 2 2" xfId="31358" xr:uid="{00000000-0005-0000-0000-0000F3810000}"/>
    <cellStyle name="Normal 26 2 21 3 2 3" xfId="46850" xr:uid="{00000000-0005-0000-0000-0000F4810000}"/>
    <cellStyle name="Normal 26 2 21 3 3" xfId="23618" xr:uid="{00000000-0005-0000-0000-0000F5810000}"/>
    <cellStyle name="Normal 26 2 21 3 4" xfId="39110" xr:uid="{00000000-0005-0000-0000-0000F6810000}"/>
    <cellStyle name="Normal 26 2 21 4" xfId="11896" xr:uid="{00000000-0005-0000-0000-0000F7810000}"/>
    <cellStyle name="Normal 26 2 21 4 2" xfId="27488" xr:uid="{00000000-0005-0000-0000-0000F8810000}"/>
    <cellStyle name="Normal 26 2 21 4 3" xfId="42980" xr:uid="{00000000-0005-0000-0000-0000F9810000}"/>
    <cellStyle name="Normal 26 2 21 5" xfId="19748" xr:uid="{00000000-0005-0000-0000-0000FA810000}"/>
    <cellStyle name="Normal 26 2 21 6" xfId="35240" xr:uid="{00000000-0005-0000-0000-0000FB810000}"/>
    <cellStyle name="Normal 26 2 22" xfId="4163" xr:uid="{00000000-0005-0000-0000-0000FC810000}"/>
    <cellStyle name="Normal 26 2 22 2" xfId="6092" xr:uid="{00000000-0005-0000-0000-0000FD810000}"/>
    <cellStyle name="Normal 26 2 22 2 2" xfId="9963" xr:uid="{00000000-0005-0000-0000-0000FE810000}"/>
    <cellStyle name="Normal 26 2 22 2 2 2" xfId="17708" xr:uid="{00000000-0005-0000-0000-0000FF810000}"/>
    <cellStyle name="Normal 26 2 22 2 2 2 2" xfId="33300" xr:uid="{00000000-0005-0000-0000-000000820000}"/>
    <cellStyle name="Normal 26 2 22 2 2 2 3" xfId="48792" xr:uid="{00000000-0005-0000-0000-000001820000}"/>
    <cellStyle name="Normal 26 2 22 2 2 3" xfId="25560" xr:uid="{00000000-0005-0000-0000-000002820000}"/>
    <cellStyle name="Normal 26 2 22 2 2 4" xfId="41052" xr:uid="{00000000-0005-0000-0000-000003820000}"/>
    <cellStyle name="Normal 26 2 22 2 3" xfId="13838" xr:uid="{00000000-0005-0000-0000-000004820000}"/>
    <cellStyle name="Normal 26 2 22 2 3 2" xfId="29430" xr:uid="{00000000-0005-0000-0000-000005820000}"/>
    <cellStyle name="Normal 26 2 22 2 3 3" xfId="44922" xr:uid="{00000000-0005-0000-0000-000006820000}"/>
    <cellStyle name="Normal 26 2 22 2 4" xfId="21690" xr:uid="{00000000-0005-0000-0000-000007820000}"/>
    <cellStyle name="Normal 26 2 22 2 5" xfId="37182" xr:uid="{00000000-0005-0000-0000-000008820000}"/>
    <cellStyle name="Normal 26 2 22 3" xfId="8036" xr:uid="{00000000-0005-0000-0000-000009820000}"/>
    <cellStyle name="Normal 26 2 22 3 2" xfId="15781" xr:uid="{00000000-0005-0000-0000-00000A820000}"/>
    <cellStyle name="Normal 26 2 22 3 2 2" xfId="31373" xr:uid="{00000000-0005-0000-0000-00000B820000}"/>
    <cellStyle name="Normal 26 2 22 3 2 3" xfId="46865" xr:uid="{00000000-0005-0000-0000-00000C820000}"/>
    <cellStyle name="Normal 26 2 22 3 3" xfId="23633" xr:uid="{00000000-0005-0000-0000-00000D820000}"/>
    <cellStyle name="Normal 26 2 22 3 4" xfId="39125" xr:uid="{00000000-0005-0000-0000-00000E820000}"/>
    <cellStyle name="Normal 26 2 22 4" xfId="11911" xr:uid="{00000000-0005-0000-0000-00000F820000}"/>
    <cellStyle name="Normal 26 2 22 4 2" xfId="27503" xr:uid="{00000000-0005-0000-0000-000010820000}"/>
    <cellStyle name="Normal 26 2 22 4 3" xfId="42995" xr:uid="{00000000-0005-0000-0000-000011820000}"/>
    <cellStyle name="Normal 26 2 22 5" xfId="19763" xr:uid="{00000000-0005-0000-0000-000012820000}"/>
    <cellStyle name="Normal 26 2 22 6" xfId="35255" xr:uid="{00000000-0005-0000-0000-000013820000}"/>
    <cellStyle name="Normal 26 2 23" xfId="4184" xr:uid="{00000000-0005-0000-0000-000014820000}"/>
    <cellStyle name="Normal 26 2 23 2" xfId="8055" xr:uid="{00000000-0005-0000-0000-000015820000}"/>
    <cellStyle name="Normal 26 2 23 2 2" xfId="15800" xr:uid="{00000000-0005-0000-0000-000016820000}"/>
    <cellStyle name="Normal 26 2 23 2 2 2" xfId="31392" xr:uid="{00000000-0005-0000-0000-000017820000}"/>
    <cellStyle name="Normal 26 2 23 2 2 3" xfId="46884" xr:uid="{00000000-0005-0000-0000-000018820000}"/>
    <cellStyle name="Normal 26 2 23 2 3" xfId="23652" xr:uid="{00000000-0005-0000-0000-000019820000}"/>
    <cellStyle name="Normal 26 2 23 2 4" xfId="39144" xr:uid="{00000000-0005-0000-0000-00001A820000}"/>
    <cellStyle name="Normal 26 2 23 3" xfId="11930" xr:uid="{00000000-0005-0000-0000-00001B820000}"/>
    <cellStyle name="Normal 26 2 23 3 2" xfId="27522" xr:uid="{00000000-0005-0000-0000-00001C820000}"/>
    <cellStyle name="Normal 26 2 23 3 3" xfId="43014" xr:uid="{00000000-0005-0000-0000-00001D820000}"/>
    <cellStyle name="Normal 26 2 23 4" xfId="19782" xr:uid="{00000000-0005-0000-0000-00001E820000}"/>
    <cellStyle name="Normal 26 2 23 5" xfId="35274" xr:uid="{00000000-0005-0000-0000-00001F820000}"/>
    <cellStyle name="Normal 26 2 24" xfId="6109" xr:uid="{00000000-0005-0000-0000-000020820000}"/>
    <cellStyle name="Normal 26 2 24 2" xfId="9979" xr:uid="{00000000-0005-0000-0000-000021820000}"/>
    <cellStyle name="Normal 26 2 24 2 2" xfId="17724" xr:uid="{00000000-0005-0000-0000-000022820000}"/>
    <cellStyle name="Normal 26 2 24 2 2 2" xfId="33316" xr:uid="{00000000-0005-0000-0000-000023820000}"/>
    <cellStyle name="Normal 26 2 24 2 2 3" xfId="48808" xr:uid="{00000000-0005-0000-0000-000024820000}"/>
    <cellStyle name="Normal 26 2 24 2 3" xfId="25576" xr:uid="{00000000-0005-0000-0000-000025820000}"/>
    <cellStyle name="Normal 26 2 24 2 4" xfId="41068" xr:uid="{00000000-0005-0000-0000-000026820000}"/>
    <cellStyle name="Normal 26 2 24 3" xfId="13854" xr:uid="{00000000-0005-0000-0000-000027820000}"/>
    <cellStyle name="Normal 26 2 24 3 2" xfId="29446" xr:uid="{00000000-0005-0000-0000-000028820000}"/>
    <cellStyle name="Normal 26 2 24 3 3" xfId="44938" xr:uid="{00000000-0005-0000-0000-000029820000}"/>
    <cellStyle name="Normal 26 2 24 4" xfId="21706" xr:uid="{00000000-0005-0000-0000-00002A820000}"/>
    <cellStyle name="Normal 26 2 24 5" xfId="37198" xr:uid="{00000000-0005-0000-0000-00002B820000}"/>
    <cellStyle name="Normal 26 2 25" xfId="6128" xr:uid="{00000000-0005-0000-0000-00002C820000}"/>
    <cellStyle name="Normal 26 2 25 2" xfId="13873" xr:uid="{00000000-0005-0000-0000-00002D820000}"/>
    <cellStyle name="Normal 26 2 25 2 2" xfId="29465" xr:uid="{00000000-0005-0000-0000-00002E820000}"/>
    <cellStyle name="Normal 26 2 25 2 3" xfId="44957" xr:uid="{00000000-0005-0000-0000-00002F820000}"/>
    <cellStyle name="Normal 26 2 25 3" xfId="21725" xr:uid="{00000000-0005-0000-0000-000030820000}"/>
    <cellStyle name="Normal 26 2 25 4" xfId="37217" xr:uid="{00000000-0005-0000-0000-000031820000}"/>
    <cellStyle name="Normal 26 2 26" xfId="10003" xr:uid="{00000000-0005-0000-0000-000032820000}"/>
    <cellStyle name="Normal 26 2 26 2" xfId="25595" xr:uid="{00000000-0005-0000-0000-000033820000}"/>
    <cellStyle name="Normal 26 2 26 3" xfId="41087" xr:uid="{00000000-0005-0000-0000-000034820000}"/>
    <cellStyle name="Normal 26 2 27" xfId="17855" xr:uid="{00000000-0005-0000-0000-000035820000}"/>
    <cellStyle name="Normal 26 2 28" xfId="33347" xr:uid="{00000000-0005-0000-0000-000036820000}"/>
    <cellStyle name="Normal 26 2 29" xfId="48855" xr:uid="{00000000-0005-0000-0000-000037820000}"/>
    <cellStyle name="Normal 26 2 3" xfId="2250" xr:uid="{00000000-0005-0000-0000-000038820000}"/>
    <cellStyle name="Normal 26 2 3 2" xfId="2567" xr:uid="{00000000-0005-0000-0000-000039820000}"/>
    <cellStyle name="Normal 26 2 3 2 2" xfId="3575" xr:uid="{00000000-0005-0000-0000-00003A820000}"/>
    <cellStyle name="Normal 26 2 3 2 2 2" xfId="5514" xr:uid="{00000000-0005-0000-0000-00003B820000}"/>
    <cellStyle name="Normal 26 2 3 2 2 2 2" xfId="9385" xr:uid="{00000000-0005-0000-0000-00003C820000}"/>
    <cellStyle name="Normal 26 2 3 2 2 2 2 2" xfId="17130" xr:uid="{00000000-0005-0000-0000-00003D820000}"/>
    <cellStyle name="Normal 26 2 3 2 2 2 2 2 2" xfId="32722" xr:uid="{00000000-0005-0000-0000-00003E820000}"/>
    <cellStyle name="Normal 26 2 3 2 2 2 2 2 3" xfId="48214" xr:uid="{00000000-0005-0000-0000-00003F820000}"/>
    <cellStyle name="Normal 26 2 3 2 2 2 2 3" xfId="24982" xr:uid="{00000000-0005-0000-0000-000040820000}"/>
    <cellStyle name="Normal 26 2 3 2 2 2 2 4" xfId="40474" xr:uid="{00000000-0005-0000-0000-000041820000}"/>
    <cellStyle name="Normal 26 2 3 2 2 2 3" xfId="13260" xr:uid="{00000000-0005-0000-0000-000042820000}"/>
    <cellStyle name="Normal 26 2 3 2 2 2 3 2" xfId="28852" xr:uid="{00000000-0005-0000-0000-000043820000}"/>
    <cellStyle name="Normal 26 2 3 2 2 2 3 3" xfId="44344" xr:uid="{00000000-0005-0000-0000-000044820000}"/>
    <cellStyle name="Normal 26 2 3 2 2 2 4" xfId="21112" xr:uid="{00000000-0005-0000-0000-000045820000}"/>
    <cellStyle name="Normal 26 2 3 2 2 2 5" xfId="36604" xr:uid="{00000000-0005-0000-0000-000046820000}"/>
    <cellStyle name="Normal 26 2 3 2 2 3" xfId="7458" xr:uid="{00000000-0005-0000-0000-000047820000}"/>
    <cellStyle name="Normal 26 2 3 2 2 3 2" xfId="15203" xr:uid="{00000000-0005-0000-0000-000048820000}"/>
    <cellStyle name="Normal 26 2 3 2 2 3 2 2" xfId="30795" xr:uid="{00000000-0005-0000-0000-000049820000}"/>
    <cellStyle name="Normal 26 2 3 2 2 3 2 3" xfId="46287" xr:uid="{00000000-0005-0000-0000-00004A820000}"/>
    <cellStyle name="Normal 26 2 3 2 2 3 3" xfId="23055" xr:uid="{00000000-0005-0000-0000-00004B820000}"/>
    <cellStyle name="Normal 26 2 3 2 2 3 4" xfId="38547" xr:uid="{00000000-0005-0000-0000-00004C820000}"/>
    <cellStyle name="Normal 26 2 3 2 2 4" xfId="11333" xr:uid="{00000000-0005-0000-0000-00004D820000}"/>
    <cellStyle name="Normal 26 2 3 2 2 4 2" xfId="26925" xr:uid="{00000000-0005-0000-0000-00004E820000}"/>
    <cellStyle name="Normal 26 2 3 2 2 4 3" xfId="42417" xr:uid="{00000000-0005-0000-0000-00004F820000}"/>
    <cellStyle name="Normal 26 2 3 2 2 5" xfId="19185" xr:uid="{00000000-0005-0000-0000-000050820000}"/>
    <cellStyle name="Normal 26 2 3 2 2 6" xfId="34677" xr:uid="{00000000-0005-0000-0000-000051820000}"/>
    <cellStyle name="Normal 26 2 3 2 3" xfId="4566" xr:uid="{00000000-0005-0000-0000-000052820000}"/>
    <cellStyle name="Normal 26 2 3 2 3 2" xfId="8437" xr:uid="{00000000-0005-0000-0000-000053820000}"/>
    <cellStyle name="Normal 26 2 3 2 3 2 2" xfId="16182" xr:uid="{00000000-0005-0000-0000-000054820000}"/>
    <cellStyle name="Normal 26 2 3 2 3 2 2 2" xfId="31774" xr:uid="{00000000-0005-0000-0000-000055820000}"/>
    <cellStyle name="Normal 26 2 3 2 3 2 2 3" xfId="47266" xr:uid="{00000000-0005-0000-0000-000056820000}"/>
    <cellStyle name="Normal 26 2 3 2 3 2 3" xfId="24034" xr:uid="{00000000-0005-0000-0000-000057820000}"/>
    <cellStyle name="Normal 26 2 3 2 3 2 4" xfId="39526" xr:uid="{00000000-0005-0000-0000-000058820000}"/>
    <cellStyle name="Normal 26 2 3 2 3 3" xfId="12312" xr:uid="{00000000-0005-0000-0000-000059820000}"/>
    <cellStyle name="Normal 26 2 3 2 3 3 2" xfId="27904" xr:uid="{00000000-0005-0000-0000-00005A820000}"/>
    <cellStyle name="Normal 26 2 3 2 3 3 3" xfId="43396" xr:uid="{00000000-0005-0000-0000-00005B820000}"/>
    <cellStyle name="Normal 26 2 3 2 3 4" xfId="20164" xr:uid="{00000000-0005-0000-0000-00005C820000}"/>
    <cellStyle name="Normal 26 2 3 2 3 5" xfId="35656" xr:uid="{00000000-0005-0000-0000-00005D820000}"/>
    <cellStyle name="Normal 26 2 3 2 4" xfId="6510" xr:uid="{00000000-0005-0000-0000-00005E820000}"/>
    <cellStyle name="Normal 26 2 3 2 4 2" xfId="14255" xr:uid="{00000000-0005-0000-0000-00005F820000}"/>
    <cellStyle name="Normal 26 2 3 2 4 2 2" xfId="29847" xr:uid="{00000000-0005-0000-0000-000060820000}"/>
    <cellStyle name="Normal 26 2 3 2 4 2 3" xfId="45339" xr:uid="{00000000-0005-0000-0000-000061820000}"/>
    <cellStyle name="Normal 26 2 3 2 4 3" xfId="22107" xr:uid="{00000000-0005-0000-0000-000062820000}"/>
    <cellStyle name="Normal 26 2 3 2 4 4" xfId="37599" xr:uid="{00000000-0005-0000-0000-000063820000}"/>
    <cellStyle name="Normal 26 2 3 2 5" xfId="10385" xr:uid="{00000000-0005-0000-0000-000064820000}"/>
    <cellStyle name="Normal 26 2 3 2 5 2" xfId="25977" xr:uid="{00000000-0005-0000-0000-000065820000}"/>
    <cellStyle name="Normal 26 2 3 2 5 3" xfId="41469" xr:uid="{00000000-0005-0000-0000-000066820000}"/>
    <cellStyle name="Normal 26 2 3 2 6" xfId="18237" xr:uid="{00000000-0005-0000-0000-000067820000}"/>
    <cellStyle name="Normal 26 2 3 2 7" xfId="33729" xr:uid="{00000000-0005-0000-0000-000068820000}"/>
    <cellStyle name="Normal 26 2 3 3" xfId="3266" xr:uid="{00000000-0005-0000-0000-000069820000}"/>
    <cellStyle name="Normal 26 2 3 3 2" xfId="5205" xr:uid="{00000000-0005-0000-0000-00006A820000}"/>
    <cellStyle name="Normal 26 2 3 3 2 2" xfId="9076" xr:uid="{00000000-0005-0000-0000-00006B820000}"/>
    <cellStyle name="Normal 26 2 3 3 2 2 2" xfId="16821" xr:uid="{00000000-0005-0000-0000-00006C820000}"/>
    <cellStyle name="Normal 26 2 3 3 2 2 2 2" xfId="32413" xr:uid="{00000000-0005-0000-0000-00006D820000}"/>
    <cellStyle name="Normal 26 2 3 3 2 2 2 3" xfId="47905" xr:uid="{00000000-0005-0000-0000-00006E820000}"/>
    <cellStyle name="Normal 26 2 3 3 2 2 3" xfId="24673" xr:uid="{00000000-0005-0000-0000-00006F820000}"/>
    <cellStyle name="Normal 26 2 3 3 2 2 4" xfId="40165" xr:uid="{00000000-0005-0000-0000-000070820000}"/>
    <cellStyle name="Normal 26 2 3 3 2 3" xfId="12951" xr:uid="{00000000-0005-0000-0000-000071820000}"/>
    <cellStyle name="Normal 26 2 3 3 2 3 2" xfId="28543" xr:uid="{00000000-0005-0000-0000-000072820000}"/>
    <cellStyle name="Normal 26 2 3 3 2 3 3" xfId="44035" xr:uid="{00000000-0005-0000-0000-000073820000}"/>
    <cellStyle name="Normal 26 2 3 3 2 4" xfId="20803" xr:uid="{00000000-0005-0000-0000-000074820000}"/>
    <cellStyle name="Normal 26 2 3 3 2 5" xfId="36295" xr:uid="{00000000-0005-0000-0000-000075820000}"/>
    <cellStyle name="Normal 26 2 3 3 3" xfId="7149" xr:uid="{00000000-0005-0000-0000-000076820000}"/>
    <cellStyle name="Normal 26 2 3 3 3 2" xfId="14894" xr:uid="{00000000-0005-0000-0000-000077820000}"/>
    <cellStyle name="Normal 26 2 3 3 3 2 2" xfId="30486" xr:uid="{00000000-0005-0000-0000-000078820000}"/>
    <cellStyle name="Normal 26 2 3 3 3 2 3" xfId="45978" xr:uid="{00000000-0005-0000-0000-000079820000}"/>
    <cellStyle name="Normal 26 2 3 3 3 3" xfId="22746" xr:uid="{00000000-0005-0000-0000-00007A820000}"/>
    <cellStyle name="Normal 26 2 3 3 3 4" xfId="38238" xr:uid="{00000000-0005-0000-0000-00007B820000}"/>
    <cellStyle name="Normal 26 2 3 3 4" xfId="11024" xr:uid="{00000000-0005-0000-0000-00007C820000}"/>
    <cellStyle name="Normal 26 2 3 3 4 2" xfId="26616" xr:uid="{00000000-0005-0000-0000-00007D820000}"/>
    <cellStyle name="Normal 26 2 3 3 4 3" xfId="42108" xr:uid="{00000000-0005-0000-0000-00007E820000}"/>
    <cellStyle name="Normal 26 2 3 3 5" xfId="18876" xr:uid="{00000000-0005-0000-0000-00007F820000}"/>
    <cellStyle name="Normal 26 2 3 3 6" xfId="34368" xr:uid="{00000000-0005-0000-0000-000080820000}"/>
    <cellStyle name="Normal 26 2 3 4" xfId="4257" xr:uid="{00000000-0005-0000-0000-000081820000}"/>
    <cellStyle name="Normal 26 2 3 4 2" xfId="8128" xr:uid="{00000000-0005-0000-0000-000082820000}"/>
    <cellStyle name="Normal 26 2 3 4 2 2" xfId="15873" xr:uid="{00000000-0005-0000-0000-000083820000}"/>
    <cellStyle name="Normal 26 2 3 4 2 2 2" xfId="31465" xr:uid="{00000000-0005-0000-0000-000084820000}"/>
    <cellStyle name="Normal 26 2 3 4 2 2 3" xfId="46957" xr:uid="{00000000-0005-0000-0000-000085820000}"/>
    <cellStyle name="Normal 26 2 3 4 2 3" xfId="23725" xr:uid="{00000000-0005-0000-0000-000086820000}"/>
    <cellStyle name="Normal 26 2 3 4 2 4" xfId="39217" xr:uid="{00000000-0005-0000-0000-000087820000}"/>
    <cellStyle name="Normal 26 2 3 4 3" xfId="12003" xr:uid="{00000000-0005-0000-0000-000088820000}"/>
    <cellStyle name="Normal 26 2 3 4 3 2" xfId="27595" xr:uid="{00000000-0005-0000-0000-000089820000}"/>
    <cellStyle name="Normal 26 2 3 4 3 3" xfId="43087" xr:uid="{00000000-0005-0000-0000-00008A820000}"/>
    <cellStyle name="Normal 26 2 3 4 4" xfId="19855" xr:uid="{00000000-0005-0000-0000-00008B820000}"/>
    <cellStyle name="Normal 26 2 3 4 5" xfId="35347" xr:uid="{00000000-0005-0000-0000-00008C820000}"/>
    <cellStyle name="Normal 26 2 3 5" xfId="6201" xr:uid="{00000000-0005-0000-0000-00008D820000}"/>
    <cellStyle name="Normal 26 2 3 5 2" xfId="13946" xr:uid="{00000000-0005-0000-0000-00008E820000}"/>
    <cellStyle name="Normal 26 2 3 5 2 2" xfId="29538" xr:uid="{00000000-0005-0000-0000-00008F820000}"/>
    <cellStyle name="Normal 26 2 3 5 2 3" xfId="45030" xr:uid="{00000000-0005-0000-0000-000090820000}"/>
    <cellStyle name="Normal 26 2 3 5 3" xfId="21798" xr:uid="{00000000-0005-0000-0000-000091820000}"/>
    <cellStyle name="Normal 26 2 3 5 4" xfId="37290" xr:uid="{00000000-0005-0000-0000-000092820000}"/>
    <cellStyle name="Normal 26 2 3 6" xfId="10076" xr:uid="{00000000-0005-0000-0000-000093820000}"/>
    <cellStyle name="Normal 26 2 3 6 2" xfId="25668" xr:uid="{00000000-0005-0000-0000-000094820000}"/>
    <cellStyle name="Normal 26 2 3 6 3" xfId="41160" xr:uid="{00000000-0005-0000-0000-000095820000}"/>
    <cellStyle name="Normal 26 2 3 7" xfId="17928" xr:uid="{00000000-0005-0000-0000-000096820000}"/>
    <cellStyle name="Normal 26 2 3 8" xfId="33420" xr:uid="{00000000-0005-0000-0000-000097820000}"/>
    <cellStyle name="Normal 26 2 4" xfId="2287" xr:uid="{00000000-0005-0000-0000-000098820000}"/>
    <cellStyle name="Normal 26 2 4 2" xfId="2603" xr:uid="{00000000-0005-0000-0000-000099820000}"/>
    <cellStyle name="Normal 26 2 4 2 2" xfId="3611" xr:uid="{00000000-0005-0000-0000-00009A820000}"/>
    <cellStyle name="Normal 26 2 4 2 2 2" xfId="5550" xr:uid="{00000000-0005-0000-0000-00009B820000}"/>
    <cellStyle name="Normal 26 2 4 2 2 2 2" xfId="9421" xr:uid="{00000000-0005-0000-0000-00009C820000}"/>
    <cellStyle name="Normal 26 2 4 2 2 2 2 2" xfId="17166" xr:uid="{00000000-0005-0000-0000-00009D820000}"/>
    <cellStyle name="Normal 26 2 4 2 2 2 2 2 2" xfId="32758" xr:uid="{00000000-0005-0000-0000-00009E820000}"/>
    <cellStyle name="Normal 26 2 4 2 2 2 2 2 3" xfId="48250" xr:uid="{00000000-0005-0000-0000-00009F820000}"/>
    <cellStyle name="Normal 26 2 4 2 2 2 2 3" xfId="25018" xr:uid="{00000000-0005-0000-0000-0000A0820000}"/>
    <cellStyle name="Normal 26 2 4 2 2 2 2 4" xfId="40510" xr:uid="{00000000-0005-0000-0000-0000A1820000}"/>
    <cellStyle name="Normal 26 2 4 2 2 2 3" xfId="13296" xr:uid="{00000000-0005-0000-0000-0000A2820000}"/>
    <cellStyle name="Normal 26 2 4 2 2 2 3 2" xfId="28888" xr:uid="{00000000-0005-0000-0000-0000A3820000}"/>
    <cellStyle name="Normal 26 2 4 2 2 2 3 3" xfId="44380" xr:uid="{00000000-0005-0000-0000-0000A4820000}"/>
    <cellStyle name="Normal 26 2 4 2 2 2 4" xfId="21148" xr:uid="{00000000-0005-0000-0000-0000A5820000}"/>
    <cellStyle name="Normal 26 2 4 2 2 2 5" xfId="36640" xr:uid="{00000000-0005-0000-0000-0000A6820000}"/>
    <cellStyle name="Normal 26 2 4 2 2 3" xfId="7494" xr:uid="{00000000-0005-0000-0000-0000A7820000}"/>
    <cellStyle name="Normal 26 2 4 2 2 3 2" xfId="15239" xr:uid="{00000000-0005-0000-0000-0000A8820000}"/>
    <cellStyle name="Normal 26 2 4 2 2 3 2 2" xfId="30831" xr:uid="{00000000-0005-0000-0000-0000A9820000}"/>
    <cellStyle name="Normal 26 2 4 2 2 3 2 3" xfId="46323" xr:uid="{00000000-0005-0000-0000-0000AA820000}"/>
    <cellStyle name="Normal 26 2 4 2 2 3 3" xfId="23091" xr:uid="{00000000-0005-0000-0000-0000AB820000}"/>
    <cellStyle name="Normal 26 2 4 2 2 3 4" xfId="38583" xr:uid="{00000000-0005-0000-0000-0000AC820000}"/>
    <cellStyle name="Normal 26 2 4 2 2 4" xfId="11369" xr:uid="{00000000-0005-0000-0000-0000AD820000}"/>
    <cellStyle name="Normal 26 2 4 2 2 4 2" xfId="26961" xr:uid="{00000000-0005-0000-0000-0000AE820000}"/>
    <cellStyle name="Normal 26 2 4 2 2 4 3" xfId="42453" xr:uid="{00000000-0005-0000-0000-0000AF820000}"/>
    <cellStyle name="Normal 26 2 4 2 2 5" xfId="19221" xr:uid="{00000000-0005-0000-0000-0000B0820000}"/>
    <cellStyle name="Normal 26 2 4 2 2 6" xfId="34713" xr:uid="{00000000-0005-0000-0000-0000B1820000}"/>
    <cellStyle name="Normal 26 2 4 2 3" xfId="4602" xr:uid="{00000000-0005-0000-0000-0000B2820000}"/>
    <cellStyle name="Normal 26 2 4 2 3 2" xfId="8473" xr:uid="{00000000-0005-0000-0000-0000B3820000}"/>
    <cellStyle name="Normal 26 2 4 2 3 2 2" xfId="16218" xr:uid="{00000000-0005-0000-0000-0000B4820000}"/>
    <cellStyle name="Normal 26 2 4 2 3 2 2 2" xfId="31810" xr:uid="{00000000-0005-0000-0000-0000B5820000}"/>
    <cellStyle name="Normal 26 2 4 2 3 2 2 3" xfId="47302" xr:uid="{00000000-0005-0000-0000-0000B6820000}"/>
    <cellStyle name="Normal 26 2 4 2 3 2 3" xfId="24070" xr:uid="{00000000-0005-0000-0000-0000B7820000}"/>
    <cellStyle name="Normal 26 2 4 2 3 2 4" xfId="39562" xr:uid="{00000000-0005-0000-0000-0000B8820000}"/>
    <cellStyle name="Normal 26 2 4 2 3 3" xfId="12348" xr:uid="{00000000-0005-0000-0000-0000B9820000}"/>
    <cellStyle name="Normal 26 2 4 2 3 3 2" xfId="27940" xr:uid="{00000000-0005-0000-0000-0000BA820000}"/>
    <cellStyle name="Normal 26 2 4 2 3 3 3" xfId="43432" xr:uid="{00000000-0005-0000-0000-0000BB820000}"/>
    <cellStyle name="Normal 26 2 4 2 3 4" xfId="20200" xr:uid="{00000000-0005-0000-0000-0000BC820000}"/>
    <cellStyle name="Normal 26 2 4 2 3 5" xfId="35692" xr:uid="{00000000-0005-0000-0000-0000BD820000}"/>
    <cellStyle name="Normal 26 2 4 2 4" xfId="6546" xr:uid="{00000000-0005-0000-0000-0000BE820000}"/>
    <cellStyle name="Normal 26 2 4 2 4 2" xfId="14291" xr:uid="{00000000-0005-0000-0000-0000BF820000}"/>
    <cellStyle name="Normal 26 2 4 2 4 2 2" xfId="29883" xr:uid="{00000000-0005-0000-0000-0000C0820000}"/>
    <cellStyle name="Normal 26 2 4 2 4 2 3" xfId="45375" xr:uid="{00000000-0005-0000-0000-0000C1820000}"/>
    <cellStyle name="Normal 26 2 4 2 4 3" xfId="22143" xr:uid="{00000000-0005-0000-0000-0000C2820000}"/>
    <cellStyle name="Normal 26 2 4 2 4 4" xfId="37635" xr:uid="{00000000-0005-0000-0000-0000C3820000}"/>
    <cellStyle name="Normal 26 2 4 2 5" xfId="10421" xr:uid="{00000000-0005-0000-0000-0000C4820000}"/>
    <cellStyle name="Normal 26 2 4 2 5 2" xfId="26013" xr:uid="{00000000-0005-0000-0000-0000C5820000}"/>
    <cellStyle name="Normal 26 2 4 2 5 3" xfId="41505" xr:uid="{00000000-0005-0000-0000-0000C6820000}"/>
    <cellStyle name="Normal 26 2 4 2 6" xfId="18273" xr:uid="{00000000-0005-0000-0000-0000C7820000}"/>
    <cellStyle name="Normal 26 2 4 2 7" xfId="33765" xr:uid="{00000000-0005-0000-0000-0000C8820000}"/>
    <cellStyle name="Normal 26 2 4 3" xfId="3302" xr:uid="{00000000-0005-0000-0000-0000C9820000}"/>
    <cellStyle name="Normal 26 2 4 3 2" xfId="5241" xr:uid="{00000000-0005-0000-0000-0000CA820000}"/>
    <cellStyle name="Normal 26 2 4 3 2 2" xfId="9112" xr:uid="{00000000-0005-0000-0000-0000CB820000}"/>
    <cellStyle name="Normal 26 2 4 3 2 2 2" xfId="16857" xr:uid="{00000000-0005-0000-0000-0000CC820000}"/>
    <cellStyle name="Normal 26 2 4 3 2 2 2 2" xfId="32449" xr:uid="{00000000-0005-0000-0000-0000CD820000}"/>
    <cellStyle name="Normal 26 2 4 3 2 2 2 3" xfId="47941" xr:uid="{00000000-0005-0000-0000-0000CE820000}"/>
    <cellStyle name="Normal 26 2 4 3 2 2 3" xfId="24709" xr:uid="{00000000-0005-0000-0000-0000CF820000}"/>
    <cellStyle name="Normal 26 2 4 3 2 2 4" xfId="40201" xr:uid="{00000000-0005-0000-0000-0000D0820000}"/>
    <cellStyle name="Normal 26 2 4 3 2 3" xfId="12987" xr:uid="{00000000-0005-0000-0000-0000D1820000}"/>
    <cellStyle name="Normal 26 2 4 3 2 3 2" xfId="28579" xr:uid="{00000000-0005-0000-0000-0000D2820000}"/>
    <cellStyle name="Normal 26 2 4 3 2 3 3" xfId="44071" xr:uid="{00000000-0005-0000-0000-0000D3820000}"/>
    <cellStyle name="Normal 26 2 4 3 2 4" xfId="20839" xr:uid="{00000000-0005-0000-0000-0000D4820000}"/>
    <cellStyle name="Normal 26 2 4 3 2 5" xfId="36331" xr:uid="{00000000-0005-0000-0000-0000D5820000}"/>
    <cellStyle name="Normal 26 2 4 3 3" xfId="7185" xr:uid="{00000000-0005-0000-0000-0000D6820000}"/>
    <cellStyle name="Normal 26 2 4 3 3 2" xfId="14930" xr:uid="{00000000-0005-0000-0000-0000D7820000}"/>
    <cellStyle name="Normal 26 2 4 3 3 2 2" xfId="30522" xr:uid="{00000000-0005-0000-0000-0000D8820000}"/>
    <cellStyle name="Normal 26 2 4 3 3 2 3" xfId="46014" xr:uid="{00000000-0005-0000-0000-0000D9820000}"/>
    <cellStyle name="Normal 26 2 4 3 3 3" xfId="22782" xr:uid="{00000000-0005-0000-0000-0000DA820000}"/>
    <cellStyle name="Normal 26 2 4 3 3 4" xfId="38274" xr:uid="{00000000-0005-0000-0000-0000DB820000}"/>
    <cellStyle name="Normal 26 2 4 3 4" xfId="11060" xr:uid="{00000000-0005-0000-0000-0000DC820000}"/>
    <cellStyle name="Normal 26 2 4 3 4 2" xfId="26652" xr:uid="{00000000-0005-0000-0000-0000DD820000}"/>
    <cellStyle name="Normal 26 2 4 3 4 3" xfId="42144" xr:uid="{00000000-0005-0000-0000-0000DE820000}"/>
    <cellStyle name="Normal 26 2 4 3 5" xfId="18912" xr:uid="{00000000-0005-0000-0000-0000DF820000}"/>
    <cellStyle name="Normal 26 2 4 3 6" xfId="34404" xr:uid="{00000000-0005-0000-0000-0000E0820000}"/>
    <cellStyle name="Normal 26 2 4 4" xfId="4293" xr:uid="{00000000-0005-0000-0000-0000E1820000}"/>
    <cellStyle name="Normal 26 2 4 4 2" xfId="8164" xr:uid="{00000000-0005-0000-0000-0000E2820000}"/>
    <cellStyle name="Normal 26 2 4 4 2 2" xfId="15909" xr:uid="{00000000-0005-0000-0000-0000E3820000}"/>
    <cellStyle name="Normal 26 2 4 4 2 2 2" xfId="31501" xr:uid="{00000000-0005-0000-0000-0000E4820000}"/>
    <cellStyle name="Normal 26 2 4 4 2 2 3" xfId="46993" xr:uid="{00000000-0005-0000-0000-0000E5820000}"/>
    <cellStyle name="Normal 26 2 4 4 2 3" xfId="23761" xr:uid="{00000000-0005-0000-0000-0000E6820000}"/>
    <cellStyle name="Normal 26 2 4 4 2 4" xfId="39253" xr:uid="{00000000-0005-0000-0000-0000E7820000}"/>
    <cellStyle name="Normal 26 2 4 4 3" xfId="12039" xr:uid="{00000000-0005-0000-0000-0000E8820000}"/>
    <cellStyle name="Normal 26 2 4 4 3 2" xfId="27631" xr:uid="{00000000-0005-0000-0000-0000E9820000}"/>
    <cellStyle name="Normal 26 2 4 4 3 3" xfId="43123" xr:uid="{00000000-0005-0000-0000-0000EA820000}"/>
    <cellStyle name="Normal 26 2 4 4 4" xfId="19891" xr:uid="{00000000-0005-0000-0000-0000EB820000}"/>
    <cellStyle name="Normal 26 2 4 4 5" xfId="35383" xr:uid="{00000000-0005-0000-0000-0000EC820000}"/>
    <cellStyle name="Normal 26 2 4 5" xfId="6237" xr:uid="{00000000-0005-0000-0000-0000ED820000}"/>
    <cellStyle name="Normal 26 2 4 5 2" xfId="13982" xr:uid="{00000000-0005-0000-0000-0000EE820000}"/>
    <cellStyle name="Normal 26 2 4 5 2 2" xfId="29574" xr:uid="{00000000-0005-0000-0000-0000EF820000}"/>
    <cellStyle name="Normal 26 2 4 5 2 3" xfId="45066" xr:uid="{00000000-0005-0000-0000-0000F0820000}"/>
    <cellStyle name="Normal 26 2 4 5 3" xfId="21834" xr:uid="{00000000-0005-0000-0000-0000F1820000}"/>
    <cellStyle name="Normal 26 2 4 5 4" xfId="37326" xr:uid="{00000000-0005-0000-0000-0000F2820000}"/>
    <cellStyle name="Normal 26 2 4 6" xfId="10112" xr:uid="{00000000-0005-0000-0000-0000F3820000}"/>
    <cellStyle name="Normal 26 2 4 6 2" xfId="25704" xr:uid="{00000000-0005-0000-0000-0000F4820000}"/>
    <cellStyle name="Normal 26 2 4 6 3" xfId="41196" xr:uid="{00000000-0005-0000-0000-0000F5820000}"/>
    <cellStyle name="Normal 26 2 4 7" xfId="17964" xr:uid="{00000000-0005-0000-0000-0000F6820000}"/>
    <cellStyle name="Normal 26 2 4 8" xfId="33456" xr:uid="{00000000-0005-0000-0000-0000F7820000}"/>
    <cellStyle name="Normal 26 2 5" xfId="2325" xr:uid="{00000000-0005-0000-0000-0000F8820000}"/>
    <cellStyle name="Normal 26 2 5 2" xfId="2639" xr:uid="{00000000-0005-0000-0000-0000F9820000}"/>
    <cellStyle name="Normal 26 2 5 2 2" xfId="3647" xr:uid="{00000000-0005-0000-0000-0000FA820000}"/>
    <cellStyle name="Normal 26 2 5 2 2 2" xfId="5586" xr:uid="{00000000-0005-0000-0000-0000FB820000}"/>
    <cellStyle name="Normal 26 2 5 2 2 2 2" xfId="9457" xr:uid="{00000000-0005-0000-0000-0000FC820000}"/>
    <cellStyle name="Normal 26 2 5 2 2 2 2 2" xfId="17202" xr:uid="{00000000-0005-0000-0000-0000FD820000}"/>
    <cellStyle name="Normal 26 2 5 2 2 2 2 2 2" xfId="32794" xr:uid="{00000000-0005-0000-0000-0000FE820000}"/>
    <cellStyle name="Normal 26 2 5 2 2 2 2 2 3" xfId="48286" xr:uid="{00000000-0005-0000-0000-0000FF820000}"/>
    <cellStyle name="Normal 26 2 5 2 2 2 2 3" xfId="25054" xr:uid="{00000000-0005-0000-0000-000000830000}"/>
    <cellStyle name="Normal 26 2 5 2 2 2 2 4" xfId="40546" xr:uid="{00000000-0005-0000-0000-000001830000}"/>
    <cellStyle name="Normal 26 2 5 2 2 2 3" xfId="13332" xr:uid="{00000000-0005-0000-0000-000002830000}"/>
    <cellStyle name="Normal 26 2 5 2 2 2 3 2" xfId="28924" xr:uid="{00000000-0005-0000-0000-000003830000}"/>
    <cellStyle name="Normal 26 2 5 2 2 2 3 3" xfId="44416" xr:uid="{00000000-0005-0000-0000-000004830000}"/>
    <cellStyle name="Normal 26 2 5 2 2 2 4" xfId="21184" xr:uid="{00000000-0005-0000-0000-000005830000}"/>
    <cellStyle name="Normal 26 2 5 2 2 2 5" xfId="36676" xr:uid="{00000000-0005-0000-0000-000006830000}"/>
    <cellStyle name="Normal 26 2 5 2 2 3" xfId="7530" xr:uid="{00000000-0005-0000-0000-000007830000}"/>
    <cellStyle name="Normal 26 2 5 2 2 3 2" xfId="15275" xr:uid="{00000000-0005-0000-0000-000008830000}"/>
    <cellStyle name="Normal 26 2 5 2 2 3 2 2" xfId="30867" xr:uid="{00000000-0005-0000-0000-000009830000}"/>
    <cellStyle name="Normal 26 2 5 2 2 3 2 3" xfId="46359" xr:uid="{00000000-0005-0000-0000-00000A830000}"/>
    <cellStyle name="Normal 26 2 5 2 2 3 3" xfId="23127" xr:uid="{00000000-0005-0000-0000-00000B830000}"/>
    <cellStyle name="Normal 26 2 5 2 2 3 4" xfId="38619" xr:uid="{00000000-0005-0000-0000-00000C830000}"/>
    <cellStyle name="Normal 26 2 5 2 2 4" xfId="11405" xr:uid="{00000000-0005-0000-0000-00000D830000}"/>
    <cellStyle name="Normal 26 2 5 2 2 4 2" xfId="26997" xr:uid="{00000000-0005-0000-0000-00000E830000}"/>
    <cellStyle name="Normal 26 2 5 2 2 4 3" xfId="42489" xr:uid="{00000000-0005-0000-0000-00000F830000}"/>
    <cellStyle name="Normal 26 2 5 2 2 5" xfId="19257" xr:uid="{00000000-0005-0000-0000-000010830000}"/>
    <cellStyle name="Normal 26 2 5 2 2 6" xfId="34749" xr:uid="{00000000-0005-0000-0000-000011830000}"/>
    <cellStyle name="Normal 26 2 5 2 3" xfId="4638" xr:uid="{00000000-0005-0000-0000-000012830000}"/>
    <cellStyle name="Normal 26 2 5 2 3 2" xfId="8509" xr:uid="{00000000-0005-0000-0000-000013830000}"/>
    <cellStyle name="Normal 26 2 5 2 3 2 2" xfId="16254" xr:uid="{00000000-0005-0000-0000-000014830000}"/>
    <cellStyle name="Normal 26 2 5 2 3 2 2 2" xfId="31846" xr:uid="{00000000-0005-0000-0000-000015830000}"/>
    <cellStyle name="Normal 26 2 5 2 3 2 2 3" xfId="47338" xr:uid="{00000000-0005-0000-0000-000016830000}"/>
    <cellStyle name="Normal 26 2 5 2 3 2 3" xfId="24106" xr:uid="{00000000-0005-0000-0000-000017830000}"/>
    <cellStyle name="Normal 26 2 5 2 3 2 4" xfId="39598" xr:uid="{00000000-0005-0000-0000-000018830000}"/>
    <cellStyle name="Normal 26 2 5 2 3 3" xfId="12384" xr:uid="{00000000-0005-0000-0000-000019830000}"/>
    <cellStyle name="Normal 26 2 5 2 3 3 2" xfId="27976" xr:uid="{00000000-0005-0000-0000-00001A830000}"/>
    <cellStyle name="Normal 26 2 5 2 3 3 3" xfId="43468" xr:uid="{00000000-0005-0000-0000-00001B830000}"/>
    <cellStyle name="Normal 26 2 5 2 3 4" xfId="20236" xr:uid="{00000000-0005-0000-0000-00001C830000}"/>
    <cellStyle name="Normal 26 2 5 2 3 5" xfId="35728" xr:uid="{00000000-0005-0000-0000-00001D830000}"/>
    <cellStyle name="Normal 26 2 5 2 4" xfId="6582" xr:uid="{00000000-0005-0000-0000-00001E830000}"/>
    <cellStyle name="Normal 26 2 5 2 4 2" xfId="14327" xr:uid="{00000000-0005-0000-0000-00001F830000}"/>
    <cellStyle name="Normal 26 2 5 2 4 2 2" xfId="29919" xr:uid="{00000000-0005-0000-0000-000020830000}"/>
    <cellStyle name="Normal 26 2 5 2 4 2 3" xfId="45411" xr:uid="{00000000-0005-0000-0000-000021830000}"/>
    <cellStyle name="Normal 26 2 5 2 4 3" xfId="22179" xr:uid="{00000000-0005-0000-0000-000022830000}"/>
    <cellStyle name="Normal 26 2 5 2 4 4" xfId="37671" xr:uid="{00000000-0005-0000-0000-000023830000}"/>
    <cellStyle name="Normal 26 2 5 2 5" xfId="10457" xr:uid="{00000000-0005-0000-0000-000024830000}"/>
    <cellStyle name="Normal 26 2 5 2 5 2" xfId="26049" xr:uid="{00000000-0005-0000-0000-000025830000}"/>
    <cellStyle name="Normal 26 2 5 2 5 3" xfId="41541" xr:uid="{00000000-0005-0000-0000-000026830000}"/>
    <cellStyle name="Normal 26 2 5 2 6" xfId="18309" xr:uid="{00000000-0005-0000-0000-000027830000}"/>
    <cellStyle name="Normal 26 2 5 2 7" xfId="33801" xr:uid="{00000000-0005-0000-0000-000028830000}"/>
    <cellStyle name="Normal 26 2 5 3" xfId="3338" xr:uid="{00000000-0005-0000-0000-000029830000}"/>
    <cellStyle name="Normal 26 2 5 3 2" xfId="5277" xr:uid="{00000000-0005-0000-0000-00002A830000}"/>
    <cellStyle name="Normal 26 2 5 3 2 2" xfId="9148" xr:uid="{00000000-0005-0000-0000-00002B830000}"/>
    <cellStyle name="Normal 26 2 5 3 2 2 2" xfId="16893" xr:uid="{00000000-0005-0000-0000-00002C830000}"/>
    <cellStyle name="Normal 26 2 5 3 2 2 2 2" xfId="32485" xr:uid="{00000000-0005-0000-0000-00002D830000}"/>
    <cellStyle name="Normal 26 2 5 3 2 2 2 3" xfId="47977" xr:uid="{00000000-0005-0000-0000-00002E830000}"/>
    <cellStyle name="Normal 26 2 5 3 2 2 3" xfId="24745" xr:uid="{00000000-0005-0000-0000-00002F830000}"/>
    <cellStyle name="Normal 26 2 5 3 2 2 4" xfId="40237" xr:uid="{00000000-0005-0000-0000-000030830000}"/>
    <cellStyle name="Normal 26 2 5 3 2 3" xfId="13023" xr:uid="{00000000-0005-0000-0000-000031830000}"/>
    <cellStyle name="Normal 26 2 5 3 2 3 2" xfId="28615" xr:uid="{00000000-0005-0000-0000-000032830000}"/>
    <cellStyle name="Normal 26 2 5 3 2 3 3" xfId="44107" xr:uid="{00000000-0005-0000-0000-000033830000}"/>
    <cellStyle name="Normal 26 2 5 3 2 4" xfId="20875" xr:uid="{00000000-0005-0000-0000-000034830000}"/>
    <cellStyle name="Normal 26 2 5 3 2 5" xfId="36367" xr:uid="{00000000-0005-0000-0000-000035830000}"/>
    <cellStyle name="Normal 26 2 5 3 3" xfId="7221" xr:uid="{00000000-0005-0000-0000-000036830000}"/>
    <cellStyle name="Normal 26 2 5 3 3 2" xfId="14966" xr:uid="{00000000-0005-0000-0000-000037830000}"/>
    <cellStyle name="Normal 26 2 5 3 3 2 2" xfId="30558" xr:uid="{00000000-0005-0000-0000-000038830000}"/>
    <cellStyle name="Normal 26 2 5 3 3 2 3" xfId="46050" xr:uid="{00000000-0005-0000-0000-000039830000}"/>
    <cellStyle name="Normal 26 2 5 3 3 3" xfId="22818" xr:uid="{00000000-0005-0000-0000-00003A830000}"/>
    <cellStyle name="Normal 26 2 5 3 3 4" xfId="38310" xr:uid="{00000000-0005-0000-0000-00003B830000}"/>
    <cellStyle name="Normal 26 2 5 3 4" xfId="11096" xr:uid="{00000000-0005-0000-0000-00003C830000}"/>
    <cellStyle name="Normal 26 2 5 3 4 2" xfId="26688" xr:uid="{00000000-0005-0000-0000-00003D830000}"/>
    <cellStyle name="Normal 26 2 5 3 4 3" xfId="42180" xr:uid="{00000000-0005-0000-0000-00003E830000}"/>
    <cellStyle name="Normal 26 2 5 3 5" xfId="18948" xr:uid="{00000000-0005-0000-0000-00003F830000}"/>
    <cellStyle name="Normal 26 2 5 3 6" xfId="34440" xr:uid="{00000000-0005-0000-0000-000040830000}"/>
    <cellStyle name="Normal 26 2 5 4" xfId="4329" xr:uid="{00000000-0005-0000-0000-000041830000}"/>
    <cellStyle name="Normal 26 2 5 4 2" xfId="8200" xr:uid="{00000000-0005-0000-0000-000042830000}"/>
    <cellStyle name="Normal 26 2 5 4 2 2" xfId="15945" xr:uid="{00000000-0005-0000-0000-000043830000}"/>
    <cellStyle name="Normal 26 2 5 4 2 2 2" xfId="31537" xr:uid="{00000000-0005-0000-0000-000044830000}"/>
    <cellStyle name="Normal 26 2 5 4 2 2 3" xfId="47029" xr:uid="{00000000-0005-0000-0000-000045830000}"/>
    <cellStyle name="Normal 26 2 5 4 2 3" xfId="23797" xr:uid="{00000000-0005-0000-0000-000046830000}"/>
    <cellStyle name="Normal 26 2 5 4 2 4" xfId="39289" xr:uid="{00000000-0005-0000-0000-000047830000}"/>
    <cellStyle name="Normal 26 2 5 4 3" xfId="12075" xr:uid="{00000000-0005-0000-0000-000048830000}"/>
    <cellStyle name="Normal 26 2 5 4 3 2" xfId="27667" xr:uid="{00000000-0005-0000-0000-000049830000}"/>
    <cellStyle name="Normal 26 2 5 4 3 3" xfId="43159" xr:uid="{00000000-0005-0000-0000-00004A830000}"/>
    <cellStyle name="Normal 26 2 5 4 4" xfId="19927" xr:uid="{00000000-0005-0000-0000-00004B830000}"/>
    <cellStyle name="Normal 26 2 5 4 5" xfId="35419" xr:uid="{00000000-0005-0000-0000-00004C830000}"/>
    <cellStyle name="Normal 26 2 5 5" xfId="6273" xr:uid="{00000000-0005-0000-0000-00004D830000}"/>
    <cellStyle name="Normal 26 2 5 5 2" xfId="14018" xr:uid="{00000000-0005-0000-0000-00004E830000}"/>
    <cellStyle name="Normal 26 2 5 5 2 2" xfId="29610" xr:uid="{00000000-0005-0000-0000-00004F830000}"/>
    <cellStyle name="Normal 26 2 5 5 2 3" xfId="45102" xr:uid="{00000000-0005-0000-0000-000050830000}"/>
    <cellStyle name="Normal 26 2 5 5 3" xfId="21870" xr:uid="{00000000-0005-0000-0000-000051830000}"/>
    <cellStyle name="Normal 26 2 5 5 4" xfId="37362" xr:uid="{00000000-0005-0000-0000-000052830000}"/>
    <cellStyle name="Normal 26 2 5 6" xfId="10148" xr:uid="{00000000-0005-0000-0000-000053830000}"/>
    <cellStyle name="Normal 26 2 5 6 2" xfId="25740" xr:uid="{00000000-0005-0000-0000-000054830000}"/>
    <cellStyle name="Normal 26 2 5 6 3" xfId="41232" xr:uid="{00000000-0005-0000-0000-000055830000}"/>
    <cellStyle name="Normal 26 2 5 7" xfId="18000" xr:uid="{00000000-0005-0000-0000-000056830000}"/>
    <cellStyle name="Normal 26 2 5 8" xfId="33492" xr:uid="{00000000-0005-0000-0000-000057830000}"/>
    <cellStyle name="Normal 26 2 6" xfId="2362" xr:uid="{00000000-0005-0000-0000-000058830000}"/>
    <cellStyle name="Normal 26 2 6 2" xfId="2675" xr:uid="{00000000-0005-0000-0000-000059830000}"/>
    <cellStyle name="Normal 26 2 6 2 2" xfId="3683" xr:uid="{00000000-0005-0000-0000-00005A830000}"/>
    <cellStyle name="Normal 26 2 6 2 2 2" xfId="5622" xr:uid="{00000000-0005-0000-0000-00005B830000}"/>
    <cellStyle name="Normal 26 2 6 2 2 2 2" xfId="9493" xr:uid="{00000000-0005-0000-0000-00005C830000}"/>
    <cellStyle name="Normal 26 2 6 2 2 2 2 2" xfId="17238" xr:uid="{00000000-0005-0000-0000-00005D830000}"/>
    <cellStyle name="Normal 26 2 6 2 2 2 2 2 2" xfId="32830" xr:uid="{00000000-0005-0000-0000-00005E830000}"/>
    <cellStyle name="Normal 26 2 6 2 2 2 2 2 3" xfId="48322" xr:uid="{00000000-0005-0000-0000-00005F830000}"/>
    <cellStyle name="Normal 26 2 6 2 2 2 2 3" xfId="25090" xr:uid="{00000000-0005-0000-0000-000060830000}"/>
    <cellStyle name="Normal 26 2 6 2 2 2 2 4" xfId="40582" xr:uid="{00000000-0005-0000-0000-000061830000}"/>
    <cellStyle name="Normal 26 2 6 2 2 2 3" xfId="13368" xr:uid="{00000000-0005-0000-0000-000062830000}"/>
    <cellStyle name="Normal 26 2 6 2 2 2 3 2" xfId="28960" xr:uid="{00000000-0005-0000-0000-000063830000}"/>
    <cellStyle name="Normal 26 2 6 2 2 2 3 3" xfId="44452" xr:uid="{00000000-0005-0000-0000-000064830000}"/>
    <cellStyle name="Normal 26 2 6 2 2 2 4" xfId="21220" xr:uid="{00000000-0005-0000-0000-000065830000}"/>
    <cellStyle name="Normal 26 2 6 2 2 2 5" xfId="36712" xr:uid="{00000000-0005-0000-0000-000066830000}"/>
    <cellStyle name="Normal 26 2 6 2 2 3" xfId="7566" xr:uid="{00000000-0005-0000-0000-000067830000}"/>
    <cellStyle name="Normal 26 2 6 2 2 3 2" xfId="15311" xr:uid="{00000000-0005-0000-0000-000068830000}"/>
    <cellStyle name="Normal 26 2 6 2 2 3 2 2" xfId="30903" xr:uid="{00000000-0005-0000-0000-000069830000}"/>
    <cellStyle name="Normal 26 2 6 2 2 3 2 3" xfId="46395" xr:uid="{00000000-0005-0000-0000-00006A830000}"/>
    <cellStyle name="Normal 26 2 6 2 2 3 3" xfId="23163" xr:uid="{00000000-0005-0000-0000-00006B830000}"/>
    <cellStyle name="Normal 26 2 6 2 2 3 4" xfId="38655" xr:uid="{00000000-0005-0000-0000-00006C830000}"/>
    <cellStyle name="Normal 26 2 6 2 2 4" xfId="11441" xr:uid="{00000000-0005-0000-0000-00006D830000}"/>
    <cellStyle name="Normal 26 2 6 2 2 4 2" xfId="27033" xr:uid="{00000000-0005-0000-0000-00006E830000}"/>
    <cellStyle name="Normal 26 2 6 2 2 4 3" xfId="42525" xr:uid="{00000000-0005-0000-0000-00006F830000}"/>
    <cellStyle name="Normal 26 2 6 2 2 5" xfId="19293" xr:uid="{00000000-0005-0000-0000-000070830000}"/>
    <cellStyle name="Normal 26 2 6 2 2 6" xfId="34785" xr:uid="{00000000-0005-0000-0000-000071830000}"/>
    <cellStyle name="Normal 26 2 6 2 3" xfId="4674" xr:uid="{00000000-0005-0000-0000-000072830000}"/>
    <cellStyle name="Normal 26 2 6 2 3 2" xfId="8545" xr:uid="{00000000-0005-0000-0000-000073830000}"/>
    <cellStyle name="Normal 26 2 6 2 3 2 2" xfId="16290" xr:uid="{00000000-0005-0000-0000-000074830000}"/>
    <cellStyle name="Normal 26 2 6 2 3 2 2 2" xfId="31882" xr:uid="{00000000-0005-0000-0000-000075830000}"/>
    <cellStyle name="Normal 26 2 6 2 3 2 2 3" xfId="47374" xr:uid="{00000000-0005-0000-0000-000076830000}"/>
    <cellStyle name="Normal 26 2 6 2 3 2 3" xfId="24142" xr:uid="{00000000-0005-0000-0000-000077830000}"/>
    <cellStyle name="Normal 26 2 6 2 3 2 4" xfId="39634" xr:uid="{00000000-0005-0000-0000-000078830000}"/>
    <cellStyle name="Normal 26 2 6 2 3 3" xfId="12420" xr:uid="{00000000-0005-0000-0000-000079830000}"/>
    <cellStyle name="Normal 26 2 6 2 3 3 2" xfId="28012" xr:uid="{00000000-0005-0000-0000-00007A830000}"/>
    <cellStyle name="Normal 26 2 6 2 3 3 3" xfId="43504" xr:uid="{00000000-0005-0000-0000-00007B830000}"/>
    <cellStyle name="Normal 26 2 6 2 3 4" xfId="20272" xr:uid="{00000000-0005-0000-0000-00007C830000}"/>
    <cellStyle name="Normal 26 2 6 2 3 5" xfId="35764" xr:uid="{00000000-0005-0000-0000-00007D830000}"/>
    <cellStyle name="Normal 26 2 6 2 4" xfId="6618" xr:uid="{00000000-0005-0000-0000-00007E830000}"/>
    <cellStyle name="Normal 26 2 6 2 4 2" xfId="14363" xr:uid="{00000000-0005-0000-0000-00007F830000}"/>
    <cellStyle name="Normal 26 2 6 2 4 2 2" xfId="29955" xr:uid="{00000000-0005-0000-0000-000080830000}"/>
    <cellStyle name="Normal 26 2 6 2 4 2 3" xfId="45447" xr:uid="{00000000-0005-0000-0000-000081830000}"/>
    <cellStyle name="Normal 26 2 6 2 4 3" xfId="22215" xr:uid="{00000000-0005-0000-0000-000082830000}"/>
    <cellStyle name="Normal 26 2 6 2 4 4" xfId="37707" xr:uid="{00000000-0005-0000-0000-000083830000}"/>
    <cellStyle name="Normal 26 2 6 2 5" xfId="10493" xr:uid="{00000000-0005-0000-0000-000084830000}"/>
    <cellStyle name="Normal 26 2 6 2 5 2" xfId="26085" xr:uid="{00000000-0005-0000-0000-000085830000}"/>
    <cellStyle name="Normal 26 2 6 2 5 3" xfId="41577" xr:uid="{00000000-0005-0000-0000-000086830000}"/>
    <cellStyle name="Normal 26 2 6 2 6" xfId="18345" xr:uid="{00000000-0005-0000-0000-000087830000}"/>
    <cellStyle name="Normal 26 2 6 2 7" xfId="33837" xr:uid="{00000000-0005-0000-0000-000088830000}"/>
    <cellStyle name="Normal 26 2 6 3" xfId="3374" xr:uid="{00000000-0005-0000-0000-000089830000}"/>
    <cellStyle name="Normal 26 2 6 3 2" xfId="5313" xr:uid="{00000000-0005-0000-0000-00008A830000}"/>
    <cellStyle name="Normal 26 2 6 3 2 2" xfId="9184" xr:uid="{00000000-0005-0000-0000-00008B830000}"/>
    <cellStyle name="Normal 26 2 6 3 2 2 2" xfId="16929" xr:uid="{00000000-0005-0000-0000-00008C830000}"/>
    <cellStyle name="Normal 26 2 6 3 2 2 2 2" xfId="32521" xr:uid="{00000000-0005-0000-0000-00008D830000}"/>
    <cellStyle name="Normal 26 2 6 3 2 2 2 3" xfId="48013" xr:uid="{00000000-0005-0000-0000-00008E830000}"/>
    <cellStyle name="Normal 26 2 6 3 2 2 3" xfId="24781" xr:uid="{00000000-0005-0000-0000-00008F830000}"/>
    <cellStyle name="Normal 26 2 6 3 2 2 4" xfId="40273" xr:uid="{00000000-0005-0000-0000-000090830000}"/>
    <cellStyle name="Normal 26 2 6 3 2 3" xfId="13059" xr:uid="{00000000-0005-0000-0000-000091830000}"/>
    <cellStyle name="Normal 26 2 6 3 2 3 2" xfId="28651" xr:uid="{00000000-0005-0000-0000-000092830000}"/>
    <cellStyle name="Normal 26 2 6 3 2 3 3" xfId="44143" xr:uid="{00000000-0005-0000-0000-000093830000}"/>
    <cellStyle name="Normal 26 2 6 3 2 4" xfId="20911" xr:uid="{00000000-0005-0000-0000-000094830000}"/>
    <cellStyle name="Normal 26 2 6 3 2 5" xfId="36403" xr:uid="{00000000-0005-0000-0000-000095830000}"/>
    <cellStyle name="Normal 26 2 6 3 3" xfId="7257" xr:uid="{00000000-0005-0000-0000-000096830000}"/>
    <cellStyle name="Normal 26 2 6 3 3 2" xfId="15002" xr:uid="{00000000-0005-0000-0000-000097830000}"/>
    <cellStyle name="Normal 26 2 6 3 3 2 2" xfId="30594" xr:uid="{00000000-0005-0000-0000-000098830000}"/>
    <cellStyle name="Normal 26 2 6 3 3 2 3" xfId="46086" xr:uid="{00000000-0005-0000-0000-000099830000}"/>
    <cellStyle name="Normal 26 2 6 3 3 3" xfId="22854" xr:uid="{00000000-0005-0000-0000-00009A830000}"/>
    <cellStyle name="Normal 26 2 6 3 3 4" xfId="38346" xr:uid="{00000000-0005-0000-0000-00009B830000}"/>
    <cellStyle name="Normal 26 2 6 3 4" xfId="11132" xr:uid="{00000000-0005-0000-0000-00009C830000}"/>
    <cellStyle name="Normal 26 2 6 3 4 2" xfId="26724" xr:uid="{00000000-0005-0000-0000-00009D830000}"/>
    <cellStyle name="Normal 26 2 6 3 4 3" xfId="42216" xr:uid="{00000000-0005-0000-0000-00009E830000}"/>
    <cellStyle name="Normal 26 2 6 3 5" xfId="18984" xr:uid="{00000000-0005-0000-0000-00009F830000}"/>
    <cellStyle name="Normal 26 2 6 3 6" xfId="34476" xr:uid="{00000000-0005-0000-0000-0000A0830000}"/>
    <cellStyle name="Normal 26 2 6 4" xfId="4365" xr:uid="{00000000-0005-0000-0000-0000A1830000}"/>
    <cellStyle name="Normal 26 2 6 4 2" xfId="8236" xr:uid="{00000000-0005-0000-0000-0000A2830000}"/>
    <cellStyle name="Normal 26 2 6 4 2 2" xfId="15981" xr:uid="{00000000-0005-0000-0000-0000A3830000}"/>
    <cellStyle name="Normal 26 2 6 4 2 2 2" xfId="31573" xr:uid="{00000000-0005-0000-0000-0000A4830000}"/>
    <cellStyle name="Normal 26 2 6 4 2 2 3" xfId="47065" xr:uid="{00000000-0005-0000-0000-0000A5830000}"/>
    <cellStyle name="Normal 26 2 6 4 2 3" xfId="23833" xr:uid="{00000000-0005-0000-0000-0000A6830000}"/>
    <cellStyle name="Normal 26 2 6 4 2 4" xfId="39325" xr:uid="{00000000-0005-0000-0000-0000A7830000}"/>
    <cellStyle name="Normal 26 2 6 4 3" xfId="12111" xr:uid="{00000000-0005-0000-0000-0000A8830000}"/>
    <cellStyle name="Normal 26 2 6 4 3 2" xfId="27703" xr:uid="{00000000-0005-0000-0000-0000A9830000}"/>
    <cellStyle name="Normal 26 2 6 4 3 3" xfId="43195" xr:uid="{00000000-0005-0000-0000-0000AA830000}"/>
    <cellStyle name="Normal 26 2 6 4 4" xfId="19963" xr:uid="{00000000-0005-0000-0000-0000AB830000}"/>
    <cellStyle name="Normal 26 2 6 4 5" xfId="35455" xr:uid="{00000000-0005-0000-0000-0000AC830000}"/>
    <cellStyle name="Normal 26 2 6 5" xfId="6309" xr:uid="{00000000-0005-0000-0000-0000AD830000}"/>
    <cellStyle name="Normal 26 2 6 5 2" xfId="14054" xr:uid="{00000000-0005-0000-0000-0000AE830000}"/>
    <cellStyle name="Normal 26 2 6 5 2 2" xfId="29646" xr:uid="{00000000-0005-0000-0000-0000AF830000}"/>
    <cellStyle name="Normal 26 2 6 5 2 3" xfId="45138" xr:uid="{00000000-0005-0000-0000-0000B0830000}"/>
    <cellStyle name="Normal 26 2 6 5 3" xfId="21906" xr:uid="{00000000-0005-0000-0000-0000B1830000}"/>
    <cellStyle name="Normal 26 2 6 5 4" xfId="37398" xr:uid="{00000000-0005-0000-0000-0000B2830000}"/>
    <cellStyle name="Normal 26 2 6 6" xfId="10184" xr:uid="{00000000-0005-0000-0000-0000B3830000}"/>
    <cellStyle name="Normal 26 2 6 6 2" xfId="25776" xr:uid="{00000000-0005-0000-0000-0000B4830000}"/>
    <cellStyle name="Normal 26 2 6 6 3" xfId="41268" xr:uid="{00000000-0005-0000-0000-0000B5830000}"/>
    <cellStyle name="Normal 26 2 6 7" xfId="18036" xr:uid="{00000000-0005-0000-0000-0000B6830000}"/>
    <cellStyle name="Normal 26 2 6 8" xfId="33528" xr:uid="{00000000-0005-0000-0000-0000B7830000}"/>
    <cellStyle name="Normal 26 2 7" xfId="2400" xr:uid="{00000000-0005-0000-0000-0000B8830000}"/>
    <cellStyle name="Normal 26 2 7 2" xfId="2711" xr:uid="{00000000-0005-0000-0000-0000B9830000}"/>
    <cellStyle name="Normal 26 2 7 2 2" xfId="3719" xr:uid="{00000000-0005-0000-0000-0000BA830000}"/>
    <cellStyle name="Normal 26 2 7 2 2 2" xfId="5658" xr:uid="{00000000-0005-0000-0000-0000BB830000}"/>
    <cellStyle name="Normal 26 2 7 2 2 2 2" xfId="9529" xr:uid="{00000000-0005-0000-0000-0000BC830000}"/>
    <cellStyle name="Normal 26 2 7 2 2 2 2 2" xfId="17274" xr:uid="{00000000-0005-0000-0000-0000BD830000}"/>
    <cellStyle name="Normal 26 2 7 2 2 2 2 2 2" xfId="32866" xr:uid="{00000000-0005-0000-0000-0000BE830000}"/>
    <cellStyle name="Normal 26 2 7 2 2 2 2 2 3" xfId="48358" xr:uid="{00000000-0005-0000-0000-0000BF830000}"/>
    <cellStyle name="Normal 26 2 7 2 2 2 2 3" xfId="25126" xr:uid="{00000000-0005-0000-0000-0000C0830000}"/>
    <cellStyle name="Normal 26 2 7 2 2 2 2 4" xfId="40618" xr:uid="{00000000-0005-0000-0000-0000C1830000}"/>
    <cellStyle name="Normal 26 2 7 2 2 2 3" xfId="13404" xr:uid="{00000000-0005-0000-0000-0000C2830000}"/>
    <cellStyle name="Normal 26 2 7 2 2 2 3 2" xfId="28996" xr:uid="{00000000-0005-0000-0000-0000C3830000}"/>
    <cellStyle name="Normal 26 2 7 2 2 2 3 3" xfId="44488" xr:uid="{00000000-0005-0000-0000-0000C4830000}"/>
    <cellStyle name="Normal 26 2 7 2 2 2 4" xfId="21256" xr:uid="{00000000-0005-0000-0000-0000C5830000}"/>
    <cellStyle name="Normal 26 2 7 2 2 2 5" xfId="36748" xr:uid="{00000000-0005-0000-0000-0000C6830000}"/>
    <cellStyle name="Normal 26 2 7 2 2 3" xfId="7602" xr:uid="{00000000-0005-0000-0000-0000C7830000}"/>
    <cellStyle name="Normal 26 2 7 2 2 3 2" xfId="15347" xr:uid="{00000000-0005-0000-0000-0000C8830000}"/>
    <cellStyle name="Normal 26 2 7 2 2 3 2 2" xfId="30939" xr:uid="{00000000-0005-0000-0000-0000C9830000}"/>
    <cellStyle name="Normal 26 2 7 2 2 3 2 3" xfId="46431" xr:uid="{00000000-0005-0000-0000-0000CA830000}"/>
    <cellStyle name="Normal 26 2 7 2 2 3 3" xfId="23199" xr:uid="{00000000-0005-0000-0000-0000CB830000}"/>
    <cellStyle name="Normal 26 2 7 2 2 3 4" xfId="38691" xr:uid="{00000000-0005-0000-0000-0000CC830000}"/>
    <cellStyle name="Normal 26 2 7 2 2 4" xfId="11477" xr:uid="{00000000-0005-0000-0000-0000CD830000}"/>
    <cellStyle name="Normal 26 2 7 2 2 4 2" xfId="27069" xr:uid="{00000000-0005-0000-0000-0000CE830000}"/>
    <cellStyle name="Normal 26 2 7 2 2 4 3" xfId="42561" xr:uid="{00000000-0005-0000-0000-0000CF830000}"/>
    <cellStyle name="Normal 26 2 7 2 2 5" xfId="19329" xr:uid="{00000000-0005-0000-0000-0000D0830000}"/>
    <cellStyle name="Normal 26 2 7 2 2 6" xfId="34821" xr:uid="{00000000-0005-0000-0000-0000D1830000}"/>
    <cellStyle name="Normal 26 2 7 2 3" xfId="4710" xr:uid="{00000000-0005-0000-0000-0000D2830000}"/>
    <cellStyle name="Normal 26 2 7 2 3 2" xfId="8581" xr:uid="{00000000-0005-0000-0000-0000D3830000}"/>
    <cellStyle name="Normal 26 2 7 2 3 2 2" xfId="16326" xr:uid="{00000000-0005-0000-0000-0000D4830000}"/>
    <cellStyle name="Normal 26 2 7 2 3 2 2 2" xfId="31918" xr:uid="{00000000-0005-0000-0000-0000D5830000}"/>
    <cellStyle name="Normal 26 2 7 2 3 2 2 3" xfId="47410" xr:uid="{00000000-0005-0000-0000-0000D6830000}"/>
    <cellStyle name="Normal 26 2 7 2 3 2 3" xfId="24178" xr:uid="{00000000-0005-0000-0000-0000D7830000}"/>
    <cellStyle name="Normal 26 2 7 2 3 2 4" xfId="39670" xr:uid="{00000000-0005-0000-0000-0000D8830000}"/>
    <cellStyle name="Normal 26 2 7 2 3 3" xfId="12456" xr:uid="{00000000-0005-0000-0000-0000D9830000}"/>
    <cellStyle name="Normal 26 2 7 2 3 3 2" xfId="28048" xr:uid="{00000000-0005-0000-0000-0000DA830000}"/>
    <cellStyle name="Normal 26 2 7 2 3 3 3" xfId="43540" xr:uid="{00000000-0005-0000-0000-0000DB830000}"/>
    <cellStyle name="Normal 26 2 7 2 3 4" xfId="20308" xr:uid="{00000000-0005-0000-0000-0000DC830000}"/>
    <cellStyle name="Normal 26 2 7 2 3 5" xfId="35800" xr:uid="{00000000-0005-0000-0000-0000DD830000}"/>
    <cellStyle name="Normal 26 2 7 2 4" xfId="6654" xr:uid="{00000000-0005-0000-0000-0000DE830000}"/>
    <cellStyle name="Normal 26 2 7 2 4 2" xfId="14399" xr:uid="{00000000-0005-0000-0000-0000DF830000}"/>
    <cellStyle name="Normal 26 2 7 2 4 2 2" xfId="29991" xr:uid="{00000000-0005-0000-0000-0000E0830000}"/>
    <cellStyle name="Normal 26 2 7 2 4 2 3" xfId="45483" xr:uid="{00000000-0005-0000-0000-0000E1830000}"/>
    <cellStyle name="Normal 26 2 7 2 4 3" xfId="22251" xr:uid="{00000000-0005-0000-0000-0000E2830000}"/>
    <cellStyle name="Normal 26 2 7 2 4 4" xfId="37743" xr:uid="{00000000-0005-0000-0000-0000E3830000}"/>
    <cellStyle name="Normal 26 2 7 2 5" xfId="10529" xr:uid="{00000000-0005-0000-0000-0000E4830000}"/>
    <cellStyle name="Normal 26 2 7 2 5 2" xfId="26121" xr:uid="{00000000-0005-0000-0000-0000E5830000}"/>
    <cellStyle name="Normal 26 2 7 2 5 3" xfId="41613" xr:uid="{00000000-0005-0000-0000-0000E6830000}"/>
    <cellStyle name="Normal 26 2 7 2 6" xfId="18381" xr:uid="{00000000-0005-0000-0000-0000E7830000}"/>
    <cellStyle name="Normal 26 2 7 2 7" xfId="33873" xr:uid="{00000000-0005-0000-0000-0000E8830000}"/>
    <cellStyle name="Normal 26 2 7 3" xfId="3410" xr:uid="{00000000-0005-0000-0000-0000E9830000}"/>
    <cellStyle name="Normal 26 2 7 3 2" xfId="5349" xr:uid="{00000000-0005-0000-0000-0000EA830000}"/>
    <cellStyle name="Normal 26 2 7 3 2 2" xfId="9220" xr:uid="{00000000-0005-0000-0000-0000EB830000}"/>
    <cellStyle name="Normal 26 2 7 3 2 2 2" xfId="16965" xr:uid="{00000000-0005-0000-0000-0000EC830000}"/>
    <cellStyle name="Normal 26 2 7 3 2 2 2 2" xfId="32557" xr:uid="{00000000-0005-0000-0000-0000ED830000}"/>
    <cellStyle name="Normal 26 2 7 3 2 2 2 3" xfId="48049" xr:uid="{00000000-0005-0000-0000-0000EE830000}"/>
    <cellStyle name="Normal 26 2 7 3 2 2 3" xfId="24817" xr:uid="{00000000-0005-0000-0000-0000EF830000}"/>
    <cellStyle name="Normal 26 2 7 3 2 2 4" xfId="40309" xr:uid="{00000000-0005-0000-0000-0000F0830000}"/>
    <cellStyle name="Normal 26 2 7 3 2 3" xfId="13095" xr:uid="{00000000-0005-0000-0000-0000F1830000}"/>
    <cellStyle name="Normal 26 2 7 3 2 3 2" xfId="28687" xr:uid="{00000000-0005-0000-0000-0000F2830000}"/>
    <cellStyle name="Normal 26 2 7 3 2 3 3" xfId="44179" xr:uid="{00000000-0005-0000-0000-0000F3830000}"/>
    <cellStyle name="Normal 26 2 7 3 2 4" xfId="20947" xr:uid="{00000000-0005-0000-0000-0000F4830000}"/>
    <cellStyle name="Normal 26 2 7 3 2 5" xfId="36439" xr:uid="{00000000-0005-0000-0000-0000F5830000}"/>
    <cellStyle name="Normal 26 2 7 3 3" xfId="7293" xr:uid="{00000000-0005-0000-0000-0000F6830000}"/>
    <cellStyle name="Normal 26 2 7 3 3 2" xfId="15038" xr:uid="{00000000-0005-0000-0000-0000F7830000}"/>
    <cellStyle name="Normal 26 2 7 3 3 2 2" xfId="30630" xr:uid="{00000000-0005-0000-0000-0000F8830000}"/>
    <cellStyle name="Normal 26 2 7 3 3 2 3" xfId="46122" xr:uid="{00000000-0005-0000-0000-0000F9830000}"/>
    <cellStyle name="Normal 26 2 7 3 3 3" xfId="22890" xr:uid="{00000000-0005-0000-0000-0000FA830000}"/>
    <cellStyle name="Normal 26 2 7 3 3 4" xfId="38382" xr:uid="{00000000-0005-0000-0000-0000FB830000}"/>
    <cellStyle name="Normal 26 2 7 3 4" xfId="11168" xr:uid="{00000000-0005-0000-0000-0000FC830000}"/>
    <cellStyle name="Normal 26 2 7 3 4 2" xfId="26760" xr:uid="{00000000-0005-0000-0000-0000FD830000}"/>
    <cellStyle name="Normal 26 2 7 3 4 3" xfId="42252" xr:uid="{00000000-0005-0000-0000-0000FE830000}"/>
    <cellStyle name="Normal 26 2 7 3 5" xfId="19020" xr:uid="{00000000-0005-0000-0000-0000FF830000}"/>
    <cellStyle name="Normal 26 2 7 3 6" xfId="34512" xr:uid="{00000000-0005-0000-0000-000000840000}"/>
    <cellStyle name="Normal 26 2 7 4" xfId="4401" xr:uid="{00000000-0005-0000-0000-000001840000}"/>
    <cellStyle name="Normal 26 2 7 4 2" xfId="8272" xr:uid="{00000000-0005-0000-0000-000002840000}"/>
    <cellStyle name="Normal 26 2 7 4 2 2" xfId="16017" xr:uid="{00000000-0005-0000-0000-000003840000}"/>
    <cellStyle name="Normal 26 2 7 4 2 2 2" xfId="31609" xr:uid="{00000000-0005-0000-0000-000004840000}"/>
    <cellStyle name="Normal 26 2 7 4 2 2 3" xfId="47101" xr:uid="{00000000-0005-0000-0000-000005840000}"/>
    <cellStyle name="Normal 26 2 7 4 2 3" xfId="23869" xr:uid="{00000000-0005-0000-0000-000006840000}"/>
    <cellStyle name="Normal 26 2 7 4 2 4" xfId="39361" xr:uid="{00000000-0005-0000-0000-000007840000}"/>
    <cellStyle name="Normal 26 2 7 4 3" xfId="12147" xr:uid="{00000000-0005-0000-0000-000008840000}"/>
    <cellStyle name="Normal 26 2 7 4 3 2" xfId="27739" xr:uid="{00000000-0005-0000-0000-000009840000}"/>
    <cellStyle name="Normal 26 2 7 4 3 3" xfId="43231" xr:uid="{00000000-0005-0000-0000-00000A840000}"/>
    <cellStyle name="Normal 26 2 7 4 4" xfId="19999" xr:uid="{00000000-0005-0000-0000-00000B840000}"/>
    <cellStyle name="Normal 26 2 7 4 5" xfId="35491" xr:uid="{00000000-0005-0000-0000-00000C840000}"/>
    <cellStyle name="Normal 26 2 7 5" xfId="6345" xr:uid="{00000000-0005-0000-0000-00000D840000}"/>
    <cellStyle name="Normal 26 2 7 5 2" xfId="14090" xr:uid="{00000000-0005-0000-0000-00000E840000}"/>
    <cellStyle name="Normal 26 2 7 5 2 2" xfId="29682" xr:uid="{00000000-0005-0000-0000-00000F840000}"/>
    <cellStyle name="Normal 26 2 7 5 2 3" xfId="45174" xr:uid="{00000000-0005-0000-0000-000010840000}"/>
    <cellStyle name="Normal 26 2 7 5 3" xfId="21942" xr:uid="{00000000-0005-0000-0000-000011840000}"/>
    <cellStyle name="Normal 26 2 7 5 4" xfId="37434" xr:uid="{00000000-0005-0000-0000-000012840000}"/>
    <cellStyle name="Normal 26 2 7 6" xfId="10220" xr:uid="{00000000-0005-0000-0000-000013840000}"/>
    <cellStyle name="Normal 26 2 7 6 2" xfId="25812" xr:uid="{00000000-0005-0000-0000-000014840000}"/>
    <cellStyle name="Normal 26 2 7 6 3" xfId="41304" xr:uid="{00000000-0005-0000-0000-000015840000}"/>
    <cellStyle name="Normal 26 2 7 7" xfId="18072" xr:uid="{00000000-0005-0000-0000-000016840000}"/>
    <cellStyle name="Normal 26 2 7 8" xfId="33564" xr:uid="{00000000-0005-0000-0000-000017840000}"/>
    <cellStyle name="Normal 26 2 8" xfId="2437" xr:uid="{00000000-0005-0000-0000-000018840000}"/>
    <cellStyle name="Normal 26 2 8 2" xfId="2747" xr:uid="{00000000-0005-0000-0000-000019840000}"/>
    <cellStyle name="Normal 26 2 8 2 2" xfId="3755" xr:uid="{00000000-0005-0000-0000-00001A840000}"/>
    <cellStyle name="Normal 26 2 8 2 2 2" xfId="5694" xr:uid="{00000000-0005-0000-0000-00001B840000}"/>
    <cellStyle name="Normal 26 2 8 2 2 2 2" xfId="9565" xr:uid="{00000000-0005-0000-0000-00001C840000}"/>
    <cellStyle name="Normal 26 2 8 2 2 2 2 2" xfId="17310" xr:uid="{00000000-0005-0000-0000-00001D840000}"/>
    <cellStyle name="Normal 26 2 8 2 2 2 2 2 2" xfId="32902" xr:uid="{00000000-0005-0000-0000-00001E840000}"/>
    <cellStyle name="Normal 26 2 8 2 2 2 2 2 3" xfId="48394" xr:uid="{00000000-0005-0000-0000-00001F840000}"/>
    <cellStyle name="Normal 26 2 8 2 2 2 2 3" xfId="25162" xr:uid="{00000000-0005-0000-0000-000020840000}"/>
    <cellStyle name="Normal 26 2 8 2 2 2 2 4" xfId="40654" xr:uid="{00000000-0005-0000-0000-000021840000}"/>
    <cellStyle name="Normal 26 2 8 2 2 2 3" xfId="13440" xr:uid="{00000000-0005-0000-0000-000022840000}"/>
    <cellStyle name="Normal 26 2 8 2 2 2 3 2" xfId="29032" xr:uid="{00000000-0005-0000-0000-000023840000}"/>
    <cellStyle name="Normal 26 2 8 2 2 2 3 3" xfId="44524" xr:uid="{00000000-0005-0000-0000-000024840000}"/>
    <cellStyle name="Normal 26 2 8 2 2 2 4" xfId="21292" xr:uid="{00000000-0005-0000-0000-000025840000}"/>
    <cellStyle name="Normal 26 2 8 2 2 2 5" xfId="36784" xr:uid="{00000000-0005-0000-0000-000026840000}"/>
    <cellStyle name="Normal 26 2 8 2 2 3" xfId="7638" xr:uid="{00000000-0005-0000-0000-000027840000}"/>
    <cellStyle name="Normal 26 2 8 2 2 3 2" xfId="15383" xr:uid="{00000000-0005-0000-0000-000028840000}"/>
    <cellStyle name="Normal 26 2 8 2 2 3 2 2" xfId="30975" xr:uid="{00000000-0005-0000-0000-000029840000}"/>
    <cellStyle name="Normal 26 2 8 2 2 3 2 3" xfId="46467" xr:uid="{00000000-0005-0000-0000-00002A840000}"/>
    <cellStyle name="Normal 26 2 8 2 2 3 3" xfId="23235" xr:uid="{00000000-0005-0000-0000-00002B840000}"/>
    <cellStyle name="Normal 26 2 8 2 2 3 4" xfId="38727" xr:uid="{00000000-0005-0000-0000-00002C840000}"/>
    <cellStyle name="Normal 26 2 8 2 2 4" xfId="11513" xr:uid="{00000000-0005-0000-0000-00002D840000}"/>
    <cellStyle name="Normal 26 2 8 2 2 4 2" xfId="27105" xr:uid="{00000000-0005-0000-0000-00002E840000}"/>
    <cellStyle name="Normal 26 2 8 2 2 4 3" xfId="42597" xr:uid="{00000000-0005-0000-0000-00002F840000}"/>
    <cellStyle name="Normal 26 2 8 2 2 5" xfId="19365" xr:uid="{00000000-0005-0000-0000-000030840000}"/>
    <cellStyle name="Normal 26 2 8 2 2 6" xfId="34857" xr:uid="{00000000-0005-0000-0000-000031840000}"/>
    <cellStyle name="Normal 26 2 8 2 3" xfId="4746" xr:uid="{00000000-0005-0000-0000-000032840000}"/>
    <cellStyle name="Normal 26 2 8 2 3 2" xfId="8617" xr:uid="{00000000-0005-0000-0000-000033840000}"/>
    <cellStyle name="Normal 26 2 8 2 3 2 2" xfId="16362" xr:uid="{00000000-0005-0000-0000-000034840000}"/>
    <cellStyle name="Normal 26 2 8 2 3 2 2 2" xfId="31954" xr:uid="{00000000-0005-0000-0000-000035840000}"/>
    <cellStyle name="Normal 26 2 8 2 3 2 2 3" xfId="47446" xr:uid="{00000000-0005-0000-0000-000036840000}"/>
    <cellStyle name="Normal 26 2 8 2 3 2 3" xfId="24214" xr:uid="{00000000-0005-0000-0000-000037840000}"/>
    <cellStyle name="Normal 26 2 8 2 3 2 4" xfId="39706" xr:uid="{00000000-0005-0000-0000-000038840000}"/>
    <cellStyle name="Normal 26 2 8 2 3 3" xfId="12492" xr:uid="{00000000-0005-0000-0000-000039840000}"/>
    <cellStyle name="Normal 26 2 8 2 3 3 2" xfId="28084" xr:uid="{00000000-0005-0000-0000-00003A840000}"/>
    <cellStyle name="Normal 26 2 8 2 3 3 3" xfId="43576" xr:uid="{00000000-0005-0000-0000-00003B840000}"/>
    <cellStyle name="Normal 26 2 8 2 3 4" xfId="20344" xr:uid="{00000000-0005-0000-0000-00003C840000}"/>
    <cellStyle name="Normal 26 2 8 2 3 5" xfId="35836" xr:uid="{00000000-0005-0000-0000-00003D840000}"/>
    <cellStyle name="Normal 26 2 8 2 4" xfId="6690" xr:uid="{00000000-0005-0000-0000-00003E840000}"/>
    <cellStyle name="Normal 26 2 8 2 4 2" xfId="14435" xr:uid="{00000000-0005-0000-0000-00003F840000}"/>
    <cellStyle name="Normal 26 2 8 2 4 2 2" xfId="30027" xr:uid="{00000000-0005-0000-0000-000040840000}"/>
    <cellStyle name="Normal 26 2 8 2 4 2 3" xfId="45519" xr:uid="{00000000-0005-0000-0000-000041840000}"/>
    <cellStyle name="Normal 26 2 8 2 4 3" xfId="22287" xr:uid="{00000000-0005-0000-0000-000042840000}"/>
    <cellStyle name="Normal 26 2 8 2 4 4" xfId="37779" xr:uid="{00000000-0005-0000-0000-000043840000}"/>
    <cellStyle name="Normal 26 2 8 2 5" xfId="10565" xr:uid="{00000000-0005-0000-0000-000044840000}"/>
    <cellStyle name="Normal 26 2 8 2 5 2" xfId="26157" xr:uid="{00000000-0005-0000-0000-000045840000}"/>
    <cellStyle name="Normal 26 2 8 2 5 3" xfId="41649" xr:uid="{00000000-0005-0000-0000-000046840000}"/>
    <cellStyle name="Normal 26 2 8 2 6" xfId="18417" xr:uid="{00000000-0005-0000-0000-000047840000}"/>
    <cellStyle name="Normal 26 2 8 2 7" xfId="33909" xr:uid="{00000000-0005-0000-0000-000048840000}"/>
    <cellStyle name="Normal 26 2 8 3" xfId="3446" xr:uid="{00000000-0005-0000-0000-000049840000}"/>
    <cellStyle name="Normal 26 2 8 3 2" xfId="5385" xr:uid="{00000000-0005-0000-0000-00004A840000}"/>
    <cellStyle name="Normal 26 2 8 3 2 2" xfId="9256" xr:uid="{00000000-0005-0000-0000-00004B840000}"/>
    <cellStyle name="Normal 26 2 8 3 2 2 2" xfId="17001" xr:uid="{00000000-0005-0000-0000-00004C840000}"/>
    <cellStyle name="Normal 26 2 8 3 2 2 2 2" xfId="32593" xr:uid="{00000000-0005-0000-0000-00004D840000}"/>
    <cellStyle name="Normal 26 2 8 3 2 2 2 3" xfId="48085" xr:uid="{00000000-0005-0000-0000-00004E840000}"/>
    <cellStyle name="Normal 26 2 8 3 2 2 3" xfId="24853" xr:uid="{00000000-0005-0000-0000-00004F840000}"/>
    <cellStyle name="Normal 26 2 8 3 2 2 4" xfId="40345" xr:uid="{00000000-0005-0000-0000-000050840000}"/>
    <cellStyle name="Normal 26 2 8 3 2 3" xfId="13131" xr:uid="{00000000-0005-0000-0000-000051840000}"/>
    <cellStyle name="Normal 26 2 8 3 2 3 2" xfId="28723" xr:uid="{00000000-0005-0000-0000-000052840000}"/>
    <cellStyle name="Normal 26 2 8 3 2 3 3" xfId="44215" xr:uid="{00000000-0005-0000-0000-000053840000}"/>
    <cellStyle name="Normal 26 2 8 3 2 4" xfId="20983" xr:uid="{00000000-0005-0000-0000-000054840000}"/>
    <cellStyle name="Normal 26 2 8 3 2 5" xfId="36475" xr:uid="{00000000-0005-0000-0000-000055840000}"/>
    <cellStyle name="Normal 26 2 8 3 3" xfId="7329" xr:uid="{00000000-0005-0000-0000-000056840000}"/>
    <cellStyle name="Normal 26 2 8 3 3 2" xfId="15074" xr:uid="{00000000-0005-0000-0000-000057840000}"/>
    <cellStyle name="Normal 26 2 8 3 3 2 2" xfId="30666" xr:uid="{00000000-0005-0000-0000-000058840000}"/>
    <cellStyle name="Normal 26 2 8 3 3 2 3" xfId="46158" xr:uid="{00000000-0005-0000-0000-000059840000}"/>
    <cellStyle name="Normal 26 2 8 3 3 3" xfId="22926" xr:uid="{00000000-0005-0000-0000-00005A840000}"/>
    <cellStyle name="Normal 26 2 8 3 3 4" xfId="38418" xr:uid="{00000000-0005-0000-0000-00005B840000}"/>
    <cellStyle name="Normal 26 2 8 3 4" xfId="11204" xr:uid="{00000000-0005-0000-0000-00005C840000}"/>
    <cellStyle name="Normal 26 2 8 3 4 2" xfId="26796" xr:uid="{00000000-0005-0000-0000-00005D840000}"/>
    <cellStyle name="Normal 26 2 8 3 4 3" xfId="42288" xr:uid="{00000000-0005-0000-0000-00005E840000}"/>
    <cellStyle name="Normal 26 2 8 3 5" xfId="19056" xr:uid="{00000000-0005-0000-0000-00005F840000}"/>
    <cellStyle name="Normal 26 2 8 3 6" xfId="34548" xr:uid="{00000000-0005-0000-0000-000060840000}"/>
    <cellStyle name="Normal 26 2 8 4" xfId="4437" xr:uid="{00000000-0005-0000-0000-000061840000}"/>
    <cellStyle name="Normal 26 2 8 4 2" xfId="8308" xr:uid="{00000000-0005-0000-0000-000062840000}"/>
    <cellStyle name="Normal 26 2 8 4 2 2" xfId="16053" xr:uid="{00000000-0005-0000-0000-000063840000}"/>
    <cellStyle name="Normal 26 2 8 4 2 2 2" xfId="31645" xr:uid="{00000000-0005-0000-0000-000064840000}"/>
    <cellStyle name="Normal 26 2 8 4 2 2 3" xfId="47137" xr:uid="{00000000-0005-0000-0000-000065840000}"/>
    <cellStyle name="Normal 26 2 8 4 2 3" xfId="23905" xr:uid="{00000000-0005-0000-0000-000066840000}"/>
    <cellStyle name="Normal 26 2 8 4 2 4" xfId="39397" xr:uid="{00000000-0005-0000-0000-000067840000}"/>
    <cellStyle name="Normal 26 2 8 4 3" xfId="12183" xr:uid="{00000000-0005-0000-0000-000068840000}"/>
    <cellStyle name="Normal 26 2 8 4 3 2" xfId="27775" xr:uid="{00000000-0005-0000-0000-000069840000}"/>
    <cellStyle name="Normal 26 2 8 4 3 3" xfId="43267" xr:uid="{00000000-0005-0000-0000-00006A840000}"/>
    <cellStyle name="Normal 26 2 8 4 4" xfId="20035" xr:uid="{00000000-0005-0000-0000-00006B840000}"/>
    <cellStyle name="Normal 26 2 8 4 5" xfId="35527" xr:uid="{00000000-0005-0000-0000-00006C840000}"/>
    <cellStyle name="Normal 26 2 8 5" xfId="6381" xr:uid="{00000000-0005-0000-0000-00006D840000}"/>
    <cellStyle name="Normal 26 2 8 5 2" xfId="14126" xr:uid="{00000000-0005-0000-0000-00006E840000}"/>
    <cellStyle name="Normal 26 2 8 5 2 2" xfId="29718" xr:uid="{00000000-0005-0000-0000-00006F840000}"/>
    <cellStyle name="Normal 26 2 8 5 2 3" xfId="45210" xr:uid="{00000000-0005-0000-0000-000070840000}"/>
    <cellStyle name="Normal 26 2 8 5 3" xfId="21978" xr:uid="{00000000-0005-0000-0000-000071840000}"/>
    <cellStyle name="Normal 26 2 8 5 4" xfId="37470" xr:uid="{00000000-0005-0000-0000-000072840000}"/>
    <cellStyle name="Normal 26 2 8 6" xfId="10256" xr:uid="{00000000-0005-0000-0000-000073840000}"/>
    <cellStyle name="Normal 26 2 8 6 2" xfId="25848" xr:uid="{00000000-0005-0000-0000-000074840000}"/>
    <cellStyle name="Normal 26 2 8 6 3" xfId="41340" xr:uid="{00000000-0005-0000-0000-000075840000}"/>
    <cellStyle name="Normal 26 2 8 7" xfId="18108" xr:uid="{00000000-0005-0000-0000-000076840000}"/>
    <cellStyle name="Normal 26 2 8 8" xfId="33600" xr:uid="{00000000-0005-0000-0000-000077840000}"/>
    <cellStyle name="Normal 26 2 9" xfId="2474" xr:uid="{00000000-0005-0000-0000-000078840000}"/>
    <cellStyle name="Normal 26 2 9 2" xfId="2783" xr:uid="{00000000-0005-0000-0000-000079840000}"/>
    <cellStyle name="Normal 26 2 9 2 2" xfId="3791" xr:uid="{00000000-0005-0000-0000-00007A840000}"/>
    <cellStyle name="Normal 26 2 9 2 2 2" xfId="5730" xr:uid="{00000000-0005-0000-0000-00007B840000}"/>
    <cellStyle name="Normal 26 2 9 2 2 2 2" xfId="9601" xr:uid="{00000000-0005-0000-0000-00007C840000}"/>
    <cellStyle name="Normal 26 2 9 2 2 2 2 2" xfId="17346" xr:uid="{00000000-0005-0000-0000-00007D840000}"/>
    <cellStyle name="Normal 26 2 9 2 2 2 2 2 2" xfId="32938" xr:uid="{00000000-0005-0000-0000-00007E840000}"/>
    <cellStyle name="Normal 26 2 9 2 2 2 2 2 3" xfId="48430" xr:uid="{00000000-0005-0000-0000-00007F840000}"/>
    <cellStyle name="Normal 26 2 9 2 2 2 2 3" xfId="25198" xr:uid="{00000000-0005-0000-0000-000080840000}"/>
    <cellStyle name="Normal 26 2 9 2 2 2 2 4" xfId="40690" xr:uid="{00000000-0005-0000-0000-000081840000}"/>
    <cellStyle name="Normal 26 2 9 2 2 2 3" xfId="13476" xr:uid="{00000000-0005-0000-0000-000082840000}"/>
    <cellStyle name="Normal 26 2 9 2 2 2 3 2" xfId="29068" xr:uid="{00000000-0005-0000-0000-000083840000}"/>
    <cellStyle name="Normal 26 2 9 2 2 2 3 3" xfId="44560" xr:uid="{00000000-0005-0000-0000-000084840000}"/>
    <cellStyle name="Normal 26 2 9 2 2 2 4" xfId="21328" xr:uid="{00000000-0005-0000-0000-000085840000}"/>
    <cellStyle name="Normal 26 2 9 2 2 2 5" xfId="36820" xr:uid="{00000000-0005-0000-0000-000086840000}"/>
    <cellStyle name="Normal 26 2 9 2 2 3" xfId="7674" xr:uid="{00000000-0005-0000-0000-000087840000}"/>
    <cellStyle name="Normal 26 2 9 2 2 3 2" xfId="15419" xr:uid="{00000000-0005-0000-0000-000088840000}"/>
    <cellStyle name="Normal 26 2 9 2 2 3 2 2" xfId="31011" xr:uid="{00000000-0005-0000-0000-000089840000}"/>
    <cellStyle name="Normal 26 2 9 2 2 3 2 3" xfId="46503" xr:uid="{00000000-0005-0000-0000-00008A840000}"/>
    <cellStyle name="Normal 26 2 9 2 2 3 3" xfId="23271" xr:uid="{00000000-0005-0000-0000-00008B840000}"/>
    <cellStyle name="Normal 26 2 9 2 2 3 4" xfId="38763" xr:uid="{00000000-0005-0000-0000-00008C840000}"/>
    <cellStyle name="Normal 26 2 9 2 2 4" xfId="11549" xr:uid="{00000000-0005-0000-0000-00008D840000}"/>
    <cellStyle name="Normal 26 2 9 2 2 4 2" xfId="27141" xr:uid="{00000000-0005-0000-0000-00008E840000}"/>
    <cellStyle name="Normal 26 2 9 2 2 4 3" xfId="42633" xr:uid="{00000000-0005-0000-0000-00008F840000}"/>
    <cellStyle name="Normal 26 2 9 2 2 5" xfId="19401" xr:uid="{00000000-0005-0000-0000-000090840000}"/>
    <cellStyle name="Normal 26 2 9 2 2 6" xfId="34893" xr:uid="{00000000-0005-0000-0000-000091840000}"/>
    <cellStyle name="Normal 26 2 9 2 3" xfId="4782" xr:uid="{00000000-0005-0000-0000-000092840000}"/>
    <cellStyle name="Normal 26 2 9 2 3 2" xfId="8653" xr:uid="{00000000-0005-0000-0000-000093840000}"/>
    <cellStyle name="Normal 26 2 9 2 3 2 2" xfId="16398" xr:uid="{00000000-0005-0000-0000-000094840000}"/>
    <cellStyle name="Normal 26 2 9 2 3 2 2 2" xfId="31990" xr:uid="{00000000-0005-0000-0000-000095840000}"/>
    <cellStyle name="Normal 26 2 9 2 3 2 2 3" xfId="47482" xr:uid="{00000000-0005-0000-0000-000096840000}"/>
    <cellStyle name="Normal 26 2 9 2 3 2 3" xfId="24250" xr:uid="{00000000-0005-0000-0000-000097840000}"/>
    <cellStyle name="Normal 26 2 9 2 3 2 4" xfId="39742" xr:uid="{00000000-0005-0000-0000-000098840000}"/>
    <cellStyle name="Normal 26 2 9 2 3 3" xfId="12528" xr:uid="{00000000-0005-0000-0000-000099840000}"/>
    <cellStyle name="Normal 26 2 9 2 3 3 2" xfId="28120" xr:uid="{00000000-0005-0000-0000-00009A840000}"/>
    <cellStyle name="Normal 26 2 9 2 3 3 3" xfId="43612" xr:uid="{00000000-0005-0000-0000-00009B840000}"/>
    <cellStyle name="Normal 26 2 9 2 3 4" xfId="20380" xr:uid="{00000000-0005-0000-0000-00009C840000}"/>
    <cellStyle name="Normal 26 2 9 2 3 5" xfId="35872" xr:uid="{00000000-0005-0000-0000-00009D840000}"/>
    <cellStyle name="Normal 26 2 9 2 4" xfId="6726" xr:uid="{00000000-0005-0000-0000-00009E840000}"/>
    <cellStyle name="Normal 26 2 9 2 4 2" xfId="14471" xr:uid="{00000000-0005-0000-0000-00009F840000}"/>
    <cellStyle name="Normal 26 2 9 2 4 2 2" xfId="30063" xr:uid="{00000000-0005-0000-0000-0000A0840000}"/>
    <cellStyle name="Normal 26 2 9 2 4 2 3" xfId="45555" xr:uid="{00000000-0005-0000-0000-0000A1840000}"/>
    <cellStyle name="Normal 26 2 9 2 4 3" xfId="22323" xr:uid="{00000000-0005-0000-0000-0000A2840000}"/>
    <cellStyle name="Normal 26 2 9 2 4 4" xfId="37815" xr:uid="{00000000-0005-0000-0000-0000A3840000}"/>
    <cellStyle name="Normal 26 2 9 2 5" xfId="10601" xr:uid="{00000000-0005-0000-0000-0000A4840000}"/>
    <cellStyle name="Normal 26 2 9 2 5 2" xfId="26193" xr:uid="{00000000-0005-0000-0000-0000A5840000}"/>
    <cellStyle name="Normal 26 2 9 2 5 3" xfId="41685" xr:uid="{00000000-0005-0000-0000-0000A6840000}"/>
    <cellStyle name="Normal 26 2 9 2 6" xfId="18453" xr:uid="{00000000-0005-0000-0000-0000A7840000}"/>
    <cellStyle name="Normal 26 2 9 2 7" xfId="33945" xr:uid="{00000000-0005-0000-0000-0000A8840000}"/>
    <cellStyle name="Normal 26 2 9 3" xfId="3482" xr:uid="{00000000-0005-0000-0000-0000A9840000}"/>
    <cellStyle name="Normal 26 2 9 3 2" xfId="5421" xr:uid="{00000000-0005-0000-0000-0000AA840000}"/>
    <cellStyle name="Normal 26 2 9 3 2 2" xfId="9292" xr:uid="{00000000-0005-0000-0000-0000AB840000}"/>
    <cellStyle name="Normal 26 2 9 3 2 2 2" xfId="17037" xr:uid="{00000000-0005-0000-0000-0000AC840000}"/>
    <cellStyle name="Normal 26 2 9 3 2 2 2 2" xfId="32629" xr:uid="{00000000-0005-0000-0000-0000AD840000}"/>
    <cellStyle name="Normal 26 2 9 3 2 2 2 3" xfId="48121" xr:uid="{00000000-0005-0000-0000-0000AE840000}"/>
    <cellStyle name="Normal 26 2 9 3 2 2 3" xfId="24889" xr:uid="{00000000-0005-0000-0000-0000AF840000}"/>
    <cellStyle name="Normal 26 2 9 3 2 2 4" xfId="40381" xr:uid="{00000000-0005-0000-0000-0000B0840000}"/>
    <cellStyle name="Normal 26 2 9 3 2 3" xfId="13167" xr:uid="{00000000-0005-0000-0000-0000B1840000}"/>
    <cellStyle name="Normal 26 2 9 3 2 3 2" xfId="28759" xr:uid="{00000000-0005-0000-0000-0000B2840000}"/>
    <cellStyle name="Normal 26 2 9 3 2 3 3" xfId="44251" xr:uid="{00000000-0005-0000-0000-0000B3840000}"/>
    <cellStyle name="Normal 26 2 9 3 2 4" xfId="21019" xr:uid="{00000000-0005-0000-0000-0000B4840000}"/>
    <cellStyle name="Normal 26 2 9 3 2 5" xfId="36511" xr:uid="{00000000-0005-0000-0000-0000B5840000}"/>
    <cellStyle name="Normal 26 2 9 3 3" xfId="7365" xr:uid="{00000000-0005-0000-0000-0000B6840000}"/>
    <cellStyle name="Normal 26 2 9 3 3 2" xfId="15110" xr:uid="{00000000-0005-0000-0000-0000B7840000}"/>
    <cellStyle name="Normal 26 2 9 3 3 2 2" xfId="30702" xr:uid="{00000000-0005-0000-0000-0000B8840000}"/>
    <cellStyle name="Normal 26 2 9 3 3 2 3" xfId="46194" xr:uid="{00000000-0005-0000-0000-0000B9840000}"/>
    <cellStyle name="Normal 26 2 9 3 3 3" xfId="22962" xr:uid="{00000000-0005-0000-0000-0000BA840000}"/>
    <cellStyle name="Normal 26 2 9 3 3 4" xfId="38454" xr:uid="{00000000-0005-0000-0000-0000BB840000}"/>
    <cellStyle name="Normal 26 2 9 3 4" xfId="11240" xr:uid="{00000000-0005-0000-0000-0000BC840000}"/>
    <cellStyle name="Normal 26 2 9 3 4 2" xfId="26832" xr:uid="{00000000-0005-0000-0000-0000BD840000}"/>
    <cellStyle name="Normal 26 2 9 3 4 3" xfId="42324" xr:uid="{00000000-0005-0000-0000-0000BE840000}"/>
    <cellStyle name="Normal 26 2 9 3 5" xfId="19092" xr:uid="{00000000-0005-0000-0000-0000BF840000}"/>
    <cellStyle name="Normal 26 2 9 3 6" xfId="34584" xr:uid="{00000000-0005-0000-0000-0000C0840000}"/>
    <cellStyle name="Normal 26 2 9 4" xfId="4473" xr:uid="{00000000-0005-0000-0000-0000C1840000}"/>
    <cellStyle name="Normal 26 2 9 4 2" xfId="8344" xr:uid="{00000000-0005-0000-0000-0000C2840000}"/>
    <cellStyle name="Normal 26 2 9 4 2 2" xfId="16089" xr:uid="{00000000-0005-0000-0000-0000C3840000}"/>
    <cellStyle name="Normal 26 2 9 4 2 2 2" xfId="31681" xr:uid="{00000000-0005-0000-0000-0000C4840000}"/>
    <cellStyle name="Normal 26 2 9 4 2 2 3" xfId="47173" xr:uid="{00000000-0005-0000-0000-0000C5840000}"/>
    <cellStyle name="Normal 26 2 9 4 2 3" xfId="23941" xr:uid="{00000000-0005-0000-0000-0000C6840000}"/>
    <cellStyle name="Normal 26 2 9 4 2 4" xfId="39433" xr:uid="{00000000-0005-0000-0000-0000C7840000}"/>
    <cellStyle name="Normal 26 2 9 4 3" xfId="12219" xr:uid="{00000000-0005-0000-0000-0000C8840000}"/>
    <cellStyle name="Normal 26 2 9 4 3 2" xfId="27811" xr:uid="{00000000-0005-0000-0000-0000C9840000}"/>
    <cellStyle name="Normal 26 2 9 4 3 3" xfId="43303" xr:uid="{00000000-0005-0000-0000-0000CA840000}"/>
    <cellStyle name="Normal 26 2 9 4 4" xfId="20071" xr:uid="{00000000-0005-0000-0000-0000CB840000}"/>
    <cellStyle name="Normal 26 2 9 4 5" xfId="35563" xr:uid="{00000000-0005-0000-0000-0000CC840000}"/>
    <cellStyle name="Normal 26 2 9 5" xfId="6417" xr:uid="{00000000-0005-0000-0000-0000CD840000}"/>
    <cellStyle name="Normal 26 2 9 5 2" xfId="14162" xr:uid="{00000000-0005-0000-0000-0000CE840000}"/>
    <cellStyle name="Normal 26 2 9 5 2 2" xfId="29754" xr:uid="{00000000-0005-0000-0000-0000CF840000}"/>
    <cellStyle name="Normal 26 2 9 5 2 3" xfId="45246" xr:uid="{00000000-0005-0000-0000-0000D0840000}"/>
    <cellStyle name="Normal 26 2 9 5 3" xfId="22014" xr:uid="{00000000-0005-0000-0000-0000D1840000}"/>
    <cellStyle name="Normal 26 2 9 5 4" xfId="37506" xr:uid="{00000000-0005-0000-0000-0000D2840000}"/>
    <cellStyle name="Normal 26 2 9 6" xfId="10292" xr:uid="{00000000-0005-0000-0000-0000D3840000}"/>
    <cellStyle name="Normal 26 2 9 6 2" xfId="25884" xr:uid="{00000000-0005-0000-0000-0000D4840000}"/>
    <cellStyle name="Normal 26 2 9 6 3" xfId="41376" xr:uid="{00000000-0005-0000-0000-0000D5840000}"/>
    <cellStyle name="Normal 26 2 9 7" xfId="18144" xr:uid="{00000000-0005-0000-0000-0000D6840000}"/>
    <cellStyle name="Normal 26 2 9 8" xfId="33636" xr:uid="{00000000-0005-0000-0000-0000D7840000}"/>
    <cellStyle name="Normal 27" xfId="48832" xr:uid="{00000000-0005-0000-0000-0000D8840000}"/>
    <cellStyle name="Normal 3" xfId="2003" xr:uid="{00000000-0005-0000-0000-0000D9840000}"/>
    <cellStyle name="Normal 3 10" xfId="2004" xr:uid="{00000000-0005-0000-0000-0000DA840000}"/>
    <cellStyle name="Normal 3 11" xfId="2005" xr:uid="{00000000-0005-0000-0000-0000DB840000}"/>
    <cellStyle name="Normal 3 12" xfId="2006" xr:uid="{00000000-0005-0000-0000-0000DC840000}"/>
    <cellStyle name="Normal 3 13" xfId="2197" xr:uid="{00000000-0005-0000-0000-0000DD840000}"/>
    <cellStyle name="Normal 3 13 2" xfId="2530" xr:uid="{00000000-0005-0000-0000-0000DE840000}"/>
    <cellStyle name="Normal 3 13 2 2" xfId="3538" xr:uid="{00000000-0005-0000-0000-0000DF840000}"/>
    <cellStyle name="Normal 3 13 2 2 2" xfId="5477" xr:uid="{00000000-0005-0000-0000-0000E0840000}"/>
    <cellStyle name="Normal 3 13 2 2 2 2" xfId="9348" xr:uid="{00000000-0005-0000-0000-0000E1840000}"/>
    <cellStyle name="Normal 3 13 2 2 2 2 2" xfId="17093" xr:uid="{00000000-0005-0000-0000-0000E2840000}"/>
    <cellStyle name="Normal 3 13 2 2 2 2 2 2" xfId="32685" xr:uid="{00000000-0005-0000-0000-0000E3840000}"/>
    <cellStyle name="Normal 3 13 2 2 2 2 2 3" xfId="48177" xr:uid="{00000000-0005-0000-0000-0000E4840000}"/>
    <cellStyle name="Normal 3 13 2 2 2 2 3" xfId="24945" xr:uid="{00000000-0005-0000-0000-0000E5840000}"/>
    <cellStyle name="Normal 3 13 2 2 2 2 4" xfId="40437" xr:uid="{00000000-0005-0000-0000-0000E6840000}"/>
    <cellStyle name="Normal 3 13 2 2 2 3" xfId="13223" xr:uid="{00000000-0005-0000-0000-0000E7840000}"/>
    <cellStyle name="Normal 3 13 2 2 2 3 2" xfId="28815" xr:uid="{00000000-0005-0000-0000-0000E8840000}"/>
    <cellStyle name="Normal 3 13 2 2 2 3 3" xfId="44307" xr:uid="{00000000-0005-0000-0000-0000E9840000}"/>
    <cellStyle name="Normal 3 13 2 2 2 4" xfId="21075" xr:uid="{00000000-0005-0000-0000-0000EA840000}"/>
    <cellStyle name="Normal 3 13 2 2 2 5" xfId="36567" xr:uid="{00000000-0005-0000-0000-0000EB840000}"/>
    <cellStyle name="Normal 3 13 2 2 3" xfId="7421" xr:uid="{00000000-0005-0000-0000-0000EC840000}"/>
    <cellStyle name="Normal 3 13 2 2 3 2" xfId="15166" xr:uid="{00000000-0005-0000-0000-0000ED840000}"/>
    <cellStyle name="Normal 3 13 2 2 3 2 2" xfId="30758" xr:uid="{00000000-0005-0000-0000-0000EE840000}"/>
    <cellStyle name="Normal 3 13 2 2 3 2 3" xfId="46250" xr:uid="{00000000-0005-0000-0000-0000EF840000}"/>
    <cellStyle name="Normal 3 13 2 2 3 3" xfId="23018" xr:uid="{00000000-0005-0000-0000-0000F0840000}"/>
    <cellStyle name="Normal 3 13 2 2 3 4" xfId="38510" xr:uid="{00000000-0005-0000-0000-0000F1840000}"/>
    <cellStyle name="Normal 3 13 2 2 4" xfId="11296" xr:uid="{00000000-0005-0000-0000-0000F2840000}"/>
    <cellStyle name="Normal 3 13 2 2 4 2" xfId="26888" xr:uid="{00000000-0005-0000-0000-0000F3840000}"/>
    <cellStyle name="Normal 3 13 2 2 4 3" xfId="42380" xr:uid="{00000000-0005-0000-0000-0000F4840000}"/>
    <cellStyle name="Normal 3 13 2 2 5" xfId="19148" xr:uid="{00000000-0005-0000-0000-0000F5840000}"/>
    <cellStyle name="Normal 3 13 2 2 6" xfId="34640" xr:uid="{00000000-0005-0000-0000-0000F6840000}"/>
    <cellStyle name="Normal 3 13 2 3" xfId="4529" xr:uid="{00000000-0005-0000-0000-0000F7840000}"/>
    <cellStyle name="Normal 3 13 2 3 2" xfId="8400" xr:uid="{00000000-0005-0000-0000-0000F8840000}"/>
    <cellStyle name="Normal 3 13 2 3 2 2" xfId="16145" xr:uid="{00000000-0005-0000-0000-0000F9840000}"/>
    <cellStyle name="Normal 3 13 2 3 2 2 2" xfId="31737" xr:uid="{00000000-0005-0000-0000-0000FA840000}"/>
    <cellStyle name="Normal 3 13 2 3 2 2 3" xfId="47229" xr:uid="{00000000-0005-0000-0000-0000FB840000}"/>
    <cellStyle name="Normal 3 13 2 3 2 3" xfId="23997" xr:uid="{00000000-0005-0000-0000-0000FC840000}"/>
    <cellStyle name="Normal 3 13 2 3 2 4" xfId="39489" xr:uid="{00000000-0005-0000-0000-0000FD840000}"/>
    <cellStyle name="Normal 3 13 2 3 3" xfId="12275" xr:uid="{00000000-0005-0000-0000-0000FE840000}"/>
    <cellStyle name="Normal 3 13 2 3 3 2" xfId="27867" xr:uid="{00000000-0005-0000-0000-0000FF840000}"/>
    <cellStyle name="Normal 3 13 2 3 3 3" xfId="43359" xr:uid="{00000000-0005-0000-0000-000000850000}"/>
    <cellStyle name="Normal 3 13 2 3 4" xfId="20127" xr:uid="{00000000-0005-0000-0000-000001850000}"/>
    <cellStyle name="Normal 3 13 2 3 5" xfId="35619" xr:uid="{00000000-0005-0000-0000-000002850000}"/>
    <cellStyle name="Normal 3 13 2 4" xfId="6473" xr:uid="{00000000-0005-0000-0000-000003850000}"/>
    <cellStyle name="Normal 3 13 2 4 2" xfId="14218" xr:uid="{00000000-0005-0000-0000-000004850000}"/>
    <cellStyle name="Normal 3 13 2 4 2 2" xfId="29810" xr:uid="{00000000-0005-0000-0000-000005850000}"/>
    <cellStyle name="Normal 3 13 2 4 2 3" xfId="45302" xr:uid="{00000000-0005-0000-0000-000006850000}"/>
    <cellStyle name="Normal 3 13 2 4 3" xfId="22070" xr:uid="{00000000-0005-0000-0000-000007850000}"/>
    <cellStyle name="Normal 3 13 2 4 4" xfId="37562" xr:uid="{00000000-0005-0000-0000-000008850000}"/>
    <cellStyle name="Normal 3 13 2 5" xfId="10348" xr:uid="{00000000-0005-0000-0000-000009850000}"/>
    <cellStyle name="Normal 3 13 2 5 2" xfId="25940" xr:uid="{00000000-0005-0000-0000-00000A850000}"/>
    <cellStyle name="Normal 3 13 2 5 3" xfId="41432" xr:uid="{00000000-0005-0000-0000-00000B850000}"/>
    <cellStyle name="Normal 3 13 2 6" xfId="18200" xr:uid="{00000000-0005-0000-0000-00000C850000}"/>
    <cellStyle name="Normal 3 13 2 7" xfId="33692" xr:uid="{00000000-0005-0000-0000-00000D850000}"/>
    <cellStyle name="Normal 3 13 3" xfId="3229" xr:uid="{00000000-0005-0000-0000-00000E850000}"/>
    <cellStyle name="Normal 3 13 3 2" xfId="5168" xr:uid="{00000000-0005-0000-0000-00000F850000}"/>
    <cellStyle name="Normal 3 13 3 2 2" xfId="9039" xr:uid="{00000000-0005-0000-0000-000010850000}"/>
    <cellStyle name="Normal 3 13 3 2 2 2" xfId="16784" xr:uid="{00000000-0005-0000-0000-000011850000}"/>
    <cellStyle name="Normal 3 13 3 2 2 2 2" xfId="32376" xr:uid="{00000000-0005-0000-0000-000012850000}"/>
    <cellStyle name="Normal 3 13 3 2 2 2 3" xfId="47868" xr:uid="{00000000-0005-0000-0000-000013850000}"/>
    <cellStyle name="Normal 3 13 3 2 2 3" xfId="24636" xr:uid="{00000000-0005-0000-0000-000014850000}"/>
    <cellStyle name="Normal 3 13 3 2 2 4" xfId="40128" xr:uid="{00000000-0005-0000-0000-000015850000}"/>
    <cellStyle name="Normal 3 13 3 2 3" xfId="12914" xr:uid="{00000000-0005-0000-0000-000016850000}"/>
    <cellStyle name="Normal 3 13 3 2 3 2" xfId="28506" xr:uid="{00000000-0005-0000-0000-000017850000}"/>
    <cellStyle name="Normal 3 13 3 2 3 3" xfId="43998" xr:uid="{00000000-0005-0000-0000-000018850000}"/>
    <cellStyle name="Normal 3 13 3 2 4" xfId="20766" xr:uid="{00000000-0005-0000-0000-000019850000}"/>
    <cellStyle name="Normal 3 13 3 2 5" xfId="36258" xr:uid="{00000000-0005-0000-0000-00001A850000}"/>
    <cellStyle name="Normal 3 13 3 3" xfId="7112" xr:uid="{00000000-0005-0000-0000-00001B850000}"/>
    <cellStyle name="Normal 3 13 3 3 2" xfId="14857" xr:uid="{00000000-0005-0000-0000-00001C850000}"/>
    <cellStyle name="Normal 3 13 3 3 2 2" xfId="30449" xr:uid="{00000000-0005-0000-0000-00001D850000}"/>
    <cellStyle name="Normal 3 13 3 3 2 3" xfId="45941" xr:uid="{00000000-0005-0000-0000-00001E850000}"/>
    <cellStyle name="Normal 3 13 3 3 3" xfId="22709" xr:uid="{00000000-0005-0000-0000-00001F850000}"/>
    <cellStyle name="Normal 3 13 3 3 4" xfId="38201" xr:uid="{00000000-0005-0000-0000-000020850000}"/>
    <cellStyle name="Normal 3 13 3 4" xfId="10987" xr:uid="{00000000-0005-0000-0000-000021850000}"/>
    <cellStyle name="Normal 3 13 3 4 2" xfId="26579" xr:uid="{00000000-0005-0000-0000-000022850000}"/>
    <cellStyle name="Normal 3 13 3 4 3" xfId="42071" xr:uid="{00000000-0005-0000-0000-000023850000}"/>
    <cellStyle name="Normal 3 13 3 5" xfId="18839" xr:uid="{00000000-0005-0000-0000-000024850000}"/>
    <cellStyle name="Normal 3 13 3 6" xfId="34331" xr:uid="{00000000-0005-0000-0000-000025850000}"/>
    <cellStyle name="Normal 3 13 4" xfId="4220" xr:uid="{00000000-0005-0000-0000-000026850000}"/>
    <cellStyle name="Normal 3 13 4 2" xfId="8091" xr:uid="{00000000-0005-0000-0000-000027850000}"/>
    <cellStyle name="Normal 3 13 4 2 2" xfId="15836" xr:uid="{00000000-0005-0000-0000-000028850000}"/>
    <cellStyle name="Normal 3 13 4 2 2 2" xfId="31428" xr:uid="{00000000-0005-0000-0000-000029850000}"/>
    <cellStyle name="Normal 3 13 4 2 2 3" xfId="46920" xr:uid="{00000000-0005-0000-0000-00002A850000}"/>
    <cellStyle name="Normal 3 13 4 2 3" xfId="23688" xr:uid="{00000000-0005-0000-0000-00002B850000}"/>
    <cellStyle name="Normal 3 13 4 2 4" xfId="39180" xr:uid="{00000000-0005-0000-0000-00002C850000}"/>
    <cellStyle name="Normal 3 13 4 3" xfId="11966" xr:uid="{00000000-0005-0000-0000-00002D850000}"/>
    <cellStyle name="Normal 3 13 4 3 2" xfId="27558" xr:uid="{00000000-0005-0000-0000-00002E850000}"/>
    <cellStyle name="Normal 3 13 4 3 3" xfId="43050" xr:uid="{00000000-0005-0000-0000-00002F850000}"/>
    <cellStyle name="Normal 3 13 4 4" xfId="19818" xr:uid="{00000000-0005-0000-0000-000030850000}"/>
    <cellStyle name="Normal 3 13 4 5" xfId="35310" xr:uid="{00000000-0005-0000-0000-000031850000}"/>
    <cellStyle name="Normal 3 13 5" xfId="6164" xr:uid="{00000000-0005-0000-0000-000032850000}"/>
    <cellStyle name="Normal 3 13 5 2" xfId="13909" xr:uid="{00000000-0005-0000-0000-000033850000}"/>
    <cellStyle name="Normal 3 13 5 2 2" xfId="29501" xr:uid="{00000000-0005-0000-0000-000034850000}"/>
    <cellStyle name="Normal 3 13 5 2 3" xfId="44993" xr:uid="{00000000-0005-0000-0000-000035850000}"/>
    <cellStyle name="Normal 3 13 5 3" xfId="21761" xr:uid="{00000000-0005-0000-0000-000036850000}"/>
    <cellStyle name="Normal 3 13 5 4" xfId="37253" xr:uid="{00000000-0005-0000-0000-000037850000}"/>
    <cellStyle name="Normal 3 13 6" xfId="10039" xr:uid="{00000000-0005-0000-0000-000038850000}"/>
    <cellStyle name="Normal 3 13 6 2" xfId="25631" xr:uid="{00000000-0005-0000-0000-000039850000}"/>
    <cellStyle name="Normal 3 13 6 3" xfId="41123" xr:uid="{00000000-0005-0000-0000-00003A850000}"/>
    <cellStyle name="Normal 3 13 7" xfId="17891" xr:uid="{00000000-0005-0000-0000-00003B850000}"/>
    <cellStyle name="Normal 3 13 8" xfId="33383" xr:uid="{00000000-0005-0000-0000-00003C850000}"/>
    <cellStyle name="Normal 3 13 9" xfId="48916" xr:uid="{00000000-0005-0000-0000-00003D850000}"/>
    <cellStyle name="Normal 3 14" xfId="2251" xr:uid="{00000000-0005-0000-0000-00003E850000}"/>
    <cellStyle name="Normal 3 14 2" xfId="2568" xr:uid="{00000000-0005-0000-0000-00003F850000}"/>
    <cellStyle name="Normal 3 14 2 2" xfId="3576" xr:uid="{00000000-0005-0000-0000-000040850000}"/>
    <cellStyle name="Normal 3 14 2 2 2" xfId="5515" xr:uid="{00000000-0005-0000-0000-000041850000}"/>
    <cellStyle name="Normal 3 14 2 2 2 2" xfId="9386" xr:uid="{00000000-0005-0000-0000-000042850000}"/>
    <cellStyle name="Normal 3 14 2 2 2 2 2" xfId="17131" xr:uid="{00000000-0005-0000-0000-000043850000}"/>
    <cellStyle name="Normal 3 14 2 2 2 2 2 2" xfId="32723" xr:uid="{00000000-0005-0000-0000-000044850000}"/>
    <cellStyle name="Normal 3 14 2 2 2 2 2 3" xfId="48215" xr:uid="{00000000-0005-0000-0000-000045850000}"/>
    <cellStyle name="Normal 3 14 2 2 2 2 3" xfId="24983" xr:uid="{00000000-0005-0000-0000-000046850000}"/>
    <cellStyle name="Normal 3 14 2 2 2 2 4" xfId="40475" xr:uid="{00000000-0005-0000-0000-000047850000}"/>
    <cellStyle name="Normal 3 14 2 2 2 3" xfId="13261" xr:uid="{00000000-0005-0000-0000-000048850000}"/>
    <cellStyle name="Normal 3 14 2 2 2 3 2" xfId="28853" xr:uid="{00000000-0005-0000-0000-000049850000}"/>
    <cellStyle name="Normal 3 14 2 2 2 3 3" xfId="44345" xr:uid="{00000000-0005-0000-0000-00004A850000}"/>
    <cellStyle name="Normal 3 14 2 2 2 4" xfId="21113" xr:uid="{00000000-0005-0000-0000-00004B850000}"/>
    <cellStyle name="Normal 3 14 2 2 2 5" xfId="36605" xr:uid="{00000000-0005-0000-0000-00004C850000}"/>
    <cellStyle name="Normal 3 14 2 2 3" xfId="7459" xr:uid="{00000000-0005-0000-0000-00004D850000}"/>
    <cellStyle name="Normal 3 14 2 2 3 2" xfId="15204" xr:uid="{00000000-0005-0000-0000-00004E850000}"/>
    <cellStyle name="Normal 3 14 2 2 3 2 2" xfId="30796" xr:uid="{00000000-0005-0000-0000-00004F850000}"/>
    <cellStyle name="Normal 3 14 2 2 3 2 3" xfId="46288" xr:uid="{00000000-0005-0000-0000-000050850000}"/>
    <cellStyle name="Normal 3 14 2 2 3 3" xfId="23056" xr:uid="{00000000-0005-0000-0000-000051850000}"/>
    <cellStyle name="Normal 3 14 2 2 3 4" xfId="38548" xr:uid="{00000000-0005-0000-0000-000052850000}"/>
    <cellStyle name="Normal 3 14 2 2 4" xfId="11334" xr:uid="{00000000-0005-0000-0000-000053850000}"/>
    <cellStyle name="Normal 3 14 2 2 4 2" xfId="26926" xr:uid="{00000000-0005-0000-0000-000054850000}"/>
    <cellStyle name="Normal 3 14 2 2 4 3" xfId="42418" xr:uid="{00000000-0005-0000-0000-000055850000}"/>
    <cellStyle name="Normal 3 14 2 2 5" xfId="19186" xr:uid="{00000000-0005-0000-0000-000056850000}"/>
    <cellStyle name="Normal 3 14 2 2 6" xfId="34678" xr:uid="{00000000-0005-0000-0000-000057850000}"/>
    <cellStyle name="Normal 3 14 2 3" xfId="4567" xr:uid="{00000000-0005-0000-0000-000058850000}"/>
    <cellStyle name="Normal 3 14 2 3 2" xfId="8438" xr:uid="{00000000-0005-0000-0000-000059850000}"/>
    <cellStyle name="Normal 3 14 2 3 2 2" xfId="16183" xr:uid="{00000000-0005-0000-0000-00005A850000}"/>
    <cellStyle name="Normal 3 14 2 3 2 2 2" xfId="31775" xr:uid="{00000000-0005-0000-0000-00005B850000}"/>
    <cellStyle name="Normal 3 14 2 3 2 2 3" xfId="47267" xr:uid="{00000000-0005-0000-0000-00005C850000}"/>
    <cellStyle name="Normal 3 14 2 3 2 3" xfId="24035" xr:uid="{00000000-0005-0000-0000-00005D850000}"/>
    <cellStyle name="Normal 3 14 2 3 2 4" xfId="39527" xr:uid="{00000000-0005-0000-0000-00005E850000}"/>
    <cellStyle name="Normal 3 14 2 3 3" xfId="12313" xr:uid="{00000000-0005-0000-0000-00005F850000}"/>
    <cellStyle name="Normal 3 14 2 3 3 2" xfId="27905" xr:uid="{00000000-0005-0000-0000-000060850000}"/>
    <cellStyle name="Normal 3 14 2 3 3 3" xfId="43397" xr:uid="{00000000-0005-0000-0000-000061850000}"/>
    <cellStyle name="Normal 3 14 2 3 4" xfId="20165" xr:uid="{00000000-0005-0000-0000-000062850000}"/>
    <cellStyle name="Normal 3 14 2 3 5" xfId="35657" xr:uid="{00000000-0005-0000-0000-000063850000}"/>
    <cellStyle name="Normal 3 14 2 4" xfId="6511" xr:uid="{00000000-0005-0000-0000-000064850000}"/>
    <cellStyle name="Normal 3 14 2 4 2" xfId="14256" xr:uid="{00000000-0005-0000-0000-000065850000}"/>
    <cellStyle name="Normal 3 14 2 4 2 2" xfId="29848" xr:uid="{00000000-0005-0000-0000-000066850000}"/>
    <cellStyle name="Normal 3 14 2 4 2 3" xfId="45340" xr:uid="{00000000-0005-0000-0000-000067850000}"/>
    <cellStyle name="Normal 3 14 2 4 3" xfId="22108" xr:uid="{00000000-0005-0000-0000-000068850000}"/>
    <cellStyle name="Normal 3 14 2 4 4" xfId="37600" xr:uid="{00000000-0005-0000-0000-000069850000}"/>
    <cellStyle name="Normal 3 14 2 5" xfId="10386" xr:uid="{00000000-0005-0000-0000-00006A850000}"/>
    <cellStyle name="Normal 3 14 2 5 2" xfId="25978" xr:uid="{00000000-0005-0000-0000-00006B850000}"/>
    <cellStyle name="Normal 3 14 2 5 3" xfId="41470" xr:uid="{00000000-0005-0000-0000-00006C850000}"/>
    <cellStyle name="Normal 3 14 2 6" xfId="18238" xr:uid="{00000000-0005-0000-0000-00006D850000}"/>
    <cellStyle name="Normal 3 14 2 7" xfId="33730" xr:uid="{00000000-0005-0000-0000-00006E850000}"/>
    <cellStyle name="Normal 3 14 3" xfId="3267" xr:uid="{00000000-0005-0000-0000-00006F850000}"/>
    <cellStyle name="Normal 3 14 3 2" xfId="5206" xr:uid="{00000000-0005-0000-0000-000070850000}"/>
    <cellStyle name="Normal 3 14 3 2 2" xfId="9077" xr:uid="{00000000-0005-0000-0000-000071850000}"/>
    <cellStyle name="Normal 3 14 3 2 2 2" xfId="16822" xr:uid="{00000000-0005-0000-0000-000072850000}"/>
    <cellStyle name="Normal 3 14 3 2 2 2 2" xfId="32414" xr:uid="{00000000-0005-0000-0000-000073850000}"/>
    <cellStyle name="Normal 3 14 3 2 2 2 3" xfId="47906" xr:uid="{00000000-0005-0000-0000-000074850000}"/>
    <cellStyle name="Normal 3 14 3 2 2 3" xfId="24674" xr:uid="{00000000-0005-0000-0000-000075850000}"/>
    <cellStyle name="Normal 3 14 3 2 2 4" xfId="40166" xr:uid="{00000000-0005-0000-0000-000076850000}"/>
    <cellStyle name="Normal 3 14 3 2 3" xfId="12952" xr:uid="{00000000-0005-0000-0000-000077850000}"/>
    <cellStyle name="Normal 3 14 3 2 3 2" xfId="28544" xr:uid="{00000000-0005-0000-0000-000078850000}"/>
    <cellStyle name="Normal 3 14 3 2 3 3" xfId="44036" xr:uid="{00000000-0005-0000-0000-000079850000}"/>
    <cellStyle name="Normal 3 14 3 2 4" xfId="20804" xr:uid="{00000000-0005-0000-0000-00007A850000}"/>
    <cellStyle name="Normal 3 14 3 2 5" xfId="36296" xr:uid="{00000000-0005-0000-0000-00007B850000}"/>
    <cellStyle name="Normal 3 14 3 3" xfId="7150" xr:uid="{00000000-0005-0000-0000-00007C850000}"/>
    <cellStyle name="Normal 3 14 3 3 2" xfId="14895" xr:uid="{00000000-0005-0000-0000-00007D850000}"/>
    <cellStyle name="Normal 3 14 3 3 2 2" xfId="30487" xr:uid="{00000000-0005-0000-0000-00007E850000}"/>
    <cellStyle name="Normal 3 14 3 3 2 3" xfId="45979" xr:uid="{00000000-0005-0000-0000-00007F850000}"/>
    <cellStyle name="Normal 3 14 3 3 3" xfId="22747" xr:uid="{00000000-0005-0000-0000-000080850000}"/>
    <cellStyle name="Normal 3 14 3 3 4" xfId="38239" xr:uid="{00000000-0005-0000-0000-000081850000}"/>
    <cellStyle name="Normal 3 14 3 4" xfId="11025" xr:uid="{00000000-0005-0000-0000-000082850000}"/>
    <cellStyle name="Normal 3 14 3 4 2" xfId="26617" xr:uid="{00000000-0005-0000-0000-000083850000}"/>
    <cellStyle name="Normal 3 14 3 4 3" xfId="42109" xr:uid="{00000000-0005-0000-0000-000084850000}"/>
    <cellStyle name="Normal 3 14 3 5" xfId="18877" xr:uid="{00000000-0005-0000-0000-000085850000}"/>
    <cellStyle name="Normal 3 14 3 6" xfId="34369" xr:uid="{00000000-0005-0000-0000-000086850000}"/>
    <cellStyle name="Normal 3 14 4" xfId="4258" xr:uid="{00000000-0005-0000-0000-000087850000}"/>
    <cellStyle name="Normal 3 14 4 2" xfId="8129" xr:uid="{00000000-0005-0000-0000-000088850000}"/>
    <cellStyle name="Normal 3 14 4 2 2" xfId="15874" xr:uid="{00000000-0005-0000-0000-000089850000}"/>
    <cellStyle name="Normal 3 14 4 2 2 2" xfId="31466" xr:uid="{00000000-0005-0000-0000-00008A850000}"/>
    <cellStyle name="Normal 3 14 4 2 2 3" xfId="46958" xr:uid="{00000000-0005-0000-0000-00008B850000}"/>
    <cellStyle name="Normal 3 14 4 2 3" xfId="23726" xr:uid="{00000000-0005-0000-0000-00008C850000}"/>
    <cellStyle name="Normal 3 14 4 2 4" xfId="39218" xr:uid="{00000000-0005-0000-0000-00008D850000}"/>
    <cellStyle name="Normal 3 14 4 3" xfId="12004" xr:uid="{00000000-0005-0000-0000-00008E850000}"/>
    <cellStyle name="Normal 3 14 4 3 2" xfId="27596" xr:uid="{00000000-0005-0000-0000-00008F850000}"/>
    <cellStyle name="Normal 3 14 4 3 3" xfId="43088" xr:uid="{00000000-0005-0000-0000-000090850000}"/>
    <cellStyle name="Normal 3 14 4 4" xfId="19856" xr:uid="{00000000-0005-0000-0000-000091850000}"/>
    <cellStyle name="Normal 3 14 4 5" xfId="35348" xr:uid="{00000000-0005-0000-0000-000092850000}"/>
    <cellStyle name="Normal 3 14 5" xfId="6202" xr:uid="{00000000-0005-0000-0000-000093850000}"/>
    <cellStyle name="Normal 3 14 5 2" xfId="13947" xr:uid="{00000000-0005-0000-0000-000094850000}"/>
    <cellStyle name="Normal 3 14 5 2 2" xfId="29539" xr:uid="{00000000-0005-0000-0000-000095850000}"/>
    <cellStyle name="Normal 3 14 5 2 3" xfId="45031" xr:uid="{00000000-0005-0000-0000-000096850000}"/>
    <cellStyle name="Normal 3 14 5 3" xfId="21799" xr:uid="{00000000-0005-0000-0000-000097850000}"/>
    <cellStyle name="Normal 3 14 5 4" xfId="37291" xr:uid="{00000000-0005-0000-0000-000098850000}"/>
    <cellStyle name="Normal 3 14 6" xfId="10077" xr:uid="{00000000-0005-0000-0000-000099850000}"/>
    <cellStyle name="Normal 3 14 6 2" xfId="25669" xr:uid="{00000000-0005-0000-0000-00009A850000}"/>
    <cellStyle name="Normal 3 14 6 3" xfId="41161" xr:uid="{00000000-0005-0000-0000-00009B850000}"/>
    <cellStyle name="Normal 3 14 7" xfId="17929" xr:uid="{00000000-0005-0000-0000-00009C850000}"/>
    <cellStyle name="Normal 3 14 8" xfId="33421" xr:uid="{00000000-0005-0000-0000-00009D850000}"/>
    <cellStyle name="Normal 3 15" xfId="2288" xr:uid="{00000000-0005-0000-0000-00009E850000}"/>
    <cellStyle name="Normal 3 15 2" xfId="2604" xr:uid="{00000000-0005-0000-0000-00009F850000}"/>
    <cellStyle name="Normal 3 15 2 2" xfId="3612" xr:uid="{00000000-0005-0000-0000-0000A0850000}"/>
    <cellStyle name="Normal 3 15 2 2 2" xfId="5551" xr:uid="{00000000-0005-0000-0000-0000A1850000}"/>
    <cellStyle name="Normal 3 15 2 2 2 2" xfId="9422" xr:uid="{00000000-0005-0000-0000-0000A2850000}"/>
    <cellStyle name="Normal 3 15 2 2 2 2 2" xfId="17167" xr:uid="{00000000-0005-0000-0000-0000A3850000}"/>
    <cellStyle name="Normal 3 15 2 2 2 2 2 2" xfId="32759" xr:uid="{00000000-0005-0000-0000-0000A4850000}"/>
    <cellStyle name="Normal 3 15 2 2 2 2 2 3" xfId="48251" xr:uid="{00000000-0005-0000-0000-0000A5850000}"/>
    <cellStyle name="Normal 3 15 2 2 2 2 3" xfId="25019" xr:uid="{00000000-0005-0000-0000-0000A6850000}"/>
    <cellStyle name="Normal 3 15 2 2 2 2 4" xfId="40511" xr:uid="{00000000-0005-0000-0000-0000A7850000}"/>
    <cellStyle name="Normal 3 15 2 2 2 3" xfId="13297" xr:uid="{00000000-0005-0000-0000-0000A8850000}"/>
    <cellStyle name="Normal 3 15 2 2 2 3 2" xfId="28889" xr:uid="{00000000-0005-0000-0000-0000A9850000}"/>
    <cellStyle name="Normal 3 15 2 2 2 3 3" xfId="44381" xr:uid="{00000000-0005-0000-0000-0000AA850000}"/>
    <cellStyle name="Normal 3 15 2 2 2 4" xfId="21149" xr:uid="{00000000-0005-0000-0000-0000AB850000}"/>
    <cellStyle name="Normal 3 15 2 2 2 5" xfId="36641" xr:uid="{00000000-0005-0000-0000-0000AC850000}"/>
    <cellStyle name="Normal 3 15 2 2 3" xfId="7495" xr:uid="{00000000-0005-0000-0000-0000AD850000}"/>
    <cellStyle name="Normal 3 15 2 2 3 2" xfId="15240" xr:uid="{00000000-0005-0000-0000-0000AE850000}"/>
    <cellStyle name="Normal 3 15 2 2 3 2 2" xfId="30832" xr:uid="{00000000-0005-0000-0000-0000AF850000}"/>
    <cellStyle name="Normal 3 15 2 2 3 2 3" xfId="46324" xr:uid="{00000000-0005-0000-0000-0000B0850000}"/>
    <cellStyle name="Normal 3 15 2 2 3 3" xfId="23092" xr:uid="{00000000-0005-0000-0000-0000B1850000}"/>
    <cellStyle name="Normal 3 15 2 2 3 4" xfId="38584" xr:uid="{00000000-0005-0000-0000-0000B2850000}"/>
    <cellStyle name="Normal 3 15 2 2 4" xfId="11370" xr:uid="{00000000-0005-0000-0000-0000B3850000}"/>
    <cellStyle name="Normal 3 15 2 2 4 2" xfId="26962" xr:uid="{00000000-0005-0000-0000-0000B4850000}"/>
    <cellStyle name="Normal 3 15 2 2 4 3" xfId="42454" xr:uid="{00000000-0005-0000-0000-0000B5850000}"/>
    <cellStyle name="Normal 3 15 2 2 5" xfId="19222" xr:uid="{00000000-0005-0000-0000-0000B6850000}"/>
    <cellStyle name="Normal 3 15 2 2 6" xfId="34714" xr:uid="{00000000-0005-0000-0000-0000B7850000}"/>
    <cellStyle name="Normal 3 15 2 3" xfId="4603" xr:uid="{00000000-0005-0000-0000-0000B8850000}"/>
    <cellStyle name="Normal 3 15 2 3 2" xfId="8474" xr:uid="{00000000-0005-0000-0000-0000B9850000}"/>
    <cellStyle name="Normal 3 15 2 3 2 2" xfId="16219" xr:uid="{00000000-0005-0000-0000-0000BA850000}"/>
    <cellStyle name="Normal 3 15 2 3 2 2 2" xfId="31811" xr:uid="{00000000-0005-0000-0000-0000BB850000}"/>
    <cellStyle name="Normal 3 15 2 3 2 2 3" xfId="47303" xr:uid="{00000000-0005-0000-0000-0000BC850000}"/>
    <cellStyle name="Normal 3 15 2 3 2 3" xfId="24071" xr:uid="{00000000-0005-0000-0000-0000BD850000}"/>
    <cellStyle name="Normal 3 15 2 3 2 4" xfId="39563" xr:uid="{00000000-0005-0000-0000-0000BE850000}"/>
    <cellStyle name="Normal 3 15 2 3 3" xfId="12349" xr:uid="{00000000-0005-0000-0000-0000BF850000}"/>
    <cellStyle name="Normal 3 15 2 3 3 2" xfId="27941" xr:uid="{00000000-0005-0000-0000-0000C0850000}"/>
    <cellStyle name="Normal 3 15 2 3 3 3" xfId="43433" xr:uid="{00000000-0005-0000-0000-0000C1850000}"/>
    <cellStyle name="Normal 3 15 2 3 4" xfId="20201" xr:uid="{00000000-0005-0000-0000-0000C2850000}"/>
    <cellStyle name="Normal 3 15 2 3 5" xfId="35693" xr:uid="{00000000-0005-0000-0000-0000C3850000}"/>
    <cellStyle name="Normal 3 15 2 4" xfId="6547" xr:uid="{00000000-0005-0000-0000-0000C4850000}"/>
    <cellStyle name="Normal 3 15 2 4 2" xfId="14292" xr:uid="{00000000-0005-0000-0000-0000C5850000}"/>
    <cellStyle name="Normal 3 15 2 4 2 2" xfId="29884" xr:uid="{00000000-0005-0000-0000-0000C6850000}"/>
    <cellStyle name="Normal 3 15 2 4 2 3" xfId="45376" xr:uid="{00000000-0005-0000-0000-0000C7850000}"/>
    <cellStyle name="Normal 3 15 2 4 3" xfId="22144" xr:uid="{00000000-0005-0000-0000-0000C8850000}"/>
    <cellStyle name="Normal 3 15 2 4 4" xfId="37636" xr:uid="{00000000-0005-0000-0000-0000C9850000}"/>
    <cellStyle name="Normal 3 15 2 5" xfId="10422" xr:uid="{00000000-0005-0000-0000-0000CA850000}"/>
    <cellStyle name="Normal 3 15 2 5 2" xfId="26014" xr:uid="{00000000-0005-0000-0000-0000CB850000}"/>
    <cellStyle name="Normal 3 15 2 5 3" xfId="41506" xr:uid="{00000000-0005-0000-0000-0000CC850000}"/>
    <cellStyle name="Normal 3 15 2 6" xfId="18274" xr:uid="{00000000-0005-0000-0000-0000CD850000}"/>
    <cellStyle name="Normal 3 15 2 7" xfId="33766" xr:uid="{00000000-0005-0000-0000-0000CE850000}"/>
    <cellStyle name="Normal 3 15 3" xfId="3303" xr:uid="{00000000-0005-0000-0000-0000CF850000}"/>
    <cellStyle name="Normal 3 15 3 2" xfId="5242" xr:uid="{00000000-0005-0000-0000-0000D0850000}"/>
    <cellStyle name="Normal 3 15 3 2 2" xfId="9113" xr:uid="{00000000-0005-0000-0000-0000D1850000}"/>
    <cellStyle name="Normal 3 15 3 2 2 2" xfId="16858" xr:uid="{00000000-0005-0000-0000-0000D2850000}"/>
    <cellStyle name="Normal 3 15 3 2 2 2 2" xfId="32450" xr:uid="{00000000-0005-0000-0000-0000D3850000}"/>
    <cellStyle name="Normal 3 15 3 2 2 2 3" xfId="47942" xr:uid="{00000000-0005-0000-0000-0000D4850000}"/>
    <cellStyle name="Normal 3 15 3 2 2 3" xfId="24710" xr:uid="{00000000-0005-0000-0000-0000D5850000}"/>
    <cellStyle name="Normal 3 15 3 2 2 4" xfId="40202" xr:uid="{00000000-0005-0000-0000-0000D6850000}"/>
    <cellStyle name="Normal 3 15 3 2 3" xfId="12988" xr:uid="{00000000-0005-0000-0000-0000D7850000}"/>
    <cellStyle name="Normal 3 15 3 2 3 2" xfId="28580" xr:uid="{00000000-0005-0000-0000-0000D8850000}"/>
    <cellStyle name="Normal 3 15 3 2 3 3" xfId="44072" xr:uid="{00000000-0005-0000-0000-0000D9850000}"/>
    <cellStyle name="Normal 3 15 3 2 4" xfId="20840" xr:uid="{00000000-0005-0000-0000-0000DA850000}"/>
    <cellStyle name="Normal 3 15 3 2 5" xfId="36332" xr:uid="{00000000-0005-0000-0000-0000DB850000}"/>
    <cellStyle name="Normal 3 15 3 3" xfId="7186" xr:uid="{00000000-0005-0000-0000-0000DC850000}"/>
    <cellStyle name="Normal 3 15 3 3 2" xfId="14931" xr:uid="{00000000-0005-0000-0000-0000DD850000}"/>
    <cellStyle name="Normal 3 15 3 3 2 2" xfId="30523" xr:uid="{00000000-0005-0000-0000-0000DE850000}"/>
    <cellStyle name="Normal 3 15 3 3 2 3" xfId="46015" xr:uid="{00000000-0005-0000-0000-0000DF850000}"/>
    <cellStyle name="Normal 3 15 3 3 3" xfId="22783" xr:uid="{00000000-0005-0000-0000-0000E0850000}"/>
    <cellStyle name="Normal 3 15 3 3 4" xfId="38275" xr:uid="{00000000-0005-0000-0000-0000E1850000}"/>
    <cellStyle name="Normal 3 15 3 4" xfId="11061" xr:uid="{00000000-0005-0000-0000-0000E2850000}"/>
    <cellStyle name="Normal 3 15 3 4 2" xfId="26653" xr:uid="{00000000-0005-0000-0000-0000E3850000}"/>
    <cellStyle name="Normal 3 15 3 4 3" xfId="42145" xr:uid="{00000000-0005-0000-0000-0000E4850000}"/>
    <cellStyle name="Normal 3 15 3 5" xfId="18913" xr:uid="{00000000-0005-0000-0000-0000E5850000}"/>
    <cellStyle name="Normal 3 15 3 6" xfId="34405" xr:uid="{00000000-0005-0000-0000-0000E6850000}"/>
    <cellStyle name="Normal 3 15 4" xfId="4294" xr:uid="{00000000-0005-0000-0000-0000E7850000}"/>
    <cellStyle name="Normal 3 15 4 2" xfId="8165" xr:uid="{00000000-0005-0000-0000-0000E8850000}"/>
    <cellStyle name="Normal 3 15 4 2 2" xfId="15910" xr:uid="{00000000-0005-0000-0000-0000E9850000}"/>
    <cellStyle name="Normal 3 15 4 2 2 2" xfId="31502" xr:uid="{00000000-0005-0000-0000-0000EA850000}"/>
    <cellStyle name="Normal 3 15 4 2 2 3" xfId="46994" xr:uid="{00000000-0005-0000-0000-0000EB850000}"/>
    <cellStyle name="Normal 3 15 4 2 3" xfId="23762" xr:uid="{00000000-0005-0000-0000-0000EC850000}"/>
    <cellStyle name="Normal 3 15 4 2 4" xfId="39254" xr:uid="{00000000-0005-0000-0000-0000ED850000}"/>
    <cellStyle name="Normal 3 15 4 3" xfId="12040" xr:uid="{00000000-0005-0000-0000-0000EE850000}"/>
    <cellStyle name="Normal 3 15 4 3 2" xfId="27632" xr:uid="{00000000-0005-0000-0000-0000EF850000}"/>
    <cellStyle name="Normal 3 15 4 3 3" xfId="43124" xr:uid="{00000000-0005-0000-0000-0000F0850000}"/>
    <cellStyle name="Normal 3 15 4 4" xfId="19892" xr:uid="{00000000-0005-0000-0000-0000F1850000}"/>
    <cellStyle name="Normal 3 15 4 5" xfId="35384" xr:uid="{00000000-0005-0000-0000-0000F2850000}"/>
    <cellStyle name="Normal 3 15 5" xfId="6238" xr:uid="{00000000-0005-0000-0000-0000F3850000}"/>
    <cellStyle name="Normal 3 15 5 2" xfId="13983" xr:uid="{00000000-0005-0000-0000-0000F4850000}"/>
    <cellStyle name="Normal 3 15 5 2 2" xfId="29575" xr:uid="{00000000-0005-0000-0000-0000F5850000}"/>
    <cellStyle name="Normal 3 15 5 2 3" xfId="45067" xr:uid="{00000000-0005-0000-0000-0000F6850000}"/>
    <cellStyle name="Normal 3 15 5 3" xfId="21835" xr:uid="{00000000-0005-0000-0000-0000F7850000}"/>
    <cellStyle name="Normal 3 15 5 4" xfId="37327" xr:uid="{00000000-0005-0000-0000-0000F8850000}"/>
    <cellStyle name="Normal 3 15 6" xfId="10113" xr:uid="{00000000-0005-0000-0000-0000F9850000}"/>
    <cellStyle name="Normal 3 15 6 2" xfId="25705" xr:uid="{00000000-0005-0000-0000-0000FA850000}"/>
    <cellStyle name="Normal 3 15 6 3" xfId="41197" xr:uid="{00000000-0005-0000-0000-0000FB850000}"/>
    <cellStyle name="Normal 3 15 7" xfId="17965" xr:uid="{00000000-0005-0000-0000-0000FC850000}"/>
    <cellStyle name="Normal 3 15 8" xfId="33457" xr:uid="{00000000-0005-0000-0000-0000FD850000}"/>
    <cellStyle name="Normal 3 16" xfId="2326" xr:uid="{00000000-0005-0000-0000-0000FE850000}"/>
    <cellStyle name="Normal 3 16 2" xfId="2640" xr:uid="{00000000-0005-0000-0000-0000FF850000}"/>
    <cellStyle name="Normal 3 16 2 2" xfId="3648" xr:uid="{00000000-0005-0000-0000-000000860000}"/>
    <cellStyle name="Normal 3 16 2 2 2" xfId="5587" xr:uid="{00000000-0005-0000-0000-000001860000}"/>
    <cellStyle name="Normal 3 16 2 2 2 2" xfId="9458" xr:uid="{00000000-0005-0000-0000-000002860000}"/>
    <cellStyle name="Normal 3 16 2 2 2 2 2" xfId="17203" xr:uid="{00000000-0005-0000-0000-000003860000}"/>
    <cellStyle name="Normal 3 16 2 2 2 2 2 2" xfId="32795" xr:uid="{00000000-0005-0000-0000-000004860000}"/>
    <cellStyle name="Normal 3 16 2 2 2 2 2 3" xfId="48287" xr:uid="{00000000-0005-0000-0000-000005860000}"/>
    <cellStyle name="Normal 3 16 2 2 2 2 3" xfId="25055" xr:uid="{00000000-0005-0000-0000-000006860000}"/>
    <cellStyle name="Normal 3 16 2 2 2 2 4" xfId="40547" xr:uid="{00000000-0005-0000-0000-000007860000}"/>
    <cellStyle name="Normal 3 16 2 2 2 3" xfId="13333" xr:uid="{00000000-0005-0000-0000-000008860000}"/>
    <cellStyle name="Normal 3 16 2 2 2 3 2" xfId="28925" xr:uid="{00000000-0005-0000-0000-000009860000}"/>
    <cellStyle name="Normal 3 16 2 2 2 3 3" xfId="44417" xr:uid="{00000000-0005-0000-0000-00000A860000}"/>
    <cellStyle name="Normal 3 16 2 2 2 4" xfId="21185" xr:uid="{00000000-0005-0000-0000-00000B860000}"/>
    <cellStyle name="Normal 3 16 2 2 2 5" xfId="36677" xr:uid="{00000000-0005-0000-0000-00000C860000}"/>
    <cellStyle name="Normal 3 16 2 2 3" xfId="7531" xr:uid="{00000000-0005-0000-0000-00000D860000}"/>
    <cellStyle name="Normal 3 16 2 2 3 2" xfId="15276" xr:uid="{00000000-0005-0000-0000-00000E860000}"/>
    <cellStyle name="Normal 3 16 2 2 3 2 2" xfId="30868" xr:uid="{00000000-0005-0000-0000-00000F860000}"/>
    <cellStyle name="Normal 3 16 2 2 3 2 3" xfId="46360" xr:uid="{00000000-0005-0000-0000-000010860000}"/>
    <cellStyle name="Normal 3 16 2 2 3 3" xfId="23128" xr:uid="{00000000-0005-0000-0000-000011860000}"/>
    <cellStyle name="Normal 3 16 2 2 3 4" xfId="38620" xr:uid="{00000000-0005-0000-0000-000012860000}"/>
    <cellStyle name="Normal 3 16 2 2 4" xfId="11406" xr:uid="{00000000-0005-0000-0000-000013860000}"/>
    <cellStyle name="Normal 3 16 2 2 4 2" xfId="26998" xr:uid="{00000000-0005-0000-0000-000014860000}"/>
    <cellStyle name="Normal 3 16 2 2 4 3" xfId="42490" xr:uid="{00000000-0005-0000-0000-000015860000}"/>
    <cellStyle name="Normal 3 16 2 2 5" xfId="19258" xr:uid="{00000000-0005-0000-0000-000016860000}"/>
    <cellStyle name="Normal 3 16 2 2 6" xfId="34750" xr:uid="{00000000-0005-0000-0000-000017860000}"/>
    <cellStyle name="Normal 3 16 2 3" xfId="4639" xr:uid="{00000000-0005-0000-0000-000018860000}"/>
    <cellStyle name="Normal 3 16 2 3 2" xfId="8510" xr:uid="{00000000-0005-0000-0000-000019860000}"/>
    <cellStyle name="Normal 3 16 2 3 2 2" xfId="16255" xr:uid="{00000000-0005-0000-0000-00001A860000}"/>
    <cellStyle name="Normal 3 16 2 3 2 2 2" xfId="31847" xr:uid="{00000000-0005-0000-0000-00001B860000}"/>
    <cellStyle name="Normal 3 16 2 3 2 2 3" xfId="47339" xr:uid="{00000000-0005-0000-0000-00001C860000}"/>
    <cellStyle name="Normal 3 16 2 3 2 3" xfId="24107" xr:uid="{00000000-0005-0000-0000-00001D860000}"/>
    <cellStyle name="Normal 3 16 2 3 2 4" xfId="39599" xr:uid="{00000000-0005-0000-0000-00001E860000}"/>
    <cellStyle name="Normal 3 16 2 3 3" xfId="12385" xr:uid="{00000000-0005-0000-0000-00001F860000}"/>
    <cellStyle name="Normal 3 16 2 3 3 2" xfId="27977" xr:uid="{00000000-0005-0000-0000-000020860000}"/>
    <cellStyle name="Normal 3 16 2 3 3 3" xfId="43469" xr:uid="{00000000-0005-0000-0000-000021860000}"/>
    <cellStyle name="Normal 3 16 2 3 4" xfId="20237" xr:uid="{00000000-0005-0000-0000-000022860000}"/>
    <cellStyle name="Normal 3 16 2 3 5" xfId="35729" xr:uid="{00000000-0005-0000-0000-000023860000}"/>
    <cellStyle name="Normal 3 16 2 4" xfId="6583" xr:uid="{00000000-0005-0000-0000-000024860000}"/>
    <cellStyle name="Normal 3 16 2 4 2" xfId="14328" xr:uid="{00000000-0005-0000-0000-000025860000}"/>
    <cellStyle name="Normal 3 16 2 4 2 2" xfId="29920" xr:uid="{00000000-0005-0000-0000-000026860000}"/>
    <cellStyle name="Normal 3 16 2 4 2 3" xfId="45412" xr:uid="{00000000-0005-0000-0000-000027860000}"/>
    <cellStyle name="Normal 3 16 2 4 3" xfId="22180" xr:uid="{00000000-0005-0000-0000-000028860000}"/>
    <cellStyle name="Normal 3 16 2 4 4" xfId="37672" xr:uid="{00000000-0005-0000-0000-000029860000}"/>
    <cellStyle name="Normal 3 16 2 5" xfId="10458" xr:uid="{00000000-0005-0000-0000-00002A860000}"/>
    <cellStyle name="Normal 3 16 2 5 2" xfId="26050" xr:uid="{00000000-0005-0000-0000-00002B860000}"/>
    <cellStyle name="Normal 3 16 2 5 3" xfId="41542" xr:uid="{00000000-0005-0000-0000-00002C860000}"/>
    <cellStyle name="Normal 3 16 2 6" xfId="18310" xr:uid="{00000000-0005-0000-0000-00002D860000}"/>
    <cellStyle name="Normal 3 16 2 7" xfId="33802" xr:uid="{00000000-0005-0000-0000-00002E860000}"/>
    <cellStyle name="Normal 3 16 3" xfId="3339" xr:uid="{00000000-0005-0000-0000-00002F860000}"/>
    <cellStyle name="Normal 3 16 3 2" xfId="5278" xr:uid="{00000000-0005-0000-0000-000030860000}"/>
    <cellStyle name="Normal 3 16 3 2 2" xfId="9149" xr:uid="{00000000-0005-0000-0000-000031860000}"/>
    <cellStyle name="Normal 3 16 3 2 2 2" xfId="16894" xr:uid="{00000000-0005-0000-0000-000032860000}"/>
    <cellStyle name="Normal 3 16 3 2 2 2 2" xfId="32486" xr:uid="{00000000-0005-0000-0000-000033860000}"/>
    <cellStyle name="Normal 3 16 3 2 2 2 3" xfId="47978" xr:uid="{00000000-0005-0000-0000-000034860000}"/>
    <cellStyle name="Normal 3 16 3 2 2 3" xfId="24746" xr:uid="{00000000-0005-0000-0000-000035860000}"/>
    <cellStyle name="Normal 3 16 3 2 2 4" xfId="40238" xr:uid="{00000000-0005-0000-0000-000036860000}"/>
    <cellStyle name="Normal 3 16 3 2 3" xfId="13024" xr:uid="{00000000-0005-0000-0000-000037860000}"/>
    <cellStyle name="Normal 3 16 3 2 3 2" xfId="28616" xr:uid="{00000000-0005-0000-0000-000038860000}"/>
    <cellStyle name="Normal 3 16 3 2 3 3" xfId="44108" xr:uid="{00000000-0005-0000-0000-000039860000}"/>
    <cellStyle name="Normal 3 16 3 2 4" xfId="20876" xr:uid="{00000000-0005-0000-0000-00003A860000}"/>
    <cellStyle name="Normal 3 16 3 2 5" xfId="36368" xr:uid="{00000000-0005-0000-0000-00003B860000}"/>
    <cellStyle name="Normal 3 16 3 3" xfId="7222" xr:uid="{00000000-0005-0000-0000-00003C860000}"/>
    <cellStyle name="Normal 3 16 3 3 2" xfId="14967" xr:uid="{00000000-0005-0000-0000-00003D860000}"/>
    <cellStyle name="Normal 3 16 3 3 2 2" xfId="30559" xr:uid="{00000000-0005-0000-0000-00003E860000}"/>
    <cellStyle name="Normal 3 16 3 3 2 3" xfId="46051" xr:uid="{00000000-0005-0000-0000-00003F860000}"/>
    <cellStyle name="Normal 3 16 3 3 3" xfId="22819" xr:uid="{00000000-0005-0000-0000-000040860000}"/>
    <cellStyle name="Normal 3 16 3 3 4" xfId="38311" xr:uid="{00000000-0005-0000-0000-000041860000}"/>
    <cellStyle name="Normal 3 16 3 4" xfId="11097" xr:uid="{00000000-0005-0000-0000-000042860000}"/>
    <cellStyle name="Normal 3 16 3 4 2" xfId="26689" xr:uid="{00000000-0005-0000-0000-000043860000}"/>
    <cellStyle name="Normal 3 16 3 4 3" xfId="42181" xr:uid="{00000000-0005-0000-0000-000044860000}"/>
    <cellStyle name="Normal 3 16 3 5" xfId="18949" xr:uid="{00000000-0005-0000-0000-000045860000}"/>
    <cellStyle name="Normal 3 16 3 6" xfId="34441" xr:uid="{00000000-0005-0000-0000-000046860000}"/>
    <cellStyle name="Normal 3 16 4" xfId="4330" xr:uid="{00000000-0005-0000-0000-000047860000}"/>
    <cellStyle name="Normal 3 16 4 2" xfId="8201" xr:uid="{00000000-0005-0000-0000-000048860000}"/>
    <cellStyle name="Normal 3 16 4 2 2" xfId="15946" xr:uid="{00000000-0005-0000-0000-000049860000}"/>
    <cellStyle name="Normal 3 16 4 2 2 2" xfId="31538" xr:uid="{00000000-0005-0000-0000-00004A860000}"/>
    <cellStyle name="Normal 3 16 4 2 2 3" xfId="47030" xr:uid="{00000000-0005-0000-0000-00004B860000}"/>
    <cellStyle name="Normal 3 16 4 2 3" xfId="23798" xr:uid="{00000000-0005-0000-0000-00004C860000}"/>
    <cellStyle name="Normal 3 16 4 2 4" xfId="39290" xr:uid="{00000000-0005-0000-0000-00004D860000}"/>
    <cellStyle name="Normal 3 16 4 3" xfId="12076" xr:uid="{00000000-0005-0000-0000-00004E860000}"/>
    <cellStyle name="Normal 3 16 4 3 2" xfId="27668" xr:uid="{00000000-0005-0000-0000-00004F860000}"/>
    <cellStyle name="Normal 3 16 4 3 3" xfId="43160" xr:uid="{00000000-0005-0000-0000-000050860000}"/>
    <cellStyle name="Normal 3 16 4 4" xfId="19928" xr:uid="{00000000-0005-0000-0000-000051860000}"/>
    <cellStyle name="Normal 3 16 4 5" xfId="35420" xr:uid="{00000000-0005-0000-0000-000052860000}"/>
    <cellStyle name="Normal 3 16 5" xfId="6274" xr:uid="{00000000-0005-0000-0000-000053860000}"/>
    <cellStyle name="Normal 3 16 5 2" xfId="14019" xr:uid="{00000000-0005-0000-0000-000054860000}"/>
    <cellStyle name="Normal 3 16 5 2 2" xfId="29611" xr:uid="{00000000-0005-0000-0000-000055860000}"/>
    <cellStyle name="Normal 3 16 5 2 3" xfId="45103" xr:uid="{00000000-0005-0000-0000-000056860000}"/>
    <cellStyle name="Normal 3 16 5 3" xfId="21871" xr:uid="{00000000-0005-0000-0000-000057860000}"/>
    <cellStyle name="Normal 3 16 5 4" xfId="37363" xr:uid="{00000000-0005-0000-0000-000058860000}"/>
    <cellStyle name="Normal 3 16 6" xfId="10149" xr:uid="{00000000-0005-0000-0000-000059860000}"/>
    <cellStyle name="Normal 3 16 6 2" xfId="25741" xr:uid="{00000000-0005-0000-0000-00005A860000}"/>
    <cellStyle name="Normal 3 16 6 3" xfId="41233" xr:uid="{00000000-0005-0000-0000-00005B860000}"/>
    <cellStyle name="Normal 3 16 7" xfId="18001" xr:uid="{00000000-0005-0000-0000-00005C860000}"/>
    <cellStyle name="Normal 3 16 8" xfId="33493" xr:uid="{00000000-0005-0000-0000-00005D860000}"/>
    <cellStyle name="Normal 3 17" xfId="2363" xr:uid="{00000000-0005-0000-0000-00005E860000}"/>
    <cellStyle name="Normal 3 17 2" xfId="2676" xr:uid="{00000000-0005-0000-0000-00005F860000}"/>
    <cellStyle name="Normal 3 17 2 2" xfId="3684" xr:uid="{00000000-0005-0000-0000-000060860000}"/>
    <cellStyle name="Normal 3 17 2 2 2" xfId="5623" xr:uid="{00000000-0005-0000-0000-000061860000}"/>
    <cellStyle name="Normal 3 17 2 2 2 2" xfId="9494" xr:uid="{00000000-0005-0000-0000-000062860000}"/>
    <cellStyle name="Normal 3 17 2 2 2 2 2" xfId="17239" xr:uid="{00000000-0005-0000-0000-000063860000}"/>
    <cellStyle name="Normal 3 17 2 2 2 2 2 2" xfId="32831" xr:uid="{00000000-0005-0000-0000-000064860000}"/>
    <cellStyle name="Normal 3 17 2 2 2 2 2 3" xfId="48323" xr:uid="{00000000-0005-0000-0000-000065860000}"/>
    <cellStyle name="Normal 3 17 2 2 2 2 3" xfId="25091" xr:uid="{00000000-0005-0000-0000-000066860000}"/>
    <cellStyle name="Normal 3 17 2 2 2 2 4" xfId="40583" xr:uid="{00000000-0005-0000-0000-000067860000}"/>
    <cellStyle name="Normal 3 17 2 2 2 3" xfId="13369" xr:uid="{00000000-0005-0000-0000-000068860000}"/>
    <cellStyle name="Normal 3 17 2 2 2 3 2" xfId="28961" xr:uid="{00000000-0005-0000-0000-000069860000}"/>
    <cellStyle name="Normal 3 17 2 2 2 3 3" xfId="44453" xr:uid="{00000000-0005-0000-0000-00006A860000}"/>
    <cellStyle name="Normal 3 17 2 2 2 4" xfId="21221" xr:uid="{00000000-0005-0000-0000-00006B860000}"/>
    <cellStyle name="Normal 3 17 2 2 2 5" xfId="36713" xr:uid="{00000000-0005-0000-0000-00006C860000}"/>
    <cellStyle name="Normal 3 17 2 2 3" xfId="7567" xr:uid="{00000000-0005-0000-0000-00006D860000}"/>
    <cellStyle name="Normal 3 17 2 2 3 2" xfId="15312" xr:uid="{00000000-0005-0000-0000-00006E860000}"/>
    <cellStyle name="Normal 3 17 2 2 3 2 2" xfId="30904" xr:uid="{00000000-0005-0000-0000-00006F860000}"/>
    <cellStyle name="Normal 3 17 2 2 3 2 3" xfId="46396" xr:uid="{00000000-0005-0000-0000-000070860000}"/>
    <cellStyle name="Normal 3 17 2 2 3 3" xfId="23164" xr:uid="{00000000-0005-0000-0000-000071860000}"/>
    <cellStyle name="Normal 3 17 2 2 3 4" xfId="38656" xr:uid="{00000000-0005-0000-0000-000072860000}"/>
    <cellStyle name="Normal 3 17 2 2 4" xfId="11442" xr:uid="{00000000-0005-0000-0000-000073860000}"/>
    <cellStyle name="Normal 3 17 2 2 4 2" xfId="27034" xr:uid="{00000000-0005-0000-0000-000074860000}"/>
    <cellStyle name="Normal 3 17 2 2 4 3" xfId="42526" xr:uid="{00000000-0005-0000-0000-000075860000}"/>
    <cellStyle name="Normal 3 17 2 2 5" xfId="19294" xr:uid="{00000000-0005-0000-0000-000076860000}"/>
    <cellStyle name="Normal 3 17 2 2 6" xfId="34786" xr:uid="{00000000-0005-0000-0000-000077860000}"/>
    <cellStyle name="Normal 3 17 2 3" xfId="4675" xr:uid="{00000000-0005-0000-0000-000078860000}"/>
    <cellStyle name="Normal 3 17 2 3 2" xfId="8546" xr:uid="{00000000-0005-0000-0000-000079860000}"/>
    <cellStyle name="Normal 3 17 2 3 2 2" xfId="16291" xr:uid="{00000000-0005-0000-0000-00007A860000}"/>
    <cellStyle name="Normal 3 17 2 3 2 2 2" xfId="31883" xr:uid="{00000000-0005-0000-0000-00007B860000}"/>
    <cellStyle name="Normal 3 17 2 3 2 2 3" xfId="47375" xr:uid="{00000000-0005-0000-0000-00007C860000}"/>
    <cellStyle name="Normal 3 17 2 3 2 3" xfId="24143" xr:uid="{00000000-0005-0000-0000-00007D860000}"/>
    <cellStyle name="Normal 3 17 2 3 2 4" xfId="39635" xr:uid="{00000000-0005-0000-0000-00007E860000}"/>
    <cellStyle name="Normal 3 17 2 3 3" xfId="12421" xr:uid="{00000000-0005-0000-0000-00007F860000}"/>
    <cellStyle name="Normal 3 17 2 3 3 2" xfId="28013" xr:uid="{00000000-0005-0000-0000-000080860000}"/>
    <cellStyle name="Normal 3 17 2 3 3 3" xfId="43505" xr:uid="{00000000-0005-0000-0000-000081860000}"/>
    <cellStyle name="Normal 3 17 2 3 4" xfId="20273" xr:uid="{00000000-0005-0000-0000-000082860000}"/>
    <cellStyle name="Normal 3 17 2 3 5" xfId="35765" xr:uid="{00000000-0005-0000-0000-000083860000}"/>
    <cellStyle name="Normal 3 17 2 4" xfId="6619" xr:uid="{00000000-0005-0000-0000-000084860000}"/>
    <cellStyle name="Normal 3 17 2 4 2" xfId="14364" xr:uid="{00000000-0005-0000-0000-000085860000}"/>
    <cellStyle name="Normal 3 17 2 4 2 2" xfId="29956" xr:uid="{00000000-0005-0000-0000-000086860000}"/>
    <cellStyle name="Normal 3 17 2 4 2 3" xfId="45448" xr:uid="{00000000-0005-0000-0000-000087860000}"/>
    <cellStyle name="Normal 3 17 2 4 3" xfId="22216" xr:uid="{00000000-0005-0000-0000-000088860000}"/>
    <cellStyle name="Normal 3 17 2 4 4" xfId="37708" xr:uid="{00000000-0005-0000-0000-000089860000}"/>
    <cellStyle name="Normal 3 17 2 5" xfId="10494" xr:uid="{00000000-0005-0000-0000-00008A860000}"/>
    <cellStyle name="Normal 3 17 2 5 2" xfId="26086" xr:uid="{00000000-0005-0000-0000-00008B860000}"/>
    <cellStyle name="Normal 3 17 2 5 3" xfId="41578" xr:uid="{00000000-0005-0000-0000-00008C860000}"/>
    <cellStyle name="Normal 3 17 2 6" xfId="18346" xr:uid="{00000000-0005-0000-0000-00008D860000}"/>
    <cellStyle name="Normal 3 17 2 7" xfId="33838" xr:uid="{00000000-0005-0000-0000-00008E860000}"/>
    <cellStyle name="Normal 3 17 3" xfId="3375" xr:uid="{00000000-0005-0000-0000-00008F860000}"/>
    <cellStyle name="Normal 3 17 3 2" xfId="5314" xr:uid="{00000000-0005-0000-0000-000090860000}"/>
    <cellStyle name="Normal 3 17 3 2 2" xfId="9185" xr:uid="{00000000-0005-0000-0000-000091860000}"/>
    <cellStyle name="Normal 3 17 3 2 2 2" xfId="16930" xr:uid="{00000000-0005-0000-0000-000092860000}"/>
    <cellStyle name="Normal 3 17 3 2 2 2 2" xfId="32522" xr:uid="{00000000-0005-0000-0000-000093860000}"/>
    <cellStyle name="Normal 3 17 3 2 2 2 3" xfId="48014" xr:uid="{00000000-0005-0000-0000-000094860000}"/>
    <cellStyle name="Normal 3 17 3 2 2 3" xfId="24782" xr:uid="{00000000-0005-0000-0000-000095860000}"/>
    <cellStyle name="Normal 3 17 3 2 2 4" xfId="40274" xr:uid="{00000000-0005-0000-0000-000096860000}"/>
    <cellStyle name="Normal 3 17 3 2 3" xfId="13060" xr:uid="{00000000-0005-0000-0000-000097860000}"/>
    <cellStyle name="Normal 3 17 3 2 3 2" xfId="28652" xr:uid="{00000000-0005-0000-0000-000098860000}"/>
    <cellStyle name="Normal 3 17 3 2 3 3" xfId="44144" xr:uid="{00000000-0005-0000-0000-000099860000}"/>
    <cellStyle name="Normal 3 17 3 2 4" xfId="20912" xr:uid="{00000000-0005-0000-0000-00009A860000}"/>
    <cellStyle name="Normal 3 17 3 2 5" xfId="36404" xr:uid="{00000000-0005-0000-0000-00009B860000}"/>
    <cellStyle name="Normal 3 17 3 3" xfId="7258" xr:uid="{00000000-0005-0000-0000-00009C860000}"/>
    <cellStyle name="Normal 3 17 3 3 2" xfId="15003" xr:uid="{00000000-0005-0000-0000-00009D860000}"/>
    <cellStyle name="Normal 3 17 3 3 2 2" xfId="30595" xr:uid="{00000000-0005-0000-0000-00009E860000}"/>
    <cellStyle name="Normal 3 17 3 3 2 3" xfId="46087" xr:uid="{00000000-0005-0000-0000-00009F860000}"/>
    <cellStyle name="Normal 3 17 3 3 3" xfId="22855" xr:uid="{00000000-0005-0000-0000-0000A0860000}"/>
    <cellStyle name="Normal 3 17 3 3 4" xfId="38347" xr:uid="{00000000-0005-0000-0000-0000A1860000}"/>
    <cellStyle name="Normal 3 17 3 4" xfId="11133" xr:uid="{00000000-0005-0000-0000-0000A2860000}"/>
    <cellStyle name="Normal 3 17 3 4 2" xfId="26725" xr:uid="{00000000-0005-0000-0000-0000A3860000}"/>
    <cellStyle name="Normal 3 17 3 4 3" xfId="42217" xr:uid="{00000000-0005-0000-0000-0000A4860000}"/>
    <cellStyle name="Normal 3 17 3 5" xfId="18985" xr:uid="{00000000-0005-0000-0000-0000A5860000}"/>
    <cellStyle name="Normal 3 17 3 6" xfId="34477" xr:uid="{00000000-0005-0000-0000-0000A6860000}"/>
    <cellStyle name="Normal 3 17 4" xfId="4366" xr:uid="{00000000-0005-0000-0000-0000A7860000}"/>
    <cellStyle name="Normal 3 17 4 2" xfId="8237" xr:uid="{00000000-0005-0000-0000-0000A8860000}"/>
    <cellStyle name="Normal 3 17 4 2 2" xfId="15982" xr:uid="{00000000-0005-0000-0000-0000A9860000}"/>
    <cellStyle name="Normal 3 17 4 2 2 2" xfId="31574" xr:uid="{00000000-0005-0000-0000-0000AA860000}"/>
    <cellStyle name="Normal 3 17 4 2 2 3" xfId="47066" xr:uid="{00000000-0005-0000-0000-0000AB860000}"/>
    <cellStyle name="Normal 3 17 4 2 3" xfId="23834" xr:uid="{00000000-0005-0000-0000-0000AC860000}"/>
    <cellStyle name="Normal 3 17 4 2 4" xfId="39326" xr:uid="{00000000-0005-0000-0000-0000AD860000}"/>
    <cellStyle name="Normal 3 17 4 3" xfId="12112" xr:uid="{00000000-0005-0000-0000-0000AE860000}"/>
    <cellStyle name="Normal 3 17 4 3 2" xfId="27704" xr:uid="{00000000-0005-0000-0000-0000AF860000}"/>
    <cellStyle name="Normal 3 17 4 3 3" xfId="43196" xr:uid="{00000000-0005-0000-0000-0000B0860000}"/>
    <cellStyle name="Normal 3 17 4 4" xfId="19964" xr:uid="{00000000-0005-0000-0000-0000B1860000}"/>
    <cellStyle name="Normal 3 17 4 5" xfId="35456" xr:uid="{00000000-0005-0000-0000-0000B2860000}"/>
    <cellStyle name="Normal 3 17 5" xfId="6310" xr:uid="{00000000-0005-0000-0000-0000B3860000}"/>
    <cellStyle name="Normal 3 17 5 2" xfId="14055" xr:uid="{00000000-0005-0000-0000-0000B4860000}"/>
    <cellStyle name="Normal 3 17 5 2 2" xfId="29647" xr:uid="{00000000-0005-0000-0000-0000B5860000}"/>
    <cellStyle name="Normal 3 17 5 2 3" xfId="45139" xr:uid="{00000000-0005-0000-0000-0000B6860000}"/>
    <cellStyle name="Normal 3 17 5 3" xfId="21907" xr:uid="{00000000-0005-0000-0000-0000B7860000}"/>
    <cellStyle name="Normal 3 17 5 4" xfId="37399" xr:uid="{00000000-0005-0000-0000-0000B8860000}"/>
    <cellStyle name="Normal 3 17 6" xfId="10185" xr:uid="{00000000-0005-0000-0000-0000B9860000}"/>
    <cellStyle name="Normal 3 17 6 2" xfId="25777" xr:uid="{00000000-0005-0000-0000-0000BA860000}"/>
    <cellStyle name="Normal 3 17 6 3" xfId="41269" xr:uid="{00000000-0005-0000-0000-0000BB860000}"/>
    <cellStyle name="Normal 3 17 7" xfId="18037" xr:uid="{00000000-0005-0000-0000-0000BC860000}"/>
    <cellStyle name="Normal 3 17 8" xfId="33529" xr:uid="{00000000-0005-0000-0000-0000BD860000}"/>
    <cellStyle name="Normal 3 18" xfId="2401" xr:uid="{00000000-0005-0000-0000-0000BE860000}"/>
    <cellStyle name="Normal 3 18 2" xfId="2712" xr:uid="{00000000-0005-0000-0000-0000BF860000}"/>
    <cellStyle name="Normal 3 18 2 2" xfId="3720" xr:uid="{00000000-0005-0000-0000-0000C0860000}"/>
    <cellStyle name="Normal 3 18 2 2 2" xfId="5659" xr:uid="{00000000-0005-0000-0000-0000C1860000}"/>
    <cellStyle name="Normal 3 18 2 2 2 2" xfId="9530" xr:uid="{00000000-0005-0000-0000-0000C2860000}"/>
    <cellStyle name="Normal 3 18 2 2 2 2 2" xfId="17275" xr:uid="{00000000-0005-0000-0000-0000C3860000}"/>
    <cellStyle name="Normal 3 18 2 2 2 2 2 2" xfId="32867" xr:uid="{00000000-0005-0000-0000-0000C4860000}"/>
    <cellStyle name="Normal 3 18 2 2 2 2 2 3" xfId="48359" xr:uid="{00000000-0005-0000-0000-0000C5860000}"/>
    <cellStyle name="Normal 3 18 2 2 2 2 3" xfId="25127" xr:uid="{00000000-0005-0000-0000-0000C6860000}"/>
    <cellStyle name="Normal 3 18 2 2 2 2 4" xfId="40619" xr:uid="{00000000-0005-0000-0000-0000C7860000}"/>
    <cellStyle name="Normal 3 18 2 2 2 3" xfId="13405" xr:uid="{00000000-0005-0000-0000-0000C8860000}"/>
    <cellStyle name="Normal 3 18 2 2 2 3 2" xfId="28997" xr:uid="{00000000-0005-0000-0000-0000C9860000}"/>
    <cellStyle name="Normal 3 18 2 2 2 3 3" xfId="44489" xr:uid="{00000000-0005-0000-0000-0000CA860000}"/>
    <cellStyle name="Normal 3 18 2 2 2 4" xfId="21257" xr:uid="{00000000-0005-0000-0000-0000CB860000}"/>
    <cellStyle name="Normal 3 18 2 2 2 5" xfId="36749" xr:uid="{00000000-0005-0000-0000-0000CC860000}"/>
    <cellStyle name="Normal 3 18 2 2 3" xfId="7603" xr:uid="{00000000-0005-0000-0000-0000CD860000}"/>
    <cellStyle name="Normal 3 18 2 2 3 2" xfId="15348" xr:uid="{00000000-0005-0000-0000-0000CE860000}"/>
    <cellStyle name="Normal 3 18 2 2 3 2 2" xfId="30940" xr:uid="{00000000-0005-0000-0000-0000CF860000}"/>
    <cellStyle name="Normal 3 18 2 2 3 2 3" xfId="46432" xr:uid="{00000000-0005-0000-0000-0000D0860000}"/>
    <cellStyle name="Normal 3 18 2 2 3 3" xfId="23200" xr:uid="{00000000-0005-0000-0000-0000D1860000}"/>
    <cellStyle name="Normal 3 18 2 2 3 4" xfId="38692" xr:uid="{00000000-0005-0000-0000-0000D2860000}"/>
    <cellStyle name="Normal 3 18 2 2 4" xfId="11478" xr:uid="{00000000-0005-0000-0000-0000D3860000}"/>
    <cellStyle name="Normal 3 18 2 2 4 2" xfId="27070" xr:uid="{00000000-0005-0000-0000-0000D4860000}"/>
    <cellStyle name="Normal 3 18 2 2 4 3" xfId="42562" xr:uid="{00000000-0005-0000-0000-0000D5860000}"/>
    <cellStyle name="Normal 3 18 2 2 5" xfId="19330" xr:uid="{00000000-0005-0000-0000-0000D6860000}"/>
    <cellStyle name="Normal 3 18 2 2 6" xfId="34822" xr:uid="{00000000-0005-0000-0000-0000D7860000}"/>
    <cellStyle name="Normal 3 18 2 3" xfId="4711" xr:uid="{00000000-0005-0000-0000-0000D8860000}"/>
    <cellStyle name="Normal 3 18 2 3 2" xfId="8582" xr:uid="{00000000-0005-0000-0000-0000D9860000}"/>
    <cellStyle name="Normal 3 18 2 3 2 2" xfId="16327" xr:uid="{00000000-0005-0000-0000-0000DA860000}"/>
    <cellStyle name="Normal 3 18 2 3 2 2 2" xfId="31919" xr:uid="{00000000-0005-0000-0000-0000DB860000}"/>
    <cellStyle name="Normal 3 18 2 3 2 2 3" xfId="47411" xr:uid="{00000000-0005-0000-0000-0000DC860000}"/>
    <cellStyle name="Normal 3 18 2 3 2 3" xfId="24179" xr:uid="{00000000-0005-0000-0000-0000DD860000}"/>
    <cellStyle name="Normal 3 18 2 3 2 4" xfId="39671" xr:uid="{00000000-0005-0000-0000-0000DE860000}"/>
    <cellStyle name="Normal 3 18 2 3 3" xfId="12457" xr:uid="{00000000-0005-0000-0000-0000DF860000}"/>
    <cellStyle name="Normal 3 18 2 3 3 2" xfId="28049" xr:uid="{00000000-0005-0000-0000-0000E0860000}"/>
    <cellStyle name="Normal 3 18 2 3 3 3" xfId="43541" xr:uid="{00000000-0005-0000-0000-0000E1860000}"/>
    <cellStyle name="Normal 3 18 2 3 4" xfId="20309" xr:uid="{00000000-0005-0000-0000-0000E2860000}"/>
    <cellStyle name="Normal 3 18 2 3 5" xfId="35801" xr:uid="{00000000-0005-0000-0000-0000E3860000}"/>
    <cellStyle name="Normal 3 18 2 4" xfId="6655" xr:uid="{00000000-0005-0000-0000-0000E4860000}"/>
    <cellStyle name="Normal 3 18 2 4 2" xfId="14400" xr:uid="{00000000-0005-0000-0000-0000E5860000}"/>
    <cellStyle name="Normal 3 18 2 4 2 2" xfId="29992" xr:uid="{00000000-0005-0000-0000-0000E6860000}"/>
    <cellStyle name="Normal 3 18 2 4 2 3" xfId="45484" xr:uid="{00000000-0005-0000-0000-0000E7860000}"/>
    <cellStyle name="Normal 3 18 2 4 3" xfId="22252" xr:uid="{00000000-0005-0000-0000-0000E8860000}"/>
    <cellStyle name="Normal 3 18 2 4 4" xfId="37744" xr:uid="{00000000-0005-0000-0000-0000E9860000}"/>
    <cellStyle name="Normal 3 18 2 5" xfId="10530" xr:uid="{00000000-0005-0000-0000-0000EA860000}"/>
    <cellStyle name="Normal 3 18 2 5 2" xfId="26122" xr:uid="{00000000-0005-0000-0000-0000EB860000}"/>
    <cellStyle name="Normal 3 18 2 5 3" xfId="41614" xr:uid="{00000000-0005-0000-0000-0000EC860000}"/>
    <cellStyle name="Normal 3 18 2 6" xfId="18382" xr:uid="{00000000-0005-0000-0000-0000ED860000}"/>
    <cellStyle name="Normal 3 18 2 7" xfId="33874" xr:uid="{00000000-0005-0000-0000-0000EE860000}"/>
    <cellStyle name="Normal 3 18 3" xfId="3411" xr:uid="{00000000-0005-0000-0000-0000EF860000}"/>
    <cellStyle name="Normal 3 18 3 2" xfId="5350" xr:uid="{00000000-0005-0000-0000-0000F0860000}"/>
    <cellStyle name="Normal 3 18 3 2 2" xfId="9221" xr:uid="{00000000-0005-0000-0000-0000F1860000}"/>
    <cellStyle name="Normal 3 18 3 2 2 2" xfId="16966" xr:uid="{00000000-0005-0000-0000-0000F2860000}"/>
    <cellStyle name="Normal 3 18 3 2 2 2 2" xfId="32558" xr:uid="{00000000-0005-0000-0000-0000F3860000}"/>
    <cellStyle name="Normal 3 18 3 2 2 2 3" xfId="48050" xr:uid="{00000000-0005-0000-0000-0000F4860000}"/>
    <cellStyle name="Normal 3 18 3 2 2 3" xfId="24818" xr:uid="{00000000-0005-0000-0000-0000F5860000}"/>
    <cellStyle name="Normal 3 18 3 2 2 4" xfId="40310" xr:uid="{00000000-0005-0000-0000-0000F6860000}"/>
    <cellStyle name="Normal 3 18 3 2 3" xfId="13096" xr:uid="{00000000-0005-0000-0000-0000F7860000}"/>
    <cellStyle name="Normal 3 18 3 2 3 2" xfId="28688" xr:uid="{00000000-0005-0000-0000-0000F8860000}"/>
    <cellStyle name="Normal 3 18 3 2 3 3" xfId="44180" xr:uid="{00000000-0005-0000-0000-0000F9860000}"/>
    <cellStyle name="Normal 3 18 3 2 4" xfId="20948" xr:uid="{00000000-0005-0000-0000-0000FA860000}"/>
    <cellStyle name="Normal 3 18 3 2 5" xfId="36440" xr:uid="{00000000-0005-0000-0000-0000FB860000}"/>
    <cellStyle name="Normal 3 18 3 3" xfId="7294" xr:uid="{00000000-0005-0000-0000-0000FC860000}"/>
    <cellStyle name="Normal 3 18 3 3 2" xfId="15039" xr:uid="{00000000-0005-0000-0000-0000FD860000}"/>
    <cellStyle name="Normal 3 18 3 3 2 2" xfId="30631" xr:uid="{00000000-0005-0000-0000-0000FE860000}"/>
    <cellStyle name="Normal 3 18 3 3 2 3" xfId="46123" xr:uid="{00000000-0005-0000-0000-0000FF860000}"/>
    <cellStyle name="Normal 3 18 3 3 3" xfId="22891" xr:uid="{00000000-0005-0000-0000-000000870000}"/>
    <cellStyle name="Normal 3 18 3 3 4" xfId="38383" xr:uid="{00000000-0005-0000-0000-000001870000}"/>
    <cellStyle name="Normal 3 18 3 4" xfId="11169" xr:uid="{00000000-0005-0000-0000-000002870000}"/>
    <cellStyle name="Normal 3 18 3 4 2" xfId="26761" xr:uid="{00000000-0005-0000-0000-000003870000}"/>
    <cellStyle name="Normal 3 18 3 4 3" xfId="42253" xr:uid="{00000000-0005-0000-0000-000004870000}"/>
    <cellStyle name="Normal 3 18 3 5" xfId="19021" xr:uid="{00000000-0005-0000-0000-000005870000}"/>
    <cellStyle name="Normal 3 18 3 6" xfId="34513" xr:uid="{00000000-0005-0000-0000-000006870000}"/>
    <cellStyle name="Normal 3 18 4" xfId="4402" xr:uid="{00000000-0005-0000-0000-000007870000}"/>
    <cellStyle name="Normal 3 18 4 2" xfId="8273" xr:uid="{00000000-0005-0000-0000-000008870000}"/>
    <cellStyle name="Normal 3 18 4 2 2" xfId="16018" xr:uid="{00000000-0005-0000-0000-000009870000}"/>
    <cellStyle name="Normal 3 18 4 2 2 2" xfId="31610" xr:uid="{00000000-0005-0000-0000-00000A870000}"/>
    <cellStyle name="Normal 3 18 4 2 2 3" xfId="47102" xr:uid="{00000000-0005-0000-0000-00000B870000}"/>
    <cellStyle name="Normal 3 18 4 2 3" xfId="23870" xr:uid="{00000000-0005-0000-0000-00000C870000}"/>
    <cellStyle name="Normal 3 18 4 2 4" xfId="39362" xr:uid="{00000000-0005-0000-0000-00000D870000}"/>
    <cellStyle name="Normal 3 18 4 3" xfId="12148" xr:uid="{00000000-0005-0000-0000-00000E870000}"/>
    <cellStyle name="Normal 3 18 4 3 2" xfId="27740" xr:uid="{00000000-0005-0000-0000-00000F870000}"/>
    <cellStyle name="Normal 3 18 4 3 3" xfId="43232" xr:uid="{00000000-0005-0000-0000-000010870000}"/>
    <cellStyle name="Normal 3 18 4 4" xfId="20000" xr:uid="{00000000-0005-0000-0000-000011870000}"/>
    <cellStyle name="Normal 3 18 4 5" xfId="35492" xr:uid="{00000000-0005-0000-0000-000012870000}"/>
    <cellStyle name="Normal 3 18 5" xfId="6346" xr:uid="{00000000-0005-0000-0000-000013870000}"/>
    <cellStyle name="Normal 3 18 5 2" xfId="14091" xr:uid="{00000000-0005-0000-0000-000014870000}"/>
    <cellStyle name="Normal 3 18 5 2 2" xfId="29683" xr:uid="{00000000-0005-0000-0000-000015870000}"/>
    <cellStyle name="Normal 3 18 5 2 3" xfId="45175" xr:uid="{00000000-0005-0000-0000-000016870000}"/>
    <cellStyle name="Normal 3 18 5 3" xfId="21943" xr:uid="{00000000-0005-0000-0000-000017870000}"/>
    <cellStyle name="Normal 3 18 5 4" xfId="37435" xr:uid="{00000000-0005-0000-0000-000018870000}"/>
    <cellStyle name="Normal 3 18 6" xfId="10221" xr:uid="{00000000-0005-0000-0000-000019870000}"/>
    <cellStyle name="Normal 3 18 6 2" xfId="25813" xr:uid="{00000000-0005-0000-0000-00001A870000}"/>
    <cellStyle name="Normal 3 18 6 3" xfId="41305" xr:uid="{00000000-0005-0000-0000-00001B870000}"/>
    <cellStyle name="Normal 3 18 7" xfId="18073" xr:uid="{00000000-0005-0000-0000-00001C870000}"/>
    <cellStyle name="Normal 3 18 8" xfId="33565" xr:uid="{00000000-0005-0000-0000-00001D870000}"/>
    <cellStyle name="Normal 3 19" xfId="2438" xr:uid="{00000000-0005-0000-0000-00001E870000}"/>
    <cellStyle name="Normal 3 19 2" xfId="2748" xr:uid="{00000000-0005-0000-0000-00001F870000}"/>
    <cellStyle name="Normal 3 19 2 2" xfId="3756" xr:uid="{00000000-0005-0000-0000-000020870000}"/>
    <cellStyle name="Normal 3 19 2 2 2" xfId="5695" xr:uid="{00000000-0005-0000-0000-000021870000}"/>
    <cellStyle name="Normal 3 19 2 2 2 2" xfId="9566" xr:uid="{00000000-0005-0000-0000-000022870000}"/>
    <cellStyle name="Normal 3 19 2 2 2 2 2" xfId="17311" xr:uid="{00000000-0005-0000-0000-000023870000}"/>
    <cellStyle name="Normal 3 19 2 2 2 2 2 2" xfId="32903" xr:uid="{00000000-0005-0000-0000-000024870000}"/>
    <cellStyle name="Normal 3 19 2 2 2 2 2 3" xfId="48395" xr:uid="{00000000-0005-0000-0000-000025870000}"/>
    <cellStyle name="Normal 3 19 2 2 2 2 3" xfId="25163" xr:uid="{00000000-0005-0000-0000-000026870000}"/>
    <cellStyle name="Normal 3 19 2 2 2 2 4" xfId="40655" xr:uid="{00000000-0005-0000-0000-000027870000}"/>
    <cellStyle name="Normal 3 19 2 2 2 3" xfId="13441" xr:uid="{00000000-0005-0000-0000-000028870000}"/>
    <cellStyle name="Normal 3 19 2 2 2 3 2" xfId="29033" xr:uid="{00000000-0005-0000-0000-000029870000}"/>
    <cellStyle name="Normal 3 19 2 2 2 3 3" xfId="44525" xr:uid="{00000000-0005-0000-0000-00002A870000}"/>
    <cellStyle name="Normal 3 19 2 2 2 4" xfId="21293" xr:uid="{00000000-0005-0000-0000-00002B870000}"/>
    <cellStyle name="Normal 3 19 2 2 2 5" xfId="36785" xr:uid="{00000000-0005-0000-0000-00002C870000}"/>
    <cellStyle name="Normal 3 19 2 2 3" xfId="7639" xr:uid="{00000000-0005-0000-0000-00002D870000}"/>
    <cellStyle name="Normal 3 19 2 2 3 2" xfId="15384" xr:uid="{00000000-0005-0000-0000-00002E870000}"/>
    <cellStyle name="Normal 3 19 2 2 3 2 2" xfId="30976" xr:uid="{00000000-0005-0000-0000-00002F870000}"/>
    <cellStyle name="Normal 3 19 2 2 3 2 3" xfId="46468" xr:uid="{00000000-0005-0000-0000-000030870000}"/>
    <cellStyle name="Normal 3 19 2 2 3 3" xfId="23236" xr:uid="{00000000-0005-0000-0000-000031870000}"/>
    <cellStyle name="Normal 3 19 2 2 3 4" xfId="38728" xr:uid="{00000000-0005-0000-0000-000032870000}"/>
    <cellStyle name="Normal 3 19 2 2 4" xfId="11514" xr:uid="{00000000-0005-0000-0000-000033870000}"/>
    <cellStyle name="Normal 3 19 2 2 4 2" xfId="27106" xr:uid="{00000000-0005-0000-0000-000034870000}"/>
    <cellStyle name="Normal 3 19 2 2 4 3" xfId="42598" xr:uid="{00000000-0005-0000-0000-000035870000}"/>
    <cellStyle name="Normal 3 19 2 2 5" xfId="19366" xr:uid="{00000000-0005-0000-0000-000036870000}"/>
    <cellStyle name="Normal 3 19 2 2 6" xfId="34858" xr:uid="{00000000-0005-0000-0000-000037870000}"/>
    <cellStyle name="Normal 3 19 2 3" xfId="4747" xr:uid="{00000000-0005-0000-0000-000038870000}"/>
    <cellStyle name="Normal 3 19 2 3 2" xfId="8618" xr:uid="{00000000-0005-0000-0000-000039870000}"/>
    <cellStyle name="Normal 3 19 2 3 2 2" xfId="16363" xr:uid="{00000000-0005-0000-0000-00003A870000}"/>
    <cellStyle name="Normal 3 19 2 3 2 2 2" xfId="31955" xr:uid="{00000000-0005-0000-0000-00003B870000}"/>
    <cellStyle name="Normal 3 19 2 3 2 2 3" xfId="47447" xr:uid="{00000000-0005-0000-0000-00003C870000}"/>
    <cellStyle name="Normal 3 19 2 3 2 3" xfId="24215" xr:uid="{00000000-0005-0000-0000-00003D870000}"/>
    <cellStyle name="Normal 3 19 2 3 2 4" xfId="39707" xr:uid="{00000000-0005-0000-0000-00003E870000}"/>
    <cellStyle name="Normal 3 19 2 3 3" xfId="12493" xr:uid="{00000000-0005-0000-0000-00003F870000}"/>
    <cellStyle name="Normal 3 19 2 3 3 2" xfId="28085" xr:uid="{00000000-0005-0000-0000-000040870000}"/>
    <cellStyle name="Normal 3 19 2 3 3 3" xfId="43577" xr:uid="{00000000-0005-0000-0000-000041870000}"/>
    <cellStyle name="Normal 3 19 2 3 4" xfId="20345" xr:uid="{00000000-0005-0000-0000-000042870000}"/>
    <cellStyle name="Normal 3 19 2 3 5" xfId="35837" xr:uid="{00000000-0005-0000-0000-000043870000}"/>
    <cellStyle name="Normal 3 19 2 4" xfId="6691" xr:uid="{00000000-0005-0000-0000-000044870000}"/>
    <cellStyle name="Normal 3 19 2 4 2" xfId="14436" xr:uid="{00000000-0005-0000-0000-000045870000}"/>
    <cellStyle name="Normal 3 19 2 4 2 2" xfId="30028" xr:uid="{00000000-0005-0000-0000-000046870000}"/>
    <cellStyle name="Normal 3 19 2 4 2 3" xfId="45520" xr:uid="{00000000-0005-0000-0000-000047870000}"/>
    <cellStyle name="Normal 3 19 2 4 3" xfId="22288" xr:uid="{00000000-0005-0000-0000-000048870000}"/>
    <cellStyle name="Normal 3 19 2 4 4" xfId="37780" xr:uid="{00000000-0005-0000-0000-000049870000}"/>
    <cellStyle name="Normal 3 19 2 5" xfId="10566" xr:uid="{00000000-0005-0000-0000-00004A870000}"/>
    <cellStyle name="Normal 3 19 2 5 2" xfId="26158" xr:uid="{00000000-0005-0000-0000-00004B870000}"/>
    <cellStyle name="Normal 3 19 2 5 3" xfId="41650" xr:uid="{00000000-0005-0000-0000-00004C870000}"/>
    <cellStyle name="Normal 3 19 2 6" xfId="18418" xr:uid="{00000000-0005-0000-0000-00004D870000}"/>
    <cellStyle name="Normal 3 19 2 7" xfId="33910" xr:uid="{00000000-0005-0000-0000-00004E870000}"/>
    <cellStyle name="Normal 3 19 3" xfId="3447" xr:uid="{00000000-0005-0000-0000-00004F870000}"/>
    <cellStyle name="Normal 3 19 3 2" xfId="5386" xr:uid="{00000000-0005-0000-0000-000050870000}"/>
    <cellStyle name="Normal 3 19 3 2 2" xfId="9257" xr:uid="{00000000-0005-0000-0000-000051870000}"/>
    <cellStyle name="Normal 3 19 3 2 2 2" xfId="17002" xr:uid="{00000000-0005-0000-0000-000052870000}"/>
    <cellStyle name="Normal 3 19 3 2 2 2 2" xfId="32594" xr:uid="{00000000-0005-0000-0000-000053870000}"/>
    <cellStyle name="Normal 3 19 3 2 2 2 3" xfId="48086" xr:uid="{00000000-0005-0000-0000-000054870000}"/>
    <cellStyle name="Normal 3 19 3 2 2 3" xfId="24854" xr:uid="{00000000-0005-0000-0000-000055870000}"/>
    <cellStyle name="Normal 3 19 3 2 2 4" xfId="40346" xr:uid="{00000000-0005-0000-0000-000056870000}"/>
    <cellStyle name="Normal 3 19 3 2 3" xfId="13132" xr:uid="{00000000-0005-0000-0000-000057870000}"/>
    <cellStyle name="Normal 3 19 3 2 3 2" xfId="28724" xr:uid="{00000000-0005-0000-0000-000058870000}"/>
    <cellStyle name="Normal 3 19 3 2 3 3" xfId="44216" xr:uid="{00000000-0005-0000-0000-000059870000}"/>
    <cellStyle name="Normal 3 19 3 2 4" xfId="20984" xr:uid="{00000000-0005-0000-0000-00005A870000}"/>
    <cellStyle name="Normal 3 19 3 2 5" xfId="36476" xr:uid="{00000000-0005-0000-0000-00005B870000}"/>
    <cellStyle name="Normal 3 19 3 3" xfId="7330" xr:uid="{00000000-0005-0000-0000-00005C870000}"/>
    <cellStyle name="Normal 3 19 3 3 2" xfId="15075" xr:uid="{00000000-0005-0000-0000-00005D870000}"/>
    <cellStyle name="Normal 3 19 3 3 2 2" xfId="30667" xr:uid="{00000000-0005-0000-0000-00005E870000}"/>
    <cellStyle name="Normal 3 19 3 3 2 3" xfId="46159" xr:uid="{00000000-0005-0000-0000-00005F870000}"/>
    <cellStyle name="Normal 3 19 3 3 3" xfId="22927" xr:uid="{00000000-0005-0000-0000-000060870000}"/>
    <cellStyle name="Normal 3 19 3 3 4" xfId="38419" xr:uid="{00000000-0005-0000-0000-000061870000}"/>
    <cellStyle name="Normal 3 19 3 4" xfId="11205" xr:uid="{00000000-0005-0000-0000-000062870000}"/>
    <cellStyle name="Normal 3 19 3 4 2" xfId="26797" xr:uid="{00000000-0005-0000-0000-000063870000}"/>
    <cellStyle name="Normal 3 19 3 4 3" xfId="42289" xr:uid="{00000000-0005-0000-0000-000064870000}"/>
    <cellStyle name="Normal 3 19 3 5" xfId="19057" xr:uid="{00000000-0005-0000-0000-000065870000}"/>
    <cellStyle name="Normal 3 19 3 6" xfId="34549" xr:uid="{00000000-0005-0000-0000-000066870000}"/>
    <cellStyle name="Normal 3 19 4" xfId="4438" xr:uid="{00000000-0005-0000-0000-000067870000}"/>
    <cellStyle name="Normal 3 19 4 2" xfId="8309" xr:uid="{00000000-0005-0000-0000-000068870000}"/>
    <cellStyle name="Normal 3 19 4 2 2" xfId="16054" xr:uid="{00000000-0005-0000-0000-000069870000}"/>
    <cellStyle name="Normal 3 19 4 2 2 2" xfId="31646" xr:uid="{00000000-0005-0000-0000-00006A870000}"/>
    <cellStyle name="Normal 3 19 4 2 2 3" xfId="47138" xr:uid="{00000000-0005-0000-0000-00006B870000}"/>
    <cellStyle name="Normal 3 19 4 2 3" xfId="23906" xr:uid="{00000000-0005-0000-0000-00006C870000}"/>
    <cellStyle name="Normal 3 19 4 2 4" xfId="39398" xr:uid="{00000000-0005-0000-0000-00006D870000}"/>
    <cellStyle name="Normal 3 19 4 3" xfId="12184" xr:uid="{00000000-0005-0000-0000-00006E870000}"/>
    <cellStyle name="Normal 3 19 4 3 2" xfId="27776" xr:uid="{00000000-0005-0000-0000-00006F870000}"/>
    <cellStyle name="Normal 3 19 4 3 3" xfId="43268" xr:uid="{00000000-0005-0000-0000-000070870000}"/>
    <cellStyle name="Normal 3 19 4 4" xfId="20036" xr:uid="{00000000-0005-0000-0000-000071870000}"/>
    <cellStyle name="Normal 3 19 4 5" xfId="35528" xr:uid="{00000000-0005-0000-0000-000072870000}"/>
    <cellStyle name="Normal 3 19 5" xfId="6382" xr:uid="{00000000-0005-0000-0000-000073870000}"/>
    <cellStyle name="Normal 3 19 5 2" xfId="14127" xr:uid="{00000000-0005-0000-0000-000074870000}"/>
    <cellStyle name="Normal 3 19 5 2 2" xfId="29719" xr:uid="{00000000-0005-0000-0000-000075870000}"/>
    <cellStyle name="Normal 3 19 5 2 3" xfId="45211" xr:uid="{00000000-0005-0000-0000-000076870000}"/>
    <cellStyle name="Normal 3 19 5 3" xfId="21979" xr:uid="{00000000-0005-0000-0000-000077870000}"/>
    <cellStyle name="Normal 3 19 5 4" xfId="37471" xr:uid="{00000000-0005-0000-0000-000078870000}"/>
    <cellStyle name="Normal 3 19 6" xfId="10257" xr:uid="{00000000-0005-0000-0000-000079870000}"/>
    <cellStyle name="Normal 3 19 6 2" xfId="25849" xr:uid="{00000000-0005-0000-0000-00007A870000}"/>
    <cellStyle name="Normal 3 19 6 3" xfId="41341" xr:uid="{00000000-0005-0000-0000-00007B870000}"/>
    <cellStyle name="Normal 3 19 7" xfId="18109" xr:uid="{00000000-0005-0000-0000-00007C870000}"/>
    <cellStyle name="Normal 3 19 8" xfId="33601" xr:uid="{00000000-0005-0000-0000-00007D870000}"/>
    <cellStyle name="Normal 3 2" xfId="2007" xr:uid="{00000000-0005-0000-0000-00007E870000}"/>
    <cellStyle name="Normal 3 2 2" xfId="2008" xr:uid="{00000000-0005-0000-0000-00007F870000}"/>
    <cellStyle name="Normal 3 2 2 2" xfId="2009" xr:uid="{00000000-0005-0000-0000-000080870000}"/>
    <cellStyle name="Normal 3 2 2 2 2" xfId="48917" xr:uid="{00000000-0005-0000-0000-000081870000}"/>
    <cellStyle name="Normal 3 2 3" xfId="2010" xr:uid="{00000000-0005-0000-0000-000082870000}"/>
    <cellStyle name="Normal 3 20" xfId="2475" xr:uid="{00000000-0005-0000-0000-000083870000}"/>
    <cellStyle name="Normal 3 20 2" xfId="2784" xr:uid="{00000000-0005-0000-0000-000084870000}"/>
    <cellStyle name="Normal 3 20 2 2" xfId="3792" xr:uid="{00000000-0005-0000-0000-000085870000}"/>
    <cellStyle name="Normal 3 20 2 2 2" xfId="5731" xr:uid="{00000000-0005-0000-0000-000086870000}"/>
    <cellStyle name="Normal 3 20 2 2 2 2" xfId="9602" xr:uid="{00000000-0005-0000-0000-000087870000}"/>
    <cellStyle name="Normal 3 20 2 2 2 2 2" xfId="17347" xr:uid="{00000000-0005-0000-0000-000088870000}"/>
    <cellStyle name="Normal 3 20 2 2 2 2 2 2" xfId="32939" xr:uid="{00000000-0005-0000-0000-000089870000}"/>
    <cellStyle name="Normal 3 20 2 2 2 2 2 3" xfId="48431" xr:uid="{00000000-0005-0000-0000-00008A870000}"/>
    <cellStyle name="Normal 3 20 2 2 2 2 3" xfId="25199" xr:uid="{00000000-0005-0000-0000-00008B870000}"/>
    <cellStyle name="Normal 3 20 2 2 2 2 4" xfId="40691" xr:uid="{00000000-0005-0000-0000-00008C870000}"/>
    <cellStyle name="Normal 3 20 2 2 2 3" xfId="13477" xr:uid="{00000000-0005-0000-0000-00008D870000}"/>
    <cellStyle name="Normal 3 20 2 2 2 3 2" xfId="29069" xr:uid="{00000000-0005-0000-0000-00008E870000}"/>
    <cellStyle name="Normal 3 20 2 2 2 3 3" xfId="44561" xr:uid="{00000000-0005-0000-0000-00008F870000}"/>
    <cellStyle name="Normal 3 20 2 2 2 4" xfId="21329" xr:uid="{00000000-0005-0000-0000-000090870000}"/>
    <cellStyle name="Normal 3 20 2 2 2 5" xfId="36821" xr:uid="{00000000-0005-0000-0000-000091870000}"/>
    <cellStyle name="Normal 3 20 2 2 3" xfId="7675" xr:uid="{00000000-0005-0000-0000-000092870000}"/>
    <cellStyle name="Normal 3 20 2 2 3 2" xfId="15420" xr:uid="{00000000-0005-0000-0000-000093870000}"/>
    <cellStyle name="Normal 3 20 2 2 3 2 2" xfId="31012" xr:uid="{00000000-0005-0000-0000-000094870000}"/>
    <cellStyle name="Normal 3 20 2 2 3 2 3" xfId="46504" xr:uid="{00000000-0005-0000-0000-000095870000}"/>
    <cellStyle name="Normal 3 20 2 2 3 3" xfId="23272" xr:uid="{00000000-0005-0000-0000-000096870000}"/>
    <cellStyle name="Normal 3 20 2 2 3 4" xfId="38764" xr:uid="{00000000-0005-0000-0000-000097870000}"/>
    <cellStyle name="Normal 3 20 2 2 4" xfId="11550" xr:uid="{00000000-0005-0000-0000-000098870000}"/>
    <cellStyle name="Normal 3 20 2 2 4 2" xfId="27142" xr:uid="{00000000-0005-0000-0000-000099870000}"/>
    <cellStyle name="Normal 3 20 2 2 4 3" xfId="42634" xr:uid="{00000000-0005-0000-0000-00009A870000}"/>
    <cellStyle name="Normal 3 20 2 2 5" xfId="19402" xr:uid="{00000000-0005-0000-0000-00009B870000}"/>
    <cellStyle name="Normal 3 20 2 2 6" xfId="34894" xr:uid="{00000000-0005-0000-0000-00009C870000}"/>
    <cellStyle name="Normal 3 20 2 3" xfId="4783" xr:uid="{00000000-0005-0000-0000-00009D870000}"/>
    <cellStyle name="Normal 3 20 2 3 2" xfId="8654" xr:uid="{00000000-0005-0000-0000-00009E870000}"/>
    <cellStyle name="Normal 3 20 2 3 2 2" xfId="16399" xr:uid="{00000000-0005-0000-0000-00009F870000}"/>
    <cellStyle name="Normal 3 20 2 3 2 2 2" xfId="31991" xr:uid="{00000000-0005-0000-0000-0000A0870000}"/>
    <cellStyle name="Normal 3 20 2 3 2 2 3" xfId="47483" xr:uid="{00000000-0005-0000-0000-0000A1870000}"/>
    <cellStyle name="Normal 3 20 2 3 2 3" xfId="24251" xr:uid="{00000000-0005-0000-0000-0000A2870000}"/>
    <cellStyle name="Normal 3 20 2 3 2 4" xfId="39743" xr:uid="{00000000-0005-0000-0000-0000A3870000}"/>
    <cellStyle name="Normal 3 20 2 3 3" xfId="12529" xr:uid="{00000000-0005-0000-0000-0000A4870000}"/>
    <cellStyle name="Normal 3 20 2 3 3 2" xfId="28121" xr:uid="{00000000-0005-0000-0000-0000A5870000}"/>
    <cellStyle name="Normal 3 20 2 3 3 3" xfId="43613" xr:uid="{00000000-0005-0000-0000-0000A6870000}"/>
    <cellStyle name="Normal 3 20 2 3 4" xfId="20381" xr:uid="{00000000-0005-0000-0000-0000A7870000}"/>
    <cellStyle name="Normal 3 20 2 3 5" xfId="35873" xr:uid="{00000000-0005-0000-0000-0000A8870000}"/>
    <cellStyle name="Normal 3 20 2 4" xfId="6727" xr:uid="{00000000-0005-0000-0000-0000A9870000}"/>
    <cellStyle name="Normal 3 20 2 4 2" xfId="14472" xr:uid="{00000000-0005-0000-0000-0000AA870000}"/>
    <cellStyle name="Normal 3 20 2 4 2 2" xfId="30064" xr:uid="{00000000-0005-0000-0000-0000AB870000}"/>
    <cellStyle name="Normal 3 20 2 4 2 3" xfId="45556" xr:uid="{00000000-0005-0000-0000-0000AC870000}"/>
    <cellStyle name="Normal 3 20 2 4 3" xfId="22324" xr:uid="{00000000-0005-0000-0000-0000AD870000}"/>
    <cellStyle name="Normal 3 20 2 4 4" xfId="37816" xr:uid="{00000000-0005-0000-0000-0000AE870000}"/>
    <cellStyle name="Normal 3 20 2 5" xfId="10602" xr:uid="{00000000-0005-0000-0000-0000AF870000}"/>
    <cellStyle name="Normal 3 20 2 5 2" xfId="26194" xr:uid="{00000000-0005-0000-0000-0000B0870000}"/>
    <cellStyle name="Normal 3 20 2 5 3" xfId="41686" xr:uid="{00000000-0005-0000-0000-0000B1870000}"/>
    <cellStyle name="Normal 3 20 2 6" xfId="18454" xr:uid="{00000000-0005-0000-0000-0000B2870000}"/>
    <cellStyle name="Normal 3 20 2 7" xfId="33946" xr:uid="{00000000-0005-0000-0000-0000B3870000}"/>
    <cellStyle name="Normal 3 20 3" xfId="3483" xr:uid="{00000000-0005-0000-0000-0000B4870000}"/>
    <cellStyle name="Normal 3 20 3 2" xfId="5422" xr:uid="{00000000-0005-0000-0000-0000B5870000}"/>
    <cellStyle name="Normal 3 20 3 2 2" xfId="9293" xr:uid="{00000000-0005-0000-0000-0000B6870000}"/>
    <cellStyle name="Normal 3 20 3 2 2 2" xfId="17038" xr:uid="{00000000-0005-0000-0000-0000B7870000}"/>
    <cellStyle name="Normal 3 20 3 2 2 2 2" xfId="32630" xr:uid="{00000000-0005-0000-0000-0000B8870000}"/>
    <cellStyle name="Normal 3 20 3 2 2 2 3" xfId="48122" xr:uid="{00000000-0005-0000-0000-0000B9870000}"/>
    <cellStyle name="Normal 3 20 3 2 2 3" xfId="24890" xr:uid="{00000000-0005-0000-0000-0000BA870000}"/>
    <cellStyle name="Normal 3 20 3 2 2 4" xfId="40382" xr:uid="{00000000-0005-0000-0000-0000BB870000}"/>
    <cellStyle name="Normal 3 20 3 2 3" xfId="13168" xr:uid="{00000000-0005-0000-0000-0000BC870000}"/>
    <cellStyle name="Normal 3 20 3 2 3 2" xfId="28760" xr:uid="{00000000-0005-0000-0000-0000BD870000}"/>
    <cellStyle name="Normal 3 20 3 2 3 3" xfId="44252" xr:uid="{00000000-0005-0000-0000-0000BE870000}"/>
    <cellStyle name="Normal 3 20 3 2 4" xfId="21020" xr:uid="{00000000-0005-0000-0000-0000BF870000}"/>
    <cellStyle name="Normal 3 20 3 2 5" xfId="36512" xr:uid="{00000000-0005-0000-0000-0000C0870000}"/>
    <cellStyle name="Normal 3 20 3 3" xfId="7366" xr:uid="{00000000-0005-0000-0000-0000C1870000}"/>
    <cellStyle name="Normal 3 20 3 3 2" xfId="15111" xr:uid="{00000000-0005-0000-0000-0000C2870000}"/>
    <cellStyle name="Normal 3 20 3 3 2 2" xfId="30703" xr:uid="{00000000-0005-0000-0000-0000C3870000}"/>
    <cellStyle name="Normal 3 20 3 3 2 3" xfId="46195" xr:uid="{00000000-0005-0000-0000-0000C4870000}"/>
    <cellStyle name="Normal 3 20 3 3 3" xfId="22963" xr:uid="{00000000-0005-0000-0000-0000C5870000}"/>
    <cellStyle name="Normal 3 20 3 3 4" xfId="38455" xr:uid="{00000000-0005-0000-0000-0000C6870000}"/>
    <cellStyle name="Normal 3 20 3 4" xfId="11241" xr:uid="{00000000-0005-0000-0000-0000C7870000}"/>
    <cellStyle name="Normal 3 20 3 4 2" xfId="26833" xr:uid="{00000000-0005-0000-0000-0000C8870000}"/>
    <cellStyle name="Normal 3 20 3 4 3" xfId="42325" xr:uid="{00000000-0005-0000-0000-0000C9870000}"/>
    <cellStyle name="Normal 3 20 3 5" xfId="19093" xr:uid="{00000000-0005-0000-0000-0000CA870000}"/>
    <cellStyle name="Normal 3 20 3 6" xfId="34585" xr:uid="{00000000-0005-0000-0000-0000CB870000}"/>
    <cellStyle name="Normal 3 20 4" xfId="4474" xr:uid="{00000000-0005-0000-0000-0000CC870000}"/>
    <cellStyle name="Normal 3 20 4 2" xfId="8345" xr:uid="{00000000-0005-0000-0000-0000CD870000}"/>
    <cellStyle name="Normal 3 20 4 2 2" xfId="16090" xr:uid="{00000000-0005-0000-0000-0000CE870000}"/>
    <cellStyle name="Normal 3 20 4 2 2 2" xfId="31682" xr:uid="{00000000-0005-0000-0000-0000CF870000}"/>
    <cellStyle name="Normal 3 20 4 2 2 3" xfId="47174" xr:uid="{00000000-0005-0000-0000-0000D0870000}"/>
    <cellStyle name="Normal 3 20 4 2 3" xfId="23942" xr:uid="{00000000-0005-0000-0000-0000D1870000}"/>
    <cellStyle name="Normal 3 20 4 2 4" xfId="39434" xr:uid="{00000000-0005-0000-0000-0000D2870000}"/>
    <cellStyle name="Normal 3 20 4 3" xfId="12220" xr:uid="{00000000-0005-0000-0000-0000D3870000}"/>
    <cellStyle name="Normal 3 20 4 3 2" xfId="27812" xr:uid="{00000000-0005-0000-0000-0000D4870000}"/>
    <cellStyle name="Normal 3 20 4 3 3" xfId="43304" xr:uid="{00000000-0005-0000-0000-0000D5870000}"/>
    <cellStyle name="Normal 3 20 4 4" xfId="20072" xr:uid="{00000000-0005-0000-0000-0000D6870000}"/>
    <cellStyle name="Normal 3 20 4 5" xfId="35564" xr:uid="{00000000-0005-0000-0000-0000D7870000}"/>
    <cellStyle name="Normal 3 20 5" xfId="6418" xr:uid="{00000000-0005-0000-0000-0000D8870000}"/>
    <cellStyle name="Normal 3 20 5 2" xfId="14163" xr:uid="{00000000-0005-0000-0000-0000D9870000}"/>
    <cellStyle name="Normal 3 20 5 2 2" xfId="29755" xr:uid="{00000000-0005-0000-0000-0000DA870000}"/>
    <cellStyle name="Normal 3 20 5 2 3" xfId="45247" xr:uid="{00000000-0005-0000-0000-0000DB870000}"/>
    <cellStyle name="Normal 3 20 5 3" xfId="22015" xr:uid="{00000000-0005-0000-0000-0000DC870000}"/>
    <cellStyle name="Normal 3 20 5 4" xfId="37507" xr:uid="{00000000-0005-0000-0000-0000DD870000}"/>
    <cellStyle name="Normal 3 20 6" xfId="10293" xr:uid="{00000000-0005-0000-0000-0000DE870000}"/>
    <cellStyle name="Normal 3 20 6 2" xfId="25885" xr:uid="{00000000-0005-0000-0000-0000DF870000}"/>
    <cellStyle name="Normal 3 20 6 3" xfId="41377" xr:uid="{00000000-0005-0000-0000-0000E0870000}"/>
    <cellStyle name="Normal 3 20 7" xfId="18145" xr:uid="{00000000-0005-0000-0000-0000E1870000}"/>
    <cellStyle name="Normal 3 20 8" xfId="33637" xr:uid="{00000000-0005-0000-0000-0000E2870000}"/>
    <cellStyle name="Normal 3 21" xfId="2495" xr:uid="{00000000-0005-0000-0000-0000E3870000}"/>
    <cellStyle name="Normal 3 21 2" xfId="3503" xr:uid="{00000000-0005-0000-0000-0000E4870000}"/>
    <cellStyle name="Normal 3 21 2 2" xfId="5442" xr:uid="{00000000-0005-0000-0000-0000E5870000}"/>
    <cellStyle name="Normal 3 21 2 2 2" xfId="9313" xr:uid="{00000000-0005-0000-0000-0000E6870000}"/>
    <cellStyle name="Normal 3 21 2 2 2 2" xfId="17058" xr:uid="{00000000-0005-0000-0000-0000E7870000}"/>
    <cellStyle name="Normal 3 21 2 2 2 2 2" xfId="32650" xr:uid="{00000000-0005-0000-0000-0000E8870000}"/>
    <cellStyle name="Normal 3 21 2 2 2 2 3" xfId="48142" xr:uid="{00000000-0005-0000-0000-0000E9870000}"/>
    <cellStyle name="Normal 3 21 2 2 2 3" xfId="24910" xr:uid="{00000000-0005-0000-0000-0000EA870000}"/>
    <cellStyle name="Normal 3 21 2 2 2 4" xfId="40402" xr:uid="{00000000-0005-0000-0000-0000EB870000}"/>
    <cellStyle name="Normal 3 21 2 2 3" xfId="13188" xr:uid="{00000000-0005-0000-0000-0000EC870000}"/>
    <cellStyle name="Normal 3 21 2 2 3 2" xfId="28780" xr:uid="{00000000-0005-0000-0000-0000ED870000}"/>
    <cellStyle name="Normal 3 21 2 2 3 3" xfId="44272" xr:uid="{00000000-0005-0000-0000-0000EE870000}"/>
    <cellStyle name="Normal 3 21 2 2 4" xfId="21040" xr:uid="{00000000-0005-0000-0000-0000EF870000}"/>
    <cellStyle name="Normal 3 21 2 2 5" xfId="36532" xr:uid="{00000000-0005-0000-0000-0000F0870000}"/>
    <cellStyle name="Normal 3 21 2 3" xfId="7386" xr:uid="{00000000-0005-0000-0000-0000F1870000}"/>
    <cellStyle name="Normal 3 21 2 3 2" xfId="15131" xr:uid="{00000000-0005-0000-0000-0000F2870000}"/>
    <cellStyle name="Normal 3 21 2 3 2 2" xfId="30723" xr:uid="{00000000-0005-0000-0000-0000F3870000}"/>
    <cellStyle name="Normal 3 21 2 3 2 3" xfId="46215" xr:uid="{00000000-0005-0000-0000-0000F4870000}"/>
    <cellStyle name="Normal 3 21 2 3 3" xfId="22983" xr:uid="{00000000-0005-0000-0000-0000F5870000}"/>
    <cellStyle name="Normal 3 21 2 3 4" xfId="38475" xr:uid="{00000000-0005-0000-0000-0000F6870000}"/>
    <cellStyle name="Normal 3 21 2 4" xfId="11261" xr:uid="{00000000-0005-0000-0000-0000F7870000}"/>
    <cellStyle name="Normal 3 21 2 4 2" xfId="26853" xr:uid="{00000000-0005-0000-0000-0000F8870000}"/>
    <cellStyle name="Normal 3 21 2 4 3" xfId="42345" xr:uid="{00000000-0005-0000-0000-0000F9870000}"/>
    <cellStyle name="Normal 3 21 2 5" xfId="19113" xr:uid="{00000000-0005-0000-0000-0000FA870000}"/>
    <cellStyle name="Normal 3 21 2 6" xfId="34605" xr:uid="{00000000-0005-0000-0000-0000FB870000}"/>
    <cellStyle name="Normal 3 21 3" xfId="4494" xr:uid="{00000000-0005-0000-0000-0000FC870000}"/>
    <cellStyle name="Normal 3 21 3 2" xfId="8365" xr:uid="{00000000-0005-0000-0000-0000FD870000}"/>
    <cellStyle name="Normal 3 21 3 2 2" xfId="16110" xr:uid="{00000000-0005-0000-0000-0000FE870000}"/>
    <cellStyle name="Normal 3 21 3 2 2 2" xfId="31702" xr:uid="{00000000-0005-0000-0000-0000FF870000}"/>
    <cellStyle name="Normal 3 21 3 2 2 3" xfId="47194" xr:uid="{00000000-0005-0000-0000-000000880000}"/>
    <cellStyle name="Normal 3 21 3 2 3" xfId="23962" xr:uid="{00000000-0005-0000-0000-000001880000}"/>
    <cellStyle name="Normal 3 21 3 2 4" xfId="39454" xr:uid="{00000000-0005-0000-0000-000002880000}"/>
    <cellStyle name="Normal 3 21 3 3" xfId="12240" xr:uid="{00000000-0005-0000-0000-000003880000}"/>
    <cellStyle name="Normal 3 21 3 3 2" xfId="27832" xr:uid="{00000000-0005-0000-0000-000004880000}"/>
    <cellStyle name="Normal 3 21 3 3 3" xfId="43324" xr:uid="{00000000-0005-0000-0000-000005880000}"/>
    <cellStyle name="Normal 3 21 3 4" xfId="20092" xr:uid="{00000000-0005-0000-0000-000006880000}"/>
    <cellStyle name="Normal 3 21 3 5" xfId="35584" xr:uid="{00000000-0005-0000-0000-000007880000}"/>
    <cellStyle name="Normal 3 21 4" xfId="6438" xr:uid="{00000000-0005-0000-0000-000008880000}"/>
    <cellStyle name="Normal 3 21 4 2" xfId="14183" xr:uid="{00000000-0005-0000-0000-000009880000}"/>
    <cellStyle name="Normal 3 21 4 2 2" xfId="29775" xr:uid="{00000000-0005-0000-0000-00000A880000}"/>
    <cellStyle name="Normal 3 21 4 2 3" xfId="45267" xr:uid="{00000000-0005-0000-0000-00000B880000}"/>
    <cellStyle name="Normal 3 21 4 3" xfId="22035" xr:uid="{00000000-0005-0000-0000-00000C880000}"/>
    <cellStyle name="Normal 3 21 4 4" xfId="37527" xr:uid="{00000000-0005-0000-0000-00000D880000}"/>
    <cellStyle name="Normal 3 21 5" xfId="10313" xr:uid="{00000000-0005-0000-0000-00000E880000}"/>
    <cellStyle name="Normal 3 21 5 2" xfId="25905" xr:uid="{00000000-0005-0000-0000-00000F880000}"/>
    <cellStyle name="Normal 3 21 5 3" xfId="41397" xr:uid="{00000000-0005-0000-0000-000010880000}"/>
    <cellStyle name="Normal 3 21 6" xfId="18165" xr:uid="{00000000-0005-0000-0000-000011880000}"/>
    <cellStyle name="Normal 3 21 7" xfId="33657" xr:uid="{00000000-0005-0000-0000-000012880000}"/>
    <cellStyle name="Normal 3 22" xfId="2821" xr:uid="{00000000-0005-0000-0000-000013880000}"/>
    <cellStyle name="Normal 3 22 2" xfId="3828" xr:uid="{00000000-0005-0000-0000-000014880000}"/>
    <cellStyle name="Normal 3 22 2 2" xfId="5767" xr:uid="{00000000-0005-0000-0000-000015880000}"/>
    <cellStyle name="Normal 3 22 2 2 2" xfId="9638" xr:uid="{00000000-0005-0000-0000-000016880000}"/>
    <cellStyle name="Normal 3 22 2 2 2 2" xfId="17383" xr:uid="{00000000-0005-0000-0000-000017880000}"/>
    <cellStyle name="Normal 3 22 2 2 2 2 2" xfId="32975" xr:uid="{00000000-0005-0000-0000-000018880000}"/>
    <cellStyle name="Normal 3 22 2 2 2 2 3" xfId="48467" xr:uid="{00000000-0005-0000-0000-000019880000}"/>
    <cellStyle name="Normal 3 22 2 2 2 3" xfId="25235" xr:uid="{00000000-0005-0000-0000-00001A880000}"/>
    <cellStyle name="Normal 3 22 2 2 2 4" xfId="40727" xr:uid="{00000000-0005-0000-0000-00001B880000}"/>
    <cellStyle name="Normal 3 22 2 2 3" xfId="13513" xr:uid="{00000000-0005-0000-0000-00001C880000}"/>
    <cellStyle name="Normal 3 22 2 2 3 2" xfId="29105" xr:uid="{00000000-0005-0000-0000-00001D880000}"/>
    <cellStyle name="Normal 3 22 2 2 3 3" xfId="44597" xr:uid="{00000000-0005-0000-0000-00001E880000}"/>
    <cellStyle name="Normal 3 22 2 2 4" xfId="21365" xr:uid="{00000000-0005-0000-0000-00001F880000}"/>
    <cellStyle name="Normal 3 22 2 2 5" xfId="36857" xr:uid="{00000000-0005-0000-0000-000020880000}"/>
    <cellStyle name="Normal 3 22 2 3" xfId="7711" xr:uid="{00000000-0005-0000-0000-000021880000}"/>
    <cellStyle name="Normal 3 22 2 3 2" xfId="15456" xr:uid="{00000000-0005-0000-0000-000022880000}"/>
    <cellStyle name="Normal 3 22 2 3 2 2" xfId="31048" xr:uid="{00000000-0005-0000-0000-000023880000}"/>
    <cellStyle name="Normal 3 22 2 3 2 3" xfId="46540" xr:uid="{00000000-0005-0000-0000-000024880000}"/>
    <cellStyle name="Normal 3 22 2 3 3" xfId="23308" xr:uid="{00000000-0005-0000-0000-000025880000}"/>
    <cellStyle name="Normal 3 22 2 3 4" xfId="38800" xr:uid="{00000000-0005-0000-0000-000026880000}"/>
    <cellStyle name="Normal 3 22 2 4" xfId="11586" xr:uid="{00000000-0005-0000-0000-000027880000}"/>
    <cellStyle name="Normal 3 22 2 4 2" xfId="27178" xr:uid="{00000000-0005-0000-0000-000028880000}"/>
    <cellStyle name="Normal 3 22 2 4 3" xfId="42670" xr:uid="{00000000-0005-0000-0000-000029880000}"/>
    <cellStyle name="Normal 3 22 2 5" xfId="19438" xr:uid="{00000000-0005-0000-0000-00002A880000}"/>
    <cellStyle name="Normal 3 22 2 6" xfId="34930" xr:uid="{00000000-0005-0000-0000-00002B880000}"/>
    <cellStyle name="Normal 3 22 3" xfId="4819" xr:uid="{00000000-0005-0000-0000-00002C880000}"/>
    <cellStyle name="Normal 3 22 3 2" xfId="8690" xr:uid="{00000000-0005-0000-0000-00002D880000}"/>
    <cellStyle name="Normal 3 22 3 2 2" xfId="16435" xr:uid="{00000000-0005-0000-0000-00002E880000}"/>
    <cellStyle name="Normal 3 22 3 2 2 2" xfId="32027" xr:uid="{00000000-0005-0000-0000-00002F880000}"/>
    <cellStyle name="Normal 3 22 3 2 2 3" xfId="47519" xr:uid="{00000000-0005-0000-0000-000030880000}"/>
    <cellStyle name="Normal 3 22 3 2 3" xfId="24287" xr:uid="{00000000-0005-0000-0000-000031880000}"/>
    <cellStyle name="Normal 3 22 3 2 4" xfId="39779" xr:uid="{00000000-0005-0000-0000-000032880000}"/>
    <cellStyle name="Normal 3 22 3 3" xfId="12565" xr:uid="{00000000-0005-0000-0000-000033880000}"/>
    <cellStyle name="Normal 3 22 3 3 2" xfId="28157" xr:uid="{00000000-0005-0000-0000-000034880000}"/>
    <cellStyle name="Normal 3 22 3 3 3" xfId="43649" xr:uid="{00000000-0005-0000-0000-000035880000}"/>
    <cellStyle name="Normal 3 22 3 4" xfId="20417" xr:uid="{00000000-0005-0000-0000-000036880000}"/>
    <cellStyle name="Normal 3 22 3 5" xfId="35909" xr:uid="{00000000-0005-0000-0000-000037880000}"/>
    <cellStyle name="Normal 3 22 4" xfId="6763" xr:uid="{00000000-0005-0000-0000-000038880000}"/>
    <cellStyle name="Normal 3 22 4 2" xfId="14508" xr:uid="{00000000-0005-0000-0000-000039880000}"/>
    <cellStyle name="Normal 3 22 4 2 2" xfId="30100" xr:uid="{00000000-0005-0000-0000-00003A880000}"/>
    <cellStyle name="Normal 3 22 4 2 3" xfId="45592" xr:uid="{00000000-0005-0000-0000-00003B880000}"/>
    <cellStyle name="Normal 3 22 4 3" xfId="22360" xr:uid="{00000000-0005-0000-0000-00003C880000}"/>
    <cellStyle name="Normal 3 22 4 4" xfId="37852" xr:uid="{00000000-0005-0000-0000-00003D880000}"/>
    <cellStyle name="Normal 3 22 5" xfId="10638" xr:uid="{00000000-0005-0000-0000-00003E880000}"/>
    <cellStyle name="Normal 3 22 5 2" xfId="26230" xr:uid="{00000000-0005-0000-0000-00003F880000}"/>
    <cellStyle name="Normal 3 22 5 3" xfId="41722" xr:uid="{00000000-0005-0000-0000-000040880000}"/>
    <cellStyle name="Normal 3 22 6" xfId="18490" xr:uid="{00000000-0005-0000-0000-000041880000}"/>
    <cellStyle name="Normal 3 22 7" xfId="33982" xr:uid="{00000000-0005-0000-0000-000042880000}"/>
    <cellStyle name="Normal 3 23" xfId="2860" xr:uid="{00000000-0005-0000-0000-000043880000}"/>
    <cellStyle name="Normal 3 23 2" xfId="3866" xr:uid="{00000000-0005-0000-0000-000044880000}"/>
    <cellStyle name="Normal 3 23 2 2" xfId="5805" xr:uid="{00000000-0005-0000-0000-000045880000}"/>
    <cellStyle name="Normal 3 23 2 2 2" xfId="9676" xr:uid="{00000000-0005-0000-0000-000046880000}"/>
    <cellStyle name="Normal 3 23 2 2 2 2" xfId="17421" xr:uid="{00000000-0005-0000-0000-000047880000}"/>
    <cellStyle name="Normal 3 23 2 2 2 2 2" xfId="33013" xr:uid="{00000000-0005-0000-0000-000048880000}"/>
    <cellStyle name="Normal 3 23 2 2 2 2 3" xfId="48505" xr:uid="{00000000-0005-0000-0000-000049880000}"/>
    <cellStyle name="Normal 3 23 2 2 2 3" xfId="25273" xr:uid="{00000000-0005-0000-0000-00004A880000}"/>
    <cellStyle name="Normal 3 23 2 2 2 4" xfId="40765" xr:uid="{00000000-0005-0000-0000-00004B880000}"/>
    <cellStyle name="Normal 3 23 2 2 3" xfId="13551" xr:uid="{00000000-0005-0000-0000-00004C880000}"/>
    <cellStyle name="Normal 3 23 2 2 3 2" xfId="29143" xr:uid="{00000000-0005-0000-0000-00004D880000}"/>
    <cellStyle name="Normal 3 23 2 2 3 3" xfId="44635" xr:uid="{00000000-0005-0000-0000-00004E880000}"/>
    <cellStyle name="Normal 3 23 2 2 4" xfId="21403" xr:uid="{00000000-0005-0000-0000-00004F880000}"/>
    <cellStyle name="Normal 3 23 2 2 5" xfId="36895" xr:uid="{00000000-0005-0000-0000-000050880000}"/>
    <cellStyle name="Normal 3 23 2 3" xfId="7749" xr:uid="{00000000-0005-0000-0000-000051880000}"/>
    <cellStyle name="Normal 3 23 2 3 2" xfId="15494" xr:uid="{00000000-0005-0000-0000-000052880000}"/>
    <cellStyle name="Normal 3 23 2 3 2 2" xfId="31086" xr:uid="{00000000-0005-0000-0000-000053880000}"/>
    <cellStyle name="Normal 3 23 2 3 2 3" xfId="46578" xr:uid="{00000000-0005-0000-0000-000054880000}"/>
    <cellStyle name="Normal 3 23 2 3 3" xfId="23346" xr:uid="{00000000-0005-0000-0000-000055880000}"/>
    <cellStyle name="Normal 3 23 2 3 4" xfId="38838" xr:uid="{00000000-0005-0000-0000-000056880000}"/>
    <cellStyle name="Normal 3 23 2 4" xfId="11624" xr:uid="{00000000-0005-0000-0000-000057880000}"/>
    <cellStyle name="Normal 3 23 2 4 2" xfId="27216" xr:uid="{00000000-0005-0000-0000-000058880000}"/>
    <cellStyle name="Normal 3 23 2 4 3" xfId="42708" xr:uid="{00000000-0005-0000-0000-000059880000}"/>
    <cellStyle name="Normal 3 23 2 5" xfId="19476" xr:uid="{00000000-0005-0000-0000-00005A880000}"/>
    <cellStyle name="Normal 3 23 2 6" xfId="34968" xr:uid="{00000000-0005-0000-0000-00005B880000}"/>
    <cellStyle name="Normal 3 23 3" xfId="4857" xr:uid="{00000000-0005-0000-0000-00005C880000}"/>
    <cellStyle name="Normal 3 23 3 2" xfId="8728" xr:uid="{00000000-0005-0000-0000-00005D880000}"/>
    <cellStyle name="Normal 3 23 3 2 2" xfId="16473" xr:uid="{00000000-0005-0000-0000-00005E880000}"/>
    <cellStyle name="Normal 3 23 3 2 2 2" xfId="32065" xr:uid="{00000000-0005-0000-0000-00005F880000}"/>
    <cellStyle name="Normal 3 23 3 2 2 3" xfId="47557" xr:uid="{00000000-0005-0000-0000-000060880000}"/>
    <cellStyle name="Normal 3 23 3 2 3" xfId="24325" xr:uid="{00000000-0005-0000-0000-000061880000}"/>
    <cellStyle name="Normal 3 23 3 2 4" xfId="39817" xr:uid="{00000000-0005-0000-0000-000062880000}"/>
    <cellStyle name="Normal 3 23 3 3" xfId="12603" xr:uid="{00000000-0005-0000-0000-000063880000}"/>
    <cellStyle name="Normal 3 23 3 3 2" xfId="28195" xr:uid="{00000000-0005-0000-0000-000064880000}"/>
    <cellStyle name="Normal 3 23 3 3 3" xfId="43687" xr:uid="{00000000-0005-0000-0000-000065880000}"/>
    <cellStyle name="Normal 3 23 3 4" xfId="20455" xr:uid="{00000000-0005-0000-0000-000066880000}"/>
    <cellStyle name="Normal 3 23 3 5" xfId="35947" xr:uid="{00000000-0005-0000-0000-000067880000}"/>
    <cellStyle name="Normal 3 23 4" xfId="6801" xr:uid="{00000000-0005-0000-0000-000068880000}"/>
    <cellStyle name="Normal 3 23 4 2" xfId="14546" xr:uid="{00000000-0005-0000-0000-000069880000}"/>
    <cellStyle name="Normal 3 23 4 2 2" xfId="30138" xr:uid="{00000000-0005-0000-0000-00006A880000}"/>
    <cellStyle name="Normal 3 23 4 2 3" xfId="45630" xr:uid="{00000000-0005-0000-0000-00006B880000}"/>
    <cellStyle name="Normal 3 23 4 3" xfId="22398" xr:uid="{00000000-0005-0000-0000-00006C880000}"/>
    <cellStyle name="Normal 3 23 4 4" xfId="37890" xr:uid="{00000000-0005-0000-0000-00006D880000}"/>
    <cellStyle name="Normal 3 23 5" xfId="10676" xr:uid="{00000000-0005-0000-0000-00006E880000}"/>
    <cellStyle name="Normal 3 23 5 2" xfId="26268" xr:uid="{00000000-0005-0000-0000-00006F880000}"/>
    <cellStyle name="Normal 3 23 5 3" xfId="41760" xr:uid="{00000000-0005-0000-0000-000070880000}"/>
    <cellStyle name="Normal 3 23 6" xfId="18528" xr:uid="{00000000-0005-0000-0000-000071880000}"/>
    <cellStyle name="Normal 3 23 7" xfId="34020" xr:uid="{00000000-0005-0000-0000-000072880000}"/>
    <cellStyle name="Normal 3 24" xfId="2897" xr:uid="{00000000-0005-0000-0000-000073880000}"/>
    <cellStyle name="Normal 3 24 2" xfId="3902" xr:uid="{00000000-0005-0000-0000-000074880000}"/>
    <cellStyle name="Normal 3 24 2 2" xfId="5841" xr:uid="{00000000-0005-0000-0000-000075880000}"/>
    <cellStyle name="Normal 3 24 2 2 2" xfId="9712" xr:uid="{00000000-0005-0000-0000-000076880000}"/>
    <cellStyle name="Normal 3 24 2 2 2 2" xfId="17457" xr:uid="{00000000-0005-0000-0000-000077880000}"/>
    <cellStyle name="Normal 3 24 2 2 2 2 2" xfId="33049" xr:uid="{00000000-0005-0000-0000-000078880000}"/>
    <cellStyle name="Normal 3 24 2 2 2 2 3" xfId="48541" xr:uid="{00000000-0005-0000-0000-000079880000}"/>
    <cellStyle name="Normal 3 24 2 2 2 3" xfId="25309" xr:uid="{00000000-0005-0000-0000-00007A880000}"/>
    <cellStyle name="Normal 3 24 2 2 2 4" xfId="40801" xr:uid="{00000000-0005-0000-0000-00007B880000}"/>
    <cellStyle name="Normal 3 24 2 2 3" xfId="13587" xr:uid="{00000000-0005-0000-0000-00007C880000}"/>
    <cellStyle name="Normal 3 24 2 2 3 2" xfId="29179" xr:uid="{00000000-0005-0000-0000-00007D880000}"/>
    <cellStyle name="Normal 3 24 2 2 3 3" xfId="44671" xr:uid="{00000000-0005-0000-0000-00007E880000}"/>
    <cellStyle name="Normal 3 24 2 2 4" xfId="21439" xr:uid="{00000000-0005-0000-0000-00007F880000}"/>
    <cellStyle name="Normal 3 24 2 2 5" xfId="36931" xr:uid="{00000000-0005-0000-0000-000080880000}"/>
    <cellStyle name="Normal 3 24 2 3" xfId="7785" xr:uid="{00000000-0005-0000-0000-000081880000}"/>
    <cellStyle name="Normal 3 24 2 3 2" xfId="15530" xr:uid="{00000000-0005-0000-0000-000082880000}"/>
    <cellStyle name="Normal 3 24 2 3 2 2" xfId="31122" xr:uid="{00000000-0005-0000-0000-000083880000}"/>
    <cellStyle name="Normal 3 24 2 3 2 3" xfId="46614" xr:uid="{00000000-0005-0000-0000-000084880000}"/>
    <cellStyle name="Normal 3 24 2 3 3" xfId="23382" xr:uid="{00000000-0005-0000-0000-000085880000}"/>
    <cellStyle name="Normal 3 24 2 3 4" xfId="38874" xr:uid="{00000000-0005-0000-0000-000086880000}"/>
    <cellStyle name="Normal 3 24 2 4" xfId="11660" xr:uid="{00000000-0005-0000-0000-000087880000}"/>
    <cellStyle name="Normal 3 24 2 4 2" xfId="27252" xr:uid="{00000000-0005-0000-0000-000088880000}"/>
    <cellStyle name="Normal 3 24 2 4 3" xfId="42744" xr:uid="{00000000-0005-0000-0000-000089880000}"/>
    <cellStyle name="Normal 3 24 2 5" xfId="19512" xr:uid="{00000000-0005-0000-0000-00008A880000}"/>
    <cellStyle name="Normal 3 24 2 6" xfId="35004" xr:uid="{00000000-0005-0000-0000-00008B880000}"/>
    <cellStyle name="Normal 3 24 3" xfId="4893" xr:uid="{00000000-0005-0000-0000-00008C880000}"/>
    <cellStyle name="Normal 3 24 3 2" xfId="8764" xr:uid="{00000000-0005-0000-0000-00008D880000}"/>
    <cellStyle name="Normal 3 24 3 2 2" xfId="16509" xr:uid="{00000000-0005-0000-0000-00008E880000}"/>
    <cellStyle name="Normal 3 24 3 2 2 2" xfId="32101" xr:uid="{00000000-0005-0000-0000-00008F880000}"/>
    <cellStyle name="Normal 3 24 3 2 2 3" xfId="47593" xr:uid="{00000000-0005-0000-0000-000090880000}"/>
    <cellStyle name="Normal 3 24 3 2 3" xfId="24361" xr:uid="{00000000-0005-0000-0000-000091880000}"/>
    <cellStyle name="Normal 3 24 3 2 4" xfId="39853" xr:uid="{00000000-0005-0000-0000-000092880000}"/>
    <cellStyle name="Normal 3 24 3 3" xfId="12639" xr:uid="{00000000-0005-0000-0000-000093880000}"/>
    <cellStyle name="Normal 3 24 3 3 2" xfId="28231" xr:uid="{00000000-0005-0000-0000-000094880000}"/>
    <cellStyle name="Normal 3 24 3 3 3" xfId="43723" xr:uid="{00000000-0005-0000-0000-000095880000}"/>
    <cellStyle name="Normal 3 24 3 4" xfId="20491" xr:uid="{00000000-0005-0000-0000-000096880000}"/>
    <cellStyle name="Normal 3 24 3 5" xfId="35983" xr:uid="{00000000-0005-0000-0000-000097880000}"/>
    <cellStyle name="Normal 3 24 4" xfId="6837" xr:uid="{00000000-0005-0000-0000-000098880000}"/>
    <cellStyle name="Normal 3 24 4 2" xfId="14582" xr:uid="{00000000-0005-0000-0000-000099880000}"/>
    <cellStyle name="Normal 3 24 4 2 2" xfId="30174" xr:uid="{00000000-0005-0000-0000-00009A880000}"/>
    <cellStyle name="Normal 3 24 4 2 3" xfId="45666" xr:uid="{00000000-0005-0000-0000-00009B880000}"/>
    <cellStyle name="Normal 3 24 4 3" xfId="22434" xr:uid="{00000000-0005-0000-0000-00009C880000}"/>
    <cellStyle name="Normal 3 24 4 4" xfId="37926" xr:uid="{00000000-0005-0000-0000-00009D880000}"/>
    <cellStyle name="Normal 3 24 5" xfId="10712" xr:uid="{00000000-0005-0000-0000-00009E880000}"/>
    <cellStyle name="Normal 3 24 5 2" xfId="26304" xr:uid="{00000000-0005-0000-0000-00009F880000}"/>
    <cellStyle name="Normal 3 24 5 3" xfId="41796" xr:uid="{00000000-0005-0000-0000-0000A0880000}"/>
    <cellStyle name="Normal 3 24 6" xfId="18564" xr:uid="{00000000-0005-0000-0000-0000A1880000}"/>
    <cellStyle name="Normal 3 24 7" xfId="34056" xr:uid="{00000000-0005-0000-0000-0000A2880000}"/>
    <cellStyle name="Normal 3 25" xfId="2934" xr:uid="{00000000-0005-0000-0000-0000A3880000}"/>
    <cellStyle name="Normal 3 25 2" xfId="3938" xr:uid="{00000000-0005-0000-0000-0000A4880000}"/>
    <cellStyle name="Normal 3 25 2 2" xfId="5877" xr:uid="{00000000-0005-0000-0000-0000A5880000}"/>
    <cellStyle name="Normal 3 25 2 2 2" xfId="9748" xr:uid="{00000000-0005-0000-0000-0000A6880000}"/>
    <cellStyle name="Normal 3 25 2 2 2 2" xfId="17493" xr:uid="{00000000-0005-0000-0000-0000A7880000}"/>
    <cellStyle name="Normal 3 25 2 2 2 2 2" xfId="33085" xr:uid="{00000000-0005-0000-0000-0000A8880000}"/>
    <cellStyle name="Normal 3 25 2 2 2 2 3" xfId="48577" xr:uid="{00000000-0005-0000-0000-0000A9880000}"/>
    <cellStyle name="Normal 3 25 2 2 2 3" xfId="25345" xr:uid="{00000000-0005-0000-0000-0000AA880000}"/>
    <cellStyle name="Normal 3 25 2 2 2 4" xfId="40837" xr:uid="{00000000-0005-0000-0000-0000AB880000}"/>
    <cellStyle name="Normal 3 25 2 2 3" xfId="13623" xr:uid="{00000000-0005-0000-0000-0000AC880000}"/>
    <cellStyle name="Normal 3 25 2 2 3 2" xfId="29215" xr:uid="{00000000-0005-0000-0000-0000AD880000}"/>
    <cellStyle name="Normal 3 25 2 2 3 3" xfId="44707" xr:uid="{00000000-0005-0000-0000-0000AE880000}"/>
    <cellStyle name="Normal 3 25 2 2 4" xfId="21475" xr:uid="{00000000-0005-0000-0000-0000AF880000}"/>
    <cellStyle name="Normal 3 25 2 2 5" xfId="36967" xr:uid="{00000000-0005-0000-0000-0000B0880000}"/>
    <cellStyle name="Normal 3 25 2 3" xfId="7821" xr:uid="{00000000-0005-0000-0000-0000B1880000}"/>
    <cellStyle name="Normal 3 25 2 3 2" xfId="15566" xr:uid="{00000000-0005-0000-0000-0000B2880000}"/>
    <cellStyle name="Normal 3 25 2 3 2 2" xfId="31158" xr:uid="{00000000-0005-0000-0000-0000B3880000}"/>
    <cellStyle name="Normal 3 25 2 3 2 3" xfId="46650" xr:uid="{00000000-0005-0000-0000-0000B4880000}"/>
    <cellStyle name="Normal 3 25 2 3 3" xfId="23418" xr:uid="{00000000-0005-0000-0000-0000B5880000}"/>
    <cellStyle name="Normal 3 25 2 3 4" xfId="38910" xr:uid="{00000000-0005-0000-0000-0000B6880000}"/>
    <cellStyle name="Normal 3 25 2 4" xfId="11696" xr:uid="{00000000-0005-0000-0000-0000B7880000}"/>
    <cellStyle name="Normal 3 25 2 4 2" xfId="27288" xr:uid="{00000000-0005-0000-0000-0000B8880000}"/>
    <cellStyle name="Normal 3 25 2 4 3" xfId="42780" xr:uid="{00000000-0005-0000-0000-0000B9880000}"/>
    <cellStyle name="Normal 3 25 2 5" xfId="19548" xr:uid="{00000000-0005-0000-0000-0000BA880000}"/>
    <cellStyle name="Normal 3 25 2 6" xfId="35040" xr:uid="{00000000-0005-0000-0000-0000BB880000}"/>
    <cellStyle name="Normal 3 25 3" xfId="4929" xr:uid="{00000000-0005-0000-0000-0000BC880000}"/>
    <cellStyle name="Normal 3 25 3 2" xfId="8800" xr:uid="{00000000-0005-0000-0000-0000BD880000}"/>
    <cellStyle name="Normal 3 25 3 2 2" xfId="16545" xr:uid="{00000000-0005-0000-0000-0000BE880000}"/>
    <cellStyle name="Normal 3 25 3 2 2 2" xfId="32137" xr:uid="{00000000-0005-0000-0000-0000BF880000}"/>
    <cellStyle name="Normal 3 25 3 2 2 3" xfId="47629" xr:uid="{00000000-0005-0000-0000-0000C0880000}"/>
    <cellStyle name="Normal 3 25 3 2 3" xfId="24397" xr:uid="{00000000-0005-0000-0000-0000C1880000}"/>
    <cellStyle name="Normal 3 25 3 2 4" xfId="39889" xr:uid="{00000000-0005-0000-0000-0000C2880000}"/>
    <cellStyle name="Normal 3 25 3 3" xfId="12675" xr:uid="{00000000-0005-0000-0000-0000C3880000}"/>
    <cellStyle name="Normal 3 25 3 3 2" xfId="28267" xr:uid="{00000000-0005-0000-0000-0000C4880000}"/>
    <cellStyle name="Normal 3 25 3 3 3" xfId="43759" xr:uid="{00000000-0005-0000-0000-0000C5880000}"/>
    <cellStyle name="Normal 3 25 3 4" xfId="20527" xr:uid="{00000000-0005-0000-0000-0000C6880000}"/>
    <cellStyle name="Normal 3 25 3 5" xfId="36019" xr:uid="{00000000-0005-0000-0000-0000C7880000}"/>
    <cellStyle name="Normal 3 25 4" xfId="6873" xr:uid="{00000000-0005-0000-0000-0000C8880000}"/>
    <cellStyle name="Normal 3 25 4 2" xfId="14618" xr:uid="{00000000-0005-0000-0000-0000C9880000}"/>
    <cellStyle name="Normal 3 25 4 2 2" xfId="30210" xr:uid="{00000000-0005-0000-0000-0000CA880000}"/>
    <cellStyle name="Normal 3 25 4 2 3" xfId="45702" xr:uid="{00000000-0005-0000-0000-0000CB880000}"/>
    <cellStyle name="Normal 3 25 4 3" xfId="22470" xr:uid="{00000000-0005-0000-0000-0000CC880000}"/>
    <cellStyle name="Normal 3 25 4 4" xfId="37962" xr:uid="{00000000-0005-0000-0000-0000CD880000}"/>
    <cellStyle name="Normal 3 25 5" xfId="10748" xr:uid="{00000000-0005-0000-0000-0000CE880000}"/>
    <cellStyle name="Normal 3 25 5 2" xfId="26340" xr:uid="{00000000-0005-0000-0000-0000CF880000}"/>
    <cellStyle name="Normal 3 25 5 3" xfId="41832" xr:uid="{00000000-0005-0000-0000-0000D0880000}"/>
    <cellStyle name="Normal 3 25 6" xfId="18600" xr:uid="{00000000-0005-0000-0000-0000D1880000}"/>
    <cellStyle name="Normal 3 25 7" xfId="34092" xr:uid="{00000000-0005-0000-0000-0000D2880000}"/>
    <cellStyle name="Normal 3 26" xfId="2973" xr:uid="{00000000-0005-0000-0000-0000D3880000}"/>
    <cellStyle name="Normal 3 26 2" xfId="3974" xr:uid="{00000000-0005-0000-0000-0000D4880000}"/>
    <cellStyle name="Normal 3 26 2 2" xfId="5913" xr:uid="{00000000-0005-0000-0000-0000D5880000}"/>
    <cellStyle name="Normal 3 26 2 2 2" xfId="9784" xr:uid="{00000000-0005-0000-0000-0000D6880000}"/>
    <cellStyle name="Normal 3 26 2 2 2 2" xfId="17529" xr:uid="{00000000-0005-0000-0000-0000D7880000}"/>
    <cellStyle name="Normal 3 26 2 2 2 2 2" xfId="33121" xr:uid="{00000000-0005-0000-0000-0000D8880000}"/>
    <cellStyle name="Normal 3 26 2 2 2 2 3" xfId="48613" xr:uid="{00000000-0005-0000-0000-0000D9880000}"/>
    <cellStyle name="Normal 3 26 2 2 2 3" xfId="25381" xr:uid="{00000000-0005-0000-0000-0000DA880000}"/>
    <cellStyle name="Normal 3 26 2 2 2 4" xfId="40873" xr:uid="{00000000-0005-0000-0000-0000DB880000}"/>
    <cellStyle name="Normal 3 26 2 2 3" xfId="13659" xr:uid="{00000000-0005-0000-0000-0000DC880000}"/>
    <cellStyle name="Normal 3 26 2 2 3 2" xfId="29251" xr:uid="{00000000-0005-0000-0000-0000DD880000}"/>
    <cellStyle name="Normal 3 26 2 2 3 3" xfId="44743" xr:uid="{00000000-0005-0000-0000-0000DE880000}"/>
    <cellStyle name="Normal 3 26 2 2 4" xfId="21511" xr:uid="{00000000-0005-0000-0000-0000DF880000}"/>
    <cellStyle name="Normal 3 26 2 2 5" xfId="37003" xr:uid="{00000000-0005-0000-0000-0000E0880000}"/>
    <cellStyle name="Normal 3 26 2 3" xfId="7857" xr:uid="{00000000-0005-0000-0000-0000E1880000}"/>
    <cellStyle name="Normal 3 26 2 3 2" xfId="15602" xr:uid="{00000000-0005-0000-0000-0000E2880000}"/>
    <cellStyle name="Normal 3 26 2 3 2 2" xfId="31194" xr:uid="{00000000-0005-0000-0000-0000E3880000}"/>
    <cellStyle name="Normal 3 26 2 3 2 3" xfId="46686" xr:uid="{00000000-0005-0000-0000-0000E4880000}"/>
    <cellStyle name="Normal 3 26 2 3 3" xfId="23454" xr:uid="{00000000-0005-0000-0000-0000E5880000}"/>
    <cellStyle name="Normal 3 26 2 3 4" xfId="38946" xr:uid="{00000000-0005-0000-0000-0000E6880000}"/>
    <cellStyle name="Normal 3 26 2 4" xfId="11732" xr:uid="{00000000-0005-0000-0000-0000E7880000}"/>
    <cellStyle name="Normal 3 26 2 4 2" xfId="27324" xr:uid="{00000000-0005-0000-0000-0000E8880000}"/>
    <cellStyle name="Normal 3 26 2 4 3" xfId="42816" xr:uid="{00000000-0005-0000-0000-0000E9880000}"/>
    <cellStyle name="Normal 3 26 2 5" xfId="19584" xr:uid="{00000000-0005-0000-0000-0000EA880000}"/>
    <cellStyle name="Normal 3 26 2 6" xfId="35076" xr:uid="{00000000-0005-0000-0000-0000EB880000}"/>
    <cellStyle name="Normal 3 26 3" xfId="4965" xr:uid="{00000000-0005-0000-0000-0000EC880000}"/>
    <cellStyle name="Normal 3 26 3 2" xfId="8836" xr:uid="{00000000-0005-0000-0000-0000ED880000}"/>
    <cellStyle name="Normal 3 26 3 2 2" xfId="16581" xr:uid="{00000000-0005-0000-0000-0000EE880000}"/>
    <cellStyle name="Normal 3 26 3 2 2 2" xfId="32173" xr:uid="{00000000-0005-0000-0000-0000EF880000}"/>
    <cellStyle name="Normal 3 26 3 2 2 3" xfId="47665" xr:uid="{00000000-0005-0000-0000-0000F0880000}"/>
    <cellStyle name="Normal 3 26 3 2 3" xfId="24433" xr:uid="{00000000-0005-0000-0000-0000F1880000}"/>
    <cellStyle name="Normal 3 26 3 2 4" xfId="39925" xr:uid="{00000000-0005-0000-0000-0000F2880000}"/>
    <cellStyle name="Normal 3 26 3 3" xfId="12711" xr:uid="{00000000-0005-0000-0000-0000F3880000}"/>
    <cellStyle name="Normal 3 26 3 3 2" xfId="28303" xr:uid="{00000000-0005-0000-0000-0000F4880000}"/>
    <cellStyle name="Normal 3 26 3 3 3" xfId="43795" xr:uid="{00000000-0005-0000-0000-0000F5880000}"/>
    <cellStyle name="Normal 3 26 3 4" xfId="20563" xr:uid="{00000000-0005-0000-0000-0000F6880000}"/>
    <cellStyle name="Normal 3 26 3 5" xfId="36055" xr:uid="{00000000-0005-0000-0000-0000F7880000}"/>
    <cellStyle name="Normal 3 26 4" xfId="6909" xr:uid="{00000000-0005-0000-0000-0000F8880000}"/>
    <cellStyle name="Normal 3 26 4 2" xfId="14654" xr:uid="{00000000-0005-0000-0000-0000F9880000}"/>
    <cellStyle name="Normal 3 26 4 2 2" xfId="30246" xr:uid="{00000000-0005-0000-0000-0000FA880000}"/>
    <cellStyle name="Normal 3 26 4 2 3" xfId="45738" xr:uid="{00000000-0005-0000-0000-0000FB880000}"/>
    <cellStyle name="Normal 3 26 4 3" xfId="22506" xr:uid="{00000000-0005-0000-0000-0000FC880000}"/>
    <cellStyle name="Normal 3 26 4 4" xfId="37998" xr:uid="{00000000-0005-0000-0000-0000FD880000}"/>
    <cellStyle name="Normal 3 26 5" xfId="10784" xr:uid="{00000000-0005-0000-0000-0000FE880000}"/>
    <cellStyle name="Normal 3 26 5 2" xfId="26376" xr:uid="{00000000-0005-0000-0000-0000FF880000}"/>
    <cellStyle name="Normal 3 26 5 3" xfId="41868" xr:uid="{00000000-0005-0000-0000-000000890000}"/>
    <cellStyle name="Normal 3 26 6" xfId="18636" xr:uid="{00000000-0005-0000-0000-000001890000}"/>
    <cellStyle name="Normal 3 26 7" xfId="34128" xr:uid="{00000000-0005-0000-0000-000002890000}"/>
    <cellStyle name="Normal 3 27" xfId="3013" xr:uid="{00000000-0005-0000-0000-000003890000}"/>
    <cellStyle name="Normal 3 27 2" xfId="4010" xr:uid="{00000000-0005-0000-0000-000004890000}"/>
    <cellStyle name="Normal 3 27 2 2" xfId="5949" xr:uid="{00000000-0005-0000-0000-000005890000}"/>
    <cellStyle name="Normal 3 27 2 2 2" xfId="9820" xr:uid="{00000000-0005-0000-0000-000006890000}"/>
    <cellStyle name="Normal 3 27 2 2 2 2" xfId="17565" xr:uid="{00000000-0005-0000-0000-000007890000}"/>
    <cellStyle name="Normal 3 27 2 2 2 2 2" xfId="33157" xr:uid="{00000000-0005-0000-0000-000008890000}"/>
    <cellStyle name="Normal 3 27 2 2 2 2 3" xfId="48649" xr:uid="{00000000-0005-0000-0000-000009890000}"/>
    <cellStyle name="Normal 3 27 2 2 2 3" xfId="25417" xr:uid="{00000000-0005-0000-0000-00000A890000}"/>
    <cellStyle name="Normal 3 27 2 2 2 4" xfId="40909" xr:uid="{00000000-0005-0000-0000-00000B890000}"/>
    <cellStyle name="Normal 3 27 2 2 3" xfId="13695" xr:uid="{00000000-0005-0000-0000-00000C890000}"/>
    <cellStyle name="Normal 3 27 2 2 3 2" xfId="29287" xr:uid="{00000000-0005-0000-0000-00000D890000}"/>
    <cellStyle name="Normal 3 27 2 2 3 3" xfId="44779" xr:uid="{00000000-0005-0000-0000-00000E890000}"/>
    <cellStyle name="Normal 3 27 2 2 4" xfId="21547" xr:uid="{00000000-0005-0000-0000-00000F890000}"/>
    <cellStyle name="Normal 3 27 2 2 5" xfId="37039" xr:uid="{00000000-0005-0000-0000-000010890000}"/>
    <cellStyle name="Normal 3 27 2 3" xfId="7893" xr:uid="{00000000-0005-0000-0000-000011890000}"/>
    <cellStyle name="Normal 3 27 2 3 2" xfId="15638" xr:uid="{00000000-0005-0000-0000-000012890000}"/>
    <cellStyle name="Normal 3 27 2 3 2 2" xfId="31230" xr:uid="{00000000-0005-0000-0000-000013890000}"/>
    <cellStyle name="Normal 3 27 2 3 2 3" xfId="46722" xr:uid="{00000000-0005-0000-0000-000014890000}"/>
    <cellStyle name="Normal 3 27 2 3 3" xfId="23490" xr:uid="{00000000-0005-0000-0000-000015890000}"/>
    <cellStyle name="Normal 3 27 2 3 4" xfId="38982" xr:uid="{00000000-0005-0000-0000-000016890000}"/>
    <cellStyle name="Normal 3 27 2 4" xfId="11768" xr:uid="{00000000-0005-0000-0000-000017890000}"/>
    <cellStyle name="Normal 3 27 2 4 2" xfId="27360" xr:uid="{00000000-0005-0000-0000-000018890000}"/>
    <cellStyle name="Normal 3 27 2 4 3" xfId="42852" xr:uid="{00000000-0005-0000-0000-000019890000}"/>
    <cellStyle name="Normal 3 27 2 5" xfId="19620" xr:uid="{00000000-0005-0000-0000-00001A890000}"/>
    <cellStyle name="Normal 3 27 2 6" xfId="35112" xr:uid="{00000000-0005-0000-0000-00001B890000}"/>
    <cellStyle name="Normal 3 27 3" xfId="5001" xr:uid="{00000000-0005-0000-0000-00001C890000}"/>
    <cellStyle name="Normal 3 27 3 2" xfId="8872" xr:uid="{00000000-0005-0000-0000-00001D890000}"/>
    <cellStyle name="Normal 3 27 3 2 2" xfId="16617" xr:uid="{00000000-0005-0000-0000-00001E890000}"/>
    <cellStyle name="Normal 3 27 3 2 2 2" xfId="32209" xr:uid="{00000000-0005-0000-0000-00001F890000}"/>
    <cellStyle name="Normal 3 27 3 2 2 3" xfId="47701" xr:uid="{00000000-0005-0000-0000-000020890000}"/>
    <cellStyle name="Normal 3 27 3 2 3" xfId="24469" xr:uid="{00000000-0005-0000-0000-000021890000}"/>
    <cellStyle name="Normal 3 27 3 2 4" xfId="39961" xr:uid="{00000000-0005-0000-0000-000022890000}"/>
    <cellStyle name="Normal 3 27 3 3" xfId="12747" xr:uid="{00000000-0005-0000-0000-000023890000}"/>
    <cellStyle name="Normal 3 27 3 3 2" xfId="28339" xr:uid="{00000000-0005-0000-0000-000024890000}"/>
    <cellStyle name="Normal 3 27 3 3 3" xfId="43831" xr:uid="{00000000-0005-0000-0000-000025890000}"/>
    <cellStyle name="Normal 3 27 3 4" xfId="20599" xr:uid="{00000000-0005-0000-0000-000026890000}"/>
    <cellStyle name="Normal 3 27 3 5" xfId="36091" xr:uid="{00000000-0005-0000-0000-000027890000}"/>
    <cellStyle name="Normal 3 27 4" xfId="6945" xr:uid="{00000000-0005-0000-0000-000028890000}"/>
    <cellStyle name="Normal 3 27 4 2" xfId="14690" xr:uid="{00000000-0005-0000-0000-000029890000}"/>
    <cellStyle name="Normal 3 27 4 2 2" xfId="30282" xr:uid="{00000000-0005-0000-0000-00002A890000}"/>
    <cellStyle name="Normal 3 27 4 2 3" xfId="45774" xr:uid="{00000000-0005-0000-0000-00002B890000}"/>
    <cellStyle name="Normal 3 27 4 3" xfId="22542" xr:uid="{00000000-0005-0000-0000-00002C890000}"/>
    <cellStyle name="Normal 3 27 4 4" xfId="38034" xr:uid="{00000000-0005-0000-0000-00002D890000}"/>
    <cellStyle name="Normal 3 27 5" xfId="10820" xr:uid="{00000000-0005-0000-0000-00002E890000}"/>
    <cellStyle name="Normal 3 27 5 2" xfId="26412" xr:uid="{00000000-0005-0000-0000-00002F890000}"/>
    <cellStyle name="Normal 3 27 5 3" xfId="41904" xr:uid="{00000000-0005-0000-0000-000030890000}"/>
    <cellStyle name="Normal 3 27 6" xfId="18672" xr:uid="{00000000-0005-0000-0000-000031890000}"/>
    <cellStyle name="Normal 3 27 7" xfId="34164" xr:uid="{00000000-0005-0000-0000-000032890000}"/>
    <cellStyle name="Normal 3 28" xfId="3051" xr:uid="{00000000-0005-0000-0000-000033890000}"/>
    <cellStyle name="Normal 3 28 2" xfId="4046" xr:uid="{00000000-0005-0000-0000-000034890000}"/>
    <cellStyle name="Normal 3 28 2 2" xfId="5985" xr:uid="{00000000-0005-0000-0000-000035890000}"/>
    <cellStyle name="Normal 3 28 2 2 2" xfId="9856" xr:uid="{00000000-0005-0000-0000-000036890000}"/>
    <cellStyle name="Normal 3 28 2 2 2 2" xfId="17601" xr:uid="{00000000-0005-0000-0000-000037890000}"/>
    <cellStyle name="Normal 3 28 2 2 2 2 2" xfId="33193" xr:uid="{00000000-0005-0000-0000-000038890000}"/>
    <cellStyle name="Normal 3 28 2 2 2 2 3" xfId="48685" xr:uid="{00000000-0005-0000-0000-000039890000}"/>
    <cellStyle name="Normal 3 28 2 2 2 3" xfId="25453" xr:uid="{00000000-0005-0000-0000-00003A890000}"/>
    <cellStyle name="Normal 3 28 2 2 2 4" xfId="40945" xr:uid="{00000000-0005-0000-0000-00003B890000}"/>
    <cellStyle name="Normal 3 28 2 2 3" xfId="13731" xr:uid="{00000000-0005-0000-0000-00003C890000}"/>
    <cellStyle name="Normal 3 28 2 2 3 2" xfId="29323" xr:uid="{00000000-0005-0000-0000-00003D890000}"/>
    <cellStyle name="Normal 3 28 2 2 3 3" xfId="44815" xr:uid="{00000000-0005-0000-0000-00003E890000}"/>
    <cellStyle name="Normal 3 28 2 2 4" xfId="21583" xr:uid="{00000000-0005-0000-0000-00003F890000}"/>
    <cellStyle name="Normal 3 28 2 2 5" xfId="37075" xr:uid="{00000000-0005-0000-0000-000040890000}"/>
    <cellStyle name="Normal 3 28 2 3" xfId="7929" xr:uid="{00000000-0005-0000-0000-000041890000}"/>
    <cellStyle name="Normal 3 28 2 3 2" xfId="15674" xr:uid="{00000000-0005-0000-0000-000042890000}"/>
    <cellStyle name="Normal 3 28 2 3 2 2" xfId="31266" xr:uid="{00000000-0005-0000-0000-000043890000}"/>
    <cellStyle name="Normal 3 28 2 3 2 3" xfId="46758" xr:uid="{00000000-0005-0000-0000-000044890000}"/>
    <cellStyle name="Normal 3 28 2 3 3" xfId="23526" xr:uid="{00000000-0005-0000-0000-000045890000}"/>
    <cellStyle name="Normal 3 28 2 3 4" xfId="39018" xr:uid="{00000000-0005-0000-0000-000046890000}"/>
    <cellStyle name="Normal 3 28 2 4" xfId="11804" xr:uid="{00000000-0005-0000-0000-000047890000}"/>
    <cellStyle name="Normal 3 28 2 4 2" xfId="27396" xr:uid="{00000000-0005-0000-0000-000048890000}"/>
    <cellStyle name="Normal 3 28 2 4 3" xfId="42888" xr:uid="{00000000-0005-0000-0000-000049890000}"/>
    <cellStyle name="Normal 3 28 2 5" xfId="19656" xr:uid="{00000000-0005-0000-0000-00004A890000}"/>
    <cellStyle name="Normal 3 28 2 6" xfId="35148" xr:uid="{00000000-0005-0000-0000-00004B890000}"/>
    <cellStyle name="Normal 3 28 3" xfId="5037" xr:uid="{00000000-0005-0000-0000-00004C890000}"/>
    <cellStyle name="Normal 3 28 3 2" xfId="8908" xr:uid="{00000000-0005-0000-0000-00004D890000}"/>
    <cellStyle name="Normal 3 28 3 2 2" xfId="16653" xr:uid="{00000000-0005-0000-0000-00004E890000}"/>
    <cellStyle name="Normal 3 28 3 2 2 2" xfId="32245" xr:uid="{00000000-0005-0000-0000-00004F890000}"/>
    <cellStyle name="Normal 3 28 3 2 2 3" xfId="47737" xr:uid="{00000000-0005-0000-0000-000050890000}"/>
    <cellStyle name="Normal 3 28 3 2 3" xfId="24505" xr:uid="{00000000-0005-0000-0000-000051890000}"/>
    <cellStyle name="Normal 3 28 3 2 4" xfId="39997" xr:uid="{00000000-0005-0000-0000-000052890000}"/>
    <cellStyle name="Normal 3 28 3 3" xfId="12783" xr:uid="{00000000-0005-0000-0000-000053890000}"/>
    <cellStyle name="Normal 3 28 3 3 2" xfId="28375" xr:uid="{00000000-0005-0000-0000-000054890000}"/>
    <cellStyle name="Normal 3 28 3 3 3" xfId="43867" xr:uid="{00000000-0005-0000-0000-000055890000}"/>
    <cellStyle name="Normal 3 28 3 4" xfId="20635" xr:uid="{00000000-0005-0000-0000-000056890000}"/>
    <cellStyle name="Normal 3 28 3 5" xfId="36127" xr:uid="{00000000-0005-0000-0000-000057890000}"/>
    <cellStyle name="Normal 3 28 4" xfId="6981" xr:uid="{00000000-0005-0000-0000-000058890000}"/>
    <cellStyle name="Normal 3 28 4 2" xfId="14726" xr:uid="{00000000-0005-0000-0000-000059890000}"/>
    <cellStyle name="Normal 3 28 4 2 2" xfId="30318" xr:uid="{00000000-0005-0000-0000-00005A890000}"/>
    <cellStyle name="Normal 3 28 4 2 3" xfId="45810" xr:uid="{00000000-0005-0000-0000-00005B890000}"/>
    <cellStyle name="Normal 3 28 4 3" xfId="22578" xr:uid="{00000000-0005-0000-0000-00005C890000}"/>
    <cellStyle name="Normal 3 28 4 4" xfId="38070" xr:uid="{00000000-0005-0000-0000-00005D890000}"/>
    <cellStyle name="Normal 3 28 5" xfId="10856" xr:uid="{00000000-0005-0000-0000-00005E890000}"/>
    <cellStyle name="Normal 3 28 5 2" xfId="26448" xr:uid="{00000000-0005-0000-0000-00005F890000}"/>
    <cellStyle name="Normal 3 28 5 3" xfId="41940" xr:uid="{00000000-0005-0000-0000-000060890000}"/>
    <cellStyle name="Normal 3 28 6" xfId="18708" xr:uid="{00000000-0005-0000-0000-000061890000}"/>
    <cellStyle name="Normal 3 28 7" xfId="34200" xr:uid="{00000000-0005-0000-0000-000062890000}"/>
    <cellStyle name="Normal 3 29" xfId="3088" xr:uid="{00000000-0005-0000-0000-000063890000}"/>
    <cellStyle name="Normal 3 29 2" xfId="4082" xr:uid="{00000000-0005-0000-0000-000064890000}"/>
    <cellStyle name="Normal 3 29 2 2" xfId="6021" xr:uid="{00000000-0005-0000-0000-000065890000}"/>
    <cellStyle name="Normal 3 29 2 2 2" xfId="9892" xr:uid="{00000000-0005-0000-0000-000066890000}"/>
    <cellStyle name="Normal 3 29 2 2 2 2" xfId="17637" xr:uid="{00000000-0005-0000-0000-000067890000}"/>
    <cellStyle name="Normal 3 29 2 2 2 2 2" xfId="33229" xr:uid="{00000000-0005-0000-0000-000068890000}"/>
    <cellStyle name="Normal 3 29 2 2 2 2 3" xfId="48721" xr:uid="{00000000-0005-0000-0000-000069890000}"/>
    <cellStyle name="Normal 3 29 2 2 2 3" xfId="25489" xr:uid="{00000000-0005-0000-0000-00006A890000}"/>
    <cellStyle name="Normal 3 29 2 2 2 4" xfId="40981" xr:uid="{00000000-0005-0000-0000-00006B890000}"/>
    <cellStyle name="Normal 3 29 2 2 3" xfId="13767" xr:uid="{00000000-0005-0000-0000-00006C890000}"/>
    <cellStyle name="Normal 3 29 2 2 3 2" xfId="29359" xr:uid="{00000000-0005-0000-0000-00006D890000}"/>
    <cellStyle name="Normal 3 29 2 2 3 3" xfId="44851" xr:uid="{00000000-0005-0000-0000-00006E890000}"/>
    <cellStyle name="Normal 3 29 2 2 4" xfId="21619" xr:uid="{00000000-0005-0000-0000-00006F890000}"/>
    <cellStyle name="Normal 3 29 2 2 5" xfId="37111" xr:uid="{00000000-0005-0000-0000-000070890000}"/>
    <cellStyle name="Normal 3 29 2 3" xfId="7965" xr:uid="{00000000-0005-0000-0000-000071890000}"/>
    <cellStyle name="Normal 3 29 2 3 2" xfId="15710" xr:uid="{00000000-0005-0000-0000-000072890000}"/>
    <cellStyle name="Normal 3 29 2 3 2 2" xfId="31302" xr:uid="{00000000-0005-0000-0000-000073890000}"/>
    <cellStyle name="Normal 3 29 2 3 2 3" xfId="46794" xr:uid="{00000000-0005-0000-0000-000074890000}"/>
    <cellStyle name="Normal 3 29 2 3 3" xfId="23562" xr:uid="{00000000-0005-0000-0000-000075890000}"/>
    <cellStyle name="Normal 3 29 2 3 4" xfId="39054" xr:uid="{00000000-0005-0000-0000-000076890000}"/>
    <cellStyle name="Normal 3 29 2 4" xfId="11840" xr:uid="{00000000-0005-0000-0000-000077890000}"/>
    <cellStyle name="Normal 3 29 2 4 2" xfId="27432" xr:uid="{00000000-0005-0000-0000-000078890000}"/>
    <cellStyle name="Normal 3 29 2 4 3" xfId="42924" xr:uid="{00000000-0005-0000-0000-000079890000}"/>
    <cellStyle name="Normal 3 29 2 5" xfId="19692" xr:uid="{00000000-0005-0000-0000-00007A890000}"/>
    <cellStyle name="Normal 3 29 2 6" xfId="35184" xr:uid="{00000000-0005-0000-0000-00007B890000}"/>
    <cellStyle name="Normal 3 29 3" xfId="5073" xr:uid="{00000000-0005-0000-0000-00007C890000}"/>
    <cellStyle name="Normal 3 29 3 2" xfId="8944" xr:uid="{00000000-0005-0000-0000-00007D890000}"/>
    <cellStyle name="Normal 3 29 3 2 2" xfId="16689" xr:uid="{00000000-0005-0000-0000-00007E890000}"/>
    <cellStyle name="Normal 3 29 3 2 2 2" xfId="32281" xr:uid="{00000000-0005-0000-0000-00007F890000}"/>
    <cellStyle name="Normal 3 29 3 2 2 3" xfId="47773" xr:uid="{00000000-0005-0000-0000-000080890000}"/>
    <cellStyle name="Normal 3 29 3 2 3" xfId="24541" xr:uid="{00000000-0005-0000-0000-000081890000}"/>
    <cellStyle name="Normal 3 29 3 2 4" xfId="40033" xr:uid="{00000000-0005-0000-0000-000082890000}"/>
    <cellStyle name="Normal 3 29 3 3" xfId="12819" xr:uid="{00000000-0005-0000-0000-000083890000}"/>
    <cellStyle name="Normal 3 29 3 3 2" xfId="28411" xr:uid="{00000000-0005-0000-0000-000084890000}"/>
    <cellStyle name="Normal 3 29 3 3 3" xfId="43903" xr:uid="{00000000-0005-0000-0000-000085890000}"/>
    <cellStyle name="Normal 3 29 3 4" xfId="20671" xr:uid="{00000000-0005-0000-0000-000086890000}"/>
    <cellStyle name="Normal 3 29 3 5" xfId="36163" xr:uid="{00000000-0005-0000-0000-000087890000}"/>
    <cellStyle name="Normal 3 29 4" xfId="7017" xr:uid="{00000000-0005-0000-0000-000088890000}"/>
    <cellStyle name="Normal 3 29 4 2" xfId="14762" xr:uid="{00000000-0005-0000-0000-000089890000}"/>
    <cellStyle name="Normal 3 29 4 2 2" xfId="30354" xr:uid="{00000000-0005-0000-0000-00008A890000}"/>
    <cellStyle name="Normal 3 29 4 2 3" xfId="45846" xr:uid="{00000000-0005-0000-0000-00008B890000}"/>
    <cellStyle name="Normal 3 29 4 3" xfId="22614" xr:uid="{00000000-0005-0000-0000-00008C890000}"/>
    <cellStyle name="Normal 3 29 4 4" xfId="38106" xr:uid="{00000000-0005-0000-0000-00008D890000}"/>
    <cellStyle name="Normal 3 29 5" xfId="10892" xr:uid="{00000000-0005-0000-0000-00008E890000}"/>
    <cellStyle name="Normal 3 29 5 2" xfId="26484" xr:uid="{00000000-0005-0000-0000-00008F890000}"/>
    <cellStyle name="Normal 3 29 5 3" xfId="41976" xr:uid="{00000000-0005-0000-0000-000090890000}"/>
    <cellStyle name="Normal 3 29 6" xfId="18744" xr:uid="{00000000-0005-0000-0000-000091890000}"/>
    <cellStyle name="Normal 3 29 7" xfId="34236" xr:uid="{00000000-0005-0000-0000-000092890000}"/>
    <cellStyle name="Normal 3 3" xfId="2011" xr:uid="{00000000-0005-0000-0000-000093890000}"/>
    <cellStyle name="Normal 3 3 2" xfId="2012" xr:uid="{00000000-0005-0000-0000-000094890000}"/>
    <cellStyle name="Normal 3 3 2 2" xfId="2013" xr:uid="{00000000-0005-0000-0000-000095890000}"/>
    <cellStyle name="Normal 3 3 2 2 10" xfId="2496" xr:uid="{00000000-0005-0000-0000-000096890000}"/>
    <cellStyle name="Normal 3 3 2 2 10 2" xfId="3504" xr:uid="{00000000-0005-0000-0000-000097890000}"/>
    <cellStyle name="Normal 3 3 2 2 10 2 2" xfId="5443" xr:uid="{00000000-0005-0000-0000-000098890000}"/>
    <cellStyle name="Normal 3 3 2 2 10 2 2 2" xfId="9314" xr:uid="{00000000-0005-0000-0000-000099890000}"/>
    <cellStyle name="Normal 3 3 2 2 10 2 2 2 2" xfId="17059" xr:uid="{00000000-0005-0000-0000-00009A890000}"/>
    <cellStyle name="Normal 3 3 2 2 10 2 2 2 2 2" xfId="32651" xr:uid="{00000000-0005-0000-0000-00009B890000}"/>
    <cellStyle name="Normal 3 3 2 2 10 2 2 2 2 3" xfId="48143" xr:uid="{00000000-0005-0000-0000-00009C890000}"/>
    <cellStyle name="Normal 3 3 2 2 10 2 2 2 3" xfId="24911" xr:uid="{00000000-0005-0000-0000-00009D890000}"/>
    <cellStyle name="Normal 3 3 2 2 10 2 2 2 4" xfId="40403" xr:uid="{00000000-0005-0000-0000-00009E890000}"/>
    <cellStyle name="Normal 3 3 2 2 10 2 2 3" xfId="13189" xr:uid="{00000000-0005-0000-0000-00009F890000}"/>
    <cellStyle name="Normal 3 3 2 2 10 2 2 3 2" xfId="28781" xr:uid="{00000000-0005-0000-0000-0000A0890000}"/>
    <cellStyle name="Normal 3 3 2 2 10 2 2 3 3" xfId="44273" xr:uid="{00000000-0005-0000-0000-0000A1890000}"/>
    <cellStyle name="Normal 3 3 2 2 10 2 2 4" xfId="21041" xr:uid="{00000000-0005-0000-0000-0000A2890000}"/>
    <cellStyle name="Normal 3 3 2 2 10 2 2 5" xfId="36533" xr:uid="{00000000-0005-0000-0000-0000A3890000}"/>
    <cellStyle name="Normal 3 3 2 2 10 2 3" xfId="7387" xr:uid="{00000000-0005-0000-0000-0000A4890000}"/>
    <cellStyle name="Normal 3 3 2 2 10 2 3 2" xfId="15132" xr:uid="{00000000-0005-0000-0000-0000A5890000}"/>
    <cellStyle name="Normal 3 3 2 2 10 2 3 2 2" xfId="30724" xr:uid="{00000000-0005-0000-0000-0000A6890000}"/>
    <cellStyle name="Normal 3 3 2 2 10 2 3 2 3" xfId="46216" xr:uid="{00000000-0005-0000-0000-0000A7890000}"/>
    <cellStyle name="Normal 3 3 2 2 10 2 3 3" xfId="22984" xr:uid="{00000000-0005-0000-0000-0000A8890000}"/>
    <cellStyle name="Normal 3 3 2 2 10 2 3 4" xfId="38476" xr:uid="{00000000-0005-0000-0000-0000A9890000}"/>
    <cellStyle name="Normal 3 3 2 2 10 2 4" xfId="11262" xr:uid="{00000000-0005-0000-0000-0000AA890000}"/>
    <cellStyle name="Normal 3 3 2 2 10 2 4 2" xfId="26854" xr:uid="{00000000-0005-0000-0000-0000AB890000}"/>
    <cellStyle name="Normal 3 3 2 2 10 2 4 3" xfId="42346" xr:uid="{00000000-0005-0000-0000-0000AC890000}"/>
    <cellStyle name="Normal 3 3 2 2 10 2 5" xfId="19114" xr:uid="{00000000-0005-0000-0000-0000AD890000}"/>
    <cellStyle name="Normal 3 3 2 2 10 2 6" xfId="34606" xr:uid="{00000000-0005-0000-0000-0000AE890000}"/>
    <cellStyle name="Normal 3 3 2 2 10 3" xfId="4495" xr:uid="{00000000-0005-0000-0000-0000AF890000}"/>
    <cellStyle name="Normal 3 3 2 2 10 3 2" xfId="8366" xr:uid="{00000000-0005-0000-0000-0000B0890000}"/>
    <cellStyle name="Normal 3 3 2 2 10 3 2 2" xfId="16111" xr:uid="{00000000-0005-0000-0000-0000B1890000}"/>
    <cellStyle name="Normal 3 3 2 2 10 3 2 2 2" xfId="31703" xr:uid="{00000000-0005-0000-0000-0000B2890000}"/>
    <cellStyle name="Normal 3 3 2 2 10 3 2 2 3" xfId="47195" xr:uid="{00000000-0005-0000-0000-0000B3890000}"/>
    <cellStyle name="Normal 3 3 2 2 10 3 2 3" xfId="23963" xr:uid="{00000000-0005-0000-0000-0000B4890000}"/>
    <cellStyle name="Normal 3 3 2 2 10 3 2 4" xfId="39455" xr:uid="{00000000-0005-0000-0000-0000B5890000}"/>
    <cellStyle name="Normal 3 3 2 2 10 3 3" xfId="12241" xr:uid="{00000000-0005-0000-0000-0000B6890000}"/>
    <cellStyle name="Normal 3 3 2 2 10 3 3 2" xfId="27833" xr:uid="{00000000-0005-0000-0000-0000B7890000}"/>
    <cellStyle name="Normal 3 3 2 2 10 3 3 3" xfId="43325" xr:uid="{00000000-0005-0000-0000-0000B8890000}"/>
    <cellStyle name="Normal 3 3 2 2 10 3 4" xfId="20093" xr:uid="{00000000-0005-0000-0000-0000B9890000}"/>
    <cellStyle name="Normal 3 3 2 2 10 3 5" xfId="35585" xr:uid="{00000000-0005-0000-0000-0000BA890000}"/>
    <cellStyle name="Normal 3 3 2 2 10 4" xfId="6439" xr:uid="{00000000-0005-0000-0000-0000BB890000}"/>
    <cellStyle name="Normal 3 3 2 2 10 4 2" xfId="14184" xr:uid="{00000000-0005-0000-0000-0000BC890000}"/>
    <cellStyle name="Normal 3 3 2 2 10 4 2 2" xfId="29776" xr:uid="{00000000-0005-0000-0000-0000BD890000}"/>
    <cellStyle name="Normal 3 3 2 2 10 4 2 3" xfId="45268" xr:uid="{00000000-0005-0000-0000-0000BE890000}"/>
    <cellStyle name="Normal 3 3 2 2 10 4 3" xfId="22036" xr:uid="{00000000-0005-0000-0000-0000BF890000}"/>
    <cellStyle name="Normal 3 3 2 2 10 4 4" xfId="37528" xr:uid="{00000000-0005-0000-0000-0000C0890000}"/>
    <cellStyle name="Normal 3 3 2 2 10 5" xfId="10314" xr:uid="{00000000-0005-0000-0000-0000C1890000}"/>
    <cellStyle name="Normal 3 3 2 2 10 5 2" xfId="25906" xr:uid="{00000000-0005-0000-0000-0000C2890000}"/>
    <cellStyle name="Normal 3 3 2 2 10 5 3" xfId="41398" xr:uid="{00000000-0005-0000-0000-0000C3890000}"/>
    <cellStyle name="Normal 3 3 2 2 10 6" xfId="18166" xr:uid="{00000000-0005-0000-0000-0000C4890000}"/>
    <cellStyle name="Normal 3 3 2 2 10 7" xfId="33658" xr:uid="{00000000-0005-0000-0000-0000C5890000}"/>
    <cellStyle name="Normal 3 3 2 2 11" xfId="2822" xr:uid="{00000000-0005-0000-0000-0000C6890000}"/>
    <cellStyle name="Normal 3 3 2 2 11 2" xfId="3829" xr:uid="{00000000-0005-0000-0000-0000C7890000}"/>
    <cellStyle name="Normal 3 3 2 2 11 2 2" xfId="5768" xr:uid="{00000000-0005-0000-0000-0000C8890000}"/>
    <cellStyle name="Normal 3 3 2 2 11 2 2 2" xfId="9639" xr:uid="{00000000-0005-0000-0000-0000C9890000}"/>
    <cellStyle name="Normal 3 3 2 2 11 2 2 2 2" xfId="17384" xr:uid="{00000000-0005-0000-0000-0000CA890000}"/>
    <cellStyle name="Normal 3 3 2 2 11 2 2 2 2 2" xfId="32976" xr:uid="{00000000-0005-0000-0000-0000CB890000}"/>
    <cellStyle name="Normal 3 3 2 2 11 2 2 2 2 3" xfId="48468" xr:uid="{00000000-0005-0000-0000-0000CC890000}"/>
    <cellStyle name="Normal 3 3 2 2 11 2 2 2 3" xfId="25236" xr:uid="{00000000-0005-0000-0000-0000CD890000}"/>
    <cellStyle name="Normal 3 3 2 2 11 2 2 2 4" xfId="40728" xr:uid="{00000000-0005-0000-0000-0000CE890000}"/>
    <cellStyle name="Normal 3 3 2 2 11 2 2 3" xfId="13514" xr:uid="{00000000-0005-0000-0000-0000CF890000}"/>
    <cellStyle name="Normal 3 3 2 2 11 2 2 3 2" xfId="29106" xr:uid="{00000000-0005-0000-0000-0000D0890000}"/>
    <cellStyle name="Normal 3 3 2 2 11 2 2 3 3" xfId="44598" xr:uid="{00000000-0005-0000-0000-0000D1890000}"/>
    <cellStyle name="Normal 3 3 2 2 11 2 2 4" xfId="21366" xr:uid="{00000000-0005-0000-0000-0000D2890000}"/>
    <cellStyle name="Normal 3 3 2 2 11 2 2 5" xfId="36858" xr:uid="{00000000-0005-0000-0000-0000D3890000}"/>
    <cellStyle name="Normal 3 3 2 2 11 2 3" xfId="7712" xr:uid="{00000000-0005-0000-0000-0000D4890000}"/>
    <cellStyle name="Normal 3 3 2 2 11 2 3 2" xfId="15457" xr:uid="{00000000-0005-0000-0000-0000D5890000}"/>
    <cellStyle name="Normal 3 3 2 2 11 2 3 2 2" xfId="31049" xr:uid="{00000000-0005-0000-0000-0000D6890000}"/>
    <cellStyle name="Normal 3 3 2 2 11 2 3 2 3" xfId="46541" xr:uid="{00000000-0005-0000-0000-0000D7890000}"/>
    <cellStyle name="Normal 3 3 2 2 11 2 3 3" xfId="23309" xr:uid="{00000000-0005-0000-0000-0000D8890000}"/>
    <cellStyle name="Normal 3 3 2 2 11 2 3 4" xfId="38801" xr:uid="{00000000-0005-0000-0000-0000D9890000}"/>
    <cellStyle name="Normal 3 3 2 2 11 2 4" xfId="11587" xr:uid="{00000000-0005-0000-0000-0000DA890000}"/>
    <cellStyle name="Normal 3 3 2 2 11 2 4 2" xfId="27179" xr:uid="{00000000-0005-0000-0000-0000DB890000}"/>
    <cellStyle name="Normal 3 3 2 2 11 2 4 3" xfId="42671" xr:uid="{00000000-0005-0000-0000-0000DC890000}"/>
    <cellStyle name="Normal 3 3 2 2 11 2 5" xfId="19439" xr:uid="{00000000-0005-0000-0000-0000DD890000}"/>
    <cellStyle name="Normal 3 3 2 2 11 2 6" xfId="34931" xr:uid="{00000000-0005-0000-0000-0000DE890000}"/>
    <cellStyle name="Normal 3 3 2 2 11 3" xfId="4820" xr:uid="{00000000-0005-0000-0000-0000DF890000}"/>
    <cellStyle name="Normal 3 3 2 2 11 3 2" xfId="8691" xr:uid="{00000000-0005-0000-0000-0000E0890000}"/>
    <cellStyle name="Normal 3 3 2 2 11 3 2 2" xfId="16436" xr:uid="{00000000-0005-0000-0000-0000E1890000}"/>
    <cellStyle name="Normal 3 3 2 2 11 3 2 2 2" xfId="32028" xr:uid="{00000000-0005-0000-0000-0000E2890000}"/>
    <cellStyle name="Normal 3 3 2 2 11 3 2 2 3" xfId="47520" xr:uid="{00000000-0005-0000-0000-0000E3890000}"/>
    <cellStyle name="Normal 3 3 2 2 11 3 2 3" xfId="24288" xr:uid="{00000000-0005-0000-0000-0000E4890000}"/>
    <cellStyle name="Normal 3 3 2 2 11 3 2 4" xfId="39780" xr:uid="{00000000-0005-0000-0000-0000E5890000}"/>
    <cellStyle name="Normal 3 3 2 2 11 3 3" xfId="12566" xr:uid="{00000000-0005-0000-0000-0000E6890000}"/>
    <cellStyle name="Normal 3 3 2 2 11 3 3 2" xfId="28158" xr:uid="{00000000-0005-0000-0000-0000E7890000}"/>
    <cellStyle name="Normal 3 3 2 2 11 3 3 3" xfId="43650" xr:uid="{00000000-0005-0000-0000-0000E8890000}"/>
    <cellStyle name="Normal 3 3 2 2 11 3 4" xfId="20418" xr:uid="{00000000-0005-0000-0000-0000E9890000}"/>
    <cellStyle name="Normal 3 3 2 2 11 3 5" xfId="35910" xr:uid="{00000000-0005-0000-0000-0000EA890000}"/>
    <cellStyle name="Normal 3 3 2 2 11 4" xfId="6764" xr:uid="{00000000-0005-0000-0000-0000EB890000}"/>
    <cellStyle name="Normal 3 3 2 2 11 4 2" xfId="14509" xr:uid="{00000000-0005-0000-0000-0000EC890000}"/>
    <cellStyle name="Normal 3 3 2 2 11 4 2 2" xfId="30101" xr:uid="{00000000-0005-0000-0000-0000ED890000}"/>
    <cellStyle name="Normal 3 3 2 2 11 4 2 3" xfId="45593" xr:uid="{00000000-0005-0000-0000-0000EE890000}"/>
    <cellStyle name="Normal 3 3 2 2 11 4 3" xfId="22361" xr:uid="{00000000-0005-0000-0000-0000EF890000}"/>
    <cellStyle name="Normal 3 3 2 2 11 4 4" xfId="37853" xr:uid="{00000000-0005-0000-0000-0000F0890000}"/>
    <cellStyle name="Normal 3 3 2 2 11 5" xfId="10639" xr:uid="{00000000-0005-0000-0000-0000F1890000}"/>
    <cellStyle name="Normal 3 3 2 2 11 5 2" xfId="26231" xr:uid="{00000000-0005-0000-0000-0000F2890000}"/>
    <cellStyle name="Normal 3 3 2 2 11 5 3" xfId="41723" xr:uid="{00000000-0005-0000-0000-0000F3890000}"/>
    <cellStyle name="Normal 3 3 2 2 11 6" xfId="18491" xr:uid="{00000000-0005-0000-0000-0000F4890000}"/>
    <cellStyle name="Normal 3 3 2 2 11 7" xfId="33983" xr:uid="{00000000-0005-0000-0000-0000F5890000}"/>
    <cellStyle name="Normal 3 3 2 2 12" xfId="2861" xr:uid="{00000000-0005-0000-0000-0000F6890000}"/>
    <cellStyle name="Normal 3 3 2 2 12 2" xfId="3867" xr:uid="{00000000-0005-0000-0000-0000F7890000}"/>
    <cellStyle name="Normal 3 3 2 2 12 2 2" xfId="5806" xr:uid="{00000000-0005-0000-0000-0000F8890000}"/>
    <cellStyle name="Normal 3 3 2 2 12 2 2 2" xfId="9677" xr:uid="{00000000-0005-0000-0000-0000F9890000}"/>
    <cellStyle name="Normal 3 3 2 2 12 2 2 2 2" xfId="17422" xr:uid="{00000000-0005-0000-0000-0000FA890000}"/>
    <cellStyle name="Normal 3 3 2 2 12 2 2 2 2 2" xfId="33014" xr:uid="{00000000-0005-0000-0000-0000FB890000}"/>
    <cellStyle name="Normal 3 3 2 2 12 2 2 2 2 3" xfId="48506" xr:uid="{00000000-0005-0000-0000-0000FC890000}"/>
    <cellStyle name="Normal 3 3 2 2 12 2 2 2 3" xfId="25274" xr:uid="{00000000-0005-0000-0000-0000FD890000}"/>
    <cellStyle name="Normal 3 3 2 2 12 2 2 2 4" xfId="40766" xr:uid="{00000000-0005-0000-0000-0000FE890000}"/>
    <cellStyle name="Normal 3 3 2 2 12 2 2 3" xfId="13552" xr:uid="{00000000-0005-0000-0000-0000FF890000}"/>
    <cellStyle name="Normal 3 3 2 2 12 2 2 3 2" xfId="29144" xr:uid="{00000000-0005-0000-0000-0000008A0000}"/>
    <cellStyle name="Normal 3 3 2 2 12 2 2 3 3" xfId="44636" xr:uid="{00000000-0005-0000-0000-0000018A0000}"/>
    <cellStyle name="Normal 3 3 2 2 12 2 2 4" xfId="21404" xr:uid="{00000000-0005-0000-0000-0000028A0000}"/>
    <cellStyle name="Normal 3 3 2 2 12 2 2 5" xfId="36896" xr:uid="{00000000-0005-0000-0000-0000038A0000}"/>
    <cellStyle name="Normal 3 3 2 2 12 2 3" xfId="7750" xr:uid="{00000000-0005-0000-0000-0000048A0000}"/>
    <cellStyle name="Normal 3 3 2 2 12 2 3 2" xfId="15495" xr:uid="{00000000-0005-0000-0000-0000058A0000}"/>
    <cellStyle name="Normal 3 3 2 2 12 2 3 2 2" xfId="31087" xr:uid="{00000000-0005-0000-0000-0000068A0000}"/>
    <cellStyle name="Normal 3 3 2 2 12 2 3 2 3" xfId="46579" xr:uid="{00000000-0005-0000-0000-0000078A0000}"/>
    <cellStyle name="Normal 3 3 2 2 12 2 3 3" xfId="23347" xr:uid="{00000000-0005-0000-0000-0000088A0000}"/>
    <cellStyle name="Normal 3 3 2 2 12 2 3 4" xfId="38839" xr:uid="{00000000-0005-0000-0000-0000098A0000}"/>
    <cellStyle name="Normal 3 3 2 2 12 2 4" xfId="11625" xr:uid="{00000000-0005-0000-0000-00000A8A0000}"/>
    <cellStyle name="Normal 3 3 2 2 12 2 4 2" xfId="27217" xr:uid="{00000000-0005-0000-0000-00000B8A0000}"/>
    <cellStyle name="Normal 3 3 2 2 12 2 4 3" xfId="42709" xr:uid="{00000000-0005-0000-0000-00000C8A0000}"/>
    <cellStyle name="Normal 3 3 2 2 12 2 5" xfId="19477" xr:uid="{00000000-0005-0000-0000-00000D8A0000}"/>
    <cellStyle name="Normal 3 3 2 2 12 2 6" xfId="34969" xr:uid="{00000000-0005-0000-0000-00000E8A0000}"/>
    <cellStyle name="Normal 3 3 2 2 12 3" xfId="4858" xr:uid="{00000000-0005-0000-0000-00000F8A0000}"/>
    <cellStyle name="Normal 3 3 2 2 12 3 2" xfId="8729" xr:uid="{00000000-0005-0000-0000-0000108A0000}"/>
    <cellStyle name="Normal 3 3 2 2 12 3 2 2" xfId="16474" xr:uid="{00000000-0005-0000-0000-0000118A0000}"/>
    <cellStyle name="Normal 3 3 2 2 12 3 2 2 2" xfId="32066" xr:uid="{00000000-0005-0000-0000-0000128A0000}"/>
    <cellStyle name="Normal 3 3 2 2 12 3 2 2 3" xfId="47558" xr:uid="{00000000-0005-0000-0000-0000138A0000}"/>
    <cellStyle name="Normal 3 3 2 2 12 3 2 3" xfId="24326" xr:uid="{00000000-0005-0000-0000-0000148A0000}"/>
    <cellStyle name="Normal 3 3 2 2 12 3 2 4" xfId="39818" xr:uid="{00000000-0005-0000-0000-0000158A0000}"/>
    <cellStyle name="Normal 3 3 2 2 12 3 3" xfId="12604" xr:uid="{00000000-0005-0000-0000-0000168A0000}"/>
    <cellStyle name="Normal 3 3 2 2 12 3 3 2" xfId="28196" xr:uid="{00000000-0005-0000-0000-0000178A0000}"/>
    <cellStyle name="Normal 3 3 2 2 12 3 3 3" xfId="43688" xr:uid="{00000000-0005-0000-0000-0000188A0000}"/>
    <cellStyle name="Normal 3 3 2 2 12 3 4" xfId="20456" xr:uid="{00000000-0005-0000-0000-0000198A0000}"/>
    <cellStyle name="Normal 3 3 2 2 12 3 5" xfId="35948" xr:uid="{00000000-0005-0000-0000-00001A8A0000}"/>
    <cellStyle name="Normal 3 3 2 2 12 4" xfId="6802" xr:uid="{00000000-0005-0000-0000-00001B8A0000}"/>
    <cellStyle name="Normal 3 3 2 2 12 4 2" xfId="14547" xr:uid="{00000000-0005-0000-0000-00001C8A0000}"/>
    <cellStyle name="Normal 3 3 2 2 12 4 2 2" xfId="30139" xr:uid="{00000000-0005-0000-0000-00001D8A0000}"/>
    <cellStyle name="Normal 3 3 2 2 12 4 2 3" xfId="45631" xr:uid="{00000000-0005-0000-0000-00001E8A0000}"/>
    <cellStyle name="Normal 3 3 2 2 12 4 3" xfId="22399" xr:uid="{00000000-0005-0000-0000-00001F8A0000}"/>
    <cellStyle name="Normal 3 3 2 2 12 4 4" xfId="37891" xr:uid="{00000000-0005-0000-0000-0000208A0000}"/>
    <cellStyle name="Normal 3 3 2 2 12 5" xfId="10677" xr:uid="{00000000-0005-0000-0000-0000218A0000}"/>
    <cellStyle name="Normal 3 3 2 2 12 5 2" xfId="26269" xr:uid="{00000000-0005-0000-0000-0000228A0000}"/>
    <cellStyle name="Normal 3 3 2 2 12 5 3" xfId="41761" xr:uid="{00000000-0005-0000-0000-0000238A0000}"/>
    <cellStyle name="Normal 3 3 2 2 12 6" xfId="18529" xr:uid="{00000000-0005-0000-0000-0000248A0000}"/>
    <cellStyle name="Normal 3 3 2 2 12 7" xfId="34021" xr:uid="{00000000-0005-0000-0000-0000258A0000}"/>
    <cellStyle name="Normal 3 3 2 2 13" xfId="2898" xr:uid="{00000000-0005-0000-0000-0000268A0000}"/>
    <cellStyle name="Normal 3 3 2 2 13 2" xfId="3903" xr:uid="{00000000-0005-0000-0000-0000278A0000}"/>
    <cellStyle name="Normal 3 3 2 2 13 2 2" xfId="5842" xr:uid="{00000000-0005-0000-0000-0000288A0000}"/>
    <cellStyle name="Normal 3 3 2 2 13 2 2 2" xfId="9713" xr:uid="{00000000-0005-0000-0000-0000298A0000}"/>
    <cellStyle name="Normal 3 3 2 2 13 2 2 2 2" xfId="17458" xr:uid="{00000000-0005-0000-0000-00002A8A0000}"/>
    <cellStyle name="Normal 3 3 2 2 13 2 2 2 2 2" xfId="33050" xr:uid="{00000000-0005-0000-0000-00002B8A0000}"/>
    <cellStyle name="Normal 3 3 2 2 13 2 2 2 2 3" xfId="48542" xr:uid="{00000000-0005-0000-0000-00002C8A0000}"/>
    <cellStyle name="Normal 3 3 2 2 13 2 2 2 3" xfId="25310" xr:uid="{00000000-0005-0000-0000-00002D8A0000}"/>
    <cellStyle name="Normal 3 3 2 2 13 2 2 2 4" xfId="40802" xr:uid="{00000000-0005-0000-0000-00002E8A0000}"/>
    <cellStyle name="Normal 3 3 2 2 13 2 2 3" xfId="13588" xr:uid="{00000000-0005-0000-0000-00002F8A0000}"/>
    <cellStyle name="Normal 3 3 2 2 13 2 2 3 2" xfId="29180" xr:uid="{00000000-0005-0000-0000-0000308A0000}"/>
    <cellStyle name="Normal 3 3 2 2 13 2 2 3 3" xfId="44672" xr:uid="{00000000-0005-0000-0000-0000318A0000}"/>
    <cellStyle name="Normal 3 3 2 2 13 2 2 4" xfId="21440" xr:uid="{00000000-0005-0000-0000-0000328A0000}"/>
    <cellStyle name="Normal 3 3 2 2 13 2 2 5" xfId="36932" xr:uid="{00000000-0005-0000-0000-0000338A0000}"/>
    <cellStyle name="Normal 3 3 2 2 13 2 3" xfId="7786" xr:uid="{00000000-0005-0000-0000-0000348A0000}"/>
    <cellStyle name="Normal 3 3 2 2 13 2 3 2" xfId="15531" xr:uid="{00000000-0005-0000-0000-0000358A0000}"/>
    <cellStyle name="Normal 3 3 2 2 13 2 3 2 2" xfId="31123" xr:uid="{00000000-0005-0000-0000-0000368A0000}"/>
    <cellStyle name="Normal 3 3 2 2 13 2 3 2 3" xfId="46615" xr:uid="{00000000-0005-0000-0000-0000378A0000}"/>
    <cellStyle name="Normal 3 3 2 2 13 2 3 3" xfId="23383" xr:uid="{00000000-0005-0000-0000-0000388A0000}"/>
    <cellStyle name="Normal 3 3 2 2 13 2 3 4" xfId="38875" xr:uid="{00000000-0005-0000-0000-0000398A0000}"/>
    <cellStyle name="Normal 3 3 2 2 13 2 4" xfId="11661" xr:uid="{00000000-0005-0000-0000-00003A8A0000}"/>
    <cellStyle name="Normal 3 3 2 2 13 2 4 2" xfId="27253" xr:uid="{00000000-0005-0000-0000-00003B8A0000}"/>
    <cellStyle name="Normal 3 3 2 2 13 2 4 3" xfId="42745" xr:uid="{00000000-0005-0000-0000-00003C8A0000}"/>
    <cellStyle name="Normal 3 3 2 2 13 2 5" xfId="19513" xr:uid="{00000000-0005-0000-0000-00003D8A0000}"/>
    <cellStyle name="Normal 3 3 2 2 13 2 6" xfId="35005" xr:uid="{00000000-0005-0000-0000-00003E8A0000}"/>
    <cellStyle name="Normal 3 3 2 2 13 3" xfId="4894" xr:uid="{00000000-0005-0000-0000-00003F8A0000}"/>
    <cellStyle name="Normal 3 3 2 2 13 3 2" xfId="8765" xr:uid="{00000000-0005-0000-0000-0000408A0000}"/>
    <cellStyle name="Normal 3 3 2 2 13 3 2 2" xfId="16510" xr:uid="{00000000-0005-0000-0000-0000418A0000}"/>
    <cellStyle name="Normal 3 3 2 2 13 3 2 2 2" xfId="32102" xr:uid="{00000000-0005-0000-0000-0000428A0000}"/>
    <cellStyle name="Normal 3 3 2 2 13 3 2 2 3" xfId="47594" xr:uid="{00000000-0005-0000-0000-0000438A0000}"/>
    <cellStyle name="Normal 3 3 2 2 13 3 2 3" xfId="24362" xr:uid="{00000000-0005-0000-0000-0000448A0000}"/>
    <cellStyle name="Normal 3 3 2 2 13 3 2 4" xfId="39854" xr:uid="{00000000-0005-0000-0000-0000458A0000}"/>
    <cellStyle name="Normal 3 3 2 2 13 3 3" xfId="12640" xr:uid="{00000000-0005-0000-0000-0000468A0000}"/>
    <cellStyle name="Normal 3 3 2 2 13 3 3 2" xfId="28232" xr:uid="{00000000-0005-0000-0000-0000478A0000}"/>
    <cellStyle name="Normal 3 3 2 2 13 3 3 3" xfId="43724" xr:uid="{00000000-0005-0000-0000-0000488A0000}"/>
    <cellStyle name="Normal 3 3 2 2 13 3 4" xfId="20492" xr:uid="{00000000-0005-0000-0000-0000498A0000}"/>
    <cellStyle name="Normal 3 3 2 2 13 3 5" xfId="35984" xr:uid="{00000000-0005-0000-0000-00004A8A0000}"/>
    <cellStyle name="Normal 3 3 2 2 13 4" xfId="6838" xr:uid="{00000000-0005-0000-0000-00004B8A0000}"/>
    <cellStyle name="Normal 3 3 2 2 13 4 2" xfId="14583" xr:uid="{00000000-0005-0000-0000-00004C8A0000}"/>
    <cellStyle name="Normal 3 3 2 2 13 4 2 2" xfId="30175" xr:uid="{00000000-0005-0000-0000-00004D8A0000}"/>
    <cellStyle name="Normal 3 3 2 2 13 4 2 3" xfId="45667" xr:uid="{00000000-0005-0000-0000-00004E8A0000}"/>
    <cellStyle name="Normal 3 3 2 2 13 4 3" xfId="22435" xr:uid="{00000000-0005-0000-0000-00004F8A0000}"/>
    <cellStyle name="Normal 3 3 2 2 13 4 4" xfId="37927" xr:uid="{00000000-0005-0000-0000-0000508A0000}"/>
    <cellStyle name="Normal 3 3 2 2 13 5" xfId="10713" xr:uid="{00000000-0005-0000-0000-0000518A0000}"/>
    <cellStyle name="Normal 3 3 2 2 13 5 2" xfId="26305" xr:uid="{00000000-0005-0000-0000-0000528A0000}"/>
    <cellStyle name="Normal 3 3 2 2 13 5 3" xfId="41797" xr:uid="{00000000-0005-0000-0000-0000538A0000}"/>
    <cellStyle name="Normal 3 3 2 2 13 6" xfId="18565" xr:uid="{00000000-0005-0000-0000-0000548A0000}"/>
    <cellStyle name="Normal 3 3 2 2 13 7" xfId="34057" xr:uid="{00000000-0005-0000-0000-0000558A0000}"/>
    <cellStyle name="Normal 3 3 2 2 14" xfId="2935" xr:uid="{00000000-0005-0000-0000-0000568A0000}"/>
    <cellStyle name="Normal 3 3 2 2 14 2" xfId="3939" xr:uid="{00000000-0005-0000-0000-0000578A0000}"/>
    <cellStyle name="Normal 3 3 2 2 14 2 2" xfId="5878" xr:uid="{00000000-0005-0000-0000-0000588A0000}"/>
    <cellStyle name="Normal 3 3 2 2 14 2 2 2" xfId="9749" xr:uid="{00000000-0005-0000-0000-0000598A0000}"/>
    <cellStyle name="Normal 3 3 2 2 14 2 2 2 2" xfId="17494" xr:uid="{00000000-0005-0000-0000-00005A8A0000}"/>
    <cellStyle name="Normal 3 3 2 2 14 2 2 2 2 2" xfId="33086" xr:uid="{00000000-0005-0000-0000-00005B8A0000}"/>
    <cellStyle name="Normal 3 3 2 2 14 2 2 2 2 3" xfId="48578" xr:uid="{00000000-0005-0000-0000-00005C8A0000}"/>
    <cellStyle name="Normal 3 3 2 2 14 2 2 2 3" xfId="25346" xr:uid="{00000000-0005-0000-0000-00005D8A0000}"/>
    <cellStyle name="Normal 3 3 2 2 14 2 2 2 4" xfId="40838" xr:uid="{00000000-0005-0000-0000-00005E8A0000}"/>
    <cellStyle name="Normal 3 3 2 2 14 2 2 3" xfId="13624" xr:uid="{00000000-0005-0000-0000-00005F8A0000}"/>
    <cellStyle name="Normal 3 3 2 2 14 2 2 3 2" xfId="29216" xr:uid="{00000000-0005-0000-0000-0000608A0000}"/>
    <cellStyle name="Normal 3 3 2 2 14 2 2 3 3" xfId="44708" xr:uid="{00000000-0005-0000-0000-0000618A0000}"/>
    <cellStyle name="Normal 3 3 2 2 14 2 2 4" xfId="21476" xr:uid="{00000000-0005-0000-0000-0000628A0000}"/>
    <cellStyle name="Normal 3 3 2 2 14 2 2 5" xfId="36968" xr:uid="{00000000-0005-0000-0000-0000638A0000}"/>
    <cellStyle name="Normal 3 3 2 2 14 2 3" xfId="7822" xr:uid="{00000000-0005-0000-0000-0000648A0000}"/>
    <cellStyle name="Normal 3 3 2 2 14 2 3 2" xfId="15567" xr:uid="{00000000-0005-0000-0000-0000658A0000}"/>
    <cellStyle name="Normal 3 3 2 2 14 2 3 2 2" xfId="31159" xr:uid="{00000000-0005-0000-0000-0000668A0000}"/>
    <cellStyle name="Normal 3 3 2 2 14 2 3 2 3" xfId="46651" xr:uid="{00000000-0005-0000-0000-0000678A0000}"/>
    <cellStyle name="Normal 3 3 2 2 14 2 3 3" xfId="23419" xr:uid="{00000000-0005-0000-0000-0000688A0000}"/>
    <cellStyle name="Normal 3 3 2 2 14 2 3 4" xfId="38911" xr:uid="{00000000-0005-0000-0000-0000698A0000}"/>
    <cellStyle name="Normal 3 3 2 2 14 2 4" xfId="11697" xr:uid="{00000000-0005-0000-0000-00006A8A0000}"/>
    <cellStyle name="Normal 3 3 2 2 14 2 4 2" xfId="27289" xr:uid="{00000000-0005-0000-0000-00006B8A0000}"/>
    <cellStyle name="Normal 3 3 2 2 14 2 4 3" xfId="42781" xr:uid="{00000000-0005-0000-0000-00006C8A0000}"/>
    <cellStyle name="Normal 3 3 2 2 14 2 5" xfId="19549" xr:uid="{00000000-0005-0000-0000-00006D8A0000}"/>
    <cellStyle name="Normal 3 3 2 2 14 2 6" xfId="35041" xr:uid="{00000000-0005-0000-0000-00006E8A0000}"/>
    <cellStyle name="Normal 3 3 2 2 14 3" xfId="4930" xr:uid="{00000000-0005-0000-0000-00006F8A0000}"/>
    <cellStyle name="Normal 3 3 2 2 14 3 2" xfId="8801" xr:uid="{00000000-0005-0000-0000-0000708A0000}"/>
    <cellStyle name="Normal 3 3 2 2 14 3 2 2" xfId="16546" xr:uid="{00000000-0005-0000-0000-0000718A0000}"/>
    <cellStyle name="Normal 3 3 2 2 14 3 2 2 2" xfId="32138" xr:uid="{00000000-0005-0000-0000-0000728A0000}"/>
    <cellStyle name="Normal 3 3 2 2 14 3 2 2 3" xfId="47630" xr:uid="{00000000-0005-0000-0000-0000738A0000}"/>
    <cellStyle name="Normal 3 3 2 2 14 3 2 3" xfId="24398" xr:uid="{00000000-0005-0000-0000-0000748A0000}"/>
    <cellStyle name="Normal 3 3 2 2 14 3 2 4" xfId="39890" xr:uid="{00000000-0005-0000-0000-0000758A0000}"/>
    <cellStyle name="Normal 3 3 2 2 14 3 3" xfId="12676" xr:uid="{00000000-0005-0000-0000-0000768A0000}"/>
    <cellStyle name="Normal 3 3 2 2 14 3 3 2" xfId="28268" xr:uid="{00000000-0005-0000-0000-0000778A0000}"/>
    <cellStyle name="Normal 3 3 2 2 14 3 3 3" xfId="43760" xr:uid="{00000000-0005-0000-0000-0000788A0000}"/>
    <cellStyle name="Normal 3 3 2 2 14 3 4" xfId="20528" xr:uid="{00000000-0005-0000-0000-0000798A0000}"/>
    <cellStyle name="Normal 3 3 2 2 14 3 5" xfId="36020" xr:uid="{00000000-0005-0000-0000-00007A8A0000}"/>
    <cellStyle name="Normal 3 3 2 2 14 4" xfId="6874" xr:uid="{00000000-0005-0000-0000-00007B8A0000}"/>
    <cellStyle name="Normal 3 3 2 2 14 4 2" xfId="14619" xr:uid="{00000000-0005-0000-0000-00007C8A0000}"/>
    <cellStyle name="Normal 3 3 2 2 14 4 2 2" xfId="30211" xr:uid="{00000000-0005-0000-0000-00007D8A0000}"/>
    <cellStyle name="Normal 3 3 2 2 14 4 2 3" xfId="45703" xr:uid="{00000000-0005-0000-0000-00007E8A0000}"/>
    <cellStyle name="Normal 3 3 2 2 14 4 3" xfId="22471" xr:uid="{00000000-0005-0000-0000-00007F8A0000}"/>
    <cellStyle name="Normal 3 3 2 2 14 4 4" xfId="37963" xr:uid="{00000000-0005-0000-0000-0000808A0000}"/>
    <cellStyle name="Normal 3 3 2 2 14 5" xfId="10749" xr:uid="{00000000-0005-0000-0000-0000818A0000}"/>
    <cellStyle name="Normal 3 3 2 2 14 5 2" xfId="26341" xr:uid="{00000000-0005-0000-0000-0000828A0000}"/>
    <cellStyle name="Normal 3 3 2 2 14 5 3" xfId="41833" xr:uid="{00000000-0005-0000-0000-0000838A0000}"/>
    <cellStyle name="Normal 3 3 2 2 14 6" xfId="18601" xr:uid="{00000000-0005-0000-0000-0000848A0000}"/>
    <cellStyle name="Normal 3 3 2 2 14 7" xfId="34093" xr:uid="{00000000-0005-0000-0000-0000858A0000}"/>
    <cellStyle name="Normal 3 3 2 2 15" xfId="2974" xr:uid="{00000000-0005-0000-0000-0000868A0000}"/>
    <cellStyle name="Normal 3 3 2 2 15 2" xfId="3975" xr:uid="{00000000-0005-0000-0000-0000878A0000}"/>
    <cellStyle name="Normal 3 3 2 2 15 2 2" xfId="5914" xr:uid="{00000000-0005-0000-0000-0000888A0000}"/>
    <cellStyle name="Normal 3 3 2 2 15 2 2 2" xfId="9785" xr:uid="{00000000-0005-0000-0000-0000898A0000}"/>
    <cellStyle name="Normal 3 3 2 2 15 2 2 2 2" xfId="17530" xr:uid="{00000000-0005-0000-0000-00008A8A0000}"/>
    <cellStyle name="Normal 3 3 2 2 15 2 2 2 2 2" xfId="33122" xr:uid="{00000000-0005-0000-0000-00008B8A0000}"/>
    <cellStyle name="Normal 3 3 2 2 15 2 2 2 2 3" xfId="48614" xr:uid="{00000000-0005-0000-0000-00008C8A0000}"/>
    <cellStyle name="Normal 3 3 2 2 15 2 2 2 3" xfId="25382" xr:uid="{00000000-0005-0000-0000-00008D8A0000}"/>
    <cellStyle name="Normal 3 3 2 2 15 2 2 2 4" xfId="40874" xr:uid="{00000000-0005-0000-0000-00008E8A0000}"/>
    <cellStyle name="Normal 3 3 2 2 15 2 2 3" xfId="13660" xr:uid="{00000000-0005-0000-0000-00008F8A0000}"/>
    <cellStyle name="Normal 3 3 2 2 15 2 2 3 2" xfId="29252" xr:uid="{00000000-0005-0000-0000-0000908A0000}"/>
    <cellStyle name="Normal 3 3 2 2 15 2 2 3 3" xfId="44744" xr:uid="{00000000-0005-0000-0000-0000918A0000}"/>
    <cellStyle name="Normal 3 3 2 2 15 2 2 4" xfId="21512" xr:uid="{00000000-0005-0000-0000-0000928A0000}"/>
    <cellStyle name="Normal 3 3 2 2 15 2 2 5" xfId="37004" xr:uid="{00000000-0005-0000-0000-0000938A0000}"/>
    <cellStyle name="Normal 3 3 2 2 15 2 3" xfId="7858" xr:uid="{00000000-0005-0000-0000-0000948A0000}"/>
    <cellStyle name="Normal 3 3 2 2 15 2 3 2" xfId="15603" xr:uid="{00000000-0005-0000-0000-0000958A0000}"/>
    <cellStyle name="Normal 3 3 2 2 15 2 3 2 2" xfId="31195" xr:uid="{00000000-0005-0000-0000-0000968A0000}"/>
    <cellStyle name="Normal 3 3 2 2 15 2 3 2 3" xfId="46687" xr:uid="{00000000-0005-0000-0000-0000978A0000}"/>
    <cellStyle name="Normal 3 3 2 2 15 2 3 3" xfId="23455" xr:uid="{00000000-0005-0000-0000-0000988A0000}"/>
    <cellStyle name="Normal 3 3 2 2 15 2 3 4" xfId="38947" xr:uid="{00000000-0005-0000-0000-0000998A0000}"/>
    <cellStyle name="Normal 3 3 2 2 15 2 4" xfId="11733" xr:uid="{00000000-0005-0000-0000-00009A8A0000}"/>
    <cellStyle name="Normal 3 3 2 2 15 2 4 2" xfId="27325" xr:uid="{00000000-0005-0000-0000-00009B8A0000}"/>
    <cellStyle name="Normal 3 3 2 2 15 2 4 3" xfId="42817" xr:uid="{00000000-0005-0000-0000-00009C8A0000}"/>
    <cellStyle name="Normal 3 3 2 2 15 2 5" xfId="19585" xr:uid="{00000000-0005-0000-0000-00009D8A0000}"/>
    <cellStyle name="Normal 3 3 2 2 15 2 6" xfId="35077" xr:uid="{00000000-0005-0000-0000-00009E8A0000}"/>
    <cellStyle name="Normal 3 3 2 2 15 3" xfId="4966" xr:uid="{00000000-0005-0000-0000-00009F8A0000}"/>
    <cellStyle name="Normal 3 3 2 2 15 3 2" xfId="8837" xr:uid="{00000000-0005-0000-0000-0000A08A0000}"/>
    <cellStyle name="Normal 3 3 2 2 15 3 2 2" xfId="16582" xr:uid="{00000000-0005-0000-0000-0000A18A0000}"/>
    <cellStyle name="Normal 3 3 2 2 15 3 2 2 2" xfId="32174" xr:uid="{00000000-0005-0000-0000-0000A28A0000}"/>
    <cellStyle name="Normal 3 3 2 2 15 3 2 2 3" xfId="47666" xr:uid="{00000000-0005-0000-0000-0000A38A0000}"/>
    <cellStyle name="Normal 3 3 2 2 15 3 2 3" xfId="24434" xr:uid="{00000000-0005-0000-0000-0000A48A0000}"/>
    <cellStyle name="Normal 3 3 2 2 15 3 2 4" xfId="39926" xr:uid="{00000000-0005-0000-0000-0000A58A0000}"/>
    <cellStyle name="Normal 3 3 2 2 15 3 3" xfId="12712" xr:uid="{00000000-0005-0000-0000-0000A68A0000}"/>
    <cellStyle name="Normal 3 3 2 2 15 3 3 2" xfId="28304" xr:uid="{00000000-0005-0000-0000-0000A78A0000}"/>
    <cellStyle name="Normal 3 3 2 2 15 3 3 3" xfId="43796" xr:uid="{00000000-0005-0000-0000-0000A88A0000}"/>
    <cellStyle name="Normal 3 3 2 2 15 3 4" xfId="20564" xr:uid="{00000000-0005-0000-0000-0000A98A0000}"/>
    <cellStyle name="Normal 3 3 2 2 15 3 5" xfId="36056" xr:uid="{00000000-0005-0000-0000-0000AA8A0000}"/>
    <cellStyle name="Normal 3 3 2 2 15 4" xfId="6910" xr:uid="{00000000-0005-0000-0000-0000AB8A0000}"/>
    <cellStyle name="Normal 3 3 2 2 15 4 2" xfId="14655" xr:uid="{00000000-0005-0000-0000-0000AC8A0000}"/>
    <cellStyle name="Normal 3 3 2 2 15 4 2 2" xfId="30247" xr:uid="{00000000-0005-0000-0000-0000AD8A0000}"/>
    <cellStyle name="Normal 3 3 2 2 15 4 2 3" xfId="45739" xr:uid="{00000000-0005-0000-0000-0000AE8A0000}"/>
    <cellStyle name="Normal 3 3 2 2 15 4 3" xfId="22507" xr:uid="{00000000-0005-0000-0000-0000AF8A0000}"/>
    <cellStyle name="Normal 3 3 2 2 15 4 4" xfId="37999" xr:uid="{00000000-0005-0000-0000-0000B08A0000}"/>
    <cellStyle name="Normal 3 3 2 2 15 5" xfId="10785" xr:uid="{00000000-0005-0000-0000-0000B18A0000}"/>
    <cellStyle name="Normal 3 3 2 2 15 5 2" xfId="26377" xr:uid="{00000000-0005-0000-0000-0000B28A0000}"/>
    <cellStyle name="Normal 3 3 2 2 15 5 3" xfId="41869" xr:uid="{00000000-0005-0000-0000-0000B38A0000}"/>
    <cellStyle name="Normal 3 3 2 2 15 6" xfId="18637" xr:uid="{00000000-0005-0000-0000-0000B48A0000}"/>
    <cellStyle name="Normal 3 3 2 2 15 7" xfId="34129" xr:uid="{00000000-0005-0000-0000-0000B58A0000}"/>
    <cellStyle name="Normal 3 3 2 2 16" xfId="3014" xr:uid="{00000000-0005-0000-0000-0000B68A0000}"/>
    <cellStyle name="Normal 3 3 2 2 16 2" xfId="4011" xr:uid="{00000000-0005-0000-0000-0000B78A0000}"/>
    <cellStyle name="Normal 3 3 2 2 16 2 2" xfId="5950" xr:uid="{00000000-0005-0000-0000-0000B88A0000}"/>
    <cellStyle name="Normal 3 3 2 2 16 2 2 2" xfId="9821" xr:uid="{00000000-0005-0000-0000-0000B98A0000}"/>
    <cellStyle name="Normal 3 3 2 2 16 2 2 2 2" xfId="17566" xr:uid="{00000000-0005-0000-0000-0000BA8A0000}"/>
    <cellStyle name="Normal 3 3 2 2 16 2 2 2 2 2" xfId="33158" xr:uid="{00000000-0005-0000-0000-0000BB8A0000}"/>
    <cellStyle name="Normal 3 3 2 2 16 2 2 2 2 3" xfId="48650" xr:uid="{00000000-0005-0000-0000-0000BC8A0000}"/>
    <cellStyle name="Normal 3 3 2 2 16 2 2 2 3" xfId="25418" xr:uid="{00000000-0005-0000-0000-0000BD8A0000}"/>
    <cellStyle name="Normal 3 3 2 2 16 2 2 2 4" xfId="40910" xr:uid="{00000000-0005-0000-0000-0000BE8A0000}"/>
    <cellStyle name="Normal 3 3 2 2 16 2 2 3" xfId="13696" xr:uid="{00000000-0005-0000-0000-0000BF8A0000}"/>
    <cellStyle name="Normal 3 3 2 2 16 2 2 3 2" xfId="29288" xr:uid="{00000000-0005-0000-0000-0000C08A0000}"/>
    <cellStyle name="Normal 3 3 2 2 16 2 2 3 3" xfId="44780" xr:uid="{00000000-0005-0000-0000-0000C18A0000}"/>
    <cellStyle name="Normal 3 3 2 2 16 2 2 4" xfId="21548" xr:uid="{00000000-0005-0000-0000-0000C28A0000}"/>
    <cellStyle name="Normal 3 3 2 2 16 2 2 5" xfId="37040" xr:uid="{00000000-0005-0000-0000-0000C38A0000}"/>
    <cellStyle name="Normal 3 3 2 2 16 2 3" xfId="7894" xr:uid="{00000000-0005-0000-0000-0000C48A0000}"/>
    <cellStyle name="Normal 3 3 2 2 16 2 3 2" xfId="15639" xr:uid="{00000000-0005-0000-0000-0000C58A0000}"/>
    <cellStyle name="Normal 3 3 2 2 16 2 3 2 2" xfId="31231" xr:uid="{00000000-0005-0000-0000-0000C68A0000}"/>
    <cellStyle name="Normal 3 3 2 2 16 2 3 2 3" xfId="46723" xr:uid="{00000000-0005-0000-0000-0000C78A0000}"/>
    <cellStyle name="Normal 3 3 2 2 16 2 3 3" xfId="23491" xr:uid="{00000000-0005-0000-0000-0000C88A0000}"/>
    <cellStyle name="Normal 3 3 2 2 16 2 3 4" xfId="38983" xr:uid="{00000000-0005-0000-0000-0000C98A0000}"/>
    <cellStyle name="Normal 3 3 2 2 16 2 4" xfId="11769" xr:uid="{00000000-0005-0000-0000-0000CA8A0000}"/>
    <cellStyle name="Normal 3 3 2 2 16 2 4 2" xfId="27361" xr:uid="{00000000-0005-0000-0000-0000CB8A0000}"/>
    <cellStyle name="Normal 3 3 2 2 16 2 4 3" xfId="42853" xr:uid="{00000000-0005-0000-0000-0000CC8A0000}"/>
    <cellStyle name="Normal 3 3 2 2 16 2 5" xfId="19621" xr:uid="{00000000-0005-0000-0000-0000CD8A0000}"/>
    <cellStyle name="Normal 3 3 2 2 16 2 6" xfId="35113" xr:uid="{00000000-0005-0000-0000-0000CE8A0000}"/>
    <cellStyle name="Normal 3 3 2 2 16 3" xfId="5002" xr:uid="{00000000-0005-0000-0000-0000CF8A0000}"/>
    <cellStyle name="Normal 3 3 2 2 16 3 2" xfId="8873" xr:uid="{00000000-0005-0000-0000-0000D08A0000}"/>
    <cellStyle name="Normal 3 3 2 2 16 3 2 2" xfId="16618" xr:uid="{00000000-0005-0000-0000-0000D18A0000}"/>
    <cellStyle name="Normal 3 3 2 2 16 3 2 2 2" xfId="32210" xr:uid="{00000000-0005-0000-0000-0000D28A0000}"/>
    <cellStyle name="Normal 3 3 2 2 16 3 2 2 3" xfId="47702" xr:uid="{00000000-0005-0000-0000-0000D38A0000}"/>
    <cellStyle name="Normal 3 3 2 2 16 3 2 3" xfId="24470" xr:uid="{00000000-0005-0000-0000-0000D48A0000}"/>
    <cellStyle name="Normal 3 3 2 2 16 3 2 4" xfId="39962" xr:uid="{00000000-0005-0000-0000-0000D58A0000}"/>
    <cellStyle name="Normal 3 3 2 2 16 3 3" xfId="12748" xr:uid="{00000000-0005-0000-0000-0000D68A0000}"/>
    <cellStyle name="Normal 3 3 2 2 16 3 3 2" xfId="28340" xr:uid="{00000000-0005-0000-0000-0000D78A0000}"/>
    <cellStyle name="Normal 3 3 2 2 16 3 3 3" xfId="43832" xr:uid="{00000000-0005-0000-0000-0000D88A0000}"/>
    <cellStyle name="Normal 3 3 2 2 16 3 4" xfId="20600" xr:uid="{00000000-0005-0000-0000-0000D98A0000}"/>
    <cellStyle name="Normal 3 3 2 2 16 3 5" xfId="36092" xr:uid="{00000000-0005-0000-0000-0000DA8A0000}"/>
    <cellStyle name="Normal 3 3 2 2 16 4" xfId="6946" xr:uid="{00000000-0005-0000-0000-0000DB8A0000}"/>
    <cellStyle name="Normal 3 3 2 2 16 4 2" xfId="14691" xr:uid="{00000000-0005-0000-0000-0000DC8A0000}"/>
    <cellStyle name="Normal 3 3 2 2 16 4 2 2" xfId="30283" xr:uid="{00000000-0005-0000-0000-0000DD8A0000}"/>
    <cellStyle name="Normal 3 3 2 2 16 4 2 3" xfId="45775" xr:uid="{00000000-0005-0000-0000-0000DE8A0000}"/>
    <cellStyle name="Normal 3 3 2 2 16 4 3" xfId="22543" xr:uid="{00000000-0005-0000-0000-0000DF8A0000}"/>
    <cellStyle name="Normal 3 3 2 2 16 4 4" xfId="38035" xr:uid="{00000000-0005-0000-0000-0000E08A0000}"/>
    <cellStyle name="Normal 3 3 2 2 16 5" xfId="10821" xr:uid="{00000000-0005-0000-0000-0000E18A0000}"/>
    <cellStyle name="Normal 3 3 2 2 16 5 2" xfId="26413" xr:uid="{00000000-0005-0000-0000-0000E28A0000}"/>
    <cellStyle name="Normal 3 3 2 2 16 5 3" xfId="41905" xr:uid="{00000000-0005-0000-0000-0000E38A0000}"/>
    <cellStyle name="Normal 3 3 2 2 16 6" xfId="18673" xr:uid="{00000000-0005-0000-0000-0000E48A0000}"/>
    <cellStyle name="Normal 3 3 2 2 16 7" xfId="34165" xr:uid="{00000000-0005-0000-0000-0000E58A0000}"/>
    <cellStyle name="Normal 3 3 2 2 17" xfId="3052" xr:uid="{00000000-0005-0000-0000-0000E68A0000}"/>
    <cellStyle name="Normal 3 3 2 2 17 2" xfId="4047" xr:uid="{00000000-0005-0000-0000-0000E78A0000}"/>
    <cellStyle name="Normal 3 3 2 2 17 2 2" xfId="5986" xr:uid="{00000000-0005-0000-0000-0000E88A0000}"/>
    <cellStyle name="Normal 3 3 2 2 17 2 2 2" xfId="9857" xr:uid="{00000000-0005-0000-0000-0000E98A0000}"/>
    <cellStyle name="Normal 3 3 2 2 17 2 2 2 2" xfId="17602" xr:uid="{00000000-0005-0000-0000-0000EA8A0000}"/>
    <cellStyle name="Normal 3 3 2 2 17 2 2 2 2 2" xfId="33194" xr:uid="{00000000-0005-0000-0000-0000EB8A0000}"/>
    <cellStyle name="Normal 3 3 2 2 17 2 2 2 2 3" xfId="48686" xr:uid="{00000000-0005-0000-0000-0000EC8A0000}"/>
    <cellStyle name="Normal 3 3 2 2 17 2 2 2 3" xfId="25454" xr:uid="{00000000-0005-0000-0000-0000ED8A0000}"/>
    <cellStyle name="Normal 3 3 2 2 17 2 2 2 4" xfId="40946" xr:uid="{00000000-0005-0000-0000-0000EE8A0000}"/>
    <cellStyle name="Normal 3 3 2 2 17 2 2 3" xfId="13732" xr:uid="{00000000-0005-0000-0000-0000EF8A0000}"/>
    <cellStyle name="Normal 3 3 2 2 17 2 2 3 2" xfId="29324" xr:uid="{00000000-0005-0000-0000-0000F08A0000}"/>
    <cellStyle name="Normal 3 3 2 2 17 2 2 3 3" xfId="44816" xr:uid="{00000000-0005-0000-0000-0000F18A0000}"/>
    <cellStyle name="Normal 3 3 2 2 17 2 2 4" xfId="21584" xr:uid="{00000000-0005-0000-0000-0000F28A0000}"/>
    <cellStyle name="Normal 3 3 2 2 17 2 2 5" xfId="37076" xr:uid="{00000000-0005-0000-0000-0000F38A0000}"/>
    <cellStyle name="Normal 3 3 2 2 17 2 3" xfId="7930" xr:uid="{00000000-0005-0000-0000-0000F48A0000}"/>
    <cellStyle name="Normal 3 3 2 2 17 2 3 2" xfId="15675" xr:uid="{00000000-0005-0000-0000-0000F58A0000}"/>
    <cellStyle name="Normal 3 3 2 2 17 2 3 2 2" xfId="31267" xr:uid="{00000000-0005-0000-0000-0000F68A0000}"/>
    <cellStyle name="Normal 3 3 2 2 17 2 3 2 3" xfId="46759" xr:uid="{00000000-0005-0000-0000-0000F78A0000}"/>
    <cellStyle name="Normal 3 3 2 2 17 2 3 3" xfId="23527" xr:uid="{00000000-0005-0000-0000-0000F88A0000}"/>
    <cellStyle name="Normal 3 3 2 2 17 2 3 4" xfId="39019" xr:uid="{00000000-0005-0000-0000-0000F98A0000}"/>
    <cellStyle name="Normal 3 3 2 2 17 2 4" xfId="11805" xr:uid="{00000000-0005-0000-0000-0000FA8A0000}"/>
    <cellStyle name="Normal 3 3 2 2 17 2 4 2" xfId="27397" xr:uid="{00000000-0005-0000-0000-0000FB8A0000}"/>
    <cellStyle name="Normal 3 3 2 2 17 2 4 3" xfId="42889" xr:uid="{00000000-0005-0000-0000-0000FC8A0000}"/>
    <cellStyle name="Normal 3 3 2 2 17 2 5" xfId="19657" xr:uid="{00000000-0005-0000-0000-0000FD8A0000}"/>
    <cellStyle name="Normal 3 3 2 2 17 2 6" xfId="35149" xr:uid="{00000000-0005-0000-0000-0000FE8A0000}"/>
    <cellStyle name="Normal 3 3 2 2 17 3" xfId="5038" xr:uid="{00000000-0005-0000-0000-0000FF8A0000}"/>
    <cellStyle name="Normal 3 3 2 2 17 3 2" xfId="8909" xr:uid="{00000000-0005-0000-0000-0000008B0000}"/>
    <cellStyle name="Normal 3 3 2 2 17 3 2 2" xfId="16654" xr:uid="{00000000-0005-0000-0000-0000018B0000}"/>
    <cellStyle name="Normal 3 3 2 2 17 3 2 2 2" xfId="32246" xr:uid="{00000000-0005-0000-0000-0000028B0000}"/>
    <cellStyle name="Normal 3 3 2 2 17 3 2 2 3" xfId="47738" xr:uid="{00000000-0005-0000-0000-0000038B0000}"/>
    <cellStyle name="Normal 3 3 2 2 17 3 2 3" xfId="24506" xr:uid="{00000000-0005-0000-0000-0000048B0000}"/>
    <cellStyle name="Normal 3 3 2 2 17 3 2 4" xfId="39998" xr:uid="{00000000-0005-0000-0000-0000058B0000}"/>
    <cellStyle name="Normal 3 3 2 2 17 3 3" xfId="12784" xr:uid="{00000000-0005-0000-0000-0000068B0000}"/>
    <cellStyle name="Normal 3 3 2 2 17 3 3 2" xfId="28376" xr:uid="{00000000-0005-0000-0000-0000078B0000}"/>
    <cellStyle name="Normal 3 3 2 2 17 3 3 3" xfId="43868" xr:uid="{00000000-0005-0000-0000-0000088B0000}"/>
    <cellStyle name="Normal 3 3 2 2 17 3 4" xfId="20636" xr:uid="{00000000-0005-0000-0000-0000098B0000}"/>
    <cellStyle name="Normal 3 3 2 2 17 3 5" xfId="36128" xr:uid="{00000000-0005-0000-0000-00000A8B0000}"/>
    <cellStyle name="Normal 3 3 2 2 17 4" xfId="6982" xr:uid="{00000000-0005-0000-0000-00000B8B0000}"/>
    <cellStyle name="Normal 3 3 2 2 17 4 2" xfId="14727" xr:uid="{00000000-0005-0000-0000-00000C8B0000}"/>
    <cellStyle name="Normal 3 3 2 2 17 4 2 2" xfId="30319" xr:uid="{00000000-0005-0000-0000-00000D8B0000}"/>
    <cellStyle name="Normal 3 3 2 2 17 4 2 3" xfId="45811" xr:uid="{00000000-0005-0000-0000-00000E8B0000}"/>
    <cellStyle name="Normal 3 3 2 2 17 4 3" xfId="22579" xr:uid="{00000000-0005-0000-0000-00000F8B0000}"/>
    <cellStyle name="Normal 3 3 2 2 17 4 4" xfId="38071" xr:uid="{00000000-0005-0000-0000-0000108B0000}"/>
    <cellStyle name="Normal 3 3 2 2 17 5" xfId="10857" xr:uid="{00000000-0005-0000-0000-0000118B0000}"/>
    <cellStyle name="Normal 3 3 2 2 17 5 2" xfId="26449" xr:uid="{00000000-0005-0000-0000-0000128B0000}"/>
    <cellStyle name="Normal 3 3 2 2 17 5 3" xfId="41941" xr:uid="{00000000-0005-0000-0000-0000138B0000}"/>
    <cellStyle name="Normal 3 3 2 2 17 6" xfId="18709" xr:uid="{00000000-0005-0000-0000-0000148B0000}"/>
    <cellStyle name="Normal 3 3 2 2 17 7" xfId="34201" xr:uid="{00000000-0005-0000-0000-0000158B0000}"/>
    <cellStyle name="Normal 3 3 2 2 18" xfId="3089" xr:uid="{00000000-0005-0000-0000-0000168B0000}"/>
    <cellStyle name="Normal 3 3 2 2 18 2" xfId="4083" xr:uid="{00000000-0005-0000-0000-0000178B0000}"/>
    <cellStyle name="Normal 3 3 2 2 18 2 2" xfId="6022" xr:uid="{00000000-0005-0000-0000-0000188B0000}"/>
    <cellStyle name="Normal 3 3 2 2 18 2 2 2" xfId="9893" xr:uid="{00000000-0005-0000-0000-0000198B0000}"/>
    <cellStyle name="Normal 3 3 2 2 18 2 2 2 2" xfId="17638" xr:uid="{00000000-0005-0000-0000-00001A8B0000}"/>
    <cellStyle name="Normal 3 3 2 2 18 2 2 2 2 2" xfId="33230" xr:uid="{00000000-0005-0000-0000-00001B8B0000}"/>
    <cellStyle name="Normal 3 3 2 2 18 2 2 2 2 3" xfId="48722" xr:uid="{00000000-0005-0000-0000-00001C8B0000}"/>
    <cellStyle name="Normal 3 3 2 2 18 2 2 2 3" xfId="25490" xr:uid="{00000000-0005-0000-0000-00001D8B0000}"/>
    <cellStyle name="Normal 3 3 2 2 18 2 2 2 4" xfId="40982" xr:uid="{00000000-0005-0000-0000-00001E8B0000}"/>
    <cellStyle name="Normal 3 3 2 2 18 2 2 3" xfId="13768" xr:uid="{00000000-0005-0000-0000-00001F8B0000}"/>
    <cellStyle name="Normal 3 3 2 2 18 2 2 3 2" xfId="29360" xr:uid="{00000000-0005-0000-0000-0000208B0000}"/>
    <cellStyle name="Normal 3 3 2 2 18 2 2 3 3" xfId="44852" xr:uid="{00000000-0005-0000-0000-0000218B0000}"/>
    <cellStyle name="Normal 3 3 2 2 18 2 2 4" xfId="21620" xr:uid="{00000000-0005-0000-0000-0000228B0000}"/>
    <cellStyle name="Normal 3 3 2 2 18 2 2 5" xfId="37112" xr:uid="{00000000-0005-0000-0000-0000238B0000}"/>
    <cellStyle name="Normal 3 3 2 2 18 2 3" xfId="7966" xr:uid="{00000000-0005-0000-0000-0000248B0000}"/>
    <cellStyle name="Normal 3 3 2 2 18 2 3 2" xfId="15711" xr:uid="{00000000-0005-0000-0000-0000258B0000}"/>
    <cellStyle name="Normal 3 3 2 2 18 2 3 2 2" xfId="31303" xr:uid="{00000000-0005-0000-0000-0000268B0000}"/>
    <cellStyle name="Normal 3 3 2 2 18 2 3 2 3" xfId="46795" xr:uid="{00000000-0005-0000-0000-0000278B0000}"/>
    <cellStyle name="Normal 3 3 2 2 18 2 3 3" xfId="23563" xr:uid="{00000000-0005-0000-0000-0000288B0000}"/>
    <cellStyle name="Normal 3 3 2 2 18 2 3 4" xfId="39055" xr:uid="{00000000-0005-0000-0000-0000298B0000}"/>
    <cellStyle name="Normal 3 3 2 2 18 2 4" xfId="11841" xr:uid="{00000000-0005-0000-0000-00002A8B0000}"/>
    <cellStyle name="Normal 3 3 2 2 18 2 4 2" xfId="27433" xr:uid="{00000000-0005-0000-0000-00002B8B0000}"/>
    <cellStyle name="Normal 3 3 2 2 18 2 4 3" xfId="42925" xr:uid="{00000000-0005-0000-0000-00002C8B0000}"/>
    <cellStyle name="Normal 3 3 2 2 18 2 5" xfId="19693" xr:uid="{00000000-0005-0000-0000-00002D8B0000}"/>
    <cellStyle name="Normal 3 3 2 2 18 2 6" xfId="35185" xr:uid="{00000000-0005-0000-0000-00002E8B0000}"/>
    <cellStyle name="Normal 3 3 2 2 18 3" xfId="5074" xr:uid="{00000000-0005-0000-0000-00002F8B0000}"/>
    <cellStyle name="Normal 3 3 2 2 18 3 2" xfId="8945" xr:uid="{00000000-0005-0000-0000-0000308B0000}"/>
    <cellStyle name="Normal 3 3 2 2 18 3 2 2" xfId="16690" xr:uid="{00000000-0005-0000-0000-0000318B0000}"/>
    <cellStyle name="Normal 3 3 2 2 18 3 2 2 2" xfId="32282" xr:uid="{00000000-0005-0000-0000-0000328B0000}"/>
    <cellStyle name="Normal 3 3 2 2 18 3 2 2 3" xfId="47774" xr:uid="{00000000-0005-0000-0000-0000338B0000}"/>
    <cellStyle name="Normal 3 3 2 2 18 3 2 3" xfId="24542" xr:uid="{00000000-0005-0000-0000-0000348B0000}"/>
    <cellStyle name="Normal 3 3 2 2 18 3 2 4" xfId="40034" xr:uid="{00000000-0005-0000-0000-0000358B0000}"/>
    <cellStyle name="Normal 3 3 2 2 18 3 3" xfId="12820" xr:uid="{00000000-0005-0000-0000-0000368B0000}"/>
    <cellStyle name="Normal 3 3 2 2 18 3 3 2" xfId="28412" xr:uid="{00000000-0005-0000-0000-0000378B0000}"/>
    <cellStyle name="Normal 3 3 2 2 18 3 3 3" xfId="43904" xr:uid="{00000000-0005-0000-0000-0000388B0000}"/>
    <cellStyle name="Normal 3 3 2 2 18 3 4" xfId="20672" xr:uid="{00000000-0005-0000-0000-0000398B0000}"/>
    <cellStyle name="Normal 3 3 2 2 18 3 5" xfId="36164" xr:uid="{00000000-0005-0000-0000-00003A8B0000}"/>
    <cellStyle name="Normal 3 3 2 2 18 4" xfId="7018" xr:uid="{00000000-0005-0000-0000-00003B8B0000}"/>
    <cellStyle name="Normal 3 3 2 2 18 4 2" xfId="14763" xr:uid="{00000000-0005-0000-0000-00003C8B0000}"/>
    <cellStyle name="Normal 3 3 2 2 18 4 2 2" xfId="30355" xr:uid="{00000000-0005-0000-0000-00003D8B0000}"/>
    <cellStyle name="Normal 3 3 2 2 18 4 2 3" xfId="45847" xr:uid="{00000000-0005-0000-0000-00003E8B0000}"/>
    <cellStyle name="Normal 3 3 2 2 18 4 3" xfId="22615" xr:uid="{00000000-0005-0000-0000-00003F8B0000}"/>
    <cellStyle name="Normal 3 3 2 2 18 4 4" xfId="38107" xr:uid="{00000000-0005-0000-0000-0000408B0000}"/>
    <cellStyle name="Normal 3 3 2 2 18 5" xfId="10893" xr:uid="{00000000-0005-0000-0000-0000418B0000}"/>
    <cellStyle name="Normal 3 3 2 2 18 5 2" xfId="26485" xr:uid="{00000000-0005-0000-0000-0000428B0000}"/>
    <cellStyle name="Normal 3 3 2 2 18 5 3" xfId="41977" xr:uid="{00000000-0005-0000-0000-0000438B0000}"/>
    <cellStyle name="Normal 3 3 2 2 18 6" xfId="18745" xr:uid="{00000000-0005-0000-0000-0000448B0000}"/>
    <cellStyle name="Normal 3 3 2 2 18 7" xfId="34237" xr:uid="{00000000-0005-0000-0000-0000458B0000}"/>
    <cellStyle name="Normal 3 3 2 2 19" xfId="3136" xr:uid="{00000000-0005-0000-0000-0000468B0000}"/>
    <cellStyle name="Normal 3 3 2 2 19 2" xfId="4119" xr:uid="{00000000-0005-0000-0000-0000478B0000}"/>
    <cellStyle name="Normal 3 3 2 2 19 2 2" xfId="6058" xr:uid="{00000000-0005-0000-0000-0000488B0000}"/>
    <cellStyle name="Normal 3 3 2 2 19 2 2 2" xfId="9929" xr:uid="{00000000-0005-0000-0000-0000498B0000}"/>
    <cellStyle name="Normal 3 3 2 2 19 2 2 2 2" xfId="17674" xr:uid="{00000000-0005-0000-0000-00004A8B0000}"/>
    <cellStyle name="Normal 3 3 2 2 19 2 2 2 2 2" xfId="33266" xr:uid="{00000000-0005-0000-0000-00004B8B0000}"/>
    <cellStyle name="Normal 3 3 2 2 19 2 2 2 2 3" xfId="48758" xr:uid="{00000000-0005-0000-0000-00004C8B0000}"/>
    <cellStyle name="Normal 3 3 2 2 19 2 2 2 3" xfId="25526" xr:uid="{00000000-0005-0000-0000-00004D8B0000}"/>
    <cellStyle name="Normal 3 3 2 2 19 2 2 2 4" xfId="41018" xr:uid="{00000000-0005-0000-0000-00004E8B0000}"/>
    <cellStyle name="Normal 3 3 2 2 19 2 2 3" xfId="13804" xr:uid="{00000000-0005-0000-0000-00004F8B0000}"/>
    <cellStyle name="Normal 3 3 2 2 19 2 2 3 2" xfId="29396" xr:uid="{00000000-0005-0000-0000-0000508B0000}"/>
    <cellStyle name="Normal 3 3 2 2 19 2 2 3 3" xfId="44888" xr:uid="{00000000-0005-0000-0000-0000518B0000}"/>
    <cellStyle name="Normal 3 3 2 2 19 2 2 4" xfId="21656" xr:uid="{00000000-0005-0000-0000-0000528B0000}"/>
    <cellStyle name="Normal 3 3 2 2 19 2 2 5" xfId="37148" xr:uid="{00000000-0005-0000-0000-0000538B0000}"/>
    <cellStyle name="Normal 3 3 2 2 19 2 3" xfId="8002" xr:uid="{00000000-0005-0000-0000-0000548B0000}"/>
    <cellStyle name="Normal 3 3 2 2 19 2 3 2" xfId="15747" xr:uid="{00000000-0005-0000-0000-0000558B0000}"/>
    <cellStyle name="Normal 3 3 2 2 19 2 3 2 2" xfId="31339" xr:uid="{00000000-0005-0000-0000-0000568B0000}"/>
    <cellStyle name="Normal 3 3 2 2 19 2 3 2 3" xfId="46831" xr:uid="{00000000-0005-0000-0000-0000578B0000}"/>
    <cellStyle name="Normal 3 3 2 2 19 2 3 3" xfId="23599" xr:uid="{00000000-0005-0000-0000-0000588B0000}"/>
    <cellStyle name="Normal 3 3 2 2 19 2 3 4" xfId="39091" xr:uid="{00000000-0005-0000-0000-0000598B0000}"/>
    <cellStyle name="Normal 3 3 2 2 19 2 4" xfId="11877" xr:uid="{00000000-0005-0000-0000-00005A8B0000}"/>
    <cellStyle name="Normal 3 3 2 2 19 2 4 2" xfId="27469" xr:uid="{00000000-0005-0000-0000-00005B8B0000}"/>
    <cellStyle name="Normal 3 3 2 2 19 2 4 3" xfId="42961" xr:uid="{00000000-0005-0000-0000-00005C8B0000}"/>
    <cellStyle name="Normal 3 3 2 2 19 2 5" xfId="19729" xr:uid="{00000000-0005-0000-0000-00005D8B0000}"/>
    <cellStyle name="Normal 3 3 2 2 19 2 6" xfId="35221" xr:uid="{00000000-0005-0000-0000-00005E8B0000}"/>
    <cellStyle name="Normal 3 3 2 2 19 3" xfId="5110" xr:uid="{00000000-0005-0000-0000-00005F8B0000}"/>
    <cellStyle name="Normal 3 3 2 2 19 3 2" xfId="8981" xr:uid="{00000000-0005-0000-0000-0000608B0000}"/>
    <cellStyle name="Normal 3 3 2 2 19 3 2 2" xfId="16726" xr:uid="{00000000-0005-0000-0000-0000618B0000}"/>
    <cellStyle name="Normal 3 3 2 2 19 3 2 2 2" xfId="32318" xr:uid="{00000000-0005-0000-0000-0000628B0000}"/>
    <cellStyle name="Normal 3 3 2 2 19 3 2 2 3" xfId="47810" xr:uid="{00000000-0005-0000-0000-0000638B0000}"/>
    <cellStyle name="Normal 3 3 2 2 19 3 2 3" xfId="24578" xr:uid="{00000000-0005-0000-0000-0000648B0000}"/>
    <cellStyle name="Normal 3 3 2 2 19 3 2 4" xfId="40070" xr:uid="{00000000-0005-0000-0000-0000658B0000}"/>
    <cellStyle name="Normal 3 3 2 2 19 3 3" xfId="12856" xr:uid="{00000000-0005-0000-0000-0000668B0000}"/>
    <cellStyle name="Normal 3 3 2 2 19 3 3 2" xfId="28448" xr:uid="{00000000-0005-0000-0000-0000678B0000}"/>
    <cellStyle name="Normal 3 3 2 2 19 3 3 3" xfId="43940" xr:uid="{00000000-0005-0000-0000-0000688B0000}"/>
    <cellStyle name="Normal 3 3 2 2 19 3 4" xfId="20708" xr:uid="{00000000-0005-0000-0000-0000698B0000}"/>
    <cellStyle name="Normal 3 3 2 2 19 3 5" xfId="36200" xr:uid="{00000000-0005-0000-0000-00006A8B0000}"/>
    <cellStyle name="Normal 3 3 2 2 19 4" xfId="7054" xr:uid="{00000000-0005-0000-0000-00006B8B0000}"/>
    <cellStyle name="Normal 3 3 2 2 19 4 2" xfId="14799" xr:uid="{00000000-0005-0000-0000-00006C8B0000}"/>
    <cellStyle name="Normal 3 3 2 2 19 4 2 2" xfId="30391" xr:uid="{00000000-0005-0000-0000-00006D8B0000}"/>
    <cellStyle name="Normal 3 3 2 2 19 4 2 3" xfId="45883" xr:uid="{00000000-0005-0000-0000-00006E8B0000}"/>
    <cellStyle name="Normal 3 3 2 2 19 4 3" xfId="22651" xr:uid="{00000000-0005-0000-0000-00006F8B0000}"/>
    <cellStyle name="Normal 3 3 2 2 19 4 4" xfId="38143" xr:uid="{00000000-0005-0000-0000-0000708B0000}"/>
    <cellStyle name="Normal 3 3 2 2 19 5" xfId="10929" xr:uid="{00000000-0005-0000-0000-0000718B0000}"/>
    <cellStyle name="Normal 3 3 2 2 19 5 2" xfId="26521" xr:uid="{00000000-0005-0000-0000-0000728B0000}"/>
    <cellStyle name="Normal 3 3 2 2 19 5 3" xfId="42013" xr:uid="{00000000-0005-0000-0000-0000738B0000}"/>
    <cellStyle name="Normal 3 3 2 2 19 6" xfId="18781" xr:uid="{00000000-0005-0000-0000-0000748B0000}"/>
    <cellStyle name="Normal 3 3 2 2 19 7" xfId="34273" xr:uid="{00000000-0005-0000-0000-0000758B0000}"/>
    <cellStyle name="Normal 3 3 2 2 2" xfId="2198" xr:uid="{00000000-0005-0000-0000-0000768B0000}"/>
    <cellStyle name="Normal 3 3 2 2 2 2" xfId="2531" xr:uid="{00000000-0005-0000-0000-0000778B0000}"/>
    <cellStyle name="Normal 3 3 2 2 2 2 2" xfId="3539" xr:uid="{00000000-0005-0000-0000-0000788B0000}"/>
    <cellStyle name="Normal 3 3 2 2 2 2 2 2" xfId="5478" xr:uid="{00000000-0005-0000-0000-0000798B0000}"/>
    <cellStyle name="Normal 3 3 2 2 2 2 2 2 2" xfId="9349" xr:uid="{00000000-0005-0000-0000-00007A8B0000}"/>
    <cellStyle name="Normal 3 3 2 2 2 2 2 2 2 2" xfId="17094" xr:uid="{00000000-0005-0000-0000-00007B8B0000}"/>
    <cellStyle name="Normal 3 3 2 2 2 2 2 2 2 2 2" xfId="32686" xr:uid="{00000000-0005-0000-0000-00007C8B0000}"/>
    <cellStyle name="Normal 3 3 2 2 2 2 2 2 2 2 3" xfId="48178" xr:uid="{00000000-0005-0000-0000-00007D8B0000}"/>
    <cellStyle name="Normal 3 3 2 2 2 2 2 2 2 3" xfId="24946" xr:uid="{00000000-0005-0000-0000-00007E8B0000}"/>
    <cellStyle name="Normal 3 3 2 2 2 2 2 2 2 4" xfId="40438" xr:uid="{00000000-0005-0000-0000-00007F8B0000}"/>
    <cellStyle name="Normal 3 3 2 2 2 2 2 2 3" xfId="13224" xr:uid="{00000000-0005-0000-0000-0000808B0000}"/>
    <cellStyle name="Normal 3 3 2 2 2 2 2 2 3 2" xfId="28816" xr:uid="{00000000-0005-0000-0000-0000818B0000}"/>
    <cellStyle name="Normal 3 3 2 2 2 2 2 2 3 3" xfId="44308" xr:uid="{00000000-0005-0000-0000-0000828B0000}"/>
    <cellStyle name="Normal 3 3 2 2 2 2 2 2 4" xfId="21076" xr:uid="{00000000-0005-0000-0000-0000838B0000}"/>
    <cellStyle name="Normal 3 3 2 2 2 2 2 2 5" xfId="36568" xr:uid="{00000000-0005-0000-0000-0000848B0000}"/>
    <cellStyle name="Normal 3 3 2 2 2 2 2 3" xfId="7422" xr:uid="{00000000-0005-0000-0000-0000858B0000}"/>
    <cellStyle name="Normal 3 3 2 2 2 2 2 3 2" xfId="15167" xr:uid="{00000000-0005-0000-0000-0000868B0000}"/>
    <cellStyle name="Normal 3 3 2 2 2 2 2 3 2 2" xfId="30759" xr:uid="{00000000-0005-0000-0000-0000878B0000}"/>
    <cellStyle name="Normal 3 3 2 2 2 2 2 3 2 3" xfId="46251" xr:uid="{00000000-0005-0000-0000-0000888B0000}"/>
    <cellStyle name="Normal 3 3 2 2 2 2 2 3 3" xfId="23019" xr:uid="{00000000-0005-0000-0000-0000898B0000}"/>
    <cellStyle name="Normal 3 3 2 2 2 2 2 3 4" xfId="38511" xr:uid="{00000000-0005-0000-0000-00008A8B0000}"/>
    <cellStyle name="Normal 3 3 2 2 2 2 2 4" xfId="11297" xr:uid="{00000000-0005-0000-0000-00008B8B0000}"/>
    <cellStyle name="Normal 3 3 2 2 2 2 2 4 2" xfId="26889" xr:uid="{00000000-0005-0000-0000-00008C8B0000}"/>
    <cellStyle name="Normal 3 3 2 2 2 2 2 4 3" xfId="42381" xr:uid="{00000000-0005-0000-0000-00008D8B0000}"/>
    <cellStyle name="Normal 3 3 2 2 2 2 2 5" xfId="19149" xr:uid="{00000000-0005-0000-0000-00008E8B0000}"/>
    <cellStyle name="Normal 3 3 2 2 2 2 2 6" xfId="34641" xr:uid="{00000000-0005-0000-0000-00008F8B0000}"/>
    <cellStyle name="Normal 3 3 2 2 2 2 3" xfId="4530" xr:uid="{00000000-0005-0000-0000-0000908B0000}"/>
    <cellStyle name="Normal 3 3 2 2 2 2 3 2" xfId="8401" xr:uid="{00000000-0005-0000-0000-0000918B0000}"/>
    <cellStyle name="Normal 3 3 2 2 2 2 3 2 2" xfId="16146" xr:uid="{00000000-0005-0000-0000-0000928B0000}"/>
    <cellStyle name="Normal 3 3 2 2 2 2 3 2 2 2" xfId="31738" xr:uid="{00000000-0005-0000-0000-0000938B0000}"/>
    <cellStyle name="Normal 3 3 2 2 2 2 3 2 2 3" xfId="47230" xr:uid="{00000000-0005-0000-0000-0000948B0000}"/>
    <cellStyle name="Normal 3 3 2 2 2 2 3 2 3" xfId="23998" xr:uid="{00000000-0005-0000-0000-0000958B0000}"/>
    <cellStyle name="Normal 3 3 2 2 2 2 3 2 4" xfId="39490" xr:uid="{00000000-0005-0000-0000-0000968B0000}"/>
    <cellStyle name="Normal 3 3 2 2 2 2 3 3" xfId="12276" xr:uid="{00000000-0005-0000-0000-0000978B0000}"/>
    <cellStyle name="Normal 3 3 2 2 2 2 3 3 2" xfId="27868" xr:uid="{00000000-0005-0000-0000-0000988B0000}"/>
    <cellStyle name="Normal 3 3 2 2 2 2 3 3 3" xfId="43360" xr:uid="{00000000-0005-0000-0000-0000998B0000}"/>
    <cellStyle name="Normal 3 3 2 2 2 2 3 4" xfId="20128" xr:uid="{00000000-0005-0000-0000-00009A8B0000}"/>
    <cellStyle name="Normal 3 3 2 2 2 2 3 5" xfId="35620" xr:uid="{00000000-0005-0000-0000-00009B8B0000}"/>
    <cellStyle name="Normal 3 3 2 2 2 2 4" xfId="6474" xr:uid="{00000000-0005-0000-0000-00009C8B0000}"/>
    <cellStyle name="Normal 3 3 2 2 2 2 4 2" xfId="14219" xr:uid="{00000000-0005-0000-0000-00009D8B0000}"/>
    <cellStyle name="Normal 3 3 2 2 2 2 4 2 2" xfId="29811" xr:uid="{00000000-0005-0000-0000-00009E8B0000}"/>
    <cellStyle name="Normal 3 3 2 2 2 2 4 2 3" xfId="45303" xr:uid="{00000000-0005-0000-0000-00009F8B0000}"/>
    <cellStyle name="Normal 3 3 2 2 2 2 4 3" xfId="22071" xr:uid="{00000000-0005-0000-0000-0000A08B0000}"/>
    <cellStyle name="Normal 3 3 2 2 2 2 4 4" xfId="37563" xr:uid="{00000000-0005-0000-0000-0000A18B0000}"/>
    <cellStyle name="Normal 3 3 2 2 2 2 5" xfId="10349" xr:uid="{00000000-0005-0000-0000-0000A28B0000}"/>
    <cellStyle name="Normal 3 3 2 2 2 2 5 2" xfId="25941" xr:uid="{00000000-0005-0000-0000-0000A38B0000}"/>
    <cellStyle name="Normal 3 3 2 2 2 2 5 3" xfId="41433" xr:uid="{00000000-0005-0000-0000-0000A48B0000}"/>
    <cellStyle name="Normal 3 3 2 2 2 2 6" xfId="18201" xr:uid="{00000000-0005-0000-0000-0000A58B0000}"/>
    <cellStyle name="Normal 3 3 2 2 2 2 7" xfId="33693" xr:uid="{00000000-0005-0000-0000-0000A68B0000}"/>
    <cellStyle name="Normal 3 3 2 2 2 3" xfId="3230" xr:uid="{00000000-0005-0000-0000-0000A78B0000}"/>
    <cellStyle name="Normal 3 3 2 2 2 3 2" xfId="5169" xr:uid="{00000000-0005-0000-0000-0000A88B0000}"/>
    <cellStyle name="Normal 3 3 2 2 2 3 2 2" xfId="9040" xr:uid="{00000000-0005-0000-0000-0000A98B0000}"/>
    <cellStyle name="Normal 3 3 2 2 2 3 2 2 2" xfId="16785" xr:uid="{00000000-0005-0000-0000-0000AA8B0000}"/>
    <cellStyle name="Normal 3 3 2 2 2 3 2 2 2 2" xfId="32377" xr:uid="{00000000-0005-0000-0000-0000AB8B0000}"/>
    <cellStyle name="Normal 3 3 2 2 2 3 2 2 2 3" xfId="47869" xr:uid="{00000000-0005-0000-0000-0000AC8B0000}"/>
    <cellStyle name="Normal 3 3 2 2 2 3 2 2 3" xfId="24637" xr:uid="{00000000-0005-0000-0000-0000AD8B0000}"/>
    <cellStyle name="Normal 3 3 2 2 2 3 2 2 4" xfId="40129" xr:uid="{00000000-0005-0000-0000-0000AE8B0000}"/>
    <cellStyle name="Normal 3 3 2 2 2 3 2 3" xfId="12915" xr:uid="{00000000-0005-0000-0000-0000AF8B0000}"/>
    <cellStyle name="Normal 3 3 2 2 2 3 2 3 2" xfId="28507" xr:uid="{00000000-0005-0000-0000-0000B08B0000}"/>
    <cellStyle name="Normal 3 3 2 2 2 3 2 3 3" xfId="43999" xr:uid="{00000000-0005-0000-0000-0000B18B0000}"/>
    <cellStyle name="Normal 3 3 2 2 2 3 2 4" xfId="20767" xr:uid="{00000000-0005-0000-0000-0000B28B0000}"/>
    <cellStyle name="Normal 3 3 2 2 2 3 2 5" xfId="36259" xr:uid="{00000000-0005-0000-0000-0000B38B0000}"/>
    <cellStyle name="Normal 3 3 2 2 2 3 3" xfId="7113" xr:uid="{00000000-0005-0000-0000-0000B48B0000}"/>
    <cellStyle name="Normal 3 3 2 2 2 3 3 2" xfId="14858" xr:uid="{00000000-0005-0000-0000-0000B58B0000}"/>
    <cellStyle name="Normal 3 3 2 2 2 3 3 2 2" xfId="30450" xr:uid="{00000000-0005-0000-0000-0000B68B0000}"/>
    <cellStyle name="Normal 3 3 2 2 2 3 3 2 3" xfId="45942" xr:uid="{00000000-0005-0000-0000-0000B78B0000}"/>
    <cellStyle name="Normal 3 3 2 2 2 3 3 3" xfId="22710" xr:uid="{00000000-0005-0000-0000-0000B88B0000}"/>
    <cellStyle name="Normal 3 3 2 2 2 3 3 4" xfId="38202" xr:uid="{00000000-0005-0000-0000-0000B98B0000}"/>
    <cellStyle name="Normal 3 3 2 2 2 3 4" xfId="10988" xr:uid="{00000000-0005-0000-0000-0000BA8B0000}"/>
    <cellStyle name="Normal 3 3 2 2 2 3 4 2" xfId="26580" xr:uid="{00000000-0005-0000-0000-0000BB8B0000}"/>
    <cellStyle name="Normal 3 3 2 2 2 3 4 3" xfId="42072" xr:uid="{00000000-0005-0000-0000-0000BC8B0000}"/>
    <cellStyle name="Normal 3 3 2 2 2 3 5" xfId="18840" xr:uid="{00000000-0005-0000-0000-0000BD8B0000}"/>
    <cellStyle name="Normal 3 3 2 2 2 3 6" xfId="34332" xr:uid="{00000000-0005-0000-0000-0000BE8B0000}"/>
    <cellStyle name="Normal 3 3 2 2 2 4" xfId="4221" xr:uid="{00000000-0005-0000-0000-0000BF8B0000}"/>
    <cellStyle name="Normal 3 3 2 2 2 4 2" xfId="8092" xr:uid="{00000000-0005-0000-0000-0000C08B0000}"/>
    <cellStyle name="Normal 3 3 2 2 2 4 2 2" xfId="15837" xr:uid="{00000000-0005-0000-0000-0000C18B0000}"/>
    <cellStyle name="Normal 3 3 2 2 2 4 2 2 2" xfId="31429" xr:uid="{00000000-0005-0000-0000-0000C28B0000}"/>
    <cellStyle name="Normal 3 3 2 2 2 4 2 2 3" xfId="46921" xr:uid="{00000000-0005-0000-0000-0000C38B0000}"/>
    <cellStyle name="Normal 3 3 2 2 2 4 2 3" xfId="23689" xr:uid="{00000000-0005-0000-0000-0000C48B0000}"/>
    <cellStyle name="Normal 3 3 2 2 2 4 2 4" xfId="39181" xr:uid="{00000000-0005-0000-0000-0000C58B0000}"/>
    <cellStyle name="Normal 3 3 2 2 2 4 3" xfId="11967" xr:uid="{00000000-0005-0000-0000-0000C68B0000}"/>
    <cellStyle name="Normal 3 3 2 2 2 4 3 2" xfId="27559" xr:uid="{00000000-0005-0000-0000-0000C78B0000}"/>
    <cellStyle name="Normal 3 3 2 2 2 4 3 3" xfId="43051" xr:uid="{00000000-0005-0000-0000-0000C88B0000}"/>
    <cellStyle name="Normal 3 3 2 2 2 4 4" xfId="19819" xr:uid="{00000000-0005-0000-0000-0000C98B0000}"/>
    <cellStyle name="Normal 3 3 2 2 2 4 5" xfId="35311" xr:uid="{00000000-0005-0000-0000-0000CA8B0000}"/>
    <cellStyle name="Normal 3 3 2 2 2 5" xfId="6165" xr:uid="{00000000-0005-0000-0000-0000CB8B0000}"/>
    <cellStyle name="Normal 3 3 2 2 2 5 2" xfId="13910" xr:uid="{00000000-0005-0000-0000-0000CC8B0000}"/>
    <cellStyle name="Normal 3 3 2 2 2 5 2 2" xfId="29502" xr:uid="{00000000-0005-0000-0000-0000CD8B0000}"/>
    <cellStyle name="Normal 3 3 2 2 2 5 2 3" xfId="44994" xr:uid="{00000000-0005-0000-0000-0000CE8B0000}"/>
    <cellStyle name="Normal 3 3 2 2 2 5 3" xfId="21762" xr:uid="{00000000-0005-0000-0000-0000CF8B0000}"/>
    <cellStyle name="Normal 3 3 2 2 2 5 4" xfId="37254" xr:uid="{00000000-0005-0000-0000-0000D08B0000}"/>
    <cellStyle name="Normal 3 3 2 2 2 6" xfId="10040" xr:uid="{00000000-0005-0000-0000-0000D18B0000}"/>
    <cellStyle name="Normal 3 3 2 2 2 6 2" xfId="25632" xr:uid="{00000000-0005-0000-0000-0000D28B0000}"/>
    <cellStyle name="Normal 3 3 2 2 2 6 3" xfId="41124" xr:uid="{00000000-0005-0000-0000-0000D38B0000}"/>
    <cellStyle name="Normal 3 3 2 2 2 7" xfId="17892" xr:uid="{00000000-0005-0000-0000-0000D48B0000}"/>
    <cellStyle name="Normal 3 3 2 2 2 8" xfId="33384" xr:uid="{00000000-0005-0000-0000-0000D58B0000}"/>
    <cellStyle name="Normal 3 3 2 2 20" xfId="3195" xr:uid="{00000000-0005-0000-0000-0000D68B0000}"/>
    <cellStyle name="Normal 3 3 2 2 20 2" xfId="5134" xr:uid="{00000000-0005-0000-0000-0000D78B0000}"/>
    <cellStyle name="Normal 3 3 2 2 20 2 2" xfId="9005" xr:uid="{00000000-0005-0000-0000-0000D88B0000}"/>
    <cellStyle name="Normal 3 3 2 2 20 2 2 2" xfId="16750" xr:uid="{00000000-0005-0000-0000-0000D98B0000}"/>
    <cellStyle name="Normal 3 3 2 2 20 2 2 2 2" xfId="32342" xr:uid="{00000000-0005-0000-0000-0000DA8B0000}"/>
    <cellStyle name="Normal 3 3 2 2 20 2 2 2 3" xfId="47834" xr:uid="{00000000-0005-0000-0000-0000DB8B0000}"/>
    <cellStyle name="Normal 3 3 2 2 20 2 2 3" xfId="24602" xr:uid="{00000000-0005-0000-0000-0000DC8B0000}"/>
    <cellStyle name="Normal 3 3 2 2 20 2 2 4" xfId="40094" xr:uid="{00000000-0005-0000-0000-0000DD8B0000}"/>
    <cellStyle name="Normal 3 3 2 2 20 2 3" xfId="12880" xr:uid="{00000000-0005-0000-0000-0000DE8B0000}"/>
    <cellStyle name="Normal 3 3 2 2 20 2 3 2" xfId="28472" xr:uid="{00000000-0005-0000-0000-0000DF8B0000}"/>
    <cellStyle name="Normal 3 3 2 2 20 2 3 3" xfId="43964" xr:uid="{00000000-0005-0000-0000-0000E08B0000}"/>
    <cellStyle name="Normal 3 3 2 2 20 2 4" xfId="20732" xr:uid="{00000000-0005-0000-0000-0000E18B0000}"/>
    <cellStyle name="Normal 3 3 2 2 20 2 5" xfId="36224" xr:uid="{00000000-0005-0000-0000-0000E28B0000}"/>
    <cellStyle name="Normal 3 3 2 2 20 3" xfId="7078" xr:uid="{00000000-0005-0000-0000-0000E38B0000}"/>
    <cellStyle name="Normal 3 3 2 2 20 3 2" xfId="14823" xr:uid="{00000000-0005-0000-0000-0000E48B0000}"/>
    <cellStyle name="Normal 3 3 2 2 20 3 2 2" xfId="30415" xr:uid="{00000000-0005-0000-0000-0000E58B0000}"/>
    <cellStyle name="Normal 3 3 2 2 20 3 2 3" xfId="45907" xr:uid="{00000000-0005-0000-0000-0000E68B0000}"/>
    <cellStyle name="Normal 3 3 2 2 20 3 3" xfId="22675" xr:uid="{00000000-0005-0000-0000-0000E78B0000}"/>
    <cellStyle name="Normal 3 3 2 2 20 3 4" xfId="38167" xr:uid="{00000000-0005-0000-0000-0000E88B0000}"/>
    <cellStyle name="Normal 3 3 2 2 20 4" xfId="10953" xr:uid="{00000000-0005-0000-0000-0000E98B0000}"/>
    <cellStyle name="Normal 3 3 2 2 20 4 2" xfId="26545" xr:uid="{00000000-0005-0000-0000-0000EA8B0000}"/>
    <cellStyle name="Normal 3 3 2 2 20 4 3" xfId="42037" xr:uid="{00000000-0005-0000-0000-0000EB8B0000}"/>
    <cellStyle name="Normal 3 3 2 2 20 5" xfId="18805" xr:uid="{00000000-0005-0000-0000-0000EC8B0000}"/>
    <cellStyle name="Normal 3 3 2 2 20 6" xfId="34297" xr:uid="{00000000-0005-0000-0000-0000ED8B0000}"/>
    <cellStyle name="Normal 3 3 2 2 21" xfId="4141" xr:uid="{00000000-0005-0000-0000-0000EE8B0000}"/>
    <cellStyle name="Normal 3 3 2 2 21 2" xfId="6079" xr:uid="{00000000-0005-0000-0000-0000EF8B0000}"/>
    <cellStyle name="Normal 3 3 2 2 21 2 2" xfId="9950" xr:uid="{00000000-0005-0000-0000-0000F08B0000}"/>
    <cellStyle name="Normal 3 3 2 2 21 2 2 2" xfId="17695" xr:uid="{00000000-0005-0000-0000-0000F18B0000}"/>
    <cellStyle name="Normal 3 3 2 2 21 2 2 2 2" xfId="33287" xr:uid="{00000000-0005-0000-0000-0000F28B0000}"/>
    <cellStyle name="Normal 3 3 2 2 21 2 2 2 3" xfId="48779" xr:uid="{00000000-0005-0000-0000-0000F38B0000}"/>
    <cellStyle name="Normal 3 3 2 2 21 2 2 3" xfId="25547" xr:uid="{00000000-0005-0000-0000-0000F48B0000}"/>
    <cellStyle name="Normal 3 3 2 2 21 2 2 4" xfId="41039" xr:uid="{00000000-0005-0000-0000-0000F58B0000}"/>
    <cellStyle name="Normal 3 3 2 2 21 2 3" xfId="13825" xr:uid="{00000000-0005-0000-0000-0000F68B0000}"/>
    <cellStyle name="Normal 3 3 2 2 21 2 3 2" xfId="29417" xr:uid="{00000000-0005-0000-0000-0000F78B0000}"/>
    <cellStyle name="Normal 3 3 2 2 21 2 3 3" xfId="44909" xr:uid="{00000000-0005-0000-0000-0000F88B0000}"/>
    <cellStyle name="Normal 3 3 2 2 21 2 4" xfId="21677" xr:uid="{00000000-0005-0000-0000-0000F98B0000}"/>
    <cellStyle name="Normal 3 3 2 2 21 2 5" xfId="37169" xr:uid="{00000000-0005-0000-0000-0000FA8B0000}"/>
    <cellStyle name="Normal 3 3 2 2 21 3" xfId="8023" xr:uid="{00000000-0005-0000-0000-0000FB8B0000}"/>
    <cellStyle name="Normal 3 3 2 2 21 3 2" xfId="15768" xr:uid="{00000000-0005-0000-0000-0000FC8B0000}"/>
    <cellStyle name="Normal 3 3 2 2 21 3 2 2" xfId="31360" xr:uid="{00000000-0005-0000-0000-0000FD8B0000}"/>
    <cellStyle name="Normal 3 3 2 2 21 3 2 3" xfId="46852" xr:uid="{00000000-0005-0000-0000-0000FE8B0000}"/>
    <cellStyle name="Normal 3 3 2 2 21 3 3" xfId="23620" xr:uid="{00000000-0005-0000-0000-0000FF8B0000}"/>
    <cellStyle name="Normal 3 3 2 2 21 3 4" xfId="39112" xr:uid="{00000000-0005-0000-0000-0000008C0000}"/>
    <cellStyle name="Normal 3 3 2 2 21 4" xfId="11898" xr:uid="{00000000-0005-0000-0000-0000018C0000}"/>
    <cellStyle name="Normal 3 3 2 2 21 4 2" xfId="27490" xr:uid="{00000000-0005-0000-0000-0000028C0000}"/>
    <cellStyle name="Normal 3 3 2 2 21 4 3" xfId="42982" xr:uid="{00000000-0005-0000-0000-0000038C0000}"/>
    <cellStyle name="Normal 3 3 2 2 21 5" xfId="19750" xr:uid="{00000000-0005-0000-0000-0000048C0000}"/>
    <cellStyle name="Normal 3 3 2 2 21 6" xfId="35242" xr:uid="{00000000-0005-0000-0000-0000058C0000}"/>
    <cellStyle name="Normal 3 3 2 2 22" xfId="4165" xr:uid="{00000000-0005-0000-0000-0000068C0000}"/>
    <cellStyle name="Normal 3 3 2 2 22 2" xfId="6094" xr:uid="{00000000-0005-0000-0000-0000078C0000}"/>
    <cellStyle name="Normal 3 3 2 2 22 2 2" xfId="9965" xr:uid="{00000000-0005-0000-0000-0000088C0000}"/>
    <cellStyle name="Normal 3 3 2 2 22 2 2 2" xfId="17710" xr:uid="{00000000-0005-0000-0000-0000098C0000}"/>
    <cellStyle name="Normal 3 3 2 2 22 2 2 2 2" xfId="33302" xr:uid="{00000000-0005-0000-0000-00000A8C0000}"/>
    <cellStyle name="Normal 3 3 2 2 22 2 2 2 3" xfId="48794" xr:uid="{00000000-0005-0000-0000-00000B8C0000}"/>
    <cellStyle name="Normal 3 3 2 2 22 2 2 3" xfId="25562" xr:uid="{00000000-0005-0000-0000-00000C8C0000}"/>
    <cellStyle name="Normal 3 3 2 2 22 2 2 4" xfId="41054" xr:uid="{00000000-0005-0000-0000-00000D8C0000}"/>
    <cellStyle name="Normal 3 3 2 2 22 2 3" xfId="13840" xr:uid="{00000000-0005-0000-0000-00000E8C0000}"/>
    <cellStyle name="Normal 3 3 2 2 22 2 3 2" xfId="29432" xr:uid="{00000000-0005-0000-0000-00000F8C0000}"/>
    <cellStyle name="Normal 3 3 2 2 22 2 3 3" xfId="44924" xr:uid="{00000000-0005-0000-0000-0000108C0000}"/>
    <cellStyle name="Normal 3 3 2 2 22 2 4" xfId="21692" xr:uid="{00000000-0005-0000-0000-0000118C0000}"/>
    <cellStyle name="Normal 3 3 2 2 22 2 5" xfId="37184" xr:uid="{00000000-0005-0000-0000-0000128C0000}"/>
    <cellStyle name="Normal 3 3 2 2 22 3" xfId="8038" xr:uid="{00000000-0005-0000-0000-0000138C0000}"/>
    <cellStyle name="Normal 3 3 2 2 22 3 2" xfId="15783" xr:uid="{00000000-0005-0000-0000-0000148C0000}"/>
    <cellStyle name="Normal 3 3 2 2 22 3 2 2" xfId="31375" xr:uid="{00000000-0005-0000-0000-0000158C0000}"/>
    <cellStyle name="Normal 3 3 2 2 22 3 2 3" xfId="46867" xr:uid="{00000000-0005-0000-0000-0000168C0000}"/>
    <cellStyle name="Normal 3 3 2 2 22 3 3" xfId="23635" xr:uid="{00000000-0005-0000-0000-0000178C0000}"/>
    <cellStyle name="Normal 3 3 2 2 22 3 4" xfId="39127" xr:uid="{00000000-0005-0000-0000-0000188C0000}"/>
    <cellStyle name="Normal 3 3 2 2 22 4" xfId="11913" xr:uid="{00000000-0005-0000-0000-0000198C0000}"/>
    <cellStyle name="Normal 3 3 2 2 22 4 2" xfId="27505" xr:uid="{00000000-0005-0000-0000-00001A8C0000}"/>
    <cellStyle name="Normal 3 3 2 2 22 4 3" xfId="42997" xr:uid="{00000000-0005-0000-0000-00001B8C0000}"/>
    <cellStyle name="Normal 3 3 2 2 22 5" xfId="19765" xr:uid="{00000000-0005-0000-0000-00001C8C0000}"/>
    <cellStyle name="Normal 3 3 2 2 22 6" xfId="35257" xr:uid="{00000000-0005-0000-0000-00001D8C0000}"/>
    <cellStyle name="Normal 3 3 2 2 23" xfId="4186" xr:uid="{00000000-0005-0000-0000-00001E8C0000}"/>
    <cellStyle name="Normal 3 3 2 2 23 2" xfId="8057" xr:uid="{00000000-0005-0000-0000-00001F8C0000}"/>
    <cellStyle name="Normal 3 3 2 2 23 2 2" xfId="15802" xr:uid="{00000000-0005-0000-0000-0000208C0000}"/>
    <cellStyle name="Normal 3 3 2 2 23 2 2 2" xfId="31394" xr:uid="{00000000-0005-0000-0000-0000218C0000}"/>
    <cellStyle name="Normal 3 3 2 2 23 2 2 3" xfId="46886" xr:uid="{00000000-0005-0000-0000-0000228C0000}"/>
    <cellStyle name="Normal 3 3 2 2 23 2 3" xfId="23654" xr:uid="{00000000-0005-0000-0000-0000238C0000}"/>
    <cellStyle name="Normal 3 3 2 2 23 2 4" xfId="39146" xr:uid="{00000000-0005-0000-0000-0000248C0000}"/>
    <cellStyle name="Normal 3 3 2 2 23 3" xfId="11932" xr:uid="{00000000-0005-0000-0000-0000258C0000}"/>
    <cellStyle name="Normal 3 3 2 2 23 3 2" xfId="27524" xr:uid="{00000000-0005-0000-0000-0000268C0000}"/>
    <cellStyle name="Normal 3 3 2 2 23 3 3" xfId="43016" xr:uid="{00000000-0005-0000-0000-0000278C0000}"/>
    <cellStyle name="Normal 3 3 2 2 23 4" xfId="19784" xr:uid="{00000000-0005-0000-0000-0000288C0000}"/>
    <cellStyle name="Normal 3 3 2 2 23 5" xfId="35276" xr:uid="{00000000-0005-0000-0000-0000298C0000}"/>
    <cellStyle name="Normal 3 3 2 2 24" xfId="6111" xr:uid="{00000000-0005-0000-0000-00002A8C0000}"/>
    <cellStyle name="Normal 3 3 2 2 24 2" xfId="9981" xr:uid="{00000000-0005-0000-0000-00002B8C0000}"/>
    <cellStyle name="Normal 3 3 2 2 24 2 2" xfId="17726" xr:uid="{00000000-0005-0000-0000-00002C8C0000}"/>
    <cellStyle name="Normal 3 3 2 2 24 2 2 2" xfId="33318" xr:uid="{00000000-0005-0000-0000-00002D8C0000}"/>
    <cellStyle name="Normal 3 3 2 2 24 2 2 3" xfId="48810" xr:uid="{00000000-0005-0000-0000-00002E8C0000}"/>
    <cellStyle name="Normal 3 3 2 2 24 2 3" xfId="25578" xr:uid="{00000000-0005-0000-0000-00002F8C0000}"/>
    <cellStyle name="Normal 3 3 2 2 24 2 4" xfId="41070" xr:uid="{00000000-0005-0000-0000-0000308C0000}"/>
    <cellStyle name="Normal 3 3 2 2 24 3" xfId="13856" xr:uid="{00000000-0005-0000-0000-0000318C0000}"/>
    <cellStyle name="Normal 3 3 2 2 24 3 2" xfId="29448" xr:uid="{00000000-0005-0000-0000-0000328C0000}"/>
    <cellStyle name="Normal 3 3 2 2 24 3 3" xfId="44940" xr:uid="{00000000-0005-0000-0000-0000338C0000}"/>
    <cellStyle name="Normal 3 3 2 2 24 4" xfId="21708" xr:uid="{00000000-0005-0000-0000-0000348C0000}"/>
    <cellStyle name="Normal 3 3 2 2 24 5" xfId="37200" xr:uid="{00000000-0005-0000-0000-0000358C0000}"/>
    <cellStyle name="Normal 3 3 2 2 25" xfId="6130" xr:uid="{00000000-0005-0000-0000-0000368C0000}"/>
    <cellStyle name="Normal 3 3 2 2 25 2" xfId="13875" xr:uid="{00000000-0005-0000-0000-0000378C0000}"/>
    <cellStyle name="Normal 3 3 2 2 25 2 2" xfId="29467" xr:uid="{00000000-0005-0000-0000-0000388C0000}"/>
    <cellStyle name="Normal 3 3 2 2 25 2 3" xfId="44959" xr:uid="{00000000-0005-0000-0000-0000398C0000}"/>
    <cellStyle name="Normal 3 3 2 2 25 3" xfId="21727" xr:uid="{00000000-0005-0000-0000-00003A8C0000}"/>
    <cellStyle name="Normal 3 3 2 2 25 4" xfId="37219" xr:uid="{00000000-0005-0000-0000-00003B8C0000}"/>
    <cellStyle name="Normal 3 3 2 2 26" xfId="10005" xr:uid="{00000000-0005-0000-0000-00003C8C0000}"/>
    <cellStyle name="Normal 3 3 2 2 26 2" xfId="25597" xr:uid="{00000000-0005-0000-0000-00003D8C0000}"/>
    <cellStyle name="Normal 3 3 2 2 26 3" xfId="41089" xr:uid="{00000000-0005-0000-0000-00003E8C0000}"/>
    <cellStyle name="Normal 3 3 2 2 27" xfId="17857" xr:uid="{00000000-0005-0000-0000-00003F8C0000}"/>
    <cellStyle name="Normal 3 3 2 2 28" xfId="33349" xr:uid="{00000000-0005-0000-0000-0000408C0000}"/>
    <cellStyle name="Normal 3 3 2 2 29" xfId="48856" xr:uid="{00000000-0005-0000-0000-0000418C0000}"/>
    <cellStyle name="Normal 3 3 2 2 3" xfId="2252" xr:uid="{00000000-0005-0000-0000-0000428C0000}"/>
    <cellStyle name="Normal 3 3 2 2 3 2" xfId="2569" xr:uid="{00000000-0005-0000-0000-0000438C0000}"/>
    <cellStyle name="Normal 3 3 2 2 3 2 2" xfId="3577" xr:uid="{00000000-0005-0000-0000-0000448C0000}"/>
    <cellStyle name="Normal 3 3 2 2 3 2 2 2" xfId="5516" xr:uid="{00000000-0005-0000-0000-0000458C0000}"/>
    <cellStyle name="Normal 3 3 2 2 3 2 2 2 2" xfId="9387" xr:uid="{00000000-0005-0000-0000-0000468C0000}"/>
    <cellStyle name="Normal 3 3 2 2 3 2 2 2 2 2" xfId="17132" xr:uid="{00000000-0005-0000-0000-0000478C0000}"/>
    <cellStyle name="Normal 3 3 2 2 3 2 2 2 2 2 2" xfId="32724" xr:uid="{00000000-0005-0000-0000-0000488C0000}"/>
    <cellStyle name="Normal 3 3 2 2 3 2 2 2 2 2 3" xfId="48216" xr:uid="{00000000-0005-0000-0000-0000498C0000}"/>
    <cellStyle name="Normal 3 3 2 2 3 2 2 2 2 3" xfId="24984" xr:uid="{00000000-0005-0000-0000-00004A8C0000}"/>
    <cellStyle name="Normal 3 3 2 2 3 2 2 2 2 4" xfId="40476" xr:uid="{00000000-0005-0000-0000-00004B8C0000}"/>
    <cellStyle name="Normal 3 3 2 2 3 2 2 2 3" xfId="13262" xr:uid="{00000000-0005-0000-0000-00004C8C0000}"/>
    <cellStyle name="Normal 3 3 2 2 3 2 2 2 3 2" xfId="28854" xr:uid="{00000000-0005-0000-0000-00004D8C0000}"/>
    <cellStyle name="Normal 3 3 2 2 3 2 2 2 3 3" xfId="44346" xr:uid="{00000000-0005-0000-0000-00004E8C0000}"/>
    <cellStyle name="Normal 3 3 2 2 3 2 2 2 4" xfId="21114" xr:uid="{00000000-0005-0000-0000-00004F8C0000}"/>
    <cellStyle name="Normal 3 3 2 2 3 2 2 2 5" xfId="36606" xr:uid="{00000000-0005-0000-0000-0000508C0000}"/>
    <cellStyle name="Normal 3 3 2 2 3 2 2 3" xfId="7460" xr:uid="{00000000-0005-0000-0000-0000518C0000}"/>
    <cellStyle name="Normal 3 3 2 2 3 2 2 3 2" xfId="15205" xr:uid="{00000000-0005-0000-0000-0000528C0000}"/>
    <cellStyle name="Normal 3 3 2 2 3 2 2 3 2 2" xfId="30797" xr:uid="{00000000-0005-0000-0000-0000538C0000}"/>
    <cellStyle name="Normal 3 3 2 2 3 2 2 3 2 3" xfId="46289" xr:uid="{00000000-0005-0000-0000-0000548C0000}"/>
    <cellStyle name="Normal 3 3 2 2 3 2 2 3 3" xfId="23057" xr:uid="{00000000-0005-0000-0000-0000558C0000}"/>
    <cellStyle name="Normal 3 3 2 2 3 2 2 3 4" xfId="38549" xr:uid="{00000000-0005-0000-0000-0000568C0000}"/>
    <cellStyle name="Normal 3 3 2 2 3 2 2 4" xfId="11335" xr:uid="{00000000-0005-0000-0000-0000578C0000}"/>
    <cellStyle name="Normal 3 3 2 2 3 2 2 4 2" xfId="26927" xr:uid="{00000000-0005-0000-0000-0000588C0000}"/>
    <cellStyle name="Normal 3 3 2 2 3 2 2 4 3" xfId="42419" xr:uid="{00000000-0005-0000-0000-0000598C0000}"/>
    <cellStyle name="Normal 3 3 2 2 3 2 2 5" xfId="19187" xr:uid="{00000000-0005-0000-0000-00005A8C0000}"/>
    <cellStyle name="Normal 3 3 2 2 3 2 2 6" xfId="34679" xr:uid="{00000000-0005-0000-0000-00005B8C0000}"/>
    <cellStyle name="Normal 3 3 2 2 3 2 3" xfId="4568" xr:uid="{00000000-0005-0000-0000-00005C8C0000}"/>
    <cellStyle name="Normal 3 3 2 2 3 2 3 2" xfId="8439" xr:uid="{00000000-0005-0000-0000-00005D8C0000}"/>
    <cellStyle name="Normal 3 3 2 2 3 2 3 2 2" xfId="16184" xr:uid="{00000000-0005-0000-0000-00005E8C0000}"/>
    <cellStyle name="Normal 3 3 2 2 3 2 3 2 2 2" xfId="31776" xr:uid="{00000000-0005-0000-0000-00005F8C0000}"/>
    <cellStyle name="Normal 3 3 2 2 3 2 3 2 2 3" xfId="47268" xr:uid="{00000000-0005-0000-0000-0000608C0000}"/>
    <cellStyle name="Normal 3 3 2 2 3 2 3 2 3" xfId="24036" xr:uid="{00000000-0005-0000-0000-0000618C0000}"/>
    <cellStyle name="Normal 3 3 2 2 3 2 3 2 4" xfId="39528" xr:uid="{00000000-0005-0000-0000-0000628C0000}"/>
    <cellStyle name="Normal 3 3 2 2 3 2 3 3" xfId="12314" xr:uid="{00000000-0005-0000-0000-0000638C0000}"/>
    <cellStyle name="Normal 3 3 2 2 3 2 3 3 2" xfId="27906" xr:uid="{00000000-0005-0000-0000-0000648C0000}"/>
    <cellStyle name="Normal 3 3 2 2 3 2 3 3 3" xfId="43398" xr:uid="{00000000-0005-0000-0000-0000658C0000}"/>
    <cellStyle name="Normal 3 3 2 2 3 2 3 4" xfId="20166" xr:uid="{00000000-0005-0000-0000-0000668C0000}"/>
    <cellStyle name="Normal 3 3 2 2 3 2 3 5" xfId="35658" xr:uid="{00000000-0005-0000-0000-0000678C0000}"/>
    <cellStyle name="Normal 3 3 2 2 3 2 4" xfId="6512" xr:uid="{00000000-0005-0000-0000-0000688C0000}"/>
    <cellStyle name="Normal 3 3 2 2 3 2 4 2" xfId="14257" xr:uid="{00000000-0005-0000-0000-0000698C0000}"/>
    <cellStyle name="Normal 3 3 2 2 3 2 4 2 2" xfId="29849" xr:uid="{00000000-0005-0000-0000-00006A8C0000}"/>
    <cellStyle name="Normal 3 3 2 2 3 2 4 2 3" xfId="45341" xr:uid="{00000000-0005-0000-0000-00006B8C0000}"/>
    <cellStyle name="Normal 3 3 2 2 3 2 4 3" xfId="22109" xr:uid="{00000000-0005-0000-0000-00006C8C0000}"/>
    <cellStyle name="Normal 3 3 2 2 3 2 4 4" xfId="37601" xr:uid="{00000000-0005-0000-0000-00006D8C0000}"/>
    <cellStyle name="Normal 3 3 2 2 3 2 5" xfId="10387" xr:uid="{00000000-0005-0000-0000-00006E8C0000}"/>
    <cellStyle name="Normal 3 3 2 2 3 2 5 2" xfId="25979" xr:uid="{00000000-0005-0000-0000-00006F8C0000}"/>
    <cellStyle name="Normal 3 3 2 2 3 2 5 3" xfId="41471" xr:uid="{00000000-0005-0000-0000-0000708C0000}"/>
    <cellStyle name="Normal 3 3 2 2 3 2 6" xfId="18239" xr:uid="{00000000-0005-0000-0000-0000718C0000}"/>
    <cellStyle name="Normal 3 3 2 2 3 2 7" xfId="33731" xr:uid="{00000000-0005-0000-0000-0000728C0000}"/>
    <cellStyle name="Normal 3 3 2 2 3 3" xfId="3268" xr:uid="{00000000-0005-0000-0000-0000738C0000}"/>
    <cellStyle name="Normal 3 3 2 2 3 3 2" xfId="5207" xr:uid="{00000000-0005-0000-0000-0000748C0000}"/>
    <cellStyle name="Normal 3 3 2 2 3 3 2 2" xfId="9078" xr:uid="{00000000-0005-0000-0000-0000758C0000}"/>
    <cellStyle name="Normal 3 3 2 2 3 3 2 2 2" xfId="16823" xr:uid="{00000000-0005-0000-0000-0000768C0000}"/>
    <cellStyle name="Normal 3 3 2 2 3 3 2 2 2 2" xfId="32415" xr:uid="{00000000-0005-0000-0000-0000778C0000}"/>
    <cellStyle name="Normal 3 3 2 2 3 3 2 2 2 3" xfId="47907" xr:uid="{00000000-0005-0000-0000-0000788C0000}"/>
    <cellStyle name="Normal 3 3 2 2 3 3 2 2 3" xfId="24675" xr:uid="{00000000-0005-0000-0000-0000798C0000}"/>
    <cellStyle name="Normal 3 3 2 2 3 3 2 2 4" xfId="40167" xr:uid="{00000000-0005-0000-0000-00007A8C0000}"/>
    <cellStyle name="Normal 3 3 2 2 3 3 2 3" xfId="12953" xr:uid="{00000000-0005-0000-0000-00007B8C0000}"/>
    <cellStyle name="Normal 3 3 2 2 3 3 2 3 2" xfId="28545" xr:uid="{00000000-0005-0000-0000-00007C8C0000}"/>
    <cellStyle name="Normal 3 3 2 2 3 3 2 3 3" xfId="44037" xr:uid="{00000000-0005-0000-0000-00007D8C0000}"/>
    <cellStyle name="Normal 3 3 2 2 3 3 2 4" xfId="20805" xr:uid="{00000000-0005-0000-0000-00007E8C0000}"/>
    <cellStyle name="Normal 3 3 2 2 3 3 2 5" xfId="36297" xr:uid="{00000000-0005-0000-0000-00007F8C0000}"/>
    <cellStyle name="Normal 3 3 2 2 3 3 3" xfId="7151" xr:uid="{00000000-0005-0000-0000-0000808C0000}"/>
    <cellStyle name="Normal 3 3 2 2 3 3 3 2" xfId="14896" xr:uid="{00000000-0005-0000-0000-0000818C0000}"/>
    <cellStyle name="Normal 3 3 2 2 3 3 3 2 2" xfId="30488" xr:uid="{00000000-0005-0000-0000-0000828C0000}"/>
    <cellStyle name="Normal 3 3 2 2 3 3 3 2 3" xfId="45980" xr:uid="{00000000-0005-0000-0000-0000838C0000}"/>
    <cellStyle name="Normal 3 3 2 2 3 3 3 3" xfId="22748" xr:uid="{00000000-0005-0000-0000-0000848C0000}"/>
    <cellStyle name="Normal 3 3 2 2 3 3 3 4" xfId="38240" xr:uid="{00000000-0005-0000-0000-0000858C0000}"/>
    <cellStyle name="Normal 3 3 2 2 3 3 4" xfId="11026" xr:uid="{00000000-0005-0000-0000-0000868C0000}"/>
    <cellStyle name="Normal 3 3 2 2 3 3 4 2" xfId="26618" xr:uid="{00000000-0005-0000-0000-0000878C0000}"/>
    <cellStyle name="Normal 3 3 2 2 3 3 4 3" xfId="42110" xr:uid="{00000000-0005-0000-0000-0000888C0000}"/>
    <cellStyle name="Normal 3 3 2 2 3 3 5" xfId="18878" xr:uid="{00000000-0005-0000-0000-0000898C0000}"/>
    <cellStyle name="Normal 3 3 2 2 3 3 6" xfId="34370" xr:uid="{00000000-0005-0000-0000-00008A8C0000}"/>
    <cellStyle name="Normal 3 3 2 2 3 4" xfId="4259" xr:uid="{00000000-0005-0000-0000-00008B8C0000}"/>
    <cellStyle name="Normal 3 3 2 2 3 4 2" xfId="8130" xr:uid="{00000000-0005-0000-0000-00008C8C0000}"/>
    <cellStyle name="Normal 3 3 2 2 3 4 2 2" xfId="15875" xr:uid="{00000000-0005-0000-0000-00008D8C0000}"/>
    <cellStyle name="Normal 3 3 2 2 3 4 2 2 2" xfId="31467" xr:uid="{00000000-0005-0000-0000-00008E8C0000}"/>
    <cellStyle name="Normal 3 3 2 2 3 4 2 2 3" xfId="46959" xr:uid="{00000000-0005-0000-0000-00008F8C0000}"/>
    <cellStyle name="Normal 3 3 2 2 3 4 2 3" xfId="23727" xr:uid="{00000000-0005-0000-0000-0000908C0000}"/>
    <cellStyle name="Normal 3 3 2 2 3 4 2 4" xfId="39219" xr:uid="{00000000-0005-0000-0000-0000918C0000}"/>
    <cellStyle name="Normal 3 3 2 2 3 4 3" xfId="12005" xr:uid="{00000000-0005-0000-0000-0000928C0000}"/>
    <cellStyle name="Normal 3 3 2 2 3 4 3 2" xfId="27597" xr:uid="{00000000-0005-0000-0000-0000938C0000}"/>
    <cellStyle name="Normal 3 3 2 2 3 4 3 3" xfId="43089" xr:uid="{00000000-0005-0000-0000-0000948C0000}"/>
    <cellStyle name="Normal 3 3 2 2 3 4 4" xfId="19857" xr:uid="{00000000-0005-0000-0000-0000958C0000}"/>
    <cellStyle name="Normal 3 3 2 2 3 4 5" xfId="35349" xr:uid="{00000000-0005-0000-0000-0000968C0000}"/>
    <cellStyle name="Normal 3 3 2 2 3 5" xfId="6203" xr:uid="{00000000-0005-0000-0000-0000978C0000}"/>
    <cellStyle name="Normal 3 3 2 2 3 5 2" xfId="13948" xr:uid="{00000000-0005-0000-0000-0000988C0000}"/>
    <cellStyle name="Normal 3 3 2 2 3 5 2 2" xfId="29540" xr:uid="{00000000-0005-0000-0000-0000998C0000}"/>
    <cellStyle name="Normal 3 3 2 2 3 5 2 3" xfId="45032" xr:uid="{00000000-0005-0000-0000-00009A8C0000}"/>
    <cellStyle name="Normal 3 3 2 2 3 5 3" xfId="21800" xr:uid="{00000000-0005-0000-0000-00009B8C0000}"/>
    <cellStyle name="Normal 3 3 2 2 3 5 4" xfId="37292" xr:uid="{00000000-0005-0000-0000-00009C8C0000}"/>
    <cellStyle name="Normal 3 3 2 2 3 6" xfId="10078" xr:uid="{00000000-0005-0000-0000-00009D8C0000}"/>
    <cellStyle name="Normal 3 3 2 2 3 6 2" xfId="25670" xr:uid="{00000000-0005-0000-0000-00009E8C0000}"/>
    <cellStyle name="Normal 3 3 2 2 3 6 3" xfId="41162" xr:uid="{00000000-0005-0000-0000-00009F8C0000}"/>
    <cellStyle name="Normal 3 3 2 2 3 7" xfId="17930" xr:uid="{00000000-0005-0000-0000-0000A08C0000}"/>
    <cellStyle name="Normal 3 3 2 2 3 8" xfId="33422" xr:uid="{00000000-0005-0000-0000-0000A18C0000}"/>
    <cellStyle name="Normal 3 3 2 2 4" xfId="2289" xr:uid="{00000000-0005-0000-0000-0000A28C0000}"/>
    <cellStyle name="Normal 3 3 2 2 4 2" xfId="2605" xr:uid="{00000000-0005-0000-0000-0000A38C0000}"/>
    <cellStyle name="Normal 3 3 2 2 4 2 2" xfId="3613" xr:uid="{00000000-0005-0000-0000-0000A48C0000}"/>
    <cellStyle name="Normal 3 3 2 2 4 2 2 2" xfId="5552" xr:uid="{00000000-0005-0000-0000-0000A58C0000}"/>
    <cellStyle name="Normal 3 3 2 2 4 2 2 2 2" xfId="9423" xr:uid="{00000000-0005-0000-0000-0000A68C0000}"/>
    <cellStyle name="Normal 3 3 2 2 4 2 2 2 2 2" xfId="17168" xr:uid="{00000000-0005-0000-0000-0000A78C0000}"/>
    <cellStyle name="Normal 3 3 2 2 4 2 2 2 2 2 2" xfId="32760" xr:uid="{00000000-0005-0000-0000-0000A88C0000}"/>
    <cellStyle name="Normal 3 3 2 2 4 2 2 2 2 2 3" xfId="48252" xr:uid="{00000000-0005-0000-0000-0000A98C0000}"/>
    <cellStyle name="Normal 3 3 2 2 4 2 2 2 2 3" xfId="25020" xr:uid="{00000000-0005-0000-0000-0000AA8C0000}"/>
    <cellStyle name="Normal 3 3 2 2 4 2 2 2 2 4" xfId="40512" xr:uid="{00000000-0005-0000-0000-0000AB8C0000}"/>
    <cellStyle name="Normal 3 3 2 2 4 2 2 2 3" xfId="13298" xr:uid="{00000000-0005-0000-0000-0000AC8C0000}"/>
    <cellStyle name="Normal 3 3 2 2 4 2 2 2 3 2" xfId="28890" xr:uid="{00000000-0005-0000-0000-0000AD8C0000}"/>
    <cellStyle name="Normal 3 3 2 2 4 2 2 2 3 3" xfId="44382" xr:uid="{00000000-0005-0000-0000-0000AE8C0000}"/>
    <cellStyle name="Normal 3 3 2 2 4 2 2 2 4" xfId="21150" xr:uid="{00000000-0005-0000-0000-0000AF8C0000}"/>
    <cellStyle name="Normal 3 3 2 2 4 2 2 2 5" xfId="36642" xr:uid="{00000000-0005-0000-0000-0000B08C0000}"/>
    <cellStyle name="Normal 3 3 2 2 4 2 2 3" xfId="7496" xr:uid="{00000000-0005-0000-0000-0000B18C0000}"/>
    <cellStyle name="Normal 3 3 2 2 4 2 2 3 2" xfId="15241" xr:uid="{00000000-0005-0000-0000-0000B28C0000}"/>
    <cellStyle name="Normal 3 3 2 2 4 2 2 3 2 2" xfId="30833" xr:uid="{00000000-0005-0000-0000-0000B38C0000}"/>
    <cellStyle name="Normal 3 3 2 2 4 2 2 3 2 3" xfId="46325" xr:uid="{00000000-0005-0000-0000-0000B48C0000}"/>
    <cellStyle name="Normal 3 3 2 2 4 2 2 3 3" xfId="23093" xr:uid="{00000000-0005-0000-0000-0000B58C0000}"/>
    <cellStyle name="Normal 3 3 2 2 4 2 2 3 4" xfId="38585" xr:uid="{00000000-0005-0000-0000-0000B68C0000}"/>
    <cellStyle name="Normal 3 3 2 2 4 2 2 4" xfId="11371" xr:uid="{00000000-0005-0000-0000-0000B78C0000}"/>
    <cellStyle name="Normal 3 3 2 2 4 2 2 4 2" xfId="26963" xr:uid="{00000000-0005-0000-0000-0000B88C0000}"/>
    <cellStyle name="Normal 3 3 2 2 4 2 2 4 3" xfId="42455" xr:uid="{00000000-0005-0000-0000-0000B98C0000}"/>
    <cellStyle name="Normal 3 3 2 2 4 2 2 5" xfId="19223" xr:uid="{00000000-0005-0000-0000-0000BA8C0000}"/>
    <cellStyle name="Normal 3 3 2 2 4 2 2 6" xfId="34715" xr:uid="{00000000-0005-0000-0000-0000BB8C0000}"/>
    <cellStyle name="Normal 3 3 2 2 4 2 3" xfId="4604" xr:uid="{00000000-0005-0000-0000-0000BC8C0000}"/>
    <cellStyle name="Normal 3 3 2 2 4 2 3 2" xfId="8475" xr:uid="{00000000-0005-0000-0000-0000BD8C0000}"/>
    <cellStyle name="Normal 3 3 2 2 4 2 3 2 2" xfId="16220" xr:uid="{00000000-0005-0000-0000-0000BE8C0000}"/>
    <cellStyle name="Normal 3 3 2 2 4 2 3 2 2 2" xfId="31812" xr:uid="{00000000-0005-0000-0000-0000BF8C0000}"/>
    <cellStyle name="Normal 3 3 2 2 4 2 3 2 2 3" xfId="47304" xr:uid="{00000000-0005-0000-0000-0000C08C0000}"/>
    <cellStyle name="Normal 3 3 2 2 4 2 3 2 3" xfId="24072" xr:uid="{00000000-0005-0000-0000-0000C18C0000}"/>
    <cellStyle name="Normal 3 3 2 2 4 2 3 2 4" xfId="39564" xr:uid="{00000000-0005-0000-0000-0000C28C0000}"/>
    <cellStyle name="Normal 3 3 2 2 4 2 3 3" xfId="12350" xr:uid="{00000000-0005-0000-0000-0000C38C0000}"/>
    <cellStyle name="Normal 3 3 2 2 4 2 3 3 2" xfId="27942" xr:uid="{00000000-0005-0000-0000-0000C48C0000}"/>
    <cellStyle name="Normal 3 3 2 2 4 2 3 3 3" xfId="43434" xr:uid="{00000000-0005-0000-0000-0000C58C0000}"/>
    <cellStyle name="Normal 3 3 2 2 4 2 3 4" xfId="20202" xr:uid="{00000000-0005-0000-0000-0000C68C0000}"/>
    <cellStyle name="Normal 3 3 2 2 4 2 3 5" xfId="35694" xr:uid="{00000000-0005-0000-0000-0000C78C0000}"/>
    <cellStyle name="Normal 3 3 2 2 4 2 4" xfId="6548" xr:uid="{00000000-0005-0000-0000-0000C88C0000}"/>
    <cellStyle name="Normal 3 3 2 2 4 2 4 2" xfId="14293" xr:uid="{00000000-0005-0000-0000-0000C98C0000}"/>
    <cellStyle name="Normal 3 3 2 2 4 2 4 2 2" xfId="29885" xr:uid="{00000000-0005-0000-0000-0000CA8C0000}"/>
    <cellStyle name="Normal 3 3 2 2 4 2 4 2 3" xfId="45377" xr:uid="{00000000-0005-0000-0000-0000CB8C0000}"/>
    <cellStyle name="Normal 3 3 2 2 4 2 4 3" xfId="22145" xr:uid="{00000000-0005-0000-0000-0000CC8C0000}"/>
    <cellStyle name="Normal 3 3 2 2 4 2 4 4" xfId="37637" xr:uid="{00000000-0005-0000-0000-0000CD8C0000}"/>
    <cellStyle name="Normal 3 3 2 2 4 2 5" xfId="10423" xr:uid="{00000000-0005-0000-0000-0000CE8C0000}"/>
    <cellStyle name="Normal 3 3 2 2 4 2 5 2" xfId="26015" xr:uid="{00000000-0005-0000-0000-0000CF8C0000}"/>
    <cellStyle name="Normal 3 3 2 2 4 2 5 3" xfId="41507" xr:uid="{00000000-0005-0000-0000-0000D08C0000}"/>
    <cellStyle name="Normal 3 3 2 2 4 2 6" xfId="18275" xr:uid="{00000000-0005-0000-0000-0000D18C0000}"/>
    <cellStyle name="Normal 3 3 2 2 4 2 7" xfId="33767" xr:uid="{00000000-0005-0000-0000-0000D28C0000}"/>
    <cellStyle name="Normal 3 3 2 2 4 3" xfId="3304" xr:uid="{00000000-0005-0000-0000-0000D38C0000}"/>
    <cellStyle name="Normal 3 3 2 2 4 3 2" xfId="5243" xr:uid="{00000000-0005-0000-0000-0000D48C0000}"/>
    <cellStyle name="Normal 3 3 2 2 4 3 2 2" xfId="9114" xr:uid="{00000000-0005-0000-0000-0000D58C0000}"/>
    <cellStyle name="Normal 3 3 2 2 4 3 2 2 2" xfId="16859" xr:uid="{00000000-0005-0000-0000-0000D68C0000}"/>
    <cellStyle name="Normal 3 3 2 2 4 3 2 2 2 2" xfId="32451" xr:uid="{00000000-0005-0000-0000-0000D78C0000}"/>
    <cellStyle name="Normal 3 3 2 2 4 3 2 2 2 3" xfId="47943" xr:uid="{00000000-0005-0000-0000-0000D88C0000}"/>
    <cellStyle name="Normal 3 3 2 2 4 3 2 2 3" xfId="24711" xr:uid="{00000000-0005-0000-0000-0000D98C0000}"/>
    <cellStyle name="Normal 3 3 2 2 4 3 2 2 4" xfId="40203" xr:uid="{00000000-0005-0000-0000-0000DA8C0000}"/>
    <cellStyle name="Normal 3 3 2 2 4 3 2 3" xfId="12989" xr:uid="{00000000-0005-0000-0000-0000DB8C0000}"/>
    <cellStyle name="Normal 3 3 2 2 4 3 2 3 2" xfId="28581" xr:uid="{00000000-0005-0000-0000-0000DC8C0000}"/>
    <cellStyle name="Normal 3 3 2 2 4 3 2 3 3" xfId="44073" xr:uid="{00000000-0005-0000-0000-0000DD8C0000}"/>
    <cellStyle name="Normal 3 3 2 2 4 3 2 4" xfId="20841" xr:uid="{00000000-0005-0000-0000-0000DE8C0000}"/>
    <cellStyle name="Normal 3 3 2 2 4 3 2 5" xfId="36333" xr:uid="{00000000-0005-0000-0000-0000DF8C0000}"/>
    <cellStyle name="Normal 3 3 2 2 4 3 3" xfId="7187" xr:uid="{00000000-0005-0000-0000-0000E08C0000}"/>
    <cellStyle name="Normal 3 3 2 2 4 3 3 2" xfId="14932" xr:uid="{00000000-0005-0000-0000-0000E18C0000}"/>
    <cellStyle name="Normal 3 3 2 2 4 3 3 2 2" xfId="30524" xr:uid="{00000000-0005-0000-0000-0000E28C0000}"/>
    <cellStyle name="Normal 3 3 2 2 4 3 3 2 3" xfId="46016" xr:uid="{00000000-0005-0000-0000-0000E38C0000}"/>
    <cellStyle name="Normal 3 3 2 2 4 3 3 3" xfId="22784" xr:uid="{00000000-0005-0000-0000-0000E48C0000}"/>
    <cellStyle name="Normal 3 3 2 2 4 3 3 4" xfId="38276" xr:uid="{00000000-0005-0000-0000-0000E58C0000}"/>
    <cellStyle name="Normal 3 3 2 2 4 3 4" xfId="11062" xr:uid="{00000000-0005-0000-0000-0000E68C0000}"/>
    <cellStyle name="Normal 3 3 2 2 4 3 4 2" xfId="26654" xr:uid="{00000000-0005-0000-0000-0000E78C0000}"/>
    <cellStyle name="Normal 3 3 2 2 4 3 4 3" xfId="42146" xr:uid="{00000000-0005-0000-0000-0000E88C0000}"/>
    <cellStyle name="Normal 3 3 2 2 4 3 5" xfId="18914" xr:uid="{00000000-0005-0000-0000-0000E98C0000}"/>
    <cellStyle name="Normal 3 3 2 2 4 3 6" xfId="34406" xr:uid="{00000000-0005-0000-0000-0000EA8C0000}"/>
    <cellStyle name="Normal 3 3 2 2 4 4" xfId="4295" xr:uid="{00000000-0005-0000-0000-0000EB8C0000}"/>
    <cellStyle name="Normal 3 3 2 2 4 4 2" xfId="8166" xr:uid="{00000000-0005-0000-0000-0000EC8C0000}"/>
    <cellStyle name="Normal 3 3 2 2 4 4 2 2" xfId="15911" xr:uid="{00000000-0005-0000-0000-0000ED8C0000}"/>
    <cellStyle name="Normal 3 3 2 2 4 4 2 2 2" xfId="31503" xr:uid="{00000000-0005-0000-0000-0000EE8C0000}"/>
    <cellStyle name="Normal 3 3 2 2 4 4 2 2 3" xfId="46995" xr:uid="{00000000-0005-0000-0000-0000EF8C0000}"/>
    <cellStyle name="Normal 3 3 2 2 4 4 2 3" xfId="23763" xr:uid="{00000000-0005-0000-0000-0000F08C0000}"/>
    <cellStyle name="Normal 3 3 2 2 4 4 2 4" xfId="39255" xr:uid="{00000000-0005-0000-0000-0000F18C0000}"/>
    <cellStyle name="Normal 3 3 2 2 4 4 3" xfId="12041" xr:uid="{00000000-0005-0000-0000-0000F28C0000}"/>
    <cellStyle name="Normal 3 3 2 2 4 4 3 2" xfId="27633" xr:uid="{00000000-0005-0000-0000-0000F38C0000}"/>
    <cellStyle name="Normal 3 3 2 2 4 4 3 3" xfId="43125" xr:uid="{00000000-0005-0000-0000-0000F48C0000}"/>
    <cellStyle name="Normal 3 3 2 2 4 4 4" xfId="19893" xr:uid="{00000000-0005-0000-0000-0000F58C0000}"/>
    <cellStyle name="Normal 3 3 2 2 4 4 5" xfId="35385" xr:uid="{00000000-0005-0000-0000-0000F68C0000}"/>
    <cellStyle name="Normal 3 3 2 2 4 5" xfId="6239" xr:uid="{00000000-0005-0000-0000-0000F78C0000}"/>
    <cellStyle name="Normal 3 3 2 2 4 5 2" xfId="13984" xr:uid="{00000000-0005-0000-0000-0000F88C0000}"/>
    <cellStyle name="Normal 3 3 2 2 4 5 2 2" xfId="29576" xr:uid="{00000000-0005-0000-0000-0000F98C0000}"/>
    <cellStyle name="Normal 3 3 2 2 4 5 2 3" xfId="45068" xr:uid="{00000000-0005-0000-0000-0000FA8C0000}"/>
    <cellStyle name="Normal 3 3 2 2 4 5 3" xfId="21836" xr:uid="{00000000-0005-0000-0000-0000FB8C0000}"/>
    <cellStyle name="Normal 3 3 2 2 4 5 4" xfId="37328" xr:uid="{00000000-0005-0000-0000-0000FC8C0000}"/>
    <cellStyle name="Normal 3 3 2 2 4 6" xfId="10114" xr:uid="{00000000-0005-0000-0000-0000FD8C0000}"/>
    <cellStyle name="Normal 3 3 2 2 4 6 2" xfId="25706" xr:uid="{00000000-0005-0000-0000-0000FE8C0000}"/>
    <cellStyle name="Normal 3 3 2 2 4 6 3" xfId="41198" xr:uid="{00000000-0005-0000-0000-0000FF8C0000}"/>
    <cellStyle name="Normal 3 3 2 2 4 7" xfId="17966" xr:uid="{00000000-0005-0000-0000-0000008D0000}"/>
    <cellStyle name="Normal 3 3 2 2 4 8" xfId="33458" xr:uid="{00000000-0005-0000-0000-0000018D0000}"/>
    <cellStyle name="Normal 3 3 2 2 5" xfId="2327" xr:uid="{00000000-0005-0000-0000-0000028D0000}"/>
    <cellStyle name="Normal 3 3 2 2 5 2" xfId="2641" xr:uid="{00000000-0005-0000-0000-0000038D0000}"/>
    <cellStyle name="Normal 3 3 2 2 5 2 2" xfId="3649" xr:uid="{00000000-0005-0000-0000-0000048D0000}"/>
    <cellStyle name="Normal 3 3 2 2 5 2 2 2" xfId="5588" xr:uid="{00000000-0005-0000-0000-0000058D0000}"/>
    <cellStyle name="Normal 3 3 2 2 5 2 2 2 2" xfId="9459" xr:uid="{00000000-0005-0000-0000-0000068D0000}"/>
    <cellStyle name="Normal 3 3 2 2 5 2 2 2 2 2" xfId="17204" xr:uid="{00000000-0005-0000-0000-0000078D0000}"/>
    <cellStyle name="Normal 3 3 2 2 5 2 2 2 2 2 2" xfId="32796" xr:uid="{00000000-0005-0000-0000-0000088D0000}"/>
    <cellStyle name="Normal 3 3 2 2 5 2 2 2 2 2 3" xfId="48288" xr:uid="{00000000-0005-0000-0000-0000098D0000}"/>
    <cellStyle name="Normal 3 3 2 2 5 2 2 2 2 3" xfId="25056" xr:uid="{00000000-0005-0000-0000-00000A8D0000}"/>
    <cellStyle name="Normal 3 3 2 2 5 2 2 2 2 4" xfId="40548" xr:uid="{00000000-0005-0000-0000-00000B8D0000}"/>
    <cellStyle name="Normal 3 3 2 2 5 2 2 2 3" xfId="13334" xr:uid="{00000000-0005-0000-0000-00000C8D0000}"/>
    <cellStyle name="Normal 3 3 2 2 5 2 2 2 3 2" xfId="28926" xr:uid="{00000000-0005-0000-0000-00000D8D0000}"/>
    <cellStyle name="Normal 3 3 2 2 5 2 2 2 3 3" xfId="44418" xr:uid="{00000000-0005-0000-0000-00000E8D0000}"/>
    <cellStyle name="Normal 3 3 2 2 5 2 2 2 4" xfId="21186" xr:uid="{00000000-0005-0000-0000-00000F8D0000}"/>
    <cellStyle name="Normal 3 3 2 2 5 2 2 2 5" xfId="36678" xr:uid="{00000000-0005-0000-0000-0000108D0000}"/>
    <cellStyle name="Normal 3 3 2 2 5 2 2 3" xfId="7532" xr:uid="{00000000-0005-0000-0000-0000118D0000}"/>
    <cellStyle name="Normal 3 3 2 2 5 2 2 3 2" xfId="15277" xr:uid="{00000000-0005-0000-0000-0000128D0000}"/>
    <cellStyle name="Normal 3 3 2 2 5 2 2 3 2 2" xfId="30869" xr:uid="{00000000-0005-0000-0000-0000138D0000}"/>
    <cellStyle name="Normal 3 3 2 2 5 2 2 3 2 3" xfId="46361" xr:uid="{00000000-0005-0000-0000-0000148D0000}"/>
    <cellStyle name="Normal 3 3 2 2 5 2 2 3 3" xfId="23129" xr:uid="{00000000-0005-0000-0000-0000158D0000}"/>
    <cellStyle name="Normal 3 3 2 2 5 2 2 3 4" xfId="38621" xr:uid="{00000000-0005-0000-0000-0000168D0000}"/>
    <cellStyle name="Normal 3 3 2 2 5 2 2 4" xfId="11407" xr:uid="{00000000-0005-0000-0000-0000178D0000}"/>
    <cellStyle name="Normal 3 3 2 2 5 2 2 4 2" xfId="26999" xr:uid="{00000000-0005-0000-0000-0000188D0000}"/>
    <cellStyle name="Normal 3 3 2 2 5 2 2 4 3" xfId="42491" xr:uid="{00000000-0005-0000-0000-0000198D0000}"/>
    <cellStyle name="Normal 3 3 2 2 5 2 2 5" xfId="19259" xr:uid="{00000000-0005-0000-0000-00001A8D0000}"/>
    <cellStyle name="Normal 3 3 2 2 5 2 2 6" xfId="34751" xr:uid="{00000000-0005-0000-0000-00001B8D0000}"/>
    <cellStyle name="Normal 3 3 2 2 5 2 3" xfId="4640" xr:uid="{00000000-0005-0000-0000-00001C8D0000}"/>
    <cellStyle name="Normal 3 3 2 2 5 2 3 2" xfId="8511" xr:uid="{00000000-0005-0000-0000-00001D8D0000}"/>
    <cellStyle name="Normal 3 3 2 2 5 2 3 2 2" xfId="16256" xr:uid="{00000000-0005-0000-0000-00001E8D0000}"/>
    <cellStyle name="Normal 3 3 2 2 5 2 3 2 2 2" xfId="31848" xr:uid="{00000000-0005-0000-0000-00001F8D0000}"/>
    <cellStyle name="Normal 3 3 2 2 5 2 3 2 2 3" xfId="47340" xr:uid="{00000000-0005-0000-0000-0000208D0000}"/>
    <cellStyle name="Normal 3 3 2 2 5 2 3 2 3" xfId="24108" xr:uid="{00000000-0005-0000-0000-0000218D0000}"/>
    <cellStyle name="Normal 3 3 2 2 5 2 3 2 4" xfId="39600" xr:uid="{00000000-0005-0000-0000-0000228D0000}"/>
    <cellStyle name="Normal 3 3 2 2 5 2 3 3" xfId="12386" xr:uid="{00000000-0005-0000-0000-0000238D0000}"/>
    <cellStyle name="Normal 3 3 2 2 5 2 3 3 2" xfId="27978" xr:uid="{00000000-0005-0000-0000-0000248D0000}"/>
    <cellStyle name="Normal 3 3 2 2 5 2 3 3 3" xfId="43470" xr:uid="{00000000-0005-0000-0000-0000258D0000}"/>
    <cellStyle name="Normal 3 3 2 2 5 2 3 4" xfId="20238" xr:uid="{00000000-0005-0000-0000-0000268D0000}"/>
    <cellStyle name="Normal 3 3 2 2 5 2 3 5" xfId="35730" xr:uid="{00000000-0005-0000-0000-0000278D0000}"/>
    <cellStyle name="Normal 3 3 2 2 5 2 4" xfId="6584" xr:uid="{00000000-0005-0000-0000-0000288D0000}"/>
    <cellStyle name="Normal 3 3 2 2 5 2 4 2" xfId="14329" xr:uid="{00000000-0005-0000-0000-0000298D0000}"/>
    <cellStyle name="Normal 3 3 2 2 5 2 4 2 2" xfId="29921" xr:uid="{00000000-0005-0000-0000-00002A8D0000}"/>
    <cellStyle name="Normal 3 3 2 2 5 2 4 2 3" xfId="45413" xr:uid="{00000000-0005-0000-0000-00002B8D0000}"/>
    <cellStyle name="Normal 3 3 2 2 5 2 4 3" xfId="22181" xr:uid="{00000000-0005-0000-0000-00002C8D0000}"/>
    <cellStyle name="Normal 3 3 2 2 5 2 4 4" xfId="37673" xr:uid="{00000000-0005-0000-0000-00002D8D0000}"/>
    <cellStyle name="Normal 3 3 2 2 5 2 5" xfId="10459" xr:uid="{00000000-0005-0000-0000-00002E8D0000}"/>
    <cellStyle name="Normal 3 3 2 2 5 2 5 2" xfId="26051" xr:uid="{00000000-0005-0000-0000-00002F8D0000}"/>
    <cellStyle name="Normal 3 3 2 2 5 2 5 3" xfId="41543" xr:uid="{00000000-0005-0000-0000-0000308D0000}"/>
    <cellStyle name="Normal 3 3 2 2 5 2 6" xfId="18311" xr:uid="{00000000-0005-0000-0000-0000318D0000}"/>
    <cellStyle name="Normal 3 3 2 2 5 2 7" xfId="33803" xr:uid="{00000000-0005-0000-0000-0000328D0000}"/>
    <cellStyle name="Normal 3 3 2 2 5 3" xfId="3340" xr:uid="{00000000-0005-0000-0000-0000338D0000}"/>
    <cellStyle name="Normal 3 3 2 2 5 3 2" xfId="5279" xr:uid="{00000000-0005-0000-0000-0000348D0000}"/>
    <cellStyle name="Normal 3 3 2 2 5 3 2 2" xfId="9150" xr:uid="{00000000-0005-0000-0000-0000358D0000}"/>
    <cellStyle name="Normal 3 3 2 2 5 3 2 2 2" xfId="16895" xr:uid="{00000000-0005-0000-0000-0000368D0000}"/>
    <cellStyle name="Normal 3 3 2 2 5 3 2 2 2 2" xfId="32487" xr:uid="{00000000-0005-0000-0000-0000378D0000}"/>
    <cellStyle name="Normal 3 3 2 2 5 3 2 2 2 3" xfId="47979" xr:uid="{00000000-0005-0000-0000-0000388D0000}"/>
    <cellStyle name="Normal 3 3 2 2 5 3 2 2 3" xfId="24747" xr:uid="{00000000-0005-0000-0000-0000398D0000}"/>
    <cellStyle name="Normal 3 3 2 2 5 3 2 2 4" xfId="40239" xr:uid="{00000000-0005-0000-0000-00003A8D0000}"/>
    <cellStyle name="Normal 3 3 2 2 5 3 2 3" xfId="13025" xr:uid="{00000000-0005-0000-0000-00003B8D0000}"/>
    <cellStyle name="Normal 3 3 2 2 5 3 2 3 2" xfId="28617" xr:uid="{00000000-0005-0000-0000-00003C8D0000}"/>
    <cellStyle name="Normal 3 3 2 2 5 3 2 3 3" xfId="44109" xr:uid="{00000000-0005-0000-0000-00003D8D0000}"/>
    <cellStyle name="Normal 3 3 2 2 5 3 2 4" xfId="20877" xr:uid="{00000000-0005-0000-0000-00003E8D0000}"/>
    <cellStyle name="Normal 3 3 2 2 5 3 2 5" xfId="36369" xr:uid="{00000000-0005-0000-0000-00003F8D0000}"/>
    <cellStyle name="Normal 3 3 2 2 5 3 3" xfId="7223" xr:uid="{00000000-0005-0000-0000-0000408D0000}"/>
    <cellStyle name="Normal 3 3 2 2 5 3 3 2" xfId="14968" xr:uid="{00000000-0005-0000-0000-0000418D0000}"/>
    <cellStyle name="Normal 3 3 2 2 5 3 3 2 2" xfId="30560" xr:uid="{00000000-0005-0000-0000-0000428D0000}"/>
    <cellStyle name="Normal 3 3 2 2 5 3 3 2 3" xfId="46052" xr:uid="{00000000-0005-0000-0000-0000438D0000}"/>
    <cellStyle name="Normal 3 3 2 2 5 3 3 3" xfId="22820" xr:uid="{00000000-0005-0000-0000-0000448D0000}"/>
    <cellStyle name="Normal 3 3 2 2 5 3 3 4" xfId="38312" xr:uid="{00000000-0005-0000-0000-0000458D0000}"/>
    <cellStyle name="Normal 3 3 2 2 5 3 4" xfId="11098" xr:uid="{00000000-0005-0000-0000-0000468D0000}"/>
    <cellStyle name="Normal 3 3 2 2 5 3 4 2" xfId="26690" xr:uid="{00000000-0005-0000-0000-0000478D0000}"/>
    <cellStyle name="Normal 3 3 2 2 5 3 4 3" xfId="42182" xr:uid="{00000000-0005-0000-0000-0000488D0000}"/>
    <cellStyle name="Normal 3 3 2 2 5 3 5" xfId="18950" xr:uid="{00000000-0005-0000-0000-0000498D0000}"/>
    <cellStyle name="Normal 3 3 2 2 5 3 6" xfId="34442" xr:uid="{00000000-0005-0000-0000-00004A8D0000}"/>
    <cellStyle name="Normal 3 3 2 2 5 4" xfId="4331" xr:uid="{00000000-0005-0000-0000-00004B8D0000}"/>
    <cellStyle name="Normal 3 3 2 2 5 4 2" xfId="8202" xr:uid="{00000000-0005-0000-0000-00004C8D0000}"/>
    <cellStyle name="Normal 3 3 2 2 5 4 2 2" xfId="15947" xr:uid="{00000000-0005-0000-0000-00004D8D0000}"/>
    <cellStyle name="Normal 3 3 2 2 5 4 2 2 2" xfId="31539" xr:uid="{00000000-0005-0000-0000-00004E8D0000}"/>
    <cellStyle name="Normal 3 3 2 2 5 4 2 2 3" xfId="47031" xr:uid="{00000000-0005-0000-0000-00004F8D0000}"/>
    <cellStyle name="Normal 3 3 2 2 5 4 2 3" xfId="23799" xr:uid="{00000000-0005-0000-0000-0000508D0000}"/>
    <cellStyle name="Normal 3 3 2 2 5 4 2 4" xfId="39291" xr:uid="{00000000-0005-0000-0000-0000518D0000}"/>
    <cellStyle name="Normal 3 3 2 2 5 4 3" xfId="12077" xr:uid="{00000000-0005-0000-0000-0000528D0000}"/>
    <cellStyle name="Normal 3 3 2 2 5 4 3 2" xfId="27669" xr:uid="{00000000-0005-0000-0000-0000538D0000}"/>
    <cellStyle name="Normal 3 3 2 2 5 4 3 3" xfId="43161" xr:uid="{00000000-0005-0000-0000-0000548D0000}"/>
    <cellStyle name="Normal 3 3 2 2 5 4 4" xfId="19929" xr:uid="{00000000-0005-0000-0000-0000558D0000}"/>
    <cellStyle name="Normal 3 3 2 2 5 4 5" xfId="35421" xr:uid="{00000000-0005-0000-0000-0000568D0000}"/>
    <cellStyle name="Normal 3 3 2 2 5 5" xfId="6275" xr:uid="{00000000-0005-0000-0000-0000578D0000}"/>
    <cellStyle name="Normal 3 3 2 2 5 5 2" xfId="14020" xr:uid="{00000000-0005-0000-0000-0000588D0000}"/>
    <cellStyle name="Normal 3 3 2 2 5 5 2 2" xfId="29612" xr:uid="{00000000-0005-0000-0000-0000598D0000}"/>
    <cellStyle name="Normal 3 3 2 2 5 5 2 3" xfId="45104" xr:uid="{00000000-0005-0000-0000-00005A8D0000}"/>
    <cellStyle name="Normal 3 3 2 2 5 5 3" xfId="21872" xr:uid="{00000000-0005-0000-0000-00005B8D0000}"/>
    <cellStyle name="Normal 3 3 2 2 5 5 4" xfId="37364" xr:uid="{00000000-0005-0000-0000-00005C8D0000}"/>
    <cellStyle name="Normal 3 3 2 2 5 6" xfId="10150" xr:uid="{00000000-0005-0000-0000-00005D8D0000}"/>
    <cellStyle name="Normal 3 3 2 2 5 6 2" xfId="25742" xr:uid="{00000000-0005-0000-0000-00005E8D0000}"/>
    <cellStyle name="Normal 3 3 2 2 5 6 3" xfId="41234" xr:uid="{00000000-0005-0000-0000-00005F8D0000}"/>
    <cellStyle name="Normal 3 3 2 2 5 7" xfId="18002" xr:uid="{00000000-0005-0000-0000-0000608D0000}"/>
    <cellStyle name="Normal 3 3 2 2 5 8" xfId="33494" xr:uid="{00000000-0005-0000-0000-0000618D0000}"/>
    <cellStyle name="Normal 3 3 2 2 6" xfId="2364" xr:uid="{00000000-0005-0000-0000-0000628D0000}"/>
    <cellStyle name="Normal 3 3 2 2 6 2" xfId="2677" xr:uid="{00000000-0005-0000-0000-0000638D0000}"/>
    <cellStyle name="Normal 3 3 2 2 6 2 2" xfId="3685" xr:uid="{00000000-0005-0000-0000-0000648D0000}"/>
    <cellStyle name="Normal 3 3 2 2 6 2 2 2" xfId="5624" xr:uid="{00000000-0005-0000-0000-0000658D0000}"/>
    <cellStyle name="Normal 3 3 2 2 6 2 2 2 2" xfId="9495" xr:uid="{00000000-0005-0000-0000-0000668D0000}"/>
    <cellStyle name="Normal 3 3 2 2 6 2 2 2 2 2" xfId="17240" xr:uid="{00000000-0005-0000-0000-0000678D0000}"/>
    <cellStyle name="Normal 3 3 2 2 6 2 2 2 2 2 2" xfId="32832" xr:uid="{00000000-0005-0000-0000-0000688D0000}"/>
    <cellStyle name="Normal 3 3 2 2 6 2 2 2 2 2 3" xfId="48324" xr:uid="{00000000-0005-0000-0000-0000698D0000}"/>
    <cellStyle name="Normal 3 3 2 2 6 2 2 2 2 3" xfId="25092" xr:uid="{00000000-0005-0000-0000-00006A8D0000}"/>
    <cellStyle name="Normal 3 3 2 2 6 2 2 2 2 4" xfId="40584" xr:uid="{00000000-0005-0000-0000-00006B8D0000}"/>
    <cellStyle name="Normal 3 3 2 2 6 2 2 2 3" xfId="13370" xr:uid="{00000000-0005-0000-0000-00006C8D0000}"/>
    <cellStyle name="Normal 3 3 2 2 6 2 2 2 3 2" xfId="28962" xr:uid="{00000000-0005-0000-0000-00006D8D0000}"/>
    <cellStyle name="Normal 3 3 2 2 6 2 2 2 3 3" xfId="44454" xr:uid="{00000000-0005-0000-0000-00006E8D0000}"/>
    <cellStyle name="Normal 3 3 2 2 6 2 2 2 4" xfId="21222" xr:uid="{00000000-0005-0000-0000-00006F8D0000}"/>
    <cellStyle name="Normal 3 3 2 2 6 2 2 2 5" xfId="36714" xr:uid="{00000000-0005-0000-0000-0000708D0000}"/>
    <cellStyle name="Normal 3 3 2 2 6 2 2 3" xfId="7568" xr:uid="{00000000-0005-0000-0000-0000718D0000}"/>
    <cellStyle name="Normal 3 3 2 2 6 2 2 3 2" xfId="15313" xr:uid="{00000000-0005-0000-0000-0000728D0000}"/>
    <cellStyle name="Normal 3 3 2 2 6 2 2 3 2 2" xfId="30905" xr:uid="{00000000-0005-0000-0000-0000738D0000}"/>
    <cellStyle name="Normal 3 3 2 2 6 2 2 3 2 3" xfId="46397" xr:uid="{00000000-0005-0000-0000-0000748D0000}"/>
    <cellStyle name="Normal 3 3 2 2 6 2 2 3 3" xfId="23165" xr:uid="{00000000-0005-0000-0000-0000758D0000}"/>
    <cellStyle name="Normal 3 3 2 2 6 2 2 3 4" xfId="38657" xr:uid="{00000000-0005-0000-0000-0000768D0000}"/>
    <cellStyle name="Normal 3 3 2 2 6 2 2 4" xfId="11443" xr:uid="{00000000-0005-0000-0000-0000778D0000}"/>
    <cellStyle name="Normal 3 3 2 2 6 2 2 4 2" xfId="27035" xr:uid="{00000000-0005-0000-0000-0000788D0000}"/>
    <cellStyle name="Normal 3 3 2 2 6 2 2 4 3" xfId="42527" xr:uid="{00000000-0005-0000-0000-0000798D0000}"/>
    <cellStyle name="Normal 3 3 2 2 6 2 2 5" xfId="19295" xr:uid="{00000000-0005-0000-0000-00007A8D0000}"/>
    <cellStyle name="Normal 3 3 2 2 6 2 2 6" xfId="34787" xr:uid="{00000000-0005-0000-0000-00007B8D0000}"/>
    <cellStyle name="Normal 3 3 2 2 6 2 3" xfId="4676" xr:uid="{00000000-0005-0000-0000-00007C8D0000}"/>
    <cellStyle name="Normal 3 3 2 2 6 2 3 2" xfId="8547" xr:uid="{00000000-0005-0000-0000-00007D8D0000}"/>
    <cellStyle name="Normal 3 3 2 2 6 2 3 2 2" xfId="16292" xr:uid="{00000000-0005-0000-0000-00007E8D0000}"/>
    <cellStyle name="Normal 3 3 2 2 6 2 3 2 2 2" xfId="31884" xr:uid="{00000000-0005-0000-0000-00007F8D0000}"/>
    <cellStyle name="Normal 3 3 2 2 6 2 3 2 2 3" xfId="47376" xr:uid="{00000000-0005-0000-0000-0000808D0000}"/>
    <cellStyle name="Normal 3 3 2 2 6 2 3 2 3" xfId="24144" xr:uid="{00000000-0005-0000-0000-0000818D0000}"/>
    <cellStyle name="Normal 3 3 2 2 6 2 3 2 4" xfId="39636" xr:uid="{00000000-0005-0000-0000-0000828D0000}"/>
    <cellStyle name="Normal 3 3 2 2 6 2 3 3" xfId="12422" xr:uid="{00000000-0005-0000-0000-0000838D0000}"/>
    <cellStyle name="Normal 3 3 2 2 6 2 3 3 2" xfId="28014" xr:uid="{00000000-0005-0000-0000-0000848D0000}"/>
    <cellStyle name="Normal 3 3 2 2 6 2 3 3 3" xfId="43506" xr:uid="{00000000-0005-0000-0000-0000858D0000}"/>
    <cellStyle name="Normal 3 3 2 2 6 2 3 4" xfId="20274" xr:uid="{00000000-0005-0000-0000-0000868D0000}"/>
    <cellStyle name="Normal 3 3 2 2 6 2 3 5" xfId="35766" xr:uid="{00000000-0005-0000-0000-0000878D0000}"/>
    <cellStyle name="Normal 3 3 2 2 6 2 4" xfId="6620" xr:uid="{00000000-0005-0000-0000-0000888D0000}"/>
    <cellStyle name="Normal 3 3 2 2 6 2 4 2" xfId="14365" xr:uid="{00000000-0005-0000-0000-0000898D0000}"/>
    <cellStyle name="Normal 3 3 2 2 6 2 4 2 2" xfId="29957" xr:uid="{00000000-0005-0000-0000-00008A8D0000}"/>
    <cellStyle name="Normal 3 3 2 2 6 2 4 2 3" xfId="45449" xr:uid="{00000000-0005-0000-0000-00008B8D0000}"/>
    <cellStyle name="Normal 3 3 2 2 6 2 4 3" xfId="22217" xr:uid="{00000000-0005-0000-0000-00008C8D0000}"/>
    <cellStyle name="Normal 3 3 2 2 6 2 4 4" xfId="37709" xr:uid="{00000000-0005-0000-0000-00008D8D0000}"/>
    <cellStyle name="Normal 3 3 2 2 6 2 5" xfId="10495" xr:uid="{00000000-0005-0000-0000-00008E8D0000}"/>
    <cellStyle name="Normal 3 3 2 2 6 2 5 2" xfId="26087" xr:uid="{00000000-0005-0000-0000-00008F8D0000}"/>
    <cellStyle name="Normal 3 3 2 2 6 2 5 3" xfId="41579" xr:uid="{00000000-0005-0000-0000-0000908D0000}"/>
    <cellStyle name="Normal 3 3 2 2 6 2 6" xfId="18347" xr:uid="{00000000-0005-0000-0000-0000918D0000}"/>
    <cellStyle name="Normal 3 3 2 2 6 2 7" xfId="33839" xr:uid="{00000000-0005-0000-0000-0000928D0000}"/>
    <cellStyle name="Normal 3 3 2 2 6 3" xfId="3376" xr:uid="{00000000-0005-0000-0000-0000938D0000}"/>
    <cellStyle name="Normal 3 3 2 2 6 3 2" xfId="5315" xr:uid="{00000000-0005-0000-0000-0000948D0000}"/>
    <cellStyle name="Normal 3 3 2 2 6 3 2 2" xfId="9186" xr:uid="{00000000-0005-0000-0000-0000958D0000}"/>
    <cellStyle name="Normal 3 3 2 2 6 3 2 2 2" xfId="16931" xr:uid="{00000000-0005-0000-0000-0000968D0000}"/>
    <cellStyle name="Normal 3 3 2 2 6 3 2 2 2 2" xfId="32523" xr:uid="{00000000-0005-0000-0000-0000978D0000}"/>
    <cellStyle name="Normal 3 3 2 2 6 3 2 2 2 3" xfId="48015" xr:uid="{00000000-0005-0000-0000-0000988D0000}"/>
    <cellStyle name="Normal 3 3 2 2 6 3 2 2 3" xfId="24783" xr:uid="{00000000-0005-0000-0000-0000998D0000}"/>
    <cellStyle name="Normal 3 3 2 2 6 3 2 2 4" xfId="40275" xr:uid="{00000000-0005-0000-0000-00009A8D0000}"/>
    <cellStyle name="Normal 3 3 2 2 6 3 2 3" xfId="13061" xr:uid="{00000000-0005-0000-0000-00009B8D0000}"/>
    <cellStyle name="Normal 3 3 2 2 6 3 2 3 2" xfId="28653" xr:uid="{00000000-0005-0000-0000-00009C8D0000}"/>
    <cellStyle name="Normal 3 3 2 2 6 3 2 3 3" xfId="44145" xr:uid="{00000000-0005-0000-0000-00009D8D0000}"/>
    <cellStyle name="Normal 3 3 2 2 6 3 2 4" xfId="20913" xr:uid="{00000000-0005-0000-0000-00009E8D0000}"/>
    <cellStyle name="Normal 3 3 2 2 6 3 2 5" xfId="36405" xr:uid="{00000000-0005-0000-0000-00009F8D0000}"/>
    <cellStyle name="Normal 3 3 2 2 6 3 3" xfId="7259" xr:uid="{00000000-0005-0000-0000-0000A08D0000}"/>
    <cellStyle name="Normal 3 3 2 2 6 3 3 2" xfId="15004" xr:uid="{00000000-0005-0000-0000-0000A18D0000}"/>
    <cellStyle name="Normal 3 3 2 2 6 3 3 2 2" xfId="30596" xr:uid="{00000000-0005-0000-0000-0000A28D0000}"/>
    <cellStyle name="Normal 3 3 2 2 6 3 3 2 3" xfId="46088" xr:uid="{00000000-0005-0000-0000-0000A38D0000}"/>
    <cellStyle name="Normal 3 3 2 2 6 3 3 3" xfId="22856" xr:uid="{00000000-0005-0000-0000-0000A48D0000}"/>
    <cellStyle name="Normal 3 3 2 2 6 3 3 4" xfId="38348" xr:uid="{00000000-0005-0000-0000-0000A58D0000}"/>
    <cellStyle name="Normal 3 3 2 2 6 3 4" xfId="11134" xr:uid="{00000000-0005-0000-0000-0000A68D0000}"/>
    <cellStyle name="Normal 3 3 2 2 6 3 4 2" xfId="26726" xr:uid="{00000000-0005-0000-0000-0000A78D0000}"/>
    <cellStyle name="Normal 3 3 2 2 6 3 4 3" xfId="42218" xr:uid="{00000000-0005-0000-0000-0000A88D0000}"/>
    <cellStyle name="Normal 3 3 2 2 6 3 5" xfId="18986" xr:uid="{00000000-0005-0000-0000-0000A98D0000}"/>
    <cellStyle name="Normal 3 3 2 2 6 3 6" xfId="34478" xr:uid="{00000000-0005-0000-0000-0000AA8D0000}"/>
    <cellStyle name="Normal 3 3 2 2 6 4" xfId="4367" xr:uid="{00000000-0005-0000-0000-0000AB8D0000}"/>
    <cellStyle name="Normal 3 3 2 2 6 4 2" xfId="8238" xr:uid="{00000000-0005-0000-0000-0000AC8D0000}"/>
    <cellStyle name="Normal 3 3 2 2 6 4 2 2" xfId="15983" xr:uid="{00000000-0005-0000-0000-0000AD8D0000}"/>
    <cellStyle name="Normal 3 3 2 2 6 4 2 2 2" xfId="31575" xr:uid="{00000000-0005-0000-0000-0000AE8D0000}"/>
    <cellStyle name="Normal 3 3 2 2 6 4 2 2 3" xfId="47067" xr:uid="{00000000-0005-0000-0000-0000AF8D0000}"/>
    <cellStyle name="Normal 3 3 2 2 6 4 2 3" xfId="23835" xr:uid="{00000000-0005-0000-0000-0000B08D0000}"/>
    <cellStyle name="Normal 3 3 2 2 6 4 2 4" xfId="39327" xr:uid="{00000000-0005-0000-0000-0000B18D0000}"/>
    <cellStyle name="Normal 3 3 2 2 6 4 3" xfId="12113" xr:uid="{00000000-0005-0000-0000-0000B28D0000}"/>
    <cellStyle name="Normal 3 3 2 2 6 4 3 2" xfId="27705" xr:uid="{00000000-0005-0000-0000-0000B38D0000}"/>
    <cellStyle name="Normal 3 3 2 2 6 4 3 3" xfId="43197" xr:uid="{00000000-0005-0000-0000-0000B48D0000}"/>
    <cellStyle name="Normal 3 3 2 2 6 4 4" xfId="19965" xr:uid="{00000000-0005-0000-0000-0000B58D0000}"/>
    <cellStyle name="Normal 3 3 2 2 6 4 5" xfId="35457" xr:uid="{00000000-0005-0000-0000-0000B68D0000}"/>
    <cellStyle name="Normal 3 3 2 2 6 5" xfId="6311" xr:uid="{00000000-0005-0000-0000-0000B78D0000}"/>
    <cellStyle name="Normal 3 3 2 2 6 5 2" xfId="14056" xr:uid="{00000000-0005-0000-0000-0000B88D0000}"/>
    <cellStyle name="Normal 3 3 2 2 6 5 2 2" xfId="29648" xr:uid="{00000000-0005-0000-0000-0000B98D0000}"/>
    <cellStyle name="Normal 3 3 2 2 6 5 2 3" xfId="45140" xr:uid="{00000000-0005-0000-0000-0000BA8D0000}"/>
    <cellStyle name="Normal 3 3 2 2 6 5 3" xfId="21908" xr:uid="{00000000-0005-0000-0000-0000BB8D0000}"/>
    <cellStyle name="Normal 3 3 2 2 6 5 4" xfId="37400" xr:uid="{00000000-0005-0000-0000-0000BC8D0000}"/>
    <cellStyle name="Normal 3 3 2 2 6 6" xfId="10186" xr:uid="{00000000-0005-0000-0000-0000BD8D0000}"/>
    <cellStyle name="Normal 3 3 2 2 6 6 2" xfId="25778" xr:uid="{00000000-0005-0000-0000-0000BE8D0000}"/>
    <cellStyle name="Normal 3 3 2 2 6 6 3" xfId="41270" xr:uid="{00000000-0005-0000-0000-0000BF8D0000}"/>
    <cellStyle name="Normal 3 3 2 2 6 7" xfId="18038" xr:uid="{00000000-0005-0000-0000-0000C08D0000}"/>
    <cellStyle name="Normal 3 3 2 2 6 8" xfId="33530" xr:uid="{00000000-0005-0000-0000-0000C18D0000}"/>
    <cellStyle name="Normal 3 3 2 2 7" xfId="2402" xr:uid="{00000000-0005-0000-0000-0000C28D0000}"/>
    <cellStyle name="Normal 3 3 2 2 7 2" xfId="2713" xr:uid="{00000000-0005-0000-0000-0000C38D0000}"/>
    <cellStyle name="Normal 3 3 2 2 7 2 2" xfId="3721" xr:uid="{00000000-0005-0000-0000-0000C48D0000}"/>
    <cellStyle name="Normal 3 3 2 2 7 2 2 2" xfId="5660" xr:uid="{00000000-0005-0000-0000-0000C58D0000}"/>
    <cellStyle name="Normal 3 3 2 2 7 2 2 2 2" xfId="9531" xr:uid="{00000000-0005-0000-0000-0000C68D0000}"/>
    <cellStyle name="Normal 3 3 2 2 7 2 2 2 2 2" xfId="17276" xr:uid="{00000000-0005-0000-0000-0000C78D0000}"/>
    <cellStyle name="Normal 3 3 2 2 7 2 2 2 2 2 2" xfId="32868" xr:uid="{00000000-0005-0000-0000-0000C88D0000}"/>
    <cellStyle name="Normal 3 3 2 2 7 2 2 2 2 2 3" xfId="48360" xr:uid="{00000000-0005-0000-0000-0000C98D0000}"/>
    <cellStyle name="Normal 3 3 2 2 7 2 2 2 2 3" xfId="25128" xr:uid="{00000000-0005-0000-0000-0000CA8D0000}"/>
    <cellStyle name="Normal 3 3 2 2 7 2 2 2 2 4" xfId="40620" xr:uid="{00000000-0005-0000-0000-0000CB8D0000}"/>
    <cellStyle name="Normal 3 3 2 2 7 2 2 2 3" xfId="13406" xr:uid="{00000000-0005-0000-0000-0000CC8D0000}"/>
    <cellStyle name="Normal 3 3 2 2 7 2 2 2 3 2" xfId="28998" xr:uid="{00000000-0005-0000-0000-0000CD8D0000}"/>
    <cellStyle name="Normal 3 3 2 2 7 2 2 2 3 3" xfId="44490" xr:uid="{00000000-0005-0000-0000-0000CE8D0000}"/>
    <cellStyle name="Normal 3 3 2 2 7 2 2 2 4" xfId="21258" xr:uid="{00000000-0005-0000-0000-0000CF8D0000}"/>
    <cellStyle name="Normal 3 3 2 2 7 2 2 2 5" xfId="36750" xr:uid="{00000000-0005-0000-0000-0000D08D0000}"/>
    <cellStyle name="Normal 3 3 2 2 7 2 2 3" xfId="7604" xr:uid="{00000000-0005-0000-0000-0000D18D0000}"/>
    <cellStyle name="Normal 3 3 2 2 7 2 2 3 2" xfId="15349" xr:uid="{00000000-0005-0000-0000-0000D28D0000}"/>
    <cellStyle name="Normal 3 3 2 2 7 2 2 3 2 2" xfId="30941" xr:uid="{00000000-0005-0000-0000-0000D38D0000}"/>
    <cellStyle name="Normal 3 3 2 2 7 2 2 3 2 3" xfId="46433" xr:uid="{00000000-0005-0000-0000-0000D48D0000}"/>
    <cellStyle name="Normal 3 3 2 2 7 2 2 3 3" xfId="23201" xr:uid="{00000000-0005-0000-0000-0000D58D0000}"/>
    <cellStyle name="Normal 3 3 2 2 7 2 2 3 4" xfId="38693" xr:uid="{00000000-0005-0000-0000-0000D68D0000}"/>
    <cellStyle name="Normal 3 3 2 2 7 2 2 4" xfId="11479" xr:uid="{00000000-0005-0000-0000-0000D78D0000}"/>
    <cellStyle name="Normal 3 3 2 2 7 2 2 4 2" xfId="27071" xr:uid="{00000000-0005-0000-0000-0000D88D0000}"/>
    <cellStyle name="Normal 3 3 2 2 7 2 2 4 3" xfId="42563" xr:uid="{00000000-0005-0000-0000-0000D98D0000}"/>
    <cellStyle name="Normal 3 3 2 2 7 2 2 5" xfId="19331" xr:uid="{00000000-0005-0000-0000-0000DA8D0000}"/>
    <cellStyle name="Normal 3 3 2 2 7 2 2 6" xfId="34823" xr:uid="{00000000-0005-0000-0000-0000DB8D0000}"/>
    <cellStyle name="Normal 3 3 2 2 7 2 3" xfId="4712" xr:uid="{00000000-0005-0000-0000-0000DC8D0000}"/>
    <cellStyle name="Normal 3 3 2 2 7 2 3 2" xfId="8583" xr:uid="{00000000-0005-0000-0000-0000DD8D0000}"/>
    <cellStyle name="Normal 3 3 2 2 7 2 3 2 2" xfId="16328" xr:uid="{00000000-0005-0000-0000-0000DE8D0000}"/>
    <cellStyle name="Normal 3 3 2 2 7 2 3 2 2 2" xfId="31920" xr:uid="{00000000-0005-0000-0000-0000DF8D0000}"/>
    <cellStyle name="Normal 3 3 2 2 7 2 3 2 2 3" xfId="47412" xr:uid="{00000000-0005-0000-0000-0000E08D0000}"/>
    <cellStyle name="Normal 3 3 2 2 7 2 3 2 3" xfId="24180" xr:uid="{00000000-0005-0000-0000-0000E18D0000}"/>
    <cellStyle name="Normal 3 3 2 2 7 2 3 2 4" xfId="39672" xr:uid="{00000000-0005-0000-0000-0000E28D0000}"/>
    <cellStyle name="Normal 3 3 2 2 7 2 3 3" xfId="12458" xr:uid="{00000000-0005-0000-0000-0000E38D0000}"/>
    <cellStyle name="Normal 3 3 2 2 7 2 3 3 2" xfId="28050" xr:uid="{00000000-0005-0000-0000-0000E48D0000}"/>
    <cellStyle name="Normal 3 3 2 2 7 2 3 3 3" xfId="43542" xr:uid="{00000000-0005-0000-0000-0000E58D0000}"/>
    <cellStyle name="Normal 3 3 2 2 7 2 3 4" xfId="20310" xr:uid="{00000000-0005-0000-0000-0000E68D0000}"/>
    <cellStyle name="Normal 3 3 2 2 7 2 3 5" xfId="35802" xr:uid="{00000000-0005-0000-0000-0000E78D0000}"/>
    <cellStyle name="Normal 3 3 2 2 7 2 4" xfId="6656" xr:uid="{00000000-0005-0000-0000-0000E88D0000}"/>
    <cellStyle name="Normal 3 3 2 2 7 2 4 2" xfId="14401" xr:uid="{00000000-0005-0000-0000-0000E98D0000}"/>
    <cellStyle name="Normal 3 3 2 2 7 2 4 2 2" xfId="29993" xr:uid="{00000000-0005-0000-0000-0000EA8D0000}"/>
    <cellStyle name="Normal 3 3 2 2 7 2 4 2 3" xfId="45485" xr:uid="{00000000-0005-0000-0000-0000EB8D0000}"/>
    <cellStyle name="Normal 3 3 2 2 7 2 4 3" xfId="22253" xr:uid="{00000000-0005-0000-0000-0000EC8D0000}"/>
    <cellStyle name="Normal 3 3 2 2 7 2 4 4" xfId="37745" xr:uid="{00000000-0005-0000-0000-0000ED8D0000}"/>
    <cellStyle name="Normal 3 3 2 2 7 2 5" xfId="10531" xr:uid="{00000000-0005-0000-0000-0000EE8D0000}"/>
    <cellStyle name="Normal 3 3 2 2 7 2 5 2" xfId="26123" xr:uid="{00000000-0005-0000-0000-0000EF8D0000}"/>
    <cellStyle name="Normal 3 3 2 2 7 2 5 3" xfId="41615" xr:uid="{00000000-0005-0000-0000-0000F08D0000}"/>
    <cellStyle name="Normal 3 3 2 2 7 2 6" xfId="18383" xr:uid="{00000000-0005-0000-0000-0000F18D0000}"/>
    <cellStyle name="Normal 3 3 2 2 7 2 7" xfId="33875" xr:uid="{00000000-0005-0000-0000-0000F28D0000}"/>
    <cellStyle name="Normal 3 3 2 2 7 3" xfId="3412" xr:uid="{00000000-0005-0000-0000-0000F38D0000}"/>
    <cellStyle name="Normal 3 3 2 2 7 3 2" xfId="5351" xr:uid="{00000000-0005-0000-0000-0000F48D0000}"/>
    <cellStyle name="Normal 3 3 2 2 7 3 2 2" xfId="9222" xr:uid="{00000000-0005-0000-0000-0000F58D0000}"/>
    <cellStyle name="Normal 3 3 2 2 7 3 2 2 2" xfId="16967" xr:uid="{00000000-0005-0000-0000-0000F68D0000}"/>
    <cellStyle name="Normal 3 3 2 2 7 3 2 2 2 2" xfId="32559" xr:uid="{00000000-0005-0000-0000-0000F78D0000}"/>
    <cellStyle name="Normal 3 3 2 2 7 3 2 2 2 3" xfId="48051" xr:uid="{00000000-0005-0000-0000-0000F88D0000}"/>
    <cellStyle name="Normal 3 3 2 2 7 3 2 2 3" xfId="24819" xr:uid="{00000000-0005-0000-0000-0000F98D0000}"/>
    <cellStyle name="Normal 3 3 2 2 7 3 2 2 4" xfId="40311" xr:uid="{00000000-0005-0000-0000-0000FA8D0000}"/>
    <cellStyle name="Normal 3 3 2 2 7 3 2 3" xfId="13097" xr:uid="{00000000-0005-0000-0000-0000FB8D0000}"/>
    <cellStyle name="Normal 3 3 2 2 7 3 2 3 2" xfId="28689" xr:uid="{00000000-0005-0000-0000-0000FC8D0000}"/>
    <cellStyle name="Normal 3 3 2 2 7 3 2 3 3" xfId="44181" xr:uid="{00000000-0005-0000-0000-0000FD8D0000}"/>
    <cellStyle name="Normal 3 3 2 2 7 3 2 4" xfId="20949" xr:uid="{00000000-0005-0000-0000-0000FE8D0000}"/>
    <cellStyle name="Normal 3 3 2 2 7 3 2 5" xfId="36441" xr:uid="{00000000-0005-0000-0000-0000FF8D0000}"/>
    <cellStyle name="Normal 3 3 2 2 7 3 3" xfId="7295" xr:uid="{00000000-0005-0000-0000-0000008E0000}"/>
    <cellStyle name="Normal 3 3 2 2 7 3 3 2" xfId="15040" xr:uid="{00000000-0005-0000-0000-0000018E0000}"/>
    <cellStyle name="Normal 3 3 2 2 7 3 3 2 2" xfId="30632" xr:uid="{00000000-0005-0000-0000-0000028E0000}"/>
    <cellStyle name="Normal 3 3 2 2 7 3 3 2 3" xfId="46124" xr:uid="{00000000-0005-0000-0000-0000038E0000}"/>
    <cellStyle name="Normal 3 3 2 2 7 3 3 3" xfId="22892" xr:uid="{00000000-0005-0000-0000-0000048E0000}"/>
    <cellStyle name="Normal 3 3 2 2 7 3 3 4" xfId="38384" xr:uid="{00000000-0005-0000-0000-0000058E0000}"/>
    <cellStyle name="Normal 3 3 2 2 7 3 4" xfId="11170" xr:uid="{00000000-0005-0000-0000-0000068E0000}"/>
    <cellStyle name="Normal 3 3 2 2 7 3 4 2" xfId="26762" xr:uid="{00000000-0005-0000-0000-0000078E0000}"/>
    <cellStyle name="Normal 3 3 2 2 7 3 4 3" xfId="42254" xr:uid="{00000000-0005-0000-0000-0000088E0000}"/>
    <cellStyle name="Normal 3 3 2 2 7 3 5" xfId="19022" xr:uid="{00000000-0005-0000-0000-0000098E0000}"/>
    <cellStyle name="Normal 3 3 2 2 7 3 6" xfId="34514" xr:uid="{00000000-0005-0000-0000-00000A8E0000}"/>
    <cellStyle name="Normal 3 3 2 2 7 4" xfId="4403" xr:uid="{00000000-0005-0000-0000-00000B8E0000}"/>
    <cellStyle name="Normal 3 3 2 2 7 4 2" xfId="8274" xr:uid="{00000000-0005-0000-0000-00000C8E0000}"/>
    <cellStyle name="Normal 3 3 2 2 7 4 2 2" xfId="16019" xr:uid="{00000000-0005-0000-0000-00000D8E0000}"/>
    <cellStyle name="Normal 3 3 2 2 7 4 2 2 2" xfId="31611" xr:uid="{00000000-0005-0000-0000-00000E8E0000}"/>
    <cellStyle name="Normal 3 3 2 2 7 4 2 2 3" xfId="47103" xr:uid="{00000000-0005-0000-0000-00000F8E0000}"/>
    <cellStyle name="Normal 3 3 2 2 7 4 2 3" xfId="23871" xr:uid="{00000000-0005-0000-0000-0000108E0000}"/>
    <cellStyle name="Normal 3 3 2 2 7 4 2 4" xfId="39363" xr:uid="{00000000-0005-0000-0000-0000118E0000}"/>
    <cellStyle name="Normal 3 3 2 2 7 4 3" xfId="12149" xr:uid="{00000000-0005-0000-0000-0000128E0000}"/>
    <cellStyle name="Normal 3 3 2 2 7 4 3 2" xfId="27741" xr:uid="{00000000-0005-0000-0000-0000138E0000}"/>
    <cellStyle name="Normal 3 3 2 2 7 4 3 3" xfId="43233" xr:uid="{00000000-0005-0000-0000-0000148E0000}"/>
    <cellStyle name="Normal 3 3 2 2 7 4 4" xfId="20001" xr:uid="{00000000-0005-0000-0000-0000158E0000}"/>
    <cellStyle name="Normal 3 3 2 2 7 4 5" xfId="35493" xr:uid="{00000000-0005-0000-0000-0000168E0000}"/>
    <cellStyle name="Normal 3 3 2 2 7 5" xfId="6347" xr:uid="{00000000-0005-0000-0000-0000178E0000}"/>
    <cellStyle name="Normal 3 3 2 2 7 5 2" xfId="14092" xr:uid="{00000000-0005-0000-0000-0000188E0000}"/>
    <cellStyle name="Normal 3 3 2 2 7 5 2 2" xfId="29684" xr:uid="{00000000-0005-0000-0000-0000198E0000}"/>
    <cellStyle name="Normal 3 3 2 2 7 5 2 3" xfId="45176" xr:uid="{00000000-0005-0000-0000-00001A8E0000}"/>
    <cellStyle name="Normal 3 3 2 2 7 5 3" xfId="21944" xr:uid="{00000000-0005-0000-0000-00001B8E0000}"/>
    <cellStyle name="Normal 3 3 2 2 7 5 4" xfId="37436" xr:uid="{00000000-0005-0000-0000-00001C8E0000}"/>
    <cellStyle name="Normal 3 3 2 2 7 6" xfId="10222" xr:uid="{00000000-0005-0000-0000-00001D8E0000}"/>
    <cellStyle name="Normal 3 3 2 2 7 6 2" xfId="25814" xr:uid="{00000000-0005-0000-0000-00001E8E0000}"/>
    <cellStyle name="Normal 3 3 2 2 7 6 3" xfId="41306" xr:uid="{00000000-0005-0000-0000-00001F8E0000}"/>
    <cellStyle name="Normal 3 3 2 2 7 7" xfId="18074" xr:uid="{00000000-0005-0000-0000-0000208E0000}"/>
    <cellStyle name="Normal 3 3 2 2 7 8" xfId="33566" xr:uid="{00000000-0005-0000-0000-0000218E0000}"/>
    <cellStyle name="Normal 3 3 2 2 8" xfId="2439" xr:uid="{00000000-0005-0000-0000-0000228E0000}"/>
    <cellStyle name="Normal 3 3 2 2 8 2" xfId="2749" xr:uid="{00000000-0005-0000-0000-0000238E0000}"/>
    <cellStyle name="Normal 3 3 2 2 8 2 2" xfId="3757" xr:uid="{00000000-0005-0000-0000-0000248E0000}"/>
    <cellStyle name="Normal 3 3 2 2 8 2 2 2" xfId="5696" xr:uid="{00000000-0005-0000-0000-0000258E0000}"/>
    <cellStyle name="Normal 3 3 2 2 8 2 2 2 2" xfId="9567" xr:uid="{00000000-0005-0000-0000-0000268E0000}"/>
    <cellStyle name="Normal 3 3 2 2 8 2 2 2 2 2" xfId="17312" xr:uid="{00000000-0005-0000-0000-0000278E0000}"/>
    <cellStyle name="Normal 3 3 2 2 8 2 2 2 2 2 2" xfId="32904" xr:uid="{00000000-0005-0000-0000-0000288E0000}"/>
    <cellStyle name="Normal 3 3 2 2 8 2 2 2 2 2 3" xfId="48396" xr:uid="{00000000-0005-0000-0000-0000298E0000}"/>
    <cellStyle name="Normal 3 3 2 2 8 2 2 2 2 3" xfId="25164" xr:uid="{00000000-0005-0000-0000-00002A8E0000}"/>
    <cellStyle name="Normal 3 3 2 2 8 2 2 2 2 4" xfId="40656" xr:uid="{00000000-0005-0000-0000-00002B8E0000}"/>
    <cellStyle name="Normal 3 3 2 2 8 2 2 2 3" xfId="13442" xr:uid="{00000000-0005-0000-0000-00002C8E0000}"/>
    <cellStyle name="Normal 3 3 2 2 8 2 2 2 3 2" xfId="29034" xr:uid="{00000000-0005-0000-0000-00002D8E0000}"/>
    <cellStyle name="Normal 3 3 2 2 8 2 2 2 3 3" xfId="44526" xr:uid="{00000000-0005-0000-0000-00002E8E0000}"/>
    <cellStyle name="Normal 3 3 2 2 8 2 2 2 4" xfId="21294" xr:uid="{00000000-0005-0000-0000-00002F8E0000}"/>
    <cellStyle name="Normal 3 3 2 2 8 2 2 2 5" xfId="36786" xr:uid="{00000000-0005-0000-0000-0000308E0000}"/>
    <cellStyle name="Normal 3 3 2 2 8 2 2 3" xfId="7640" xr:uid="{00000000-0005-0000-0000-0000318E0000}"/>
    <cellStyle name="Normal 3 3 2 2 8 2 2 3 2" xfId="15385" xr:uid="{00000000-0005-0000-0000-0000328E0000}"/>
    <cellStyle name="Normal 3 3 2 2 8 2 2 3 2 2" xfId="30977" xr:uid="{00000000-0005-0000-0000-0000338E0000}"/>
    <cellStyle name="Normal 3 3 2 2 8 2 2 3 2 3" xfId="46469" xr:uid="{00000000-0005-0000-0000-0000348E0000}"/>
    <cellStyle name="Normal 3 3 2 2 8 2 2 3 3" xfId="23237" xr:uid="{00000000-0005-0000-0000-0000358E0000}"/>
    <cellStyle name="Normal 3 3 2 2 8 2 2 3 4" xfId="38729" xr:uid="{00000000-0005-0000-0000-0000368E0000}"/>
    <cellStyle name="Normal 3 3 2 2 8 2 2 4" xfId="11515" xr:uid="{00000000-0005-0000-0000-0000378E0000}"/>
    <cellStyle name="Normal 3 3 2 2 8 2 2 4 2" xfId="27107" xr:uid="{00000000-0005-0000-0000-0000388E0000}"/>
    <cellStyle name="Normal 3 3 2 2 8 2 2 4 3" xfId="42599" xr:uid="{00000000-0005-0000-0000-0000398E0000}"/>
    <cellStyle name="Normal 3 3 2 2 8 2 2 5" xfId="19367" xr:uid="{00000000-0005-0000-0000-00003A8E0000}"/>
    <cellStyle name="Normal 3 3 2 2 8 2 2 6" xfId="34859" xr:uid="{00000000-0005-0000-0000-00003B8E0000}"/>
    <cellStyle name="Normal 3 3 2 2 8 2 3" xfId="4748" xr:uid="{00000000-0005-0000-0000-00003C8E0000}"/>
    <cellStyle name="Normal 3 3 2 2 8 2 3 2" xfId="8619" xr:uid="{00000000-0005-0000-0000-00003D8E0000}"/>
    <cellStyle name="Normal 3 3 2 2 8 2 3 2 2" xfId="16364" xr:uid="{00000000-0005-0000-0000-00003E8E0000}"/>
    <cellStyle name="Normal 3 3 2 2 8 2 3 2 2 2" xfId="31956" xr:uid="{00000000-0005-0000-0000-00003F8E0000}"/>
    <cellStyle name="Normal 3 3 2 2 8 2 3 2 2 3" xfId="47448" xr:uid="{00000000-0005-0000-0000-0000408E0000}"/>
    <cellStyle name="Normal 3 3 2 2 8 2 3 2 3" xfId="24216" xr:uid="{00000000-0005-0000-0000-0000418E0000}"/>
    <cellStyle name="Normal 3 3 2 2 8 2 3 2 4" xfId="39708" xr:uid="{00000000-0005-0000-0000-0000428E0000}"/>
    <cellStyle name="Normal 3 3 2 2 8 2 3 3" xfId="12494" xr:uid="{00000000-0005-0000-0000-0000438E0000}"/>
    <cellStyle name="Normal 3 3 2 2 8 2 3 3 2" xfId="28086" xr:uid="{00000000-0005-0000-0000-0000448E0000}"/>
    <cellStyle name="Normal 3 3 2 2 8 2 3 3 3" xfId="43578" xr:uid="{00000000-0005-0000-0000-0000458E0000}"/>
    <cellStyle name="Normal 3 3 2 2 8 2 3 4" xfId="20346" xr:uid="{00000000-0005-0000-0000-0000468E0000}"/>
    <cellStyle name="Normal 3 3 2 2 8 2 3 5" xfId="35838" xr:uid="{00000000-0005-0000-0000-0000478E0000}"/>
    <cellStyle name="Normal 3 3 2 2 8 2 4" xfId="6692" xr:uid="{00000000-0005-0000-0000-0000488E0000}"/>
    <cellStyle name="Normal 3 3 2 2 8 2 4 2" xfId="14437" xr:uid="{00000000-0005-0000-0000-0000498E0000}"/>
    <cellStyle name="Normal 3 3 2 2 8 2 4 2 2" xfId="30029" xr:uid="{00000000-0005-0000-0000-00004A8E0000}"/>
    <cellStyle name="Normal 3 3 2 2 8 2 4 2 3" xfId="45521" xr:uid="{00000000-0005-0000-0000-00004B8E0000}"/>
    <cellStyle name="Normal 3 3 2 2 8 2 4 3" xfId="22289" xr:uid="{00000000-0005-0000-0000-00004C8E0000}"/>
    <cellStyle name="Normal 3 3 2 2 8 2 4 4" xfId="37781" xr:uid="{00000000-0005-0000-0000-00004D8E0000}"/>
    <cellStyle name="Normal 3 3 2 2 8 2 5" xfId="10567" xr:uid="{00000000-0005-0000-0000-00004E8E0000}"/>
    <cellStyle name="Normal 3 3 2 2 8 2 5 2" xfId="26159" xr:uid="{00000000-0005-0000-0000-00004F8E0000}"/>
    <cellStyle name="Normal 3 3 2 2 8 2 5 3" xfId="41651" xr:uid="{00000000-0005-0000-0000-0000508E0000}"/>
    <cellStyle name="Normal 3 3 2 2 8 2 6" xfId="18419" xr:uid="{00000000-0005-0000-0000-0000518E0000}"/>
    <cellStyle name="Normal 3 3 2 2 8 2 7" xfId="33911" xr:uid="{00000000-0005-0000-0000-0000528E0000}"/>
    <cellStyle name="Normal 3 3 2 2 8 3" xfId="3448" xr:uid="{00000000-0005-0000-0000-0000538E0000}"/>
    <cellStyle name="Normal 3 3 2 2 8 3 2" xfId="5387" xr:uid="{00000000-0005-0000-0000-0000548E0000}"/>
    <cellStyle name="Normal 3 3 2 2 8 3 2 2" xfId="9258" xr:uid="{00000000-0005-0000-0000-0000558E0000}"/>
    <cellStyle name="Normal 3 3 2 2 8 3 2 2 2" xfId="17003" xr:uid="{00000000-0005-0000-0000-0000568E0000}"/>
    <cellStyle name="Normal 3 3 2 2 8 3 2 2 2 2" xfId="32595" xr:uid="{00000000-0005-0000-0000-0000578E0000}"/>
    <cellStyle name="Normal 3 3 2 2 8 3 2 2 2 3" xfId="48087" xr:uid="{00000000-0005-0000-0000-0000588E0000}"/>
    <cellStyle name="Normal 3 3 2 2 8 3 2 2 3" xfId="24855" xr:uid="{00000000-0005-0000-0000-0000598E0000}"/>
    <cellStyle name="Normal 3 3 2 2 8 3 2 2 4" xfId="40347" xr:uid="{00000000-0005-0000-0000-00005A8E0000}"/>
    <cellStyle name="Normal 3 3 2 2 8 3 2 3" xfId="13133" xr:uid="{00000000-0005-0000-0000-00005B8E0000}"/>
    <cellStyle name="Normal 3 3 2 2 8 3 2 3 2" xfId="28725" xr:uid="{00000000-0005-0000-0000-00005C8E0000}"/>
    <cellStyle name="Normal 3 3 2 2 8 3 2 3 3" xfId="44217" xr:uid="{00000000-0005-0000-0000-00005D8E0000}"/>
    <cellStyle name="Normal 3 3 2 2 8 3 2 4" xfId="20985" xr:uid="{00000000-0005-0000-0000-00005E8E0000}"/>
    <cellStyle name="Normal 3 3 2 2 8 3 2 5" xfId="36477" xr:uid="{00000000-0005-0000-0000-00005F8E0000}"/>
    <cellStyle name="Normal 3 3 2 2 8 3 3" xfId="7331" xr:uid="{00000000-0005-0000-0000-0000608E0000}"/>
    <cellStyle name="Normal 3 3 2 2 8 3 3 2" xfId="15076" xr:uid="{00000000-0005-0000-0000-0000618E0000}"/>
    <cellStyle name="Normal 3 3 2 2 8 3 3 2 2" xfId="30668" xr:uid="{00000000-0005-0000-0000-0000628E0000}"/>
    <cellStyle name="Normal 3 3 2 2 8 3 3 2 3" xfId="46160" xr:uid="{00000000-0005-0000-0000-0000638E0000}"/>
    <cellStyle name="Normal 3 3 2 2 8 3 3 3" xfId="22928" xr:uid="{00000000-0005-0000-0000-0000648E0000}"/>
    <cellStyle name="Normal 3 3 2 2 8 3 3 4" xfId="38420" xr:uid="{00000000-0005-0000-0000-0000658E0000}"/>
    <cellStyle name="Normal 3 3 2 2 8 3 4" xfId="11206" xr:uid="{00000000-0005-0000-0000-0000668E0000}"/>
    <cellStyle name="Normal 3 3 2 2 8 3 4 2" xfId="26798" xr:uid="{00000000-0005-0000-0000-0000678E0000}"/>
    <cellStyle name="Normal 3 3 2 2 8 3 4 3" xfId="42290" xr:uid="{00000000-0005-0000-0000-0000688E0000}"/>
    <cellStyle name="Normal 3 3 2 2 8 3 5" xfId="19058" xr:uid="{00000000-0005-0000-0000-0000698E0000}"/>
    <cellStyle name="Normal 3 3 2 2 8 3 6" xfId="34550" xr:uid="{00000000-0005-0000-0000-00006A8E0000}"/>
    <cellStyle name="Normal 3 3 2 2 8 4" xfId="4439" xr:uid="{00000000-0005-0000-0000-00006B8E0000}"/>
    <cellStyle name="Normal 3 3 2 2 8 4 2" xfId="8310" xr:uid="{00000000-0005-0000-0000-00006C8E0000}"/>
    <cellStyle name="Normal 3 3 2 2 8 4 2 2" xfId="16055" xr:uid="{00000000-0005-0000-0000-00006D8E0000}"/>
    <cellStyle name="Normal 3 3 2 2 8 4 2 2 2" xfId="31647" xr:uid="{00000000-0005-0000-0000-00006E8E0000}"/>
    <cellStyle name="Normal 3 3 2 2 8 4 2 2 3" xfId="47139" xr:uid="{00000000-0005-0000-0000-00006F8E0000}"/>
    <cellStyle name="Normal 3 3 2 2 8 4 2 3" xfId="23907" xr:uid="{00000000-0005-0000-0000-0000708E0000}"/>
    <cellStyle name="Normal 3 3 2 2 8 4 2 4" xfId="39399" xr:uid="{00000000-0005-0000-0000-0000718E0000}"/>
    <cellStyle name="Normal 3 3 2 2 8 4 3" xfId="12185" xr:uid="{00000000-0005-0000-0000-0000728E0000}"/>
    <cellStyle name="Normal 3 3 2 2 8 4 3 2" xfId="27777" xr:uid="{00000000-0005-0000-0000-0000738E0000}"/>
    <cellStyle name="Normal 3 3 2 2 8 4 3 3" xfId="43269" xr:uid="{00000000-0005-0000-0000-0000748E0000}"/>
    <cellStyle name="Normal 3 3 2 2 8 4 4" xfId="20037" xr:uid="{00000000-0005-0000-0000-0000758E0000}"/>
    <cellStyle name="Normal 3 3 2 2 8 4 5" xfId="35529" xr:uid="{00000000-0005-0000-0000-0000768E0000}"/>
    <cellStyle name="Normal 3 3 2 2 8 5" xfId="6383" xr:uid="{00000000-0005-0000-0000-0000778E0000}"/>
    <cellStyle name="Normal 3 3 2 2 8 5 2" xfId="14128" xr:uid="{00000000-0005-0000-0000-0000788E0000}"/>
    <cellStyle name="Normal 3 3 2 2 8 5 2 2" xfId="29720" xr:uid="{00000000-0005-0000-0000-0000798E0000}"/>
    <cellStyle name="Normal 3 3 2 2 8 5 2 3" xfId="45212" xr:uid="{00000000-0005-0000-0000-00007A8E0000}"/>
    <cellStyle name="Normal 3 3 2 2 8 5 3" xfId="21980" xr:uid="{00000000-0005-0000-0000-00007B8E0000}"/>
    <cellStyle name="Normal 3 3 2 2 8 5 4" xfId="37472" xr:uid="{00000000-0005-0000-0000-00007C8E0000}"/>
    <cellStyle name="Normal 3 3 2 2 8 6" xfId="10258" xr:uid="{00000000-0005-0000-0000-00007D8E0000}"/>
    <cellStyle name="Normal 3 3 2 2 8 6 2" xfId="25850" xr:uid="{00000000-0005-0000-0000-00007E8E0000}"/>
    <cellStyle name="Normal 3 3 2 2 8 6 3" xfId="41342" xr:uid="{00000000-0005-0000-0000-00007F8E0000}"/>
    <cellStyle name="Normal 3 3 2 2 8 7" xfId="18110" xr:uid="{00000000-0005-0000-0000-0000808E0000}"/>
    <cellStyle name="Normal 3 3 2 2 8 8" xfId="33602" xr:uid="{00000000-0005-0000-0000-0000818E0000}"/>
    <cellStyle name="Normal 3 3 2 2 9" xfId="2476" xr:uid="{00000000-0005-0000-0000-0000828E0000}"/>
    <cellStyle name="Normal 3 3 2 2 9 2" xfId="2785" xr:uid="{00000000-0005-0000-0000-0000838E0000}"/>
    <cellStyle name="Normal 3 3 2 2 9 2 2" xfId="3793" xr:uid="{00000000-0005-0000-0000-0000848E0000}"/>
    <cellStyle name="Normal 3 3 2 2 9 2 2 2" xfId="5732" xr:uid="{00000000-0005-0000-0000-0000858E0000}"/>
    <cellStyle name="Normal 3 3 2 2 9 2 2 2 2" xfId="9603" xr:uid="{00000000-0005-0000-0000-0000868E0000}"/>
    <cellStyle name="Normal 3 3 2 2 9 2 2 2 2 2" xfId="17348" xr:uid="{00000000-0005-0000-0000-0000878E0000}"/>
    <cellStyle name="Normal 3 3 2 2 9 2 2 2 2 2 2" xfId="32940" xr:uid="{00000000-0005-0000-0000-0000888E0000}"/>
    <cellStyle name="Normal 3 3 2 2 9 2 2 2 2 2 3" xfId="48432" xr:uid="{00000000-0005-0000-0000-0000898E0000}"/>
    <cellStyle name="Normal 3 3 2 2 9 2 2 2 2 3" xfId="25200" xr:uid="{00000000-0005-0000-0000-00008A8E0000}"/>
    <cellStyle name="Normal 3 3 2 2 9 2 2 2 2 4" xfId="40692" xr:uid="{00000000-0005-0000-0000-00008B8E0000}"/>
    <cellStyle name="Normal 3 3 2 2 9 2 2 2 3" xfId="13478" xr:uid="{00000000-0005-0000-0000-00008C8E0000}"/>
    <cellStyle name="Normal 3 3 2 2 9 2 2 2 3 2" xfId="29070" xr:uid="{00000000-0005-0000-0000-00008D8E0000}"/>
    <cellStyle name="Normal 3 3 2 2 9 2 2 2 3 3" xfId="44562" xr:uid="{00000000-0005-0000-0000-00008E8E0000}"/>
    <cellStyle name="Normal 3 3 2 2 9 2 2 2 4" xfId="21330" xr:uid="{00000000-0005-0000-0000-00008F8E0000}"/>
    <cellStyle name="Normal 3 3 2 2 9 2 2 2 5" xfId="36822" xr:uid="{00000000-0005-0000-0000-0000908E0000}"/>
    <cellStyle name="Normal 3 3 2 2 9 2 2 3" xfId="7676" xr:uid="{00000000-0005-0000-0000-0000918E0000}"/>
    <cellStyle name="Normal 3 3 2 2 9 2 2 3 2" xfId="15421" xr:uid="{00000000-0005-0000-0000-0000928E0000}"/>
    <cellStyle name="Normal 3 3 2 2 9 2 2 3 2 2" xfId="31013" xr:uid="{00000000-0005-0000-0000-0000938E0000}"/>
    <cellStyle name="Normal 3 3 2 2 9 2 2 3 2 3" xfId="46505" xr:uid="{00000000-0005-0000-0000-0000948E0000}"/>
    <cellStyle name="Normal 3 3 2 2 9 2 2 3 3" xfId="23273" xr:uid="{00000000-0005-0000-0000-0000958E0000}"/>
    <cellStyle name="Normal 3 3 2 2 9 2 2 3 4" xfId="38765" xr:uid="{00000000-0005-0000-0000-0000968E0000}"/>
    <cellStyle name="Normal 3 3 2 2 9 2 2 4" xfId="11551" xr:uid="{00000000-0005-0000-0000-0000978E0000}"/>
    <cellStyle name="Normal 3 3 2 2 9 2 2 4 2" xfId="27143" xr:uid="{00000000-0005-0000-0000-0000988E0000}"/>
    <cellStyle name="Normal 3 3 2 2 9 2 2 4 3" xfId="42635" xr:uid="{00000000-0005-0000-0000-0000998E0000}"/>
    <cellStyle name="Normal 3 3 2 2 9 2 2 5" xfId="19403" xr:uid="{00000000-0005-0000-0000-00009A8E0000}"/>
    <cellStyle name="Normal 3 3 2 2 9 2 2 6" xfId="34895" xr:uid="{00000000-0005-0000-0000-00009B8E0000}"/>
    <cellStyle name="Normal 3 3 2 2 9 2 3" xfId="4784" xr:uid="{00000000-0005-0000-0000-00009C8E0000}"/>
    <cellStyle name="Normal 3 3 2 2 9 2 3 2" xfId="8655" xr:uid="{00000000-0005-0000-0000-00009D8E0000}"/>
    <cellStyle name="Normal 3 3 2 2 9 2 3 2 2" xfId="16400" xr:uid="{00000000-0005-0000-0000-00009E8E0000}"/>
    <cellStyle name="Normal 3 3 2 2 9 2 3 2 2 2" xfId="31992" xr:uid="{00000000-0005-0000-0000-00009F8E0000}"/>
    <cellStyle name="Normal 3 3 2 2 9 2 3 2 2 3" xfId="47484" xr:uid="{00000000-0005-0000-0000-0000A08E0000}"/>
    <cellStyle name="Normal 3 3 2 2 9 2 3 2 3" xfId="24252" xr:uid="{00000000-0005-0000-0000-0000A18E0000}"/>
    <cellStyle name="Normal 3 3 2 2 9 2 3 2 4" xfId="39744" xr:uid="{00000000-0005-0000-0000-0000A28E0000}"/>
    <cellStyle name="Normal 3 3 2 2 9 2 3 3" xfId="12530" xr:uid="{00000000-0005-0000-0000-0000A38E0000}"/>
    <cellStyle name="Normal 3 3 2 2 9 2 3 3 2" xfId="28122" xr:uid="{00000000-0005-0000-0000-0000A48E0000}"/>
    <cellStyle name="Normal 3 3 2 2 9 2 3 3 3" xfId="43614" xr:uid="{00000000-0005-0000-0000-0000A58E0000}"/>
    <cellStyle name="Normal 3 3 2 2 9 2 3 4" xfId="20382" xr:uid="{00000000-0005-0000-0000-0000A68E0000}"/>
    <cellStyle name="Normal 3 3 2 2 9 2 3 5" xfId="35874" xr:uid="{00000000-0005-0000-0000-0000A78E0000}"/>
    <cellStyle name="Normal 3 3 2 2 9 2 4" xfId="6728" xr:uid="{00000000-0005-0000-0000-0000A88E0000}"/>
    <cellStyle name="Normal 3 3 2 2 9 2 4 2" xfId="14473" xr:uid="{00000000-0005-0000-0000-0000A98E0000}"/>
    <cellStyle name="Normal 3 3 2 2 9 2 4 2 2" xfId="30065" xr:uid="{00000000-0005-0000-0000-0000AA8E0000}"/>
    <cellStyle name="Normal 3 3 2 2 9 2 4 2 3" xfId="45557" xr:uid="{00000000-0005-0000-0000-0000AB8E0000}"/>
    <cellStyle name="Normal 3 3 2 2 9 2 4 3" xfId="22325" xr:uid="{00000000-0005-0000-0000-0000AC8E0000}"/>
    <cellStyle name="Normal 3 3 2 2 9 2 4 4" xfId="37817" xr:uid="{00000000-0005-0000-0000-0000AD8E0000}"/>
    <cellStyle name="Normal 3 3 2 2 9 2 5" xfId="10603" xr:uid="{00000000-0005-0000-0000-0000AE8E0000}"/>
    <cellStyle name="Normal 3 3 2 2 9 2 5 2" xfId="26195" xr:uid="{00000000-0005-0000-0000-0000AF8E0000}"/>
    <cellStyle name="Normal 3 3 2 2 9 2 5 3" xfId="41687" xr:uid="{00000000-0005-0000-0000-0000B08E0000}"/>
    <cellStyle name="Normal 3 3 2 2 9 2 6" xfId="18455" xr:uid="{00000000-0005-0000-0000-0000B18E0000}"/>
    <cellStyle name="Normal 3 3 2 2 9 2 7" xfId="33947" xr:uid="{00000000-0005-0000-0000-0000B28E0000}"/>
    <cellStyle name="Normal 3 3 2 2 9 3" xfId="3484" xr:uid="{00000000-0005-0000-0000-0000B38E0000}"/>
    <cellStyle name="Normal 3 3 2 2 9 3 2" xfId="5423" xr:uid="{00000000-0005-0000-0000-0000B48E0000}"/>
    <cellStyle name="Normal 3 3 2 2 9 3 2 2" xfId="9294" xr:uid="{00000000-0005-0000-0000-0000B58E0000}"/>
    <cellStyle name="Normal 3 3 2 2 9 3 2 2 2" xfId="17039" xr:uid="{00000000-0005-0000-0000-0000B68E0000}"/>
    <cellStyle name="Normal 3 3 2 2 9 3 2 2 2 2" xfId="32631" xr:uid="{00000000-0005-0000-0000-0000B78E0000}"/>
    <cellStyle name="Normal 3 3 2 2 9 3 2 2 2 3" xfId="48123" xr:uid="{00000000-0005-0000-0000-0000B88E0000}"/>
    <cellStyle name="Normal 3 3 2 2 9 3 2 2 3" xfId="24891" xr:uid="{00000000-0005-0000-0000-0000B98E0000}"/>
    <cellStyle name="Normal 3 3 2 2 9 3 2 2 4" xfId="40383" xr:uid="{00000000-0005-0000-0000-0000BA8E0000}"/>
    <cellStyle name="Normal 3 3 2 2 9 3 2 3" xfId="13169" xr:uid="{00000000-0005-0000-0000-0000BB8E0000}"/>
    <cellStyle name="Normal 3 3 2 2 9 3 2 3 2" xfId="28761" xr:uid="{00000000-0005-0000-0000-0000BC8E0000}"/>
    <cellStyle name="Normal 3 3 2 2 9 3 2 3 3" xfId="44253" xr:uid="{00000000-0005-0000-0000-0000BD8E0000}"/>
    <cellStyle name="Normal 3 3 2 2 9 3 2 4" xfId="21021" xr:uid="{00000000-0005-0000-0000-0000BE8E0000}"/>
    <cellStyle name="Normal 3 3 2 2 9 3 2 5" xfId="36513" xr:uid="{00000000-0005-0000-0000-0000BF8E0000}"/>
    <cellStyle name="Normal 3 3 2 2 9 3 3" xfId="7367" xr:uid="{00000000-0005-0000-0000-0000C08E0000}"/>
    <cellStyle name="Normal 3 3 2 2 9 3 3 2" xfId="15112" xr:uid="{00000000-0005-0000-0000-0000C18E0000}"/>
    <cellStyle name="Normal 3 3 2 2 9 3 3 2 2" xfId="30704" xr:uid="{00000000-0005-0000-0000-0000C28E0000}"/>
    <cellStyle name="Normal 3 3 2 2 9 3 3 2 3" xfId="46196" xr:uid="{00000000-0005-0000-0000-0000C38E0000}"/>
    <cellStyle name="Normal 3 3 2 2 9 3 3 3" xfId="22964" xr:uid="{00000000-0005-0000-0000-0000C48E0000}"/>
    <cellStyle name="Normal 3 3 2 2 9 3 3 4" xfId="38456" xr:uid="{00000000-0005-0000-0000-0000C58E0000}"/>
    <cellStyle name="Normal 3 3 2 2 9 3 4" xfId="11242" xr:uid="{00000000-0005-0000-0000-0000C68E0000}"/>
    <cellStyle name="Normal 3 3 2 2 9 3 4 2" xfId="26834" xr:uid="{00000000-0005-0000-0000-0000C78E0000}"/>
    <cellStyle name="Normal 3 3 2 2 9 3 4 3" xfId="42326" xr:uid="{00000000-0005-0000-0000-0000C88E0000}"/>
    <cellStyle name="Normal 3 3 2 2 9 3 5" xfId="19094" xr:uid="{00000000-0005-0000-0000-0000C98E0000}"/>
    <cellStyle name="Normal 3 3 2 2 9 3 6" xfId="34586" xr:uid="{00000000-0005-0000-0000-0000CA8E0000}"/>
    <cellStyle name="Normal 3 3 2 2 9 4" xfId="4475" xr:uid="{00000000-0005-0000-0000-0000CB8E0000}"/>
    <cellStyle name="Normal 3 3 2 2 9 4 2" xfId="8346" xr:uid="{00000000-0005-0000-0000-0000CC8E0000}"/>
    <cellStyle name="Normal 3 3 2 2 9 4 2 2" xfId="16091" xr:uid="{00000000-0005-0000-0000-0000CD8E0000}"/>
    <cellStyle name="Normal 3 3 2 2 9 4 2 2 2" xfId="31683" xr:uid="{00000000-0005-0000-0000-0000CE8E0000}"/>
    <cellStyle name="Normal 3 3 2 2 9 4 2 2 3" xfId="47175" xr:uid="{00000000-0005-0000-0000-0000CF8E0000}"/>
    <cellStyle name="Normal 3 3 2 2 9 4 2 3" xfId="23943" xr:uid="{00000000-0005-0000-0000-0000D08E0000}"/>
    <cellStyle name="Normal 3 3 2 2 9 4 2 4" xfId="39435" xr:uid="{00000000-0005-0000-0000-0000D18E0000}"/>
    <cellStyle name="Normal 3 3 2 2 9 4 3" xfId="12221" xr:uid="{00000000-0005-0000-0000-0000D28E0000}"/>
    <cellStyle name="Normal 3 3 2 2 9 4 3 2" xfId="27813" xr:uid="{00000000-0005-0000-0000-0000D38E0000}"/>
    <cellStyle name="Normal 3 3 2 2 9 4 3 3" xfId="43305" xr:uid="{00000000-0005-0000-0000-0000D48E0000}"/>
    <cellStyle name="Normal 3 3 2 2 9 4 4" xfId="20073" xr:uid="{00000000-0005-0000-0000-0000D58E0000}"/>
    <cellStyle name="Normal 3 3 2 2 9 4 5" xfId="35565" xr:uid="{00000000-0005-0000-0000-0000D68E0000}"/>
    <cellStyle name="Normal 3 3 2 2 9 5" xfId="6419" xr:uid="{00000000-0005-0000-0000-0000D78E0000}"/>
    <cellStyle name="Normal 3 3 2 2 9 5 2" xfId="14164" xr:uid="{00000000-0005-0000-0000-0000D88E0000}"/>
    <cellStyle name="Normal 3 3 2 2 9 5 2 2" xfId="29756" xr:uid="{00000000-0005-0000-0000-0000D98E0000}"/>
    <cellStyle name="Normal 3 3 2 2 9 5 2 3" xfId="45248" xr:uid="{00000000-0005-0000-0000-0000DA8E0000}"/>
    <cellStyle name="Normal 3 3 2 2 9 5 3" xfId="22016" xr:uid="{00000000-0005-0000-0000-0000DB8E0000}"/>
    <cellStyle name="Normal 3 3 2 2 9 5 4" xfId="37508" xr:uid="{00000000-0005-0000-0000-0000DC8E0000}"/>
    <cellStyle name="Normal 3 3 2 2 9 6" xfId="10294" xr:uid="{00000000-0005-0000-0000-0000DD8E0000}"/>
    <cellStyle name="Normal 3 3 2 2 9 6 2" xfId="25886" xr:uid="{00000000-0005-0000-0000-0000DE8E0000}"/>
    <cellStyle name="Normal 3 3 2 2 9 6 3" xfId="41378" xr:uid="{00000000-0005-0000-0000-0000DF8E0000}"/>
    <cellStyle name="Normal 3 3 2 2 9 7" xfId="18146" xr:uid="{00000000-0005-0000-0000-0000E08E0000}"/>
    <cellStyle name="Normal 3 3 2 2 9 8" xfId="33638" xr:uid="{00000000-0005-0000-0000-0000E18E0000}"/>
    <cellStyle name="Normal 3 3 3" xfId="2014" xr:uid="{00000000-0005-0000-0000-0000E28E0000}"/>
    <cellStyle name="Normal 3 3 3 10" xfId="2497" xr:uid="{00000000-0005-0000-0000-0000E38E0000}"/>
    <cellStyle name="Normal 3 3 3 10 2" xfId="3505" xr:uid="{00000000-0005-0000-0000-0000E48E0000}"/>
    <cellStyle name="Normal 3 3 3 10 2 2" xfId="5444" xr:uid="{00000000-0005-0000-0000-0000E58E0000}"/>
    <cellStyle name="Normal 3 3 3 10 2 2 2" xfId="9315" xr:uid="{00000000-0005-0000-0000-0000E68E0000}"/>
    <cellStyle name="Normal 3 3 3 10 2 2 2 2" xfId="17060" xr:uid="{00000000-0005-0000-0000-0000E78E0000}"/>
    <cellStyle name="Normal 3 3 3 10 2 2 2 2 2" xfId="32652" xr:uid="{00000000-0005-0000-0000-0000E88E0000}"/>
    <cellStyle name="Normal 3 3 3 10 2 2 2 2 3" xfId="48144" xr:uid="{00000000-0005-0000-0000-0000E98E0000}"/>
    <cellStyle name="Normal 3 3 3 10 2 2 2 3" xfId="24912" xr:uid="{00000000-0005-0000-0000-0000EA8E0000}"/>
    <cellStyle name="Normal 3 3 3 10 2 2 2 4" xfId="40404" xr:uid="{00000000-0005-0000-0000-0000EB8E0000}"/>
    <cellStyle name="Normal 3 3 3 10 2 2 3" xfId="13190" xr:uid="{00000000-0005-0000-0000-0000EC8E0000}"/>
    <cellStyle name="Normal 3 3 3 10 2 2 3 2" xfId="28782" xr:uid="{00000000-0005-0000-0000-0000ED8E0000}"/>
    <cellStyle name="Normal 3 3 3 10 2 2 3 3" xfId="44274" xr:uid="{00000000-0005-0000-0000-0000EE8E0000}"/>
    <cellStyle name="Normal 3 3 3 10 2 2 4" xfId="21042" xr:uid="{00000000-0005-0000-0000-0000EF8E0000}"/>
    <cellStyle name="Normal 3 3 3 10 2 2 5" xfId="36534" xr:uid="{00000000-0005-0000-0000-0000F08E0000}"/>
    <cellStyle name="Normal 3 3 3 10 2 3" xfId="7388" xr:uid="{00000000-0005-0000-0000-0000F18E0000}"/>
    <cellStyle name="Normal 3 3 3 10 2 3 2" xfId="15133" xr:uid="{00000000-0005-0000-0000-0000F28E0000}"/>
    <cellStyle name="Normal 3 3 3 10 2 3 2 2" xfId="30725" xr:uid="{00000000-0005-0000-0000-0000F38E0000}"/>
    <cellStyle name="Normal 3 3 3 10 2 3 2 3" xfId="46217" xr:uid="{00000000-0005-0000-0000-0000F48E0000}"/>
    <cellStyle name="Normal 3 3 3 10 2 3 3" xfId="22985" xr:uid="{00000000-0005-0000-0000-0000F58E0000}"/>
    <cellStyle name="Normal 3 3 3 10 2 3 4" xfId="38477" xr:uid="{00000000-0005-0000-0000-0000F68E0000}"/>
    <cellStyle name="Normal 3 3 3 10 2 4" xfId="11263" xr:uid="{00000000-0005-0000-0000-0000F78E0000}"/>
    <cellStyle name="Normal 3 3 3 10 2 4 2" xfId="26855" xr:uid="{00000000-0005-0000-0000-0000F88E0000}"/>
    <cellStyle name="Normal 3 3 3 10 2 4 3" xfId="42347" xr:uid="{00000000-0005-0000-0000-0000F98E0000}"/>
    <cellStyle name="Normal 3 3 3 10 2 5" xfId="19115" xr:uid="{00000000-0005-0000-0000-0000FA8E0000}"/>
    <cellStyle name="Normal 3 3 3 10 2 6" xfId="34607" xr:uid="{00000000-0005-0000-0000-0000FB8E0000}"/>
    <cellStyle name="Normal 3 3 3 10 3" xfId="4496" xr:uid="{00000000-0005-0000-0000-0000FC8E0000}"/>
    <cellStyle name="Normal 3 3 3 10 3 2" xfId="8367" xr:uid="{00000000-0005-0000-0000-0000FD8E0000}"/>
    <cellStyle name="Normal 3 3 3 10 3 2 2" xfId="16112" xr:uid="{00000000-0005-0000-0000-0000FE8E0000}"/>
    <cellStyle name="Normal 3 3 3 10 3 2 2 2" xfId="31704" xr:uid="{00000000-0005-0000-0000-0000FF8E0000}"/>
    <cellStyle name="Normal 3 3 3 10 3 2 2 3" xfId="47196" xr:uid="{00000000-0005-0000-0000-0000008F0000}"/>
    <cellStyle name="Normal 3 3 3 10 3 2 3" xfId="23964" xr:uid="{00000000-0005-0000-0000-0000018F0000}"/>
    <cellStyle name="Normal 3 3 3 10 3 2 4" xfId="39456" xr:uid="{00000000-0005-0000-0000-0000028F0000}"/>
    <cellStyle name="Normal 3 3 3 10 3 3" xfId="12242" xr:uid="{00000000-0005-0000-0000-0000038F0000}"/>
    <cellStyle name="Normal 3 3 3 10 3 3 2" xfId="27834" xr:uid="{00000000-0005-0000-0000-0000048F0000}"/>
    <cellStyle name="Normal 3 3 3 10 3 3 3" xfId="43326" xr:uid="{00000000-0005-0000-0000-0000058F0000}"/>
    <cellStyle name="Normal 3 3 3 10 3 4" xfId="20094" xr:uid="{00000000-0005-0000-0000-0000068F0000}"/>
    <cellStyle name="Normal 3 3 3 10 3 5" xfId="35586" xr:uid="{00000000-0005-0000-0000-0000078F0000}"/>
    <cellStyle name="Normal 3 3 3 10 4" xfId="6440" xr:uid="{00000000-0005-0000-0000-0000088F0000}"/>
    <cellStyle name="Normal 3 3 3 10 4 2" xfId="14185" xr:uid="{00000000-0005-0000-0000-0000098F0000}"/>
    <cellStyle name="Normal 3 3 3 10 4 2 2" xfId="29777" xr:uid="{00000000-0005-0000-0000-00000A8F0000}"/>
    <cellStyle name="Normal 3 3 3 10 4 2 3" xfId="45269" xr:uid="{00000000-0005-0000-0000-00000B8F0000}"/>
    <cellStyle name="Normal 3 3 3 10 4 3" xfId="22037" xr:uid="{00000000-0005-0000-0000-00000C8F0000}"/>
    <cellStyle name="Normal 3 3 3 10 4 4" xfId="37529" xr:uid="{00000000-0005-0000-0000-00000D8F0000}"/>
    <cellStyle name="Normal 3 3 3 10 5" xfId="10315" xr:uid="{00000000-0005-0000-0000-00000E8F0000}"/>
    <cellStyle name="Normal 3 3 3 10 5 2" xfId="25907" xr:uid="{00000000-0005-0000-0000-00000F8F0000}"/>
    <cellStyle name="Normal 3 3 3 10 5 3" xfId="41399" xr:uid="{00000000-0005-0000-0000-0000108F0000}"/>
    <cellStyle name="Normal 3 3 3 10 6" xfId="18167" xr:uid="{00000000-0005-0000-0000-0000118F0000}"/>
    <cellStyle name="Normal 3 3 3 10 7" xfId="33659" xr:uid="{00000000-0005-0000-0000-0000128F0000}"/>
    <cellStyle name="Normal 3 3 3 11" xfId="2823" xr:uid="{00000000-0005-0000-0000-0000138F0000}"/>
    <cellStyle name="Normal 3 3 3 11 2" xfId="3830" xr:uid="{00000000-0005-0000-0000-0000148F0000}"/>
    <cellStyle name="Normal 3 3 3 11 2 2" xfId="5769" xr:uid="{00000000-0005-0000-0000-0000158F0000}"/>
    <cellStyle name="Normal 3 3 3 11 2 2 2" xfId="9640" xr:uid="{00000000-0005-0000-0000-0000168F0000}"/>
    <cellStyle name="Normal 3 3 3 11 2 2 2 2" xfId="17385" xr:uid="{00000000-0005-0000-0000-0000178F0000}"/>
    <cellStyle name="Normal 3 3 3 11 2 2 2 2 2" xfId="32977" xr:uid="{00000000-0005-0000-0000-0000188F0000}"/>
    <cellStyle name="Normal 3 3 3 11 2 2 2 2 3" xfId="48469" xr:uid="{00000000-0005-0000-0000-0000198F0000}"/>
    <cellStyle name="Normal 3 3 3 11 2 2 2 3" xfId="25237" xr:uid="{00000000-0005-0000-0000-00001A8F0000}"/>
    <cellStyle name="Normal 3 3 3 11 2 2 2 4" xfId="40729" xr:uid="{00000000-0005-0000-0000-00001B8F0000}"/>
    <cellStyle name="Normal 3 3 3 11 2 2 3" xfId="13515" xr:uid="{00000000-0005-0000-0000-00001C8F0000}"/>
    <cellStyle name="Normal 3 3 3 11 2 2 3 2" xfId="29107" xr:uid="{00000000-0005-0000-0000-00001D8F0000}"/>
    <cellStyle name="Normal 3 3 3 11 2 2 3 3" xfId="44599" xr:uid="{00000000-0005-0000-0000-00001E8F0000}"/>
    <cellStyle name="Normal 3 3 3 11 2 2 4" xfId="21367" xr:uid="{00000000-0005-0000-0000-00001F8F0000}"/>
    <cellStyle name="Normal 3 3 3 11 2 2 5" xfId="36859" xr:uid="{00000000-0005-0000-0000-0000208F0000}"/>
    <cellStyle name="Normal 3 3 3 11 2 3" xfId="7713" xr:uid="{00000000-0005-0000-0000-0000218F0000}"/>
    <cellStyle name="Normal 3 3 3 11 2 3 2" xfId="15458" xr:uid="{00000000-0005-0000-0000-0000228F0000}"/>
    <cellStyle name="Normal 3 3 3 11 2 3 2 2" xfId="31050" xr:uid="{00000000-0005-0000-0000-0000238F0000}"/>
    <cellStyle name="Normal 3 3 3 11 2 3 2 3" xfId="46542" xr:uid="{00000000-0005-0000-0000-0000248F0000}"/>
    <cellStyle name="Normal 3 3 3 11 2 3 3" xfId="23310" xr:uid="{00000000-0005-0000-0000-0000258F0000}"/>
    <cellStyle name="Normal 3 3 3 11 2 3 4" xfId="38802" xr:uid="{00000000-0005-0000-0000-0000268F0000}"/>
    <cellStyle name="Normal 3 3 3 11 2 4" xfId="11588" xr:uid="{00000000-0005-0000-0000-0000278F0000}"/>
    <cellStyle name="Normal 3 3 3 11 2 4 2" xfId="27180" xr:uid="{00000000-0005-0000-0000-0000288F0000}"/>
    <cellStyle name="Normal 3 3 3 11 2 4 3" xfId="42672" xr:uid="{00000000-0005-0000-0000-0000298F0000}"/>
    <cellStyle name="Normal 3 3 3 11 2 5" xfId="19440" xr:uid="{00000000-0005-0000-0000-00002A8F0000}"/>
    <cellStyle name="Normal 3 3 3 11 2 6" xfId="34932" xr:uid="{00000000-0005-0000-0000-00002B8F0000}"/>
    <cellStyle name="Normal 3 3 3 11 3" xfId="4821" xr:uid="{00000000-0005-0000-0000-00002C8F0000}"/>
    <cellStyle name="Normal 3 3 3 11 3 2" xfId="8692" xr:uid="{00000000-0005-0000-0000-00002D8F0000}"/>
    <cellStyle name="Normal 3 3 3 11 3 2 2" xfId="16437" xr:uid="{00000000-0005-0000-0000-00002E8F0000}"/>
    <cellStyle name="Normal 3 3 3 11 3 2 2 2" xfId="32029" xr:uid="{00000000-0005-0000-0000-00002F8F0000}"/>
    <cellStyle name="Normal 3 3 3 11 3 2 2 3" xfId="47521" xr:uid="{00000000-0005-0000-0000-0000308F0000}"/>
    <cellStyle name="Normal 3 3 3 11 3 2 3" xfId="24289" xr:uid="{00000000-0005-0000-0000-0000318F0000}"/>
    <cellStyle name="Normal 3 3 3 11 3 2 4" xfId="39781" xr:uid="{00000000-0005-0000-0000-0000328F0000}"/>
    <cellStyle name="Normal 3 3 3 11 3 3" xfId="12567" xr:uid="{00000000-0005-0000-0000-0000338F0000}"/>
    <cellStyle name="Normal 3 3 3 11 3 3 2" xfId="28159" xr:uid="{00000000-0005-0000-0000-0000348F0000}"/>
    <cellStyle name="Normal 3 3 3 11 3 3 3" xfId="43651" xr:uid="{00000000-0005-0000-0000-0000358F0000}"/>
    <cellStyle name="Normal 3 3 3 11 3 4" xfId="20419" xr:uid="{00000000-0005-0000-0000-0000368F0000}"/>
    <cellStyle name="Normal 3 3 3 11 3 5" xfId="35911" xr:uid="{00000000-0005-0000-0000-0000378F0000}"/>
    <cellStyle name="Normal 3 3 3 11 4" xfId="6765" xr:uid="{00000000-0005-0000-0000-0000388F0000}"/>
    <cellStyle name="Normal 3 3 3 11 4 2" xfId="14510" xr:uid="{00000000-0005-0000-0000-0000398F0000}"/>
    <cellStyle name="Normal 3 3 3 11 4 2 2" xfId="30102" xr:uid="{00000000-0005-0000-0000-00003A8F0000}"/>
    <cellStyle name="Normal 3 3 3 11 4 2 3" xfId="45594" xr:uid="{00000000-0005-0000-0000-00003B8F0000}"/>
    <cellStyle name="Normal 3 3 3 11 4 3" xfId="22362" xr:uid="{00000000-0005-0000-0000-00003C8F0000}"/>
    <cellStyle name="Normal 3 3 3 11 4 4" xfId="37854" xr:uid="{00000000-0005-0000-0000-00003D8F0000}"/>
    <cellStyle name="Normal 3 3 3 11 5" xfId="10640" xr:uid="{00000000-0005-0000-0000-00003E8F0000}"/>
    <cellStyle name="Normal 3 3 3 11 5 2" xfId="26232" xr:uid="{00000000-0005-0000-0000-00003F8F0000}"/>
    <cellStyle name="Normal 3 3 3 11 5 3" xfId="41724" xr:uid="{00000000-0005-0000-0000-0000408F0000}"/>
    <cellStyle name="Normal 3 3 3 11 6" xfId="18492" xr:uid="{00000000-0005-0000-0000-0000418F0000}"/>
    <cellStyle name="Normal 3 3 3 11 7" xfId="33984" xr:uid="{00000000-0005-0000-0000-0000428F0000}"/>
    <cellStyle name="Normal 3 3 3 12" xfId="2862" xr:uid="{00000000-0005-0000-0000-0000438F0000}"/>
    <cellStyle name="Normal 3 3 3 12 2" xfId="3868" xr:uid="{00000000-0005-0000-0000-0000448F0000}"/>
    <cellStyle name="Normal 3 3 3 12 2 2" xfId="5807" xr:uid="{00000000-0005-0000-0000-0000458F0000}"/>
    <cellStyle name="Normal 3 3 3 12 2 2 2" xfId="9678" xr:uid="{00000000-0005-0000-0000-0000468F0000}"/>
    <cellStyle name="Normal 3 3 3 12 2 2 2 2" xfId="17423" xr:uid="{00000000-0005-0000-0000-0000478F0000}"/>
    <cellStyle name="Normal 3 3 3 12 2 2 2 2 2" xfId="33015" xr:uid="{00000000-0005-0000-0000-0000488F0000}"/>
    <cellStyle name="Normal 3 3 3 12 2 2 2 2 3" xfId="48507" xr:uid="{00000000-0005-0000-0000-0000498F0000}"/>
    <cellStyle name="Normal 3 3 3 12 2 2 2 3" xfId="25275" xr:uid="{00000000-0005-0000-0000-00004A8F0000}"/>
    <cellStyle name="Normal 3 3 3 12 2 2 2 4" xfId="40767" xr:uid="{00000000-0005-0000-0000-00004B8F0000}"/>
    <cellStyle name="Normal 3 3 3 12 2 2 3" xfId="13553" xr:uid="{00000000-0005-0000-0000-00004C8F0000}"/>
    <cellStyle name="Normal 3 3 3 12 2 2 3 2" xfId="29145" xr:uid="{00000000-0005-0000-0000-00004D8F0000}"/>
    <cellStyle name="Normal 3 3 3 12 2 2 3 3" xfId="44637" xr:uid="{00000000-0005-0000-0000-00004E8F0000}"/>
    <cellStyle name="Normal 3 3 3 12 2 2 4" xfId="21405" xr:uid="{00000000-0005-0000-0000-00004F8F0000}"/>
    <cellStyle name="Normal 3 3 3 12 2 2 5" xfId="36897" xr:uid="{00000000-0005-0000-0000-0000508F0000}"/>
    <cellStyle name="Normal 3 3 3 12 2 3" xfId="7751" xr:uid="{00000000-0005-0000-0000-0000518F0000}"/>
    <cellStyle name="Normal 3 3 3 12 2 3 2" xfId="15496" xr:uid="{00000000-0005-0000-0000-0000528F0000}"/>
    <cellStyle name="Normal 3 3 3 12 2 3 2 2" xfId="31088" xr:uid="{00000000-0005-0000-0000-0000538F0000}"/>
    <cellStyle name="Normal 3 3 3 12 2 3 2 3" xfId="46580" xr:uid="{00000000-0005-0000-0000-0000548F0000}"/>
    <cellStyle name="Normal 3 3 3 12 2 3 3" xfId="23348" xr:uid="{00000000-0005-0000-0000-0000558F0000}"/>
    <cellStyle name="Normal 3 3 3 12 2 3 4" xfId="38840" xr:uid="{00000000-0005-0000-0000-0000568F0000}"/>
    <cellStyle name="Normal 3 3 3 12 2 4" xfId="11626" xr:uid="{00000000-0005-0000-0000-0000578F0000}"/>
    <cellStyle name="Normal 3 3 3 12 2 4 2" xfId="27218" xr:uid="{00000000-0005-0000-0000-0000588F0000}"/>
    <cellStyle name="Normal 3 3 3 12 2 4 3" xfId="42710" xr:uid="{00000000-0005-0000-0000-0000598F0000}"/>
    <cellStyle name="Normal 3 3 3 12 2 5" xfId="19478" xr:uid="{00000000-0005-0000-0000-00005A8F0000}"/>
    <cellStyle name="Normal 3 3 3 12 2 6" xfId="34970" xr:uid="{00000000-0005-0000-0000-00005B8F0000}"/>
    <cellStyle name="Normal 3 3 3 12 3" xfId="4859" xr:uid="{00000000-0005-0000-0000-00005C8F0000}"/>
    <cellStyle name="Normal 3 3 3 12 3 2" xfId="8730" xr:uid="{00000000-0005-0000-0000-00005D8F0000}"/>
    <cellStyle name="Normal 3 3 3 12 3 2 2" xfId="16475" xr:uid="{00000000-0005-0000-0000-00005E8F0000}"/>
    <cellStyle name="Normal 3 3 3 12 3 2 2 2" xfId="32067" xr:uid="{00000000-0005-0000-0000-00005F8F0000}"/>
    <cellStyle name="Normal 3 3 3 12 3 2 2 3" xfId="47559" xr:uid="{00000000-0005-0000-0000-0000608F0000}"/>
    <cellStyle name="Normal 3 3 3 12 3 2 3" xfId="24327" xr:uid="{00000000-0005-0000-0000-0000618F0000}"/>
    <cellStyle name="Normal 3 3 3 12 3 2 4" xfId="39819" xr:uid="{00000000-0005-0000-0000-0000628F0000}"/>
    <cellStyle name="Normal 3 3 3 12 3 3" xfId="12605" xr:uid="{00000000-0005-0000-0000-0000638F0000}"/>
    <cellStyle name="Normal 3 3 3 12 3 3 2" xfId="28197" xr:uid="{00000000-0005-0000-0000-0000648F0000}"/>
    <cellStyle name="Normal 3 3 3 12 3 3 3" xfId="43689" xr:uid="{00000000-0005-0000-0000-0000658F0000}"/>
    <cellStyle name="Normal 3 3 3 12 3 4" xfId="20457" xr:uid="{00000000-0005-0000-0000-0000668F0000}"/>
    <cellStyle name="Normal 3 3 3 12 3 5" xfId="35949" xr:uid="{00000000-0005-0000-0000-0000678F0000}"/>
    <cellStyle name="Normal 3 3 3 12 4" xfId="6803" xr:uid="{00000000-0005-0000-0000-0000688F0000}"/>
    <cellStyle name="Normal 3 3 3 12 4 2" xfId="14548" xr:uid="{00000000-0005-0000-0000-0000698F0000}"/>
    <cellStyle name="Normal 3 3 3 12 4 2 2" xfId="30140" xr:uid="{00000000-0005-0000-0000-00006A8F0000}"/>
    <cellStyle name="Normal 3 3 3 12 4 2 3" xfId="45632" xr:uid="{00000000-0005-0000-0000-00006B8F0000}"/>
    <cellStyle name="Normal 3 3 3 12 4 3" xfId="22400" xr:uid="{00000000-0005-0000-0000-00006C8F0000}"/>
    <cellStyle name="Normal 3 3 3 12 4 4" xfId="37892" xr:uid="{00000000-0005-0000-0000-00006D8F0000}"/>
    <cellStyle name="Normal 3 3 3 12 5" xfId="10678" xr:uid="{00000000-0005-0000-0000-00006E8F0000}"/>
    <cellStyle name="Normal 3 3 3 12 5 2" xfId="26270" xr:uid="{00000000-0005-0000-0000-00006F8F0000}"/>
    <cellStyle name="Normal 3 3 3 12 5 3" xfId="41762" xr:uid="{00000000-0005-0000-0000-0000708F0000}"/>
    <cellStyle name="Normal 3 3 3 12 6" xfId="18530" xr:uid="{00000000-0005-0000-0000-0000718F0000}"/>
    <cellStyle name="Normal 3 3 3 12 7" xfId="34022" xr:uid="{00000000-0005-0000-0000-0000728F0000}"/>
    <cellStyle name="Normal 3 3 3 13" xfId="2899" xr:uid="{00000000-0005-0000-0000-0000738F0000}"/>
    <cellStyle name="Normal 3 3 3 13 2" xfId="3904" xr:uid="{00000000-0005-0000-0000-0000748F0000}"/>
    <cellStyle name="Normal 3 3 3 13 2 2" xfId="5843" xr:uid="{00000000-0005-0000-0000-0000758F0000}"/>
    <cellStyle name="Normal 3 3 3 13 2 2 2" xfId="9714" xr:uid="{00000000-0005-0000-0000-0000768F0000}"/>
    <cellStyle name="Normal 3 3 3 13 2 2 2 2" xfId="17459" xr:uid="{00000000-0005-0000-0000-0000778F0000}"/>
    <cellStyle name="Normal 3 3 3 13 2 2 2 2 2" xfId="33051" xr:uid="{00000000-0005-0000-0000-0000788F0000}"/>
    <cellStyle name="Normal 3 3 3 13 2 2 2 2 3" xfId="48543" xr:uid="{00000000-0005-0000-0000-0000798F0000}"/>
    <cellStyle name="Normal 3 3 3 13 2 2 2 3" xfId="25311" xr:uid="{00000000-0005-0000-0000-00007A8F0000}"/>
    <cellStyle name="Normal 3 3 3 13 2 2 2 4" xfId="40803" xr:uid="{00000000-0005-0000-0000-00007B8F0000}"/>
    <cellStyle name="Normal 3 3 3 13 2 2 3" xfId="13589" xr:uid="{00000000-0005-0000-0000-00007C8F0000}"/>
    <cellStyle name="Normal 3 3 3 13 2 2 3 2" xfId="29181" xr:uid="{00000000-0005-0000-0000-00007D8F0000}"/>
    <cellStyle name="Normal 3 3 3 13 2 2 3 3" xfId="44673" xr:uid="{00000000-0005-0000-0000-00007E8F0000}"/>
    <cellStyle name="Normal 3 3 3 13 2 2 4" xfId="21441" xr:uid="{00000000-0005-0000-0000-00007F8F0000}"/>
    <cellStyle name="Normal 3 3 3 13 2 2 5" xfId="36933" xr:uid="{00000000-0005-0000-0000-0000808F0000}"/>
    <cellStyle name="Normal 3 3 3 13 2 3" xfId="7787" xr:uid="{00000000-0005-0000-0000-0000818F0000}"/>
    <cellStyle name="Normal 3 3 3 13 2 3 2" xfId="15532" xr:uid="{00000000-0005-0000-0000-0000828F0000}"/>
    <cellStyle name="Normal 3 3 3 13 2 3 2 2" xfId="31124" xr:uid="{00000000-0005-0000-0000-0000838F0000}"/>
    <cellStyle name="Normal 3 3 3 13 2 3 2 3" xfId="46616" xr:uid="{00000000-0005-0000-0000-0000848F0000}"/>
    <cellStyle name="Normal 3 3 3 13 2 3 3" xfId="23384" xr:uid="{00000000-0005-0000-0000-0000858F0000}"/>
    <cellStyle name="Normal 3 3 3 13 2 3 4" xfId="38876" xr:uid="{00000000-0005-0000-0000-0000868F0000}"/>
    <cellStyle name="Normal 3 3 3 13 2 4" xfId="11662" xr:uid="{00000000-0005-0000-0000-0000878F0000}"/>
    <cellStyle name="Normal 3 3 3 13 2 4 2" xfId="27254" xr:uid="{00000000-0005-0000-0000-0000888F0000}"/>
    <cellStyle name="Normal 3 3 3 13 2 4 3" xfId="42746" xr:uid="{00000000-0005-0000-0000-0000898F0000}"/>
    <cellStyle name="Normal 3 3 3 13 2 5" xfId="19514" xr:uid="{00000000-0005-0000-0000-00008A8F0000}"/>
    <cellStyle name="Normal 3 3 3 13 2 6" xfId="35006" xr:uid="{00000000-0005-0000-0000-00008B8F0000}"/>
    <cellStyle name="Normal 3 3 3 13 3" xfId="4895" xr:uid="{00000000-0005-0000-0000-00008C8F0000}"/>
    <cellStyle name="Normal 3 3 3 13 3 2" xfId="8766" xr:uid="{00000000-0005-0000-0000-00008D8F0000}"/>
    <cellStyle name="Normal 3 3 3 13 3 2 2" xfId="16511" xr:uid="{00000000-0005-0000-0000-00008E8F0000}"/>
    <cellStyle name="Normal 3 3 3 13 3 2 2 2" xfId="32103" xr:uid="{00000000-0005-0000-0000-00008F8F0000}"/>
    <cellStyle name="Normal 3 3 3 13 3 2 2 3" xfId="47595" xr:uid="{00000000-0005-0000-0000-0000908F0000}"/>
    <cellStyle name="Normal 3 3 3 13 3 2 3" xfId="24363" xr:uid="{00000000-0005-0000-0000-0000918F0000}"/>
    <cellStyle name="Normal 3 3 3 13 3 2 4" xfId="39855" xr:uid="{00000000-0005-0000-0000-0000928F0000}"/>
    <cellStyle name="Normal 3 3 3 13 3 3" xfId="12641" xr:uid="{00000000-0005-0000-0000-0000938F0000}"/>
    <cellStyle name="Normal 3 3 3 13 3 3 2" xfId="28233" xr:uid="{00000000-0005-0000-0000-0000948F0000}"/>
    <cellStyle name="Normal 3 3 3 13 3 3 3" xfId="43725" xr:uid="{00000000-0005-0000-0000-0000958F0000}"/>
    <cellStyle name="Normal 3 3 3 13 3 4" xfId="20493" xr:uid="{00000000-0005-0000-0000-0000968F0000}"/>
    <cellStyle name="Normal 3 3 3 13 3 5" xfId="35985" xr:uid="{00000000-0005-0000-0000-0000978F0000}"/>
    <cellStyle name="Normal 3 3 3 13 4" xfId="6839" xr:uid="{00000000-0005-0000-0000-0000988F0000}"/>
    <cellStyle name="Normal 3 3 3 13 4 2" xfId="14584" xr:uid="{00000000-0005-0000-0000-0000998F0000}"/>
    <cellStyle name="Normal 3 3 3 13 4 2 2" xfId="30176" xr:uid="{00000000-0005-0000-0000-00009A8F0000}"/>
    <cellStyle name="Normal 3 3 3 13 4 2 3" xfId="45668" xr:uid="{00000000-0005-0000-0000-00009B8F0000}"/>
    <cellStyle name="Normal 3 3 3 13 4 3" xfId="22436" xr:uid="{00000000-0005-0000-0000-00009C8F0000}"/>
    <cellStyle name="Normal 3 3 3 13 4 4" xfId="37928" xr:uid="{00000000-0005-0000-0000-00009D8F0000}"/>
    <cellStyle name="Normal 3 3 3 13 5" xfId="10714" xr:uid="{00000000-0005-0000-0000-00009E8F0000}"/>
    <cellStyle name="Normal 3 3 3 13 5 2" xfId="26306" xr:uid="{00000000-0005-0000-0000-00009F8F0000}"/>
    <cellStyle name="Normal 3 3 3 13 5 3" xfId="41798" xr:uid="{00000000-0005-0000-0000-0000A08F0000}"/>
    <cellStyle name="Normal 3 3 3 13 6" xfId="18566" xr:uid="{00000000-0005-0000-0000-0000A18F0000}"/>
    <cellStyle name="Normal 3 3 3 13 7" xfId="34058" xr:uid="{00000000-0005-0000-0000-0000A28F0000}"/>
    <cellStyle name="Normal 3 3 3 14" xfId="2936" xr:uid="{00000000-0005-0000-0000-0000A38F0000}"/>
    <cellStyle name="Normal 3 3 3 14 2" xfId="3940" xr:uid="{00000000-0005-0000-0000-0000A48F0000}"/>
    <cellStyle name="Normal 3 3 3 14 2 2" xfId="5879" xr:uid="{00000000-0005-0000-0000-0000A58F0000}"/>
    <cellStyle name="Normal 3 3 3 14 2 2 2" xfId="9750" xr:uid="{00000000-0005-0000-0000-0000A68F0000}"/>
    <cellStyle name="Normal 3 3 3 14 2 2 2 2" xfId="17495" xr:uid="{00000000-0005-0000-0000-0000A78F0000}"/>
    <cellStyle name="Normal 3 3 3 14 2 2 2 2 2" xfId="33087" xr:uid="{00000000-0005-0000-0000-0000A88F0000}"/>
    <cellStyle name="Normal 3 3 3 14 2 2 2 2 3" xfId="48579" xr:uid="{00000000-0005-0000-0000-0000A98F0000}"/>
    <cellStyle name="Normal 3 3 3 14 2 2 2 3" xfId="25347" xr:uid="{00000000-0005-0000-0000-0000AA8F0000}"/>
    <cellStyle name="Normal 3 3 3 14 2 2 2 4" xfId="40839" xr:uid="{00000000-0005-0000-0000-0000AB8F0000}"/>
    <cellStyle name="Normal 3 3 3 14 2 2 3" xfId="13625" xr:uid="{00000000-0005-0000-0000-0000AC8F0000}"/>
    <cellStyle name="Normal 3 3 3 14 2 2 3 2" xfId="29217" xr:uid="{00000000-0005-0000-0000-0000AD8F0000}"/>
    <cellStyle name="Normal 3 3 3 14 2 2 3 3" xfId="44709" xr:uid="{00000000-0005-0000-0000-0000AE8F0000}"/>
    <cellStyle name="Normal 3 3 3 14 2 2 4" xfId="21477" xr:uid="{00000000-0005-0000-0000-0000AF8F0000}"/>
    <cellStyle name="Normal 3 3 3 14 2 2 5" xfId="36969" xr:uid="{00000000-0005-0000-0000-0000B08F0000}"/>
    <cellStyle name="Normal 3 3 3 14 2 3" xfId="7823" xr:uid="{00000000-0005-0000-0000-0000B18F0000}"/>
    <cellStyle name="Normal 3 3 3 14 2 3 2" xfId="15568" xr:uid="{00000000-0005-0000-0000-0000B28F0000}"/>
    <cellStyle name="Normal 3 3 3 14 2 3 2 2" xfId="31160" xr:uid="{00000000-0005-0000-0000-0000B38F0000}"/>
    <cellStyle name="Normal 3 3 3 14 2 3 2 3" xfId="46652" xr:uid="{00000000-0005-0000-0000-0000B48F0000}"/>
    <cellStyle name="Normal 3 3 3 14 2 3 3" xfId="23420" xr:uid="{00000000-0005-0000-0000-0000B58F0000}"/>
    <cellStyle name="Normal 3 3 3 14 2 3 4" xfId="38912" xr:uid="{00000000-0005-0000-0000-0000B68F0000}"/>
    <cellStyle name="Normal 3 3 3 14 2 4" xfId="11698" xr:uid="{00000000-0005-0000-0000-0000B78F0000}"/>
    <cellStyle name="Normal 3 3 3 14 2 4 2" xfId="27290" xr:uid="{00000000-0005-0000-0000-0000B88F0000}"/>
    <cellStyle name="Normal 3 3 3 14 2 4 3" xfId="42782" xr:uid="{00000000-0005-0000-0000-0000B98F0000}"/>
    <cellStyle name="Normal 3 3 3 14 2 5" xfId="19550" xr:uid="{00000000-0005-0000-0000-0000BA8F0000}"/>
    <cellStyle name="Normal 3 3 3 14 2 6" xfId="35042" xr:uid="{00000000-0005-0000-0000-0000BB8F0000}"/>
    <cellStyle name="Normal 3 3 3 14 3" xfId="4931" xr:uid="{00000000-0005-0000-0000-0000BC8F0000}"/>
    <cellStyle name="Normal 3 3 3 14 3 2" xfId="8802" xr:uid="{00000000-0005-0000-0000-0000BD8F0000}"/>
    <cellStyle name="Normal 3 3 3 14 3 2 2" xfId="16547" xr:uid="{00000000-0005-0000-0000-0000BE8F0000}"/>
    <cellStyle name="Normal 3 3 3 14 3 2 2 2" xfId="32139" xr:uid="{00000000-0005-0000-0000-0000BF8F0000}"/>
    <cellStyle name="Normal 3 3 3 14 3 2 2 3" xfId="47631" xr:uid="{00000000-0005-0000-0000-0000C08F0000}"/>
    <cellStyle name="Normal 3 3 3 14 3 2 3" xfId="24399" xr:uid="{00000000-0005-0000-0000-0000C18F0000}"/>
    <cellStyle name="Normal 3 3 3 14 3 2 4" xfId="39891" xr:uid="{00000000-0005-0000-0000-0000C28F0000}"/>
    <cellStyle name="Normal 3 3 3 14 3 3" xfId="12677" xr:uid="{00000000-0005-0000-0000-0000C38F0000}"/>
    <cellStyle name="Normal 3 3 3 14 3 3 2" xfId="28269" xr:uid="{00000000-0005-0000-0000-0000C48F0000}"/>
    <cellStyle name="Normal 3 3 3 14 3 3 3" xfId="43761" xr:uid="{00000000-0005-0000-0000-0000C58F0000}"/>
    <cellStyle name="Normal 3 3 3 14 3 4" xfId="20529" xr:uid="{00000000-0005-0000-0000-0000C68F0000}"/>
    <cellStyle name="Normal 3 3 3 14 3 5" xfId="36021" xr:uid="{00000000-0005-0000-0000-0000C78F0000}"/>
    <cellStyle name="Normal 3 3 3 14 4" xfId="6875" xr:uid="{00000000-0005-0000-0000-0000C88F0000}"/>
    <cellStyle name="Normal 3 3 3 14 4 2" xfId="14620" xr:uid="{00000000-0005-0000-0000-0000C98F0000}"/>
    <cellStyle name="Normal 3 3 3 14 4 2 2" xfId="30212" xr:uid="{00000000-0005-0000-0000-0000CA8F0000}"/>
    <cellStyle name="Normal 3 3 3 14 4 2 3" xfId="45704" xr:uid="{00000000-0005-0000-0000-0000CB8F0000}"/>
    <cellStyle name="Normal 3 3 3 14 4 3" xfId="22472" xr:uid="{00000000-0005-0000-0000-0000CC8F0000}"/>
    <cellStyle name="Normal 3 3 3 14 4 4" xfId="37964" xr:uid="{00000000-0005-0000-0000-0000CD8F0000}"/>
    <cellStyle name="Normal 3 3 3 14 5" xfId="10750" xr:uid="{00000000-0005-0000-0000-0000CE8F0000}"/>
    <cellStyle name="Normal 3 3 3 14 5 2" xfId="26342" xr:uid="{00000000-0005-0000-0000-0000CF8F0000}"/>
    <cellStyle name="Normal 3 3 3 14 5 3" xfId="41834" xr:uid="{00000000-0005-0000-0000-0000D08F0000}"/>
    <cellStyle name="Normal 3 3 3 14 6" xfId="18602" xr:uid="{00000000-0005-0000-0000-0000D18F0000}"/>
    <cellStyle name="Normal 3 3 3 14 7" xfId="34094" xr:uid="{00000000-0005-0000-0000-0000D28F0000}"/>
    <cellStyle name="Normal 3 3 3 15" xfId="2975" xr:uid="{00000000-0005-0000-0000-0000D38F0000}"/>
    <cellStyle name="Normal 3 3 3 15 2" xfId="3976" xr:uid="{00000000-0005-0000-0000-0000D48F0000}"/>
    <cellStyle name="Normal 3 3 3 15 2 2" xfId="5915" xr:uid="{00000000-0005-0000-0000-0000D58F0000}"/>
    <cellStyle name="Normal 3 3 3 15 2 2 2" xfId="9786" xr:uid="{00000000-0005-0000-0000-0000D68F0000}"/>
    <cellStyle name="Normal 3 3 3 15 2 2 2 2" xfId="17531" xr:uid="{00000000-0005-0000-0000-0000D78F0000}"/>
    <cellStyle name="Normal 3 3 3 15 2 2 2 2 2" xfId="33123" xr:uid="{00000000-0005-0000-0000-0000D88F0000}"/>
    <cellStyle name="Normal 3 3 3 15 2 2 2 2 3" xfId="48615" xr:uid="{00000000-0005-0000-0000-0000D98F0000}"/>
    <cellStyle name="Normal 3 3 3 15 2 2 2 3" xfId="25383" xr:uid="{00000000-0005-0000-0000-0000DA8F0000}"/>
    <cellStyle name="Normal 3 3 3 15 2 2 2 4" xfId="40875" xr:uid="{00000000-0005-0000-0000-0000DB8F0000}"/>
    <cellStyle name="Normal 3 3 3 15 2 2 3" xfId="13661" xr:uid="{00000000-0005-0000-0000-0000DC8F0000}"/>
    <cellStyle name="Normal 3 3 3 15 2 2 3 2" xfId="29253" xr:uid="{00000000-0005-0000-0000-0000DD8F0000}"/>
    <cellStyle name="Normal 3 3 3 15 2 2 3 3" xfId="44745" xr:uid="{00000000-0005-0000-0000-0000DE8F0000}"/>
    <cellStyle name="Normal 3 3 3 15 2 2 4" xfId="21513" xr:uid="{00000000-0005-0000-0000-0000DF8F0000}"/>
    <cellStyle name="Normal 3 3 3 15 2 2 5" xfId="37005" xr:uid="{00000000-0005-0000-0000-0000E08F0000}"/>
    <cellStyle name="Normal 3 3 3 15 2 3" xfId="7859" xr:uid="{00000000-0005-0000-0000-0000E18F0000}"/>
    <cellStyle name="Normal 3 3 3 15 2 3 2" xfId="15604" xr:uid="{00000000-0005-0000-0000-0000E28F0000}"/>
    <cellStyle name="Normal 3 3 3 15 2 3 2 2" xfId="31196" xr:uid="{00000000-0005-0000-0000-0000E38F0000}"/>
    <cellStyle name="Normal 3 3 3 15 2 3 2 3" xfId="46688" xr:uid="{00000000-0005-0000-0000-0000E48F0000}"/>
    <cellStyle name="Normal 3 3 3 15 2 3 3" xfId="23456" xr:uid="{00000000-0005-0000-0000-0000E58F0000}"/>
    <cellStyle name="Normal 3 3 3 15 2 3 4" xfId="38948" xr:uid="{00000000-0005-0000-0000-0000E68F0000}"/>
    <cellStyle name="Normal 3 3 3 15 2 4" xfId="11734" xr:uid="{00000000-0005-0000-0000-0000E78F0000}"/>
    <cellStyle name="Normal 3 3 3 15 2 4 2" xfId="27326" xr:uid="{00000000-0005-0000-0000-0000E88F0000}"/>
    <cellStyle name="Normal 3 3 3 15 2 4 3" xfId="42818" xr:uid="{00000000-0005-0000-0000-0000E98F0000}"/>
    <cellStyle name="Normal 3 3 3 15 2 5" xfId="19586" xr:uid="{00000000-0005-0000-0000-0000EA8F0000}"/>
    <cellStyle name="Normal 3 3 3 15 2 6" xfId="35078" xr:uid="{00000000-0005-0000-0000-0000EB8F0000}"/>
    <cellStyle name="Normal 3 3 3 15 3" xfId="4967" xr:uid="{00000000-0005-0000-0000-0000EC8F0000}"/>
    <cellStyle name="Normal 3 3 3 15 3 2" xfId="8838" xr:uid="{00000000-0005-0000-0000-0000ED8F0000}"/>
    <cellStyle name="Normal 3 3 3 15 3 2 2" xfId="16583" xr:uid="{00000000-0005-0000-0000-0000EE8F0000}"/>
    <cellStyle name="Normal 3 3 3 15 3 2 2 2" xfId="32175" xr:uid="{00000000-0005-0000-0000-0000EF8F0000}"/>
    <cellStyle name="Normal 3 3 3 15 3 2 2 3" xfId="47667" xr:uid="{00000000-0005-0000-0000-0000F08F0000}"/>
    <cellStyle name="Normal 3 3 3 15 3 2 3" xfId="24435" xr:uid="{00000000-0005-0000-0000-0000F18F0000}"/>
    <cellStyle name="Normal 3 3 3 15 3 2 4" xfId="39927" xr:uid="{00000000-0005-0000-0000-0000F28F0000}"/>
    <cellStyle name="Normal 3 3 3 15 3 3" xfId="12713" xr:uid="{00000000-0005-0000-0000-0000F38F0000}"/>
    <cellStyle name="Normal 3 3 3 15 3 3 2" xfId="28305" xr:uid="{00000000-0005-0000-0000-0000F48F0000}"/>
    <cellStyle name="Normal 3 3 3 15 3 3 3" xfId="43797" xr:uid="{00000000-0005-0000-0000-0000F58F0000}"/>
    <cellStyle name="Normal 3 3 3 15 3 4" xfId="20565" xr:uid="{00000000-0005-0000-0000-0000F68F0000}"/>
    <cellStyle name="Normal 3 3 3 15 3 5" xfId="36057" xr:uid="{00000000-0005-0000-0000-0000F78F0000}"/>
    <cellStyle name="Normal 3 3 3 15 4" xfId="6911" xr:uid="{00000000-0005-0000-0000-0000F88F0000}"/>
    <cellStyle name="Normal 3 3 3 15 4 2" xfId="14656" xr:uid="{00000000-0005-0000-0000-0000F98F0000}"/>
    <cellStyle name="Normal 3 3 3 15 4 2 2" xfId="30248" xr:uid="{00000000-0005-0000-0000-0000FA8F0000}"/>
    <cellStyle name="Normal 3 3 3 15 4 2 3" xfId="45740" xr:uid="{00000000-0005-0000-0000-0000FB8F0000}"/>
    <cellStyle name="Normal 3 3 3 15 4 3" xfId="22508" xr:uid="{00000000-0005-0000-0000-0000FC8F0000}"/>
    <cellStyle name="Normal 3 3 3 15 4 4" xfId="38000" xr:uid="{00000000-0005-0000-0000-0000FD8F0000}"/>
    <cellStyle name="Normal 3 3 3 15 5" xfId="10786" xr:uid="{00000000-0005-0000-0000-0000FE8F0000}"/>
    <cellStyle name="Normal 3 3 3 15 5 2" xfId="26378" xr:uid="{00000000-0005-0000-0000-0000FF8F0000}"/>
    <cellStyle name="Normal 3 3 3 15 5 3" xfId="41870" xr:uid="{00000000-0005-0000-0000-000000900000}"/>
    <cellStyle name="Normal 3 3 3 15 6" xfId="18638" xr:uid="{00000000-0005-0000-0000-000001900000}"/>
    <cellStyle name="Normal 3 3 3 15 7" xfId="34130" xr:uid="{00000000-0005-0000-0000-000002900000}"/>
    <cellStyle name="Normal 3 3 3 16" xfId="3015" xr:uid="{00000000-0005-0000-0000-000003900000}"/>
    <cellStyle name="Normal 3 3 3 16 2" xfId="4012" xr:uid="{00000000-0005-0000-0000-000004900000}"/>
    <cellStyle name="Normal 3 3 3 16 2 2" xfId="5951" xr:uid="{00000000-0005-0000-0000-000005900000}"/>
    <cellStyle name="Normal 3 3 3 16 2 2 2" xfId="9822" xr:uid="{00000000-0005-0000-0000-000006900000}"/>
    <cellStyle name="Normal 3 3 3 16 2 2 2 2" xfId="17567" xr:uid="{00000000-0005-0000-0000-000007900000}"/>
    <cellStyle name="Normal 3 3 3 16 2 2 2 2 2" xfId="33159" xr:uid="{00000000-0005-0000-0000-000008900000}"/>
    <cellStyle name="Normal 3 3 3 16 2 2 2 2 3" xfId="48651" xr:uid="{00000000-0005-0000-0000-000009900000}"/>
    <cellStyle name="Normal 3 3 3 16 2 2 2 3" xfId="25419" xr:uid="{00000000-0005-0000-0000-00000A900000}"/>
    <cellStyle name="Normal 3 3 3 16 2 2 2 4" xfId="40911" xr:uid="{00000000-0005-0000-0000-00000B900000}"/>
    <cellStyle name="Normal 3 3 3 16 2 2 3" xfId="13697" xr:uid="{00000000-0005-0000-0000-00000C900000}"/>
    <cellStyle name="Normal 3 3 3 16 2 2 3 2" xfId="29289" xr:uid="{00000000-0005-0000-0000-00000D900000}"/>
    <cellStyle name="Normal 3 3 3 16 2 2 3 3" xfId="44781" xr:uid="{00000000-0005-0000-0000-00000E900000}"/>
    <cellStyle name="Normal 3 3 3 16 2 2 4" xfId="21549" xr:uid="{00000000-0005-0000-0000-00000F900000}"/>
    <cellStyle name="Normal 3 3 3 16 2 2 5" xfId="37041" xr:uid="{00000000-0005-0000-0000-000010900000}"/>
    <cellStyle name="Normal 3 3 3 16 2 3" xfId="7895" xr:uid="{00000000-0005-0000-0000-000011900000}"/>
    <cellStyle name="Normal 3 3 3 16 2 3 2" xfId="15640" xr:uid="{00000000-0005-0000-0000-000012900000}"/>
    <cellStyle name="Normal 3 3 3 16 2 3 2 2" xfId="31232" xr:uid="{00000000-0005-0000-0000-000013900000}"/>
    <cellStyle name="Normal 3 3 3 16 2 3 2 3" xfId="46724" xr:uid="{00000000-0005-0000-0000-000014900000}"/>
    <cellStyle name="Normal 3 3 3 16 2 3 3" xfId="23492" xr:uid="{00000000-0005-0000-0000-000015900000}"/>
    <cellStyle name="Normal 3 3 3 16 2 3 4" xfId="38984" xr:uid="{00000000-0005-0000-0000-000016900000}"/>
    <cellStyle name="Normal 3 3 3 16 2 4" xfId="11770" xr:uid="{00000000-0005-0000-0000-000017900000}"/>
    <cellStyle name="Normal 3 3 3 16 2 4 2" xfId="27362" xr:uid="{00000000-0005-0000-0000-000018900000}"/>
    <cellStyle name="Normal 3 3 3 16 2 4 3" xfId="42854" xr:uid="{00000000-0005-0000-0000-000019900000}"/>
    <cellStyle name="Normal 3 3 3 16 2 5" xfId="19622" xr:uid="{00000000-0005-0000-0000-00001A900000}"/>
    <cellStyle name="Normal 3 3 3 16 2 6" xfId="35114" xr:uid="{00000000-0005-0000-0000-00001B900000}"/>
    <cellStyle name="Normal 3 3 3 16 3" xfId="5003" xr:uid="{00000000-0005-0000-0000-00001C900000}"/>
    <cellStyle name="Normal 3 3 3 16 3 2" xfId="8874" xr:uid="{00000000-0005-0000-0000-00001D900000}"/>
    <cellStyle name="Normal 3 3 3 16 3 2 2" xfId="16619" xr:uid="{00000000-0005-0000-0000-00001E900000}"/>
    <cellStyle name="Normal 3 3 3 16 3 2 2 2" xfId="32211" xr:uid="{00000000-0005-0000-0000-00001F900000}"/>
    <cellStyle name="Normal 3 3 3 16 3 2 2 3" xfId="47703" xr:uid="{00000000-0005-0000-0000-000020900000}"/>
    <cellStyle name="Normal 3 3 3 16 3 2 3" xfId="24471" xr:uid="{00000000-0005-0000-0000-000021900000}"/>
    <cellStyle name="Normal 3 3 3 16 3 2 4" xfId="39963" xr:uid="{00000000-0005-0000-0000-000022900000}"/>
    <cellStyle name="Normal 3 3 3 16 3 3" xfId="12749" xr:uid="{00000000-0005-0000-0000-000023900000}"/>
    <cellStyle name="Normal 3 3 3 16 3 3 2" xfId="28341" xr:uid="{00000000-0005-0000-0000-000024900000}"/>
    <cellStyle name="Normal 3 3 3 16 3 3 3" xfId="43833" xr:uid="{00000000-0005-0000-0000-000025900000}"/>
    <cellStyle name="Normal 3 3 3 16 3 4" xfId="20601" xr:uid="{00000000-0005-0000-0000-000026900000}"/>
    <cellStyle name="Normal 3 3 3 16 3 5" xfId="36093" xr:uid="{00000000-0005-0000-0000-000027900000}"/>
    <cellStyle name="Normal 3 3 3 16 4" xfId="6947" xr:uid="{00000000-0005-0000-0000-000028900000}"/>
    <cellStyle name="Normal 3 3 3 16 4 2" xfId="14692" xr:uid="{00000000-0005-0000-0000-000029900000}"/>
    <cellStyle name="Normal 3 3 3 16 4 2 2" xfId="30284" xr:uid="{00000000-0005-0000-0000-00002A900000}"/>
    <cellStyle name="Normal 3 3 3 16 4 2 3" xfId="45776" xr:uid="{00000000-0005-0000-0000-00002B900000}"/>
    <cellStyle name="Normal 3 3 3 16 4 3" xfId="22544" xr:uid="{00000000-0005-0000-0000-00002C900000}"/>
    <cellStyle name="Normal 3 3 3 16 4 4" xfId="38036" xr:uid="{00000000-0005-0000-0000-00002D900000}"/>
    <cellStyle name="Normal 3 3 3 16 5" xfId="10822" xr:uid="{00000000-0005-0000-0000-00002E900000}"/>
    <cellStyle name="Normal 3 3 3 16 5 2" xfId="26414" xr:uid="{00000000-0005-0000-0000-00002F900000}"/>
    <cellStyle name="Normal 3 3 3 16 5 3" xfId="41906" xr:uid="{00000000-0005-0000-0000-000030900000}"/>
    <cellStyle name="Normal 3 3 3 16 6" xfId="18674" xr:uid="{00000000-0005-0000-0000-000031900000}"/>
    <cellStyle name="Normal 3 3 3 16 7" xfId="34166" xr:uid="{00000000-0005-0000-0000-000032900000}"/>
    <cellStyle name="Normal 3 3 3 17" xfId="3053" xr:uid="{00000000-0005-0000-0000-000033900000}"/>
    <cellStyle name="Normal 3 3 3 17 2" xfId="4048" xr:uid="{00000000-0005-0000-0000-000034900000}"/>
    <cellStyle name="Normal 3 3 3 17 2 2" xfId="5987" xr:uid="{00000000-0005-0000-0000-000035900000}"/>
    <cellStyle name="Normal 3 3 3 17 2 2 2" xfId="9858" xr:uid="{00000000-0005-0000-0000-000036900000}"/>
    <cellStyle name="Normal 3 3 3 17 2 2 2 2" xfId="17603" xr:uid="{00000000-0005-0000-0000-000037900000}"/>
    <cellStyle name="Normal 3 3 3 17 2 2 2 2 2" xfId="33195" xr:uid="{00000000-0005-0000-0000-000038900000}"/>
    <cellStyle name="Normal 3 3 3 17 2 2 2 2 3" xfId="48687" xr:uid="{00000000-0005-0000-0000-000039900000}"/>
    <cellStyle name="Normal 3 3 3 17 2 2 2 3" xfId="25455" xr:uid="{00000000-0005-0000-0000-00003A900000}"/>
    <cellStyle name="Normal 3 3 3 17 2 2 2 4" xfId="40947" xr:uid="{00000000-0005-0000-0000-00003B900000}"/>
    <cellStyle name="Normal 3 3 3 17 2 2 3" xfId="13733" xr:uid="{00000000-0005-0000-0000-00003C900000}"/>
    <cellStyle name="Normal 3 3 3 17 2 2 3 2" xfId="29325" xr:uid="{00000000-0005-0000-0000-00003D900000}"/>
    <cellStyle name="Normal 3 3 3 17 2 2 3 3" xfId="44817" xr:uid="{00000000-0005-0000-0000-00003E900000}"/>
    <cellStyle name="Normal 3 3 3 17 2 2 4" xfId="21585" xr:uid="{00000000-0005-0000-0000-00003F900000}"/>
    <cellStyle name="Normal 3 3 3 17 2 2 5" xfId="37077" xr:uid="{00000000-0005-0000-0000-000040900000}"/>
    <cellStyle name="Normal 3 3 3 17 2 3" xfId="7931" xr:uid="{00000000-0005-0000-0000-000041900000}"/>
    <cellStyle name="Normal 3 3 3 17 2 3 2" xfId="15676" xr:uid="{00000000-0005-0000-0000-000042900000}"/>
    <cellStyle name="Normal 3 3 3 17 2 3 2 2" xfId="31268" xr:uid="{00000000-0005-0000-0000-000043900000}"/>
    <cellStyle name="Normal 3 3 3 17 2 3 2 3" xfId="46760" xr:uid="{00000000-0005-0000-0000-000044900000}"/>
    <cellStyle name="Normal 3 3 3 17 2 3 3" xfId="23528" xr:uid="{00000000-0005-0000-0000-000045900000}"/>
    <cellStyle name="Normal 3 3 3 17 2 3 4" xfId="39020" xr:uid="{00000000-0005-0000-0000-000046900000}"/>
    <cellStyle name="Normal 3 3 3 17 2 4" xfId="11806" xr:uid="{00000000-0005-0000-0000-000047900000}"/>
    <cellStyle name="Normal 3 3 3 17 2 4 2" xfId="27398" xr:uid="{00000000-0005-0000-0000-000048900000}"/>
    <cellStyle name="Normal 3 3 3 17 2 4 3" xfId="42890" xr:uid="{00000000-0005-0000-0000-000049900000}"/>
    <cellStyle name="Normal 3 3 3 17 2 5" xfId="19658" xr:uid="{00000000-0005-0000-0000-00004A900000}"/>
    <cellStyle name="Normal 3 3 3 17 2 6" xfId="35150" xr:uid="{00000000-0005-0000-0000-00004B900000}"/>
    <cellStyle name="Normal 3 3 3 17 3" xfId="5039" xr:uid="{00000000-0005-0000-0000-00004C900000}"/>
    <cellStyle name="Normal 3 3 3 17 3 2" xfId="8910" xr:uid="{00000000-0005-0000-0000-00004D900000}"/>
    <cellStyle name="Normal 3 3 3 17 3 2 2" xfId="16655" xr:uid="{00000000-0005-0000-0000-00004E900000}"/>
    <cellStyle name="Normal 3 3 3 17 3 2 2 2" xfId="32247" xr:uid="{00000000-0005-0000-0000-00004F900000}"/>
    <cellStyle name="Normal 3 3 3 17 3 2 2 3" xfId="47739" xr:uid="{00000000-0005-0000-0000-000050900000}"/>
    <cellStyle name="Normal 3 3 3 17 3 2 3" xfId="24507" xr:uid="{00000000-0005-0000-0000-000051900000}"/>
    <cellStyle name="Normal 3 3 3 17 3 2 4" xfId="39999" xr:uid="{00000000-0005-0000-0000-000052900000}"/>
    <cellStyle name="Normal 3 3 3 17 3 3" xfId="12785" xr:uid="{00000000-0005-0000-0000-000053900000}"/>
    <cellStyle name="Normal 3 3 3 17 3 3 2" xfId="28377" xr:uid="{00000000-0005-0000-0000-000054900000}"/>
    <cellStyle name="Normal 3 3 3 17 3 3 3" xfId="43869" xr:uid="{00000000-0005-0000-0000-000055900000}"/>
    <cellStyle name="Normal 3 3 3 17 3 4" xfId="20637" xr:uid="{00000000-0005-0000-0000-000056900000}"/>
    <cellStyle name="Normal 3 3 3 17 3 5" xfId="36129" xr:uid="{00000000-0005-0000-0000-000057900000}"/>
    <cellStyle name="Normal 3 3 3 17 4" xfId="6983" xr:uid="{00000000-0005-0000-0000-000058900000}"/>
    <cellStyle name="Normal 3 3 3 17 4 2" xfId="14728" xr:uid="{00000000-0005-0000-0000-000059900000}"/>
    <cellStyle name="Normal 3 3 3 17 4 2 2" xfId="30320" xr:uid="{00000000-0005-0000-0000-00005A900000}"/>
    <cellStyle name="Normal 3 3 3 17 4 2 3" xfId="45812" xr:uid="{00000000-0005-0000-0000-00005B900000}"/>
    <cellStyle name="Normal 3 3 3 17 4 3" xfId="22580" xr:uid="{00000000-0005-0000-0000-00005C900000}"/>
    <cellStyle name="Normal 3 3 3 17 4 4" xfId="38072" xr:uid="{00000000-0005-0000-0000-00005D900000}"/>
    <cellStyle name="Normal 3 3 3 17 5" xfId="10858" xr:uid="{00000000-0005-0000-0000-00005E900000}"/>
    <cellStyle name="Normal 3 3 3 17 5 2" xfId="26450" xr:uid="{00000000-0005-0000-0000-00005F900000}"/>
    <cellStyle name="Normal 3 3 3 17 5 3" xfId="41942" xr:uid="{00000000-0005-0000-0000-000060900000}"/>
    <cellStyle name="Normal 3 3 3 17 6" xfId="18710" xr:uid="{00000000-0005-0000-0000-000061900000}"/>
    <cellStyle name="Normal 3 3 3 17 7" xfId="34202" xr:uid="{00000000-0005-0000-0000-000062900000}"/>
    <cellStyle name="Normal 3 3 3 18" xfId="3090" xr:uid="{00000000-0005-0000-0000-000063900000}"/>
    <cellStyle name="Normal 3 3 3 18 2" xfId="4084" xr:uid="{00000000-0005-0000-0000-000064900000}"/>
    <cellStyle name="Normal 3 3 3 18 2 2" xfId="6023" xr:uid="{00000000-0005-0000-0000-000065900000}"/>
    <cellStyle name="Normal 3 3 3 18 2 2 2" xfId="9894" xr:uid="{00000000-0005-0000-0000-000066900000}"/>
    <cellStyle name="Normal 3 3 3 18 2 2 2 2" xfId="17639" xr:uid="{00000000-0005-0000-0000-000067900000}"/>
    <cellStyle name="Normal 3 3 3 18 2 2 2 2 2" xfId="33231" xr:uid="{00000000-0005-0000-0000-000068900000}"/>
    <cellStyle name="Normal 3 3 3 18 2 2 2 2 3" xfId="48723" xr:uid="{00000000-0005-0000-0000-000069900000}"/>
    <cellStyle name="Normal 3 3 3 18 2 2 2 3" xfId="25491" xr:uid="{00000000-0005-0000-0000-00006A900000}"/>
    <cellStyle name="Normal 3 3 3 18 2 2 2 4" xfId="40983" xr:uid="{00000000-0005-0000-0000-00006B900000}"/>
    <cellStyle name="Normal 3 3 3 18 2 2 3" xfId="13769" xr:uid="{00000000-0005-0000-0000-00006C900000}"/>
    <cellStyle name="Normal 3 3 3 18 2 2 3 2" xfId="29361" xr:uid="{00000000-0005-0000-0000-00006D900000}"/>
    <cellStyle name="Normal 3 3 3 18 2 2 3 3" xfId="44853" xr:uid="{00000000-0005-0000-0000-00006E900000}"/>
    <cellStyle name="Normal 3 3 3 18 2 2 4" xfId="21621" xr:uid="{00000000-0005-0000-0000-00006F900000}"/>
    <cellStyle name="Normal 3 3 3 18 2 2 5" xfId="37113" xr:uid="{00000000-0005-0000-0000-000070900000}"/>
    <cellStyle name="Normal 3 3 3 18 2 3" xfId="7967" xr:uid="{00000000-0005-0000-0000-000071900000}"/>
    <cellStyle name="Normal 3 3 3 18 2 3 2" xfId="15712" xr:uid="{00000000-0005-0000-0000-000072900000}"/>
    <cellStyle name="Normal 3 3 3 18 2 3 2 2" xfId="31304" xr:uid="{00000000-0005-0000-0000-000073900000}"/>
    <cellStyle name="Normal 3 3 3 18 2 3 2 3" xfId="46796" xr:uid="{00000000-0005-0000-0000-000074900000}"/>
    <cellStyle name="Normal 3 3 3 18 2 3 3" xfId="23564" xr:uid="{00000000-0005-0000-0000-000075900000}"/>
    <cellStyle name="Normal 3 3 3 18 2 3 4" xfId="39056" xr:uid="{00000000-0005-0000-0000-000076900000}"/>
    <cellStyle name="Normal 3 3 3 18 2 4" xfId="11842" xr:uid="{00000000-0005-0000-0000-000077900000}"/>
    <cellStyle name="Normal 3 3 3 18 2 4 2" xfId="27434" xr:uid="{00000000-0005-0000-0000-000078900000}"/>
    <cellStyle name="Normal 3 3 3 18 2 4 3" xfId="42926" xr:uid="{00000000-0005-0000-0000-000079900000}"/>
    <cellStyle name="Normal 3 3 3 18 2 5" xfId="19694" xr:uid="{00000000-0005-0000-0000-00007A900000}"/>
    <cellStyle name="Normal 3 3 3 18 2 6" xfId="35186" xr:uid="{00000000-0005-0000-0000-00007B900000}"/>
    <cellStyle name="Normal 3 3 3 18 3" xfId="5075" xr:uid="{00000000-0005-0000-0000-00007C900000}"/>
    <cellStyle name="Normal 3 3 3 18 3 2" xfId="8946" xr:uid="{00000000-0005-0000-0000-00007D900000}"/>
    <cellStyle name="Normal 3 3 3 18 3 2 2" xfId="16691" xr:uid="{00000000-0005-0000-0000-00007E900000}"/>
    <cellStyle name="Normal 3 3 3 18 3 2 2 2" xfId="32283" xr:uid="{00000000-0005-0000-0000-00007F900000}"/>
    <cellStyle name="Normal 3 3 3 18 3 2 2 3" xfId="47775" xr:uid="{00000000-0005-0000-0000-000080900000}"/>
    <cellStyle name="Normal 3 3 3 18 3 2 3" xfId="24543" xr:uid="{00000000-0005-0000-0000-000081900000}"/>
    <cellStyle name="Normal 3 3 3 18 3 2 4" xfId="40035" xr:uid="{00000000-0005-0000-0000-000082900000}"/>
    <cellStyle name="Normal 3 3 3 18 3 3" xfId="12821" xr:uid="{00000000-0005-0000-0000-000083900000}"/>
    <cellStyle name="Normal 3 3 3 18 3 3 2" xfId="28413" xr:uid="{00000000-0005-0000-0000-000084900000}"/>
    <cellStyle name="Normal 3 3 3 18 3 3 3" xfId="43905" xr:uid="{00000000-0005-0000-0000-000085900000}"/>
    <cellStyle name="Normal 3 3 3 18 3 4" xfId="20673" xr:uid="{00000000-0005-0000-0000-000086900000}"/>
    <cellStyle name="Normal 3 3 3 18 3 5" xfId="36165" xr:uid="{00000000-0005-0000-0000-000087900000}"/>
    <cellStyle name="Normal 3 3 3 18 4" xfId="7019" xr:uid="{00000000-0005-0000-0000-000088900000}"/>
    <cellStyle name="Normal 3 3 3 18 4 2" xfId="14764" xr:uid="{00000000-0005-0000-0000-000089900000}"/>
    <cellStyle name="Normal 3 3 3 18 4 2 2" xfId="30356" xr:uid="{00000000-0005-0000-0000-00008A900000}"/>
    <cellStyle name="Normal 3 3 3 18 4 2 3" xfId="45848" xr:uid="{00000000-0005-0000-0000-00008B900000}"/>
    <cellStyle name="Normal 3 3 3 18 4 3" xfId="22616" xr:uid="{00000000-0005-0000-0000-00008C900000}"/>
    <cellStyle name="Normal 3 3 3 18 4 4" xfId="38108" xr:uid="{00000000-0005-0000-0000-00008D900000}"/>
    <cellStyle name="Normal 3 3 3 18 5" xfId="10894" xr:uid="{00000000-0005-0000-0000-00008E900000}"/>
    <cellStyle name="Normal 3 3 3 18 5 2" xfId="26486" xr:uid="{00000000-0005-0000-0000-00008F900000}"/>
    <cellStyle name="Normal 3 3 3 18 5 3" xfId="41978" xr:uid="{00000000-0005-0000-0000-000090900000}"/>
    <cellStyle name="Normal 3 3 3 18 6" xfId="18746" xr:uid="{00000000-0005-0000-0000-000091900000}"/>
    <cellStyle name="Normal 3 3 3 18 7" xfId="34238" xr:uid="{00000000-0005-0000-0000-000092900000}"/>
    <cellStyle name="Normal 3 3 3 19" xfId="3137" xr:uid="{00000000-0005-0000-0000-000093900000}"/>
    <cellStyle name="Normal 3 3 3 19 2" xfId="4120" xr:uid="{00000000-0005-0000-0000-000094900000}"/>
    <cellStyle name="Normal 3 3 3 19 2 2" xfId="6059" xr:uid="{00000000-0005-0000-0000-000095900000}"/>
    <cellStyle name="Normal 3 3 3 19 2 2 2" xfId="9930" xr:uid="{00000000-0005-0000-0000-000096900000}"/>
    <cellStyle name="Normal 3 3 3 19 2 2 2 2" xfId="17675" xr:uid="{00000000-0005-0000-0000-000097900000}"/>
    <cellStyle name="Normal 3 3 3 19 2 2 2 2 2" xfId="33267" xr:uid="{00000000-0005-0000-0000-000098900000}"/>
    <cellStyle name="Normal 3 3 3 19 2 2 2 2 3" xfId="48759" xr:uid="{00000000-0005-0000-0000-000099900000}"/>
    <cellStyle name="Normal 3 3 3 19 2 2 2 3" xfId="25527" xr:uid="{00000000-0005-0000-0000-00009A900000}"/>
    <cellStyle name="Normal 3 3 3 19 2 2 2 4" xfId="41019" xr:uid="{00000000-0005-0000-0000-00009B900000}"/>
    <cellStyle name="Normal 3 3 3 19 2 2 3" xfId="13805" xr:uid="{00000000-0005-0000-0000-00009C900000}"/>
    <cellStyle name="Normal 3 3 3 19 2 2 3 2" xfId="29397" xr:uid="{00000000-0005-0000-0000-00009D900000}"/>
    <cellStyle name="Normal 3 3 3 19 2 2 3 3" xfId="44889" xr:uid="{00000000-0005-0000-0000-00009E900000}"/>
    <cellStyle name="Normal 3 3 3 19 2 2 4" xfId="21657" xr:uid="{00000000-0005-0000-0000-00009F900000}"/>
    <cellStyle name="Normal 3 3 3 19 2 2 5" xfId="37149" xr:uid="{00000000-0005-0000-0000-0000A0900000}"/>
    <cellStyle name="Normal 3 3 3 19 2 3" xfId="8003" xr:uid="{00000000-0005-0000-0000-0000A1900000}"/>
    <cellStyle name="Normal 3 3 3 19 2 3 2" xfId="15748" xr:uid="{00000000-0005-0000-0000-0000A2900000}"/>
    <cellStyle name="Normal 3 3 3 19 2 3 2 2" xfId="31340" xr:uid="{00000000-0005-0000-0000-0000A3900000}"/>
    <cellStyle name="Normal 3 3 3 19 2 3 2 3" xfId="46832" xr:uid="{00000000-0005-0000-0000-0000A4900000}"/>
    <cellStyle name="Normal 3 3 3 19 2 3 3" xfId="23600" xr:uid="{00000000-0005-0000-0000-0000A5900000}"/>
    <cellStyle name="Normal 3 3 3 19 2 3 4" xfId="39092" xr:uid="{00000000-0005-0000-0000-0000A6900000}"/>
    <cellStyle name="Normal 3 3 3 19 2 4" xfId="11878" xr:uid="{00000000-0005-0000-0000-0000A7900000}"/>
    <cellStyle name="Normal 3 3 3 19 2 4 2" xfId="27470" xr:uid="{00000000-0005-0000-0000-0000A8900000}"/>
    <cellStyle name="Normal 3 3 3 19 2 4 3" xfId="42962" xr:uid="{00000000-0005-0000-0000-0000A9900000}"/>
    <cellStyle name="Normal 3 3 3 19 2 5" xfId="19730" xr:uid="{00000000-0005-0000-0000-0000AA900000}"/>
    <cellStyle name="Normal 3 3 3 19 2 6" xfId="35222" xr:uid="{00000000-0005-0000-0000-0000AB900000}"/>
    <cellStyle name="Normal 3 3 3 19 3" xfId="5111" xr:uid="{00000000-0005-0000-0000-0000AC900000}"/>
    <cellStyle name="Normal 3 3 3 19 3 2" xfId="8982" xr:uid="{00000000-0005-0000-0000-0000AD900000}"/>
    <cellStyle name="Normal 3 3 3 19 3 2 2" xfId="16727" xr:uid="{00000000-0005-0000-0000-0000AE900000}"/>
    <cellStyle name="Normal 3 3 3 19 3 2 2 2" xfId="32319" xr:uid="{00000000-0005-0000-0000-0000AF900000}"/>
    <cellStyle name="Normal 3 3 3 19 3 2 2 3" xfId="47811" xr:uid="{00000000-0005-0000-0000-0000B0900000}"/>
    <cellStyle name="Normal 3 3 3 19 3 2 3" xfId="24579" xr:uid="{00000000-0005-0000-0000-0000B1900000}"/>
    <cellStyle name="Normal 3 3 3 19 3 2 4" xfId="40071" xr:uid="{00000000-0005-0000-0000-0000B2900000}"/>
    <cellStyle name="Normal 3 3 3 19 3 3" xfId="12857" xr:uid="{00000000-0005-0000-0000-0000B3900000}"/>
    <cellStyle name="Normal 3 3 3 19 3 3 2" xfId="28449" xr:uid="{00000000-0005-0000-0000-0000B4900000}"/>
    <cellStyle name="Normal 3 3 3 19 3 3 3" xfId="43941" xr:uid="{00000000-0005-0000-0000-0000B5900000}"/>
    <cellStyle name="Normal 3 3 3 19 3 4" xfId="20709" xr:uid="{00000000-0005-0000-0000-0000B6900000}"/>
    <cellStyle name="Normal 3 3 3 19 3 5" xfId="36201" xr:uid="{00000000-0005-0000-0000-0000B7900000}"/>
    <cellStyle name="Normal 3 3 3 19 4" xfId="7055" xr:uid="{00000000-0005-0000-0000-0000B8900000}"/>
    <cellStyle name="Normal 3 3 3 19 4 2" xfId="14800" xr:uid="{00000000-0005-0000-0000-0000B9900000}"/>
    <cellStyle name="Normal 3 3 3 19 4 2 2" xfId="30392" xr:uid="{00000000-0005-0000-0000-0000BA900000}"/>
    <cellStyle name="Normal 3 3 3 19 4 2 3" xfId="45884" xr:uid="{00000000-0005-0000-0000-0000BB900000}"/>
    <cellStyle name="Normal 3 3 3 19 4 3" xfId="22652" xr:uid="{00000000-0005-0000-0000-0000BC900000}"/>
    <cellStyle name="Normal 3 3 3 19 4 4" xfId="38144" xr:uid="{00000000-0005-0000-0000-0000BD900000}"/>
    <cellStyle name="Normal 3 3 3 19 5" xfId="10930" xr:uid="{00000000-0005-0000-0000-0000BE900000}"/>
    <cellStyle name="Normal 3 3 3 19 5 2" xfId="26522" xr:uid="{00000000-0005-0000-0000-0000BF900000}"/>
    <cellStyle name="Normal 3 3 3 19 5 3" xfId="42014" xr:uid="{00000000-0005-0000-0000-0000C0900000}"/>
    <cellStyle name="Normal 3 3 3 19 6" xfId="18782" xr:uid="{00000000-0005-0000-0000-0000C1900000}"/>
    <cellStyle name="Normal 3 3 3 19 7" xfId="34274" xr:uid="{00000000-0005-0000-0000-0000C2900000}"/>
    <cellStyle name="Normal 3 3 3 2" xfId="2199" xr:uid="{00000000-0005-0000-0000-0000C3900000}"/>
    <cellStyle name="Normal 3 3 3 2 2" xfId="2532" xr:uid="{00000000-0005-0000-0000-0000C4900000}"/>
    <cellStyle name="Normal 3 3 3 2 2 2" xfId="3540" xr:uid="{00000000-0005-0000-0000-0000C5900000}"/>
    <cellStyle name="Normal 3 3 3 2 2 2 2" xfId="5479" xr:uid="{00000000-0005-0000-0000-0000C6900000}"/>
    <cellStyle name="Normal 3 3 3 2 2 2 2 2" xfId="9350" xr:uid="{00000000-0005-0000-0000-0000C7900000}"/>
    <cellStyle name="Normal 3 3 3 2 2 2 2 2 2" xfId="17095" xr:uid="{00000000-0005-0000-0000-0000C8900000}"/>
    <cellStyle name="Normal 3 3 3 2 2 2 2 2 2 2" xfId="32687" xr:uid="{00000000-0005-0000-0000-0000C9900000}"/>
    <cellStyle name="Normal 3 3 3 2 2 2 2 2 2 3" xfId="48179" xr:uid="{00000000-0005-0000-0000-0000CA900000}"/>
    <cellStyle name="Normal 3 3 3 2 2 2 2 2 3" xfId="24947" xr:uid="{00000000-0005-0000-0000-0000CB900000}"/>
    <cellStyle name="Normal 3 3 3 2 2 2 2 2 4" xfId="40439" xr:uid="{00000000-0005-0000-0000-0000CC900000}"/>
    <cellStyle name="Normal 3 3 3 2 2 2 2 3" xfId="13225" xr:uid="{00000000-0005-0000-0000-0000CD900000}"/>
    <cellStyle name="Normal 3 3 3 2 2 2 2 3 2" xfId="28817" xr:uid="{00000000-0005-0000-0000-0000CE900000}"/>
    <cellStyle name="Normal 3 3 3 2 2 2 2 3 3" xfId="44309" xr:uid="{00000000-0005-0000-0000-0000CF900000}"/>
    <cellStyle name="Normal 3 3 3 2 2 2 2 4" xfId="21077" xr:uid="{00000000-0005-0000-0000-0000D0900000}"/>
    <cellStyle name="Normal 3 3 3 2 2 2 2 5" xfId="36569" xr:uid="{00000000-0005-0000-0000-0000D1900000}"/>
    <cellStyle name="Normal 3 3 3 2 2 2 3" xfId="7423" xr:uid="{00000000-0005-0000-0000-0000D2900000}"/>
    <cellStyle name="Normal 3 3 3 2 2 2 3 2" xfId="15168" xr:uid="{00000000-0005-0000-0000-0000D3900000}"/>
    <cellStyle name="Normal 3 3 3 2 2 2 3 2 2" xfId="30760" xr:uid="{00000000-0005-0000-0000-0000D4900000}"/>
    <cellStyle name="Normal 3 3 3 2 2 2 3 2 3" xfId="46252" xr:uid="{00000000-0005-0000-0000-0000D5900000}"/>
    <cellStyle name="Normal 3 3 3 2 2 2 3 3" xfId="23020" xr:uid="{00000000-0005-0000-0000-0000D6900000}"/>
    <cellStyle name="Normal 3 3 3 2 2 2 3 4" xfId="38512" xr:uid="{00000000-0005-0000-0000-0000D7900000}"/>
    <cellStyle name="Normal 3 3 3 2 2 2 4" xfId="11298" xr:uid="{00000000-0005-0000-0000-0000D8900000}"/>
    <cellStyle name="Normal 3 3 3 2 2 2 4 2" xfId="26890" xr:uid="{00000000-0005-0000-0000-0000D9900000}"/>
    <cellStyle name="Normal 3 3 3 2 2 2 4 3" xfId="42382" xr:uid="{00000000-0005-0000-0000-0000DA900000}"/>
    <cellStyle name="Normal 3 3 3 2 2 2 5" xfId="19150" xr:uid="{00000000-0005-0000-0000-0000DB900000}"/>
    <cellStyle name="Normal 3 3 3 2 2 2 6" xfId="34642" xr:uid="{00000000-0005-0000-0000-0000DC900000}"/>
    <cellStyle name="Normal 3 3 3 2 2 3" xfId="4531" xr:uid="{00000000-0005-0000-0000-0000DD900000}"/>
    <cellStyle name="Normal 3 3 3 2 2 3 2" xfId="8402" xr:uid="{00000000-0005-0000-0000-0000DE900000}"/>
    <cellStyle name="Normal 3 3 3 2 2 3 2 2" xfId="16147" xr:uid="{00000000-0005-0000-0000-0000DF900000}"/>
    <cellStyle name="Normal 3 3 3 2 2 3 2 2 2" xfId="31739" xr:uid="{00000000-0005-0000-0000-0000E0900000}"/>
    <cellStyle name="Normal 3 3 3 2 2 3 2 2 3" xfId="47231" xr:uid="{00000000-0005-0000-0000-0000E1900000}"/>
    <cellStyle name="Normal 3 3 3 2 2 3 2 3" xfId="23999" xr:uid="{00000000-0005-0000-0000-0000E2900000}"/>
    <cellStyle name="Normal 3 3 3 2 2 3 2 4" xfId="39491" xr:uid="{00000000-0005-0000-0000-0000E3900000}"/>
    <cellStyle name="Normal 3 3 3 2 2 3 3" xfId="12277" xr:uid="{00000000-0005-0000-0000-0000E4900000}"/>
    <cellStyle name="Normal 3 3 3 2 2 3 3 2" xfId="27869" xr:uid="{00000000-0005-0000-0000-0000E5900000}"/>
    <cellStyle name="Normal 3 3 3 2 2 3 3 3" xfId="43361" xr:uid="{00000000-0005-0000-0000-0000E6900000}"/>
    <cellStyle name="Normal 3 3 3 2 2 3 4" xfId="20129" xr:uid="{00000000-0005-0000-0000-0000E7900000}"/>
    <cellStyle name="Normal 3 3 3 2 2 3 5" xfId="35621" xr:uid="{00000000-0005-0000-0000-0000E8900000}"/>
    <cellStyle name="Normal 3 3 3 2 2 4" xfId="6475" xr:uid="{00000000-0005-0000-0000-0000E9900000}"/>
    <cellStyle name="Normal 3 3 3 2 2 4 2" xfId="14220" xr:uid="{00000000-0005-0000-0000-0000EA900000}"/>
    <cellStyle name="Normal 3 3 3 2 2 4 2 2" xfId="29812" xr:uid="{00000000-0005-0000-0000-0000EB900000}"/>
    <cellStyle name="Normal 3 3 3 2 2 4 2 3" xfId="45304" xr:uid="{00000000-0005-0000-0000-0000EC900000}"/>
    <cellStyle name="Normal 3 3 3 2 2 4 3" xfId="22072" xr:uid="{00000000-0005-0000-0000-0000ED900000}"/>
    <cellStyle name="Normal 3 3 3 2 2 4 4" xfId="37564" xr:uid="{00000000-0005-0000-0000-0000EE900000}"/>
    <cellStyle name="Normal 3 3 3 2 2 5" xfId="10350" xr:uid="{00000000-0005-0000-0000-0000EF900000}"/>
    <cellStyle name="Normal 3 3 3 2 2 5 2" xfId="25942" xr:uid="{00000000-0005-0000-0000-0000F0900000}"/>
    <cellStyle name="Normal 3 3 3 2 2 5 3" xfId="41434" xr:uid="{00000000-0005-0000-0000-0000F1900000}"/>
    <cellStyle name="Normal 3 3 3 2 2 6" xfId="18202" xr:uid="{00000000-0005-0000-0000-0000F2900000}"/>
    <cellStyle name="Normal 3 3 3 2 2 7" xfId="33694" xr:uid="{00000000-0005-0000-0000-0000F3900000}"/>
    <cellStyle name="Normal 3 3 3 2 3" xfId="3231" xr:uid="{00000000-0005-0000-0000-0000F4900000}"/>
    <cellStyle name="Normal 3 3 3 2 3 2" xfId="5170" xr:uid="{00000000-0005-0000-0000-0000F5900000}"/>
    <cellStyle name="Normal 3 3 3 2 3 2 2" xfId="9041" xr:uid="{00000000-0005-0000-0000-0000F6900000}"/>
    <cellStyle name="Normal 3 3 3 2 3 2 2 2" xfId="16786" xr:uid="{00000000-0005-0000-0000-0000F7900000}"/>
    <cellStyle name="Normal 3 3 3 2 3 2 2 2 2" xfId="32378" xr:uid="{00000000-0005-0000-0000-0000F8900000}"/>
    <cellStyle name="Normal 3 3 3 2 3 2 2 2 3" xfId="47870" xr:uid="{00000000-0005-0000-0000-0000F9900000}"/>
    <cellStyle name="Normal 3 3 3 2 3 2 2 3" xfId="24638" xr:uid="{00000000-0005-0000-0000-0000FA900000}"/>
    <cellStyle name="Normal 3 3 3 2 3 2 2 4" xfId="40130" xr:uid="{00000000-0005-0000-0000-0000FB900000}"/>
    <cellStyle name="Normal 3 3 3 2 3 2 3" xfId="12916" xr:uid="{00000000-0005-0000-0000-0000FC900000}"/>
    <cellStyle name="Normal 3 3 3 2 3 2 3 2" xfId="28508" xr:uid="{00000000-0005-0000-0000-0000FD900000}"/>
    <cellStyle name="Normal 3 3 3 2 3 2 3 3" xfId="44000" xr:uid="{00000000-0005-0000-0000-0000FE900000}"/>
    <cellStyle name="Normal 3 3 3 2 3 2 4" xfId="20768" xr:uid="{00000000-0005-0000-0000-0000FF900000}"/>
    <cellStyle name="Normal 3 3 3 2 3 2 5" xfId="36260" xr:uid="{00000000-0005-0000-0000-000000910000}"/>
    <cellStyle name="Normal 3 3 3 2 3 3" xfId="7114" xr:uid="{00000000-0005-0000-0000-000001910000}"/>
    <cellStyle name="Normal 3 3 3 2 3 3 2" xfId="14859" xr:uid="{00000000-0005-0000-0000-000002910000}"/>
    <cellStyle name="Normal 3 3 3 2 3 3 2 2" xfId="30451" xr:uid="{00000000-0005-0000-0000-000003910000}"/>
    <cellStyle name="Normal 3 3 3 2 3 3 2 3" xfId="45943" xr:uid="{00000000-0005-0000-0000-000004910000}"/>
    <cellStyle name="Normal 3 3 3 2 3 3 3" xfId="22711" xr:uid="{00000000-0005-0000-0000-000005910000}"/>
    <cellStyle name="Normal 3 3 3 2 3 3 4" xfId="38203" xr:uid="{00000000-0005-0000-0000-000006910000}"/>
    <cellStyle name="Normal 3 3 3 2 3 4" xfId="10989" xr:uid="{00000000-0005-0000-0000-000007910000}"/>
    <cellStyle name="Normal 3 3 3 2 3 4 2" xfId="26581" xr:uid="{00000000-0005-0000-0000-000008910000}"/>
    <cellStyle name="Normal 3 3 3 2 3 4 3" xfId="42073" xr:uid="{00000000-0005-0000-0000-000009910000}"/>
    <cellStyle name="Normal 3 3 3 2 3 5" xfId="18841" xr:uid="{00000000-0005-0000-0000-00000A910000}"/>
    <cellStyle name="Normal 3 3 3 2 3 6" xfId="34333" xr:uid="{00000000-0005-0000-0000-00000B910000}"/>
    <cellStyle name="Normal 3 3 3 2 4" xfId="4222" xr:uid="{00000000-0005-0000-0000-00000C910000}"/>
    <cellStyle name="Normal 3 3 3 2 4 2" xfId="8093" xr:uid="{00000000-0005-0000-0000-00000D910000}"/>
    <cellStyle name="Normal 3 3 3 2 4 2 2" xfId="15838" xr:uid="{00000000-0005-0000-0000-00000E910000}"/>
    <cellStyle name="Normal 3 3 3 2 4 2 2 2" xfId="31430" xr:uid="{00000000-0005-0000-0000-00000F910000}"/>
    <cellStyle name="Normal 3 3 3 2 4 2 2 3" xfId="46922" xr:uid="{00000000-0005-0000-0000-000010910000}"/>
    <cellStyle name="Normal 3 3 3 2 4 2 3" xfId="23690" xr:uid="{00000000-0005-0000-0000-000011910000}"/>
    <cellStyle name="Normal 3 3 3 2 4 2 4" xfId="39182" xr:uid="{00000000-0005-0000-0000-000012910000}"/>
    <cellStyle name="Normal 3 3 3 2 4 3" xfId="11968" xr:uid="{00000000-0005-0000-0000-000013910000}"/>
    <cellStyle name="Normal 3 3 3 2 4 3 2" xfId="27560" xr:uid="{00000000-0005-0000-0000-000014910000}"/>
    <cellStyle name="Normal 3 3 3 2 4 3 3" xfId="43052" xr:uid="{00000000-0005-0000-0000-000015910000}"/>
    <cellStyle name="Normal 3 3 3 2 4 4" xfId="19820" xr:uid="{00000000-0005-0000-0000-000016910000}"/>
    <cellStyle name="Normal 3 3 3 2 4 5" xfId="35312" xr:uid="{00000000-0005-0000-0000-000017910000}"/>
    <cellStyle name="Normal 3 3 3 2 5" xfId="6166" xr:uid="{00000000-0005-0000-0000-000018910000}"/>
    <cellStyle name="Normal 3 3 3 2 5 2" xfId="13911" xr:uid="{00000000-0005-0000-0000-000019910000}"/>
    <cellStyle name="Normal 3 3 3 2 5 2 2" xfId="29503" xr:uid="{00000000-0005-0000-0000-00001A910000}"/>
    <cellStyle name="Normal 3 3 3 2 5 2 3" xfId="44995" xr:uid="{00000000-0005-0000-0000-00001B910000}"/>
    <cellStyle name="Normal 3 3 3 2 5 3" xfId="21763" xr:uid="{00000000-0005-0000-0000-00001C910000}"/>
    <cellStyle name="Normal 3 3 3 2 5 4" xfId="37255" xr:uid="{00000000-0005-0000-0000-00001D910000}"/>
    <cellStyle name="Normal 3 3 3 2 6" xfId="10041" xr:uid="{00000000-0005-0000-0000-00001E910000}"/>
    <cellStyle name="Normal 3 3 3 2 6 2" xfId="25633" xr:uid="{00000000-0005-0000-0000-00001F910000}"/>
    <cellStyle name="Normal 3 3 3 2 6 3" xfId="41125" xr:uid="{00000000-0005-0000-0000-000020910000}"/>
    <cellStyle name="Normal 3 3 3 2 7" xfId="17893" xr:uid="{00000000-0005-0000-0000-000021910000}"/>
    <cellStyle name="Normal 3 3 3 2 8" xfId="33385" xr:uid="{00000000-0005-0000-0000-000022910000}"/>
    <cellStyle name="Normal 3 3 3 20" xfId="3196" xr:uid="{00000000-0005-0000-0000-000023910000}"/>
    <cellStyle name="Normal 3 3 3 20 2" xfId="5135" xr:uid="{00000000-0005-0000-0000-000024910000}"/>
    <cellStyle name="Normal 3 3 3 20 2 2" xfId="9006" xr:uid="{00000000-0005-0000-0000-000025910000}"/>
    <cellStyle name="Normal 3 3 3 20 2 2 2" xfId="16751" xr:uid="{00000000-0005-0000-0000-000026910000}"/>
    <cellStyle name="Normal 3 3 3 20 2 2 2 2" xfId="32343" xr:uid="{00000000-0005-0000-0000-000027910000}"/>
    <cellStyle name="Normal 3 3 3 20 2 2 2 3" xfId="47835" xr:uid="{00000000-0005-0000-0000-000028910000}"/>
    <cellStyle name="Normal 3 3 3 20 2 2 3" xfId="24603" xr:uid="{00000000-0005-0000-0000-000029910000}"/>
    <cellStyle name="Normal 3 3 3 20 2 2 4" xfId="40095" xr:uid="{00000000-0005-0000-0000-00002A910000}"/>
    <cellStyle name="Normal 3 3 3 20 2 3" xfId="12881" xr:uid="{00000000-0005-0000-0000-00002B910000}"/>
    <cellStyle name="Normal 3 3 3 20 2 3 2" xfId="28473" xr:uid="{00000000-0005-0000-0000-00002C910000}"/>
    <cellStyle name="Normal 3 3 3 20 2 3 3" xfId="43965" xr:uid="{00000000-0005-0000-0000-00002D910000}"/>
    <cellStyle name="Normal 3 3 3 20 2 4" xfId="20733" xr:uid="{00000000-0005-0000-0000-00002E910000}"/>
    <cellStyle name="Normal 3 3 3 20 2 5" xfId="36225" xr:uid="{00000000-0005-0000-0000-00002F910000}"/>
    <cellStyle name="Normal 3 3 3 20 3" xfId="7079" xr:uid="{00000000-0005-0000-0000-000030910000}"/>
    <cellStyle name="Normal 3 3 3 20 3 2" xfId="14824" xr:uid="{00000000-0005-0000-0000-000031910000}"/>
    <cellStyle name="Normal 3 3 3 20 3 2 2" xfId="30416" xr:uid="{00000000-0005-0000-0000-000032910000}"/>
    <cellStyle name="Normal 3 3 3 20 3 2 3" xfId="45908" xr:uid="{00000000-0005-0000-0000-000033910000}"/>
    <cellStyle name="Normal 3 3 3 20 3 3" xfId="22676" xr:uid="{00000000-0005-0000-0000-000034910000}"/>
    <cellStyle name="Normal 3 3 3 20 3 4" xfId="38168" xr:uid="{00000000-0005-0000-0000-000035910000}"/>
    <cellStyle name="Normal 3 3 3 20 4" xfId="10954" xr:uid="{00000000-0005-0000-0000-000036910000}"/>
    <cellStyle name="Normal 3 3 3 20 4 2" xfId="26546" xr:uid="{00000000-0005-0000-0000-000037910000}"/>
    <cellStyle name="Normal 3 3 3 20 4 3" xfId="42038" xr:uid="{00000000-0005-0000-0000-000038910000}"/>
    <cellStyle name="Normal 3 3 3 20 5" xfId="18806" xr:uid="{00000000-0005-0000-0000-000039910000}"/>
    <cellStyle name="Normal 3 3 3 20 6" xfId="34298" xr:uid="{00000000-0005-0000-0000-00003A910000}"/>
    <cellStyle name="Normal 3 3 3 21" xfId="4142" xr:uid="{00000000-0005-0000-0000-00003B910000}"/>
    <cellStyle name="Normal 3 3 3 21 2" xfId="6080" xr:uid="{00000000-0005-0000-0000-00003C910000}"/>
    <cellStyle name="Normal 3 3 3 21 2 2" xfId="9951" xr:uid="{00000000-0005-0000-0000-00003D910000}"/>
    <cellStyle name="Normal 3 3 3 21 2 2 2" xfId="17696" xr:uid="{00000000-0005-0000-0000-00003E910000}"/>
    <cellStyle name="Normal 3 3 3 21 2 2 2 2" xfId="33288" xr:uid="{00000000-0005-0000-0000-00003F910000}"/>
    <cellStyle name="Normal 3 3 3 21 2 2 2 3" xfId="48780" xr:uid="{00000000-0005-0000-0000-000040910000}"/>
    <cellStyle name="Normal 3 3 3 21 2 2 3" xfId="25548" xr:uid="{00000000-0005-0000-0000-000041910000}"/>
    <cellStyle name="Normal 3 3 3 21 2 2 4" xfId="41040" xr:uid="{00000000-0005-0000-0000-000042910000}"/>
    <cellStyle name="Normal 3 3 3 21 2 3" xfId="13826" xr:uid="{00000000-0005-0000-0000-000043910000}"/>
    <cellStyle name="Normal 3 3 3 21 2 3 2" xfId="29418" xr:uid="{00000000-0005-0000-0000-000044910000}"/>
    <cellStyle name="Normal 3 3 3 21 2 3 3" xfId="44910" xr:uid="{00000000-0005-0000-0000-000045910000}"/>
    <cellStyle name="Normal 3 3 3 21 2 4" xfId="21678" xr:uid="{00000000-0005-0000-0000-000046910000}"/>
    <cellStyle name="Normal 3 3 3 21 2 5" xfId="37170" xr:uid="{00000000-0005-0000-0000-000047910000}"/>
    <cellStyle name="Normal 3 3 3 21 3" xfId="8024" xr:uid="{00000000-0005-0000-0000-000048910000}"/>
    <cellStyle name="Normal 3 3 3 21 3 2" xfId="15769" xr:uid="{00000000-0005-0000-0000-000049910000}"/>
    <cellStyle name="Normal 3 3 3 21 3 2 2" xfId="31361" xr:uid="{00000000-0005-0000-0000-00004A910000}"/>
    <cellStyle name="Normal 3 3 3 21 3 2 3" xfId="46853" xr:uid="{00000000-0005-0000-0000-00004B910000}"/>
    <cellStyle name="Normal 3 3 3 21 3 3" xfId="23621" xr:uid="{00000000-0005-0000-0000-00004C910000}"/>
    <cellStyle name="Normal 3 3 3 21 3 4" xfId="39113" xr:uid="{00000000-0005-0000-0000-00004D910000}"/>
    <cellStyle name="Normal 3 3 3 21 4" xfId="11899" xr:uid="{00000000-0005-0000-0000-00004E910000}"/>
    <cellStyle name="Normal 3 3 3 21 4 2" xfId="27491" xr:uid="{00000000-0005-0000-0000-00004F910000}"/>
    <cellStyle name="Normal 3 3 3 21 4 3" xfId="42983" xr:uid="{00000000-0005-0000-0000-000050910000}"/>
    <cellStyle name="Normal 3 3 3 21 5" xfId="19751" xr:uid="{00000000-0005-0000-0000-000051910000}"/>
    <cellStyle name="Normal 3 3 3 21 6" xfId="35243" xr:uid="{00000000-0005-0000-0000-000052910000}"/>
    <cellStyle name="Normal 3 3 3 22" xfId="4166" xr:uid="{00000000-0005-0000-0000-000053910000}"/>
    <cellStyle name="Normal 3 3 3 22 2" xfId="6095" xr:uid="{00000000-0005-0000-0000-000054910000}"/>
    <cellStyle name="Normal 3 3 3 22 2 2" xfId="9966" xr:uid="{00000000-0005-0000-0000-000055910000}"/>
    <cellStyle name="Normal 3 3 3 22 2 2 2" xfId="17711" xr:uid="{00000000-0005-0000-0000-000056910000}"/>
    <cellStyle name="Normal 3 3 3 22 2 2 2 2" xfId="33303" xr:uid="{00000000-0005-0000-0000-000057910000}"/>
    <cellStyle name="Normal 3 3 3 22 2 2 2 3" xfId="48795" xr:uid="{00000000-0005-0000-0000-000058910000}"/>
    <cellStyle name="Normal 3 3 3 22 2 2 3" xfId="25563" xr:uid="{00000000-0005-0000-0000-000059910000}"/>
    <cellStyle name="Normal 3 3 3 22 2 2 4" xfId="41055" xr:uid="{00000000-0005-0000-0000-00005A910000}"/>
    <cellStyle name="Normal 3 3 3 22 2 3" xfId="13841" xr:uid="{00000000-0005-0000-0000-00005B910000}"/>
    <cellStyle name="Normal 3 3 3 22 2 3 2" xfId="29433" xr:uid="{00000000-0005-0000-0000-00005C910000}"/>
    <cellStyle name="Normal 3 3 3 22 2 3 3" xfId="44925" xr:uid="{00000000-0005-0000-0000-00005D910000}"/>
    <cellStyle name="Normal 3 3 3 22 2 4" xfId="21693" xr:uid="{00000000-0005-0000-0000-00005E910000}"/>
    <cellStyle name="Normal 3 3 3 22 2 5" xfId="37185" xr:uid="{00000000-0005-0000-0000-00005F910000}"/>
    <cellStyle name="Normal 3 3 3 22 3" xfId="8039" xr:uid="{00000000-0005-0000-0000-000060910000}"/>
    <cellStyle name="Normal 3 3 3 22 3 2" xfId="15784" xr:uid="{00000000-0005-0000-0000-000061910000}"/>
    <cellStyle name="Normal 3 3 3 22 3 2 2" xfId="31376" xr:uid="{00000000-0005-0000-0000-000062910000}"/>
    <cellStyle name="Normal 3 3 3 22 3 2 3" xfId="46868" xr:uid="{00000000-0005-0000-0000-000063910000}"/>
    <cellStyle name="Normal 3 3 3 22 3 3" xfId="23636" xr:uid="{00000000-0005-0000-0000-000064910000}"/>
    <cellStyle name="Normal 3 3 3 22 3 4" xfId="39128" xr:uid="{00000000-0005-0000-0000-000065910000}"/>
    <cellStyle name="Normal 3 3 3 22 4" xfId="11914" xr:uid="{00000000-0005-0000-0000-000066910000}"/>
    <cellStyle name="Normal 3 3 3 22 4 2" xfId="27506" xr:uid="{00000000-0005-0000-0000-000067910000}"/>
    <cellStyle name="Normal 3 3 3 22 4 3" xfId="42998" xr:uid="{00000000-0005-0000-0000-000068910000}"/>
    <cellStyle name="Normal 3 3 3 22 5" xfId="19766" xr:uid="{00000000-0005-0000-0000-000069910000}"/>
    <cellStyle name="Normal 3 3 3 22 6" xfId="35258" xr:uid="{00000000-0005-0000-0000-00006A910000}"/>
    <cellStyle name="Normal 3 3 3 23" xfId="4187" xr:uid="{00000000-0005-0000-0000-00006B910000}"/>
    <cellStyle name="Normal 3 3 3 23 2" xfId="8058" xr:uid="{00000000-0005-0000-0000-00006C910000}"/>
    <cellStyle name="Normal 3 3 3 23 2 2" xfId="15803" xr:uid="{00000000-0005-0000-0000-00006D910000}"/>
    <cellStyle name="Normal 3 3 3 23 2 2 2" xfId="31395" xr:uid="{00000000-0005-0000-0000-00006E910000}"/>
    <cellStyle name="Normal 3 3 3 23 2 2 3" xfId="46887" xr:uid="{00000000-0005-0000-0000-00006F910000}"/>
    <cellStyle name="Normal 3 3 3 23 2 3" xfId="23655" xr:uid="{00000000-0005-0000-0000-000070910000}"/>
    <cellStyle name="Normal 3 3 3 23 2 4" xfId="39147" xr:uid="{00000000-0005-0000-0000-000071910000}"/>
    <cellStyle name="Normal 3 3 3 23 3" xfId="11933" xr:uid="{00000000-0005-0000-0000-000072910000}"/>
    <cellStyle name="Normal 3 3 3 23 3 2" xfId="27525" xr:uid="{00000000-0005-0000-0000-000073910000}"/>
    <cellStyle name="Normal 3 3 3 23 3 3" xfId="43017" xr:uid="{00000000-0005-0000-0000-000074910000}"/>
    <cellStyle name="Normal 3 3 3 23 4" xfId="19785" xr:uid="{00000000-0005-0000-0000-000075910000}"/>
    <cellStyle name="Normal 3 3 3 23 5" xfId="35277" xr:uid="{00000000-0005-0000-0000-000076910000}"/>
    <cellStyle name="Normal 3 3 3 24" xfId="6112" xr:uid="{00000000-0005-0000-0000-000077910000}"/>
    <cellStyle name="Normal 3 3 3 24 2" xfId="9982" xr:uid="{00000000-0005-0000-0000-000078910000}"/>
    <cellStyle name="Normal 3 3 3 24 2 2" xfId="17727" xr:uid="{00000000-0005-0000-0000-000079910000}"/>
    <cellStyle name="Normal 3 3 3 24 2 2 2" xfId="33319" xr:uid="{00000000-0005-0000-0000-00007A910000}"/>
    <cellStyle name="Normal 3 3 3 24 2 2 3" xfId="48811" xr:uid="{00000000-0005-0000-0000-00007B910000}"/>
    <cellStyle name="Normal 3 3 3 24 2 3" xfId="25579" xr:uid="{00000000-0005-0000-0000-00007C910000}"/>
    <cellStyle name="Normal 3 3 3 24 2 4" xfId="41071" xr:uid="{00000000-0005-0000-0000-00007D910000}"/>
    <cellStyle name="Normal 3 3 3 24 3" xfId="13857" xr:uid="{00000000-0005-0000-0000-00007E910000}"/>
    <cellStyle name="Normal 3 3 3 24 3 2" xfId="29449" xr:uid="{00000000-0005-0000-0000-00007F910000}"/>
    <cellStyle name="Normal 3 3 3 24 3 3" xfId="44941" xr:uid="{00000000-0005-0000-0000-000080910000}"/>
    <cellStyle name="Normal 3 3 3 24 4" xfId="21709" xr:uid="{00000000-0005-0000-0000-000081910000}"/>
    <cellStyle name="Normal 3 3 3 24 5" xfId="37201" xr:uid="{00000000-0005-0000-0000-000082910000}"/>
    <cellStyle name="Normal 3 3 3 25" xfId="6131" xr:uid="{00000000-0005-0000-0000-000083910000}"/>
    <cellStyle name="Normal 3 3 3 25 2" xfId="13876" xr:uid="{00000000-0005-0000-0000-000084910000}"/>
    <cellStyle name="Normal 3 3 3 25 2 2" xfId="29468" xr:uid="{00000000-0005-0000-0000-000085910000}"/>
    <cellStyle name="Normal 3 3 3 25 2 3" xfId="44960" xr:uid="{00000000-0005-0000-0000-000086910000}"/>
    <cellStyle name="Normal 3 3 3 25 3" xfId="21728" xr:uid="{00000000-0005-0000-0000-000087910000}"/>
    <cellStyle name="Normal 3 3 3 25 4" xfId="37220" xr:uid="{00000000-0005-0000-0000-000088910000}"/>
    <cellStyle name="Normal 3 3 3 26" xfId="10006" xr:uid="{00000000-0005-0000-0000-000089910000}"/>
    <cellStyle name="Normal 3 3 3 26 2" xfId="25598" xr:uid="{00000000-0005-0000-0000-00008A910000}"/>
    <cellStyle name="Normal 3 3 3 26 3" xfId="41090" xr:uid="{00000000-0005-0000-0000-00008B910000}"/>
    <cellStyle name="Normal 3 3 3 27" xfId="17858" xr:uid="{00000000-0005-0000-0000-00008C910000}"/>
    <cellStyle name="Normal 3 3 3 28" xfId="33350" xr:uid="{00000000-0005-0000-0000-00008D910000}"/>
    <cellStyle name="Normal 3 3 3 29" xfId="48857" xr:uid="{00000000-0005-0000-0000-00008E910000}"/>
    <cellStyle name="Normal 3 3 3 3" xfId="2253" xr:uid="{00000000-0005-0000-0000-00008F910000}"/>
    <cellStyle name="Normal 3 3 3 3 2" xfId="2570" xr:uid="{00000000-0005-0000-0000-000090910000}"/>
    <cellStyle name="Normal 3 3 3 3 2 2" xfId="3578" xr:uid="{00000000-0005-0000-0000-000091910000}"/>
    <cellStyle name="Normal 3 3 3 3 2 2 2" xfId="5517" xr:uid="{00000000-0005-0000-0000-000092910000}"/>
    <cellStyle name="Normal 3 3 3 3 2 2 2 2" xfId="9388" xr:uid="{00000000-0005-0000-0000-000093910000}"/>
    <cellStyle name="Normal 3 3 3 3 2 2 2 2 2" xfId="17133" xr:uid="{00000000-0005-0000-0000-000094910000}"/>
    <cellStyle name="Normal 3 3 3 3 2 2 2 2 2 2" xfId="32725" xr:uid="{00000000-0005-0000-0000-000095910000}"/>
    <cellStyle name="Normal 3 3 3 3 2 2 2 2 2 3" xfId="48217" xr:uid="{00000000-0005-0000-0000-000096910000}"/>
    <cellStyle name="Normal 3 3 3 3 2 2 2 2 3" xfId="24985" xr:uid="{00000000-0005-0000-0000-000097910000}"/>
    <cellStyle name="Normal 3 3 3 3 2 2 2 2 4" xfId="40477" xr:uid="{00000000-0005-0000-0000-000098910000}"/>
    <cellStyle name="Normal 3 3 3 3 2 2 2 3" xfId="13263" xr:uid="{00000000-0005-0000-0000-000099910000}"/>
    <cellStyle name="Normal 3 3 3 3 2 2 2 3 2" xfId="28855" xr:uid="{00000000-0005-0000-0000-00009A910000}"/>
    <cellStyle name="Normal 3 3 3 3 2 2 2 3 3" xfId="44347" xr:uid="{00000000-0005-0000-0000-00009B910000}"/>
    <cellStyle name="Normal 3 3 3 3 2 2 2 4" xfId="21115" xr:uid="{00000000-0005-0000-0000-00009C910000}"/>
    <cellStyle name="Normal 3 3 3 3 2 2 2 5" xfId="36607" xr:uid="{00000000-0005-0000-0000-00009D910000}"/>
    <cellStyle name="Normal 3 3 3 3 2 2 3" xfId="7461" xr:uid="{00000000-0005-0000-0000-00009E910000}"/>
    <cellStyle name="Normal 3 3 3 3 2 2 3 2" xfId="15206" xr:uid="{00000000-0005-0000-0000-00009F910000}"/>
    <cellStyle name="Normal 3 3 3 3 2 2 3 2 2" xfId="30798" xr:uid="{00000000-0005-0000-0000-0000A0910000}"/>
    <cellStyle name="Normal 3 3 3 3 2 2 3 2 3" xfId="46290" xr:uid="{00000000-0005-0000-0000-0000A1910000}"/>
    <cellStyle name="Normal 3 3 3 3 2 2 3 3" xfId="23058" xr:uid="{00000000-0005-0000-0000-0000A2910000}"/>
    <cellStyle name="Normal 3 3 3 3 2 2 3 4" xfId="38550" xr:uid="{00000000-0005-0000-0000-0000A3910000}"/>
    <cellStyle name="Normal 3 3 3 3 2 2 4" xfId="11336" xr:uid="{00000000-0005-0000-0000-0000A4910000}"/>
    <cellStyle name="Normal 3 3 3 3 2 2 4 2" xfId="26928" xr:uid="{00000000-0005-0000-0000-0000A5910000}"/>
    <cellStyle name="Normal 3 3 3 3 2 2 4 3" xfId="42420" xr:uid="{00000000-0005-0000-0000-0000A6910000}"/>
    <cellStyle name="Normal 3 3 3 3 2 2 5" xfId="19188" xr:uid="{00000000-0005-0000-0000-0000A7910000}"/>
    <cellStyle name="Normal 3 3 3 3 2 2 6" xfId="34680" xr:uid="{00000000-0005-0000-0000-0000A8910000}"/>
    <cellStyle name="Normal 3 3 3 3 2 3" xfId="4569" xr:uid="{00000000-0005-0000-0000-0000A9910000}"/>
    <cellStyle name="Normal 3 3 3 3 2 3 2" xfId="8440" xr:uid="{00000000-0005-0000-0000-0000AA910000}"/>
    <cellStyle name="Normal 3 3 3 3 2 3 2 2" xfId="16185" xr:uid="{00000000-0005-0000-0000-0000AB910000}"/>
    <cellStyle name="Normal 3 3 3 3 2 3 2 2 2" xfId="31777" xr:uid="{00000000-0005-0000-0000-0000AC910000}"/>
    <cellStyle name="Normal 3 3 3 3 2 3 2 2 3" xfId="47269" xr:uid="{00000000-0005-0000-0000-0000AD910000}"/>
    <cellStyle name="Normal 3 3 3 3 2 3 2 3" xfId="24037" xr:uid="{00000000-0005-0000-0000-0000AE910000}"/>
    <cellStyle name="Normal 3 3 3 3 2 3 2 4" xfId="39529" xr:uid="{00000000-0005-0000-0000-0000AF910000}"/>
    <cellStyle name="Normal 3 3 3 3 2 3 3" xfId="12315" xr:uid="{00000000-0005-0000-0000-0000B0910000}"/>
    <cellStyle name="Normal 3 3 3 3 2 3 3 2" xfId="27907" xr:uid="{00000000-0005-0000-0000-0000B1910000}"/>
    <cellStyle name="Normal 3 3 3 3 2 3 3 3" xfId="43399" xr:uid="{00000000-0005-0000-0000-0000B2910000}"/>
    <cellStyle name="Normal 3 3 3 3 2 3 4" xfId="20167" xr:uid="{00000000-0005-0000-0000-0000B3910000}"/>
    <cellStyle name="Normal 3 3 3 3 2 3 5" xfId="35659" xr:uid="{00000000-0005-0000-0000-0000B4910000}"/>
    <cellStyle name="Normal 3 3 3 3 2 4" xfId="6513" xr:uid="{00000000-0005-0000-0000-0000B5910000}"/>
    <cellStyle name="Normal 3 3 3 3 2 4 2" xfId="14258" xr:uid="{00000000-0005-0000-0000-0000B6910000}"/>
    <cellStyle name="Normal 3 3 3 3 2 4 2 2" xfId="29850" xr:uid="{00000000-0005-0000-0000-0000B7910000}"/>
    <cellStyle name="Normal 3 3 3 3 2 4 2 3" xfId="45342" xr:uid="{00000000-0005-0000-0000-0000B8910000}"/>
    <cellStyle name="Normal 3 3 3 3 2 4 3" xfId="22110" xr:uid="{00000000-0005-0000-0000-0000B9910000}"/>
    <cellStyle name="Normal 3 3 3 3 2 4 4" xfId="37602" xr:uid="{00000000-0005-0000-0000-0000BA910000}"/>
    <cellStyle name="Normal 3 3 3 3 2 5" xfId="10388" xr:uid="{00000000-0005-0000-0000-0000BB910000}"/>
    <cellStyle name="Normal 3 3 3 3 2 5 2" xfId="25980" xr:uid="{00000000-0005-0000-0000-0000BC910000}"/>
    <cellStyle name="Normal 3 3 3 3 2 5 3" xfId="41472" xr:uid="{00000000-0005-0000-0000-0000BD910000}"/>
    <cellStyle name="Normal 3 3 3 3 2 6" xfId="18240" xr:uid="{00000000-0005-0000-0000-0000BE910000}"/>
    <cellStyle name="Normal 3 3 3 3 2 7" xfId="33732" xr:uid="{00000000-0005-0000-0000-0000BF910000}"/>
    <cellStyle name="Normal 3 3 3 3 3" xfId="3269" xr:uid="{00000000-0005-0000-0000-0000C0910000}"/>
    <cellStyle name="Normal 3 3 3 3 3 2" xfId="5208" xr:uid="{00000000-0005-0000-0000-0000C1910000}"/>
    <cellStyle name="Normal 3 3 3 3 3 2 2" xfId="9079" xr:uid="{00000000-0005-0000-0000-0000C2910000}"/>
    <cellStyle name="Normal 3 3 3 3 3 2 2 2" xfId="16824" xr:uid="{00000000-0005-0000-0000-0000C3910000}"/>
    <cellStyle name="Normal 3 3 3 3 3 2 2 2 2" xfId="32416" xr:uid="{00000000-0005-0000-0000-0000C4910000}"/>
    <cellStyle name="Normal 3 3 3 3 3 2 2 2 3" xfId="47908" xr:uid="{00000000-0005-0000-0000-0000C5910000}"/>
    <cellStyle name="Normal 3 3 3 3 3 2 2 3" xfId="24676" xr:uid="{00000000-0005-0000-0000-0000C6910000}"/>
    <cellStyle name="Normal 3 3 3 3 3 2 2 4" xfId="40168" xr:uid="{00000000-0005-0000-0000-0000C7910000}"/>
    <cellStyle name="Normal 3 3 3 3 3 2 3" xfId="12954" xr:uid="{00000000-0005-0000-0000-0000C8910000}"/>
    <cellStyle name="Normal 3 3 3 3 3 2 3 2" xfId="28546" xr:uid="{00000000-0005-0000-0000-0000C9910000}"/>
    <cellStyle name="Normal 3 3 3 3 3 2 3 3" xfId="44038" xr:uid="{00000000-0005-0000-0000-0000CA910000}"/>
    <cellStyle name="Normal 3 3 3 3 3 2 4" xfId="20806" xr:uid="{00000000-0005-0000-0000-0000CB910000}"/>
    <cellStyle name="Normal 3 3 3 3 3 2 5" xfId="36298" xr:uid="{00000000-0005-0000-0000-0000CC910000}"/>
    <cellStyle name="Normal 3 3 3 3 3 3" xfId="7152" xr:uid="{00000000-0005-0000-0000-0000CD910000}"/>
    <cellStyle name="Normal 3 3 3 3 3 3 2" xfId="14897" xr:uid="{00000000-0005-0000-0000-0000CE910000}"/>
    <cellStyle name="Normal 3 3 3 3 3 3 2 2" xfId="30489" xr:uid="{00000000-0005-0000-0000-0000CF910000}"/>
    <cellStyle name="Normal 3 3 3 3 3 3 2 3" xfId="45981" xr:uid="{00000000-0005-0000-0000-0000D0910000}"/>
    <cellStyle name="Normal 3 3 3 3 3 3 3" xfId="22749" xr:uid="{00000000-0005-0000-0000-0000D1910000}"/>
    <cellStyle name="Normal 3 3 3 3 3 3 4" xfId="38241" xr:uid="{00000000-0005-0000-0000-0000D2910000}"/>
    <cellStyle name="Normal 3 3 3 3 3 4" xfId="11027" xr:uid="{00000000-0005-0000-0000-0000D3910000}"/>
    <cellStyle name="Normal 3 3 3 3 3 4 2" xfId="26619" xr:uid="{00000000-0005-0000-0000-0000D4910000}"/>
    <cellStyle name="Normal 3 3 3 3 3 4 3" xfId="42111" xr:uid="{00000000-0005-0000-0000-0000D5910000}"/>
    <cellStyle name="Normal 3 3 3 3 3 5" xfId="18879" xr:uid="{00000000-0005-0000-0000-0000D6910000}"/>
    <cellStyle name="Normal 3 3 3 3 3 6" xfId="34371" xr:uid="{00000000-0005-0000-0000-0000D7910000}"/>
    <cellStyle name="Normal 3 3 3 3 4" xfId="4260" xr:uid="{00000000-0005-0000-0000-0000D8910000}"/>
    <cellStyle name="Normal 3 3 3 3 4 2" xfId="8131" xr:uid="{00000000-0005-0000-0000-0000D9910000}"/>
    <cellStyle name="Normal 3 3 3 3 4 2 2" xfId="15876" xr:uid="{00000000-0005-0000-0000-0000DA910000}"/>
    <cellStyle name="Normal 3 3 3 3 4 2 2 2" xfId="31468" xr:uid="{00000000-0005-0000-0000-0000DB910000}"/>
    <cellStyle name="Normal 3 3 3 3 4 2 2 3" xfId="46960" xr:uid="{00000000-0005-0000-0000-0000DC910000}"/>
    <cellStyle name="Normal 3 3 3 3 4 2 3" xfId="23728" xr:uid="{00000000-0005-0000-0000-0000DD910000}"/>
    <cellStyle name="Normal 3 3 3 3 4 2 4" xfId="39220" xr:uid="{00000000-0005-0000-0000-0000DE910000}"/>
    <cellStyle name="Normal 3 3 3 3 4 3" xfId="12006" xr:uid="{00000000-0005-0000-0000-0000DF910000}"/>
    <cellStyle name="Normal 3 3 3 3 4 3 2" xfId="27598" xr:uid="{00000000-0005-0000-0000-0000E0910000}"/>
    <cellStyle name="Normal 3 3 3 3 4 3 3" xfId="43090" xr:uid="{00000000-0005-0000-0000-0000E1910000}"/>
    <cellStyle name="Normal 3 3 3 3 4 4" xfId="19858" xr:uid="{00000000-0005-0000-0000-0000E2910000}"/>
    <cellStyle name="Normal 3 3 3 3 4 5" xfId="35350" xr:uid="{00000000-0005-0000-0000-0000E3910000}"/>
    <cellStyle name="Normal 3 3 3 3 5" xfId="6204" xr:uid="{00000000-0005-0000-0000-0000E4910000}"/>
    <cellStyle name="Normal 3 3 3 3 5 2" xfId="13949" xr:uid="{00000000-0005-0000-0000-0000E5910000}"/>
    <cellStyle name="Normal 3 3 3 3 5 2 2" xfId="29541" xr:uid="{00000000-0005-0000-0000-0000E6910000}"/>
    <cellStyle name="Normal 3 3 3 3 5 2 3" xfId="45033" xr:uid="{00000000-0005-0000-0000-0000E7910000}"/>
    <cellStyle name="Normal 3 3 3 3 5 3" xfId="21801" xr:uid="{00000000-0005-0000-0000-0000E8910000}"/>
    <cellStyle name="Normal 3 3 3 3 5 4" xfId="37293" xr:uid="{00000000-0005-0000-0000-0000E9910000}"/>
    <cellStyle name="Normal 3 3 3 3 6" xfId="10079" xr:uid="{00000000-0005-0000-0000-0000EA910000}"/>
    <cellStyle name="Normal 3 3 3 3 6 2" xfId="25671" xr:uid="{00000000-0005-0000-0000-0000EB910000}"/>
    <cellStyle name="Normal 3 3 3 3 6 3" xfId="41163" xr:uid="{00000000-0005-0000-0000-0000EC910000}"/>
    <cellStyle name="Normal 3 3 3 3 7" xfId="17931" xr:uid="{00000000-0005-0000-0000-0000ED910000}"/>
    <cellStyle name="Normal 3 3 3 3 8" xfId="33423" xr:uid="{00000000-0005-0000-0000-0000EE910000}"/>
    <cellStyle name="Normal 3 3 3 4" xfId="2290" xr:uid="{00000000-0005-0000-0000-0000EF910000}"/>
    <cellStyle name="Normal 3 3 3 4 2" xfId="2606" xr:uid="{00000000-0005-0000-0000-0000F0910000}"/>
    <cellStyle name="Normal 3 3 3 4 2 2" xfId="3614" xr:uid="{00000000-0005-0000-0000-0000F1910000}"/>
    <cellStyle name="Normal 3 3 3 4 2 2 2" xfId="5553" xr:uid="{00000000-0005-0000-0000-0000F2910000}"/>
    <cellStyle name="Normal 3 3 3 4 2 2 2 2" xfId="9424" xr:uid="{00000000-0005-0000-0000-0000F3910000}"/>
    <cellStyle name="Normal 3 3 3 4 2 2 2 2 2" xfId="17169" xr:uid="{00000000-0005-0000-0000-0000F4910000}"/>
    <cellStyle name="Normal 3 3 3 4 2 2 2 2 2 2" xfId="32761" xr:uid="{00000000-0005-0000-0000-0000F5910000}"/>
    <cellStyle name="Normal 3 3 3 4 2 2 2 2 2 3" xfId="48253" xr:uid="{00000000-0005-0000-0000-0000F6910000}"/>
    <cellStyle name="Normal 3 3 3 4 2 2 2 2 3" xfId="25021" xr:uid="{00000000-0005-0000-0000-0000F7910000}"/>
    <cellStyle name="Normal 3 3 3 4 2 2 2 2 4" xfId="40513" xr:uid="{00000000-0005-0000-0000-0000F8910000}"/>
    <cellStyle name="Normal 3 3 3 4 2 2 2 3" xfId="13299" xr:uid="{00000000-0005-0000-0000-0000F9910000}"/>
    <cellStyle name="Normal 3 3 3 4 2 2 2 3 2" xfId="28891" xr:uid="{00000000-0005-0000-0000-0000FA910000}"/>
    <cellStyle name="Normal 3 3 3 4 2 2 2 3 3" xfId="44383" xr:uid="{00000000-0005-0000-0000-0000FB910000}"/>
    <cellStyle name="Normal 3 3 3 4 2 2 2 4" xfId="21151" xr:uid="{00000000-0005-0000-0000-0000FC910000}"/>
    <cellStyle name="Normal 3 3 3 4 2 2 2 5" xfId="36643" xr:uid="{00000000-0005-0000-0000-0000FD910000}"/>
    <cellStyle name="Normal 3 3 3 4 2 2 3" xfId="7497" xr:uid="{00000000-0005-0000-0000-0000FE910000}"/>
    <cellStyle name="Normal 3 3 3 4 2 2 3 2" xfId="15242" xr:uid="{00000000-0005-0000-0000-0000FF910000}"/>
    <cellStyle name="Normal 3 3 3 4 2 2 3 2 2" xfId="30834" xr:uid="{00000000-0005-0000-0000-000000920000}"/>
    <cellStyle name="Normal 3 3 3 4 2 2 3 2 3" xfId="46326" xr:uid="{00000000-0005-0000-0000-000001920000}"/>
    <cellStyle name="Normal 3 3 3 4 2 2 3 3" xfId="23094" xr:uid="{00000000-0005-0000-0000-000002920000}"/>
    <cellStyle name="Normal 3 3 3 4 2 2 3 4" xfId="38586" xr:uid="{00000000-0005-0000-0000-000003920000}"/>
    <cellStyle name="Normal 3 3 3 4 2 2 4" xfId="11372" xr:uid="{00000000-0005-0000-0000-000004920000}"/>
    <cellStyle name="Normal 3 3 3 4 2 2 4 2" xfId="26964" xr:uid="{00000000-0005-0000-0000-000005920000}"/>
    <cellStyle name="Normal 3 3 3 4 2 2 4 3" xfId="42456" xr:uid="{00000000-0005-0000-0000-000006920000}"/>
    <cellStyle name="Normal 3 3 3 4 2 2 5" xfId="19224" xr:uid="{00000000-0005-0000-0000-000007920000}"/>
    <cellStyle name="Normal 3 3 3 4 2 2 6" xfId="34716" xr:uid="{00000000-0005-0000-0000-000008920000}"/>
    <cellStyle name="Normal 3 3 3 4 2 3" xfId="4605" xr:uid="{00000000-0005-0000-0000-000009920000}"/>
    <cellStyle name="Normal 3 3 3 4 2 3 2" xfId="8476" xr:uid="{00000000-0005-0000-0000-00000A920000}"/>
    <cellStyle name="Normal 3 3 3 4 2 3 2 2" xfId="16221" xr:uid="{00000000-0005-0000-0000-00000B920000}"/>
    <cellStyle name="Normal 3 3 3 4 2 3 2 2 2" xfId="31813" xr:uid="{00000000-0005-0000-0000-00000C920000}"/>
    <cellStyle name="Normal 3 3 3 4 2 3 2 2 3" xfId="47305" xr:uid="{00000000-0005-0000-0000-00000D920000}"/>
    <cellStyle name="Normal 3 3 3 4 2 3 2 3" xfId="24073" xr:uid="{00000000-0005-0000-0000-00000E920000}"/>
    <cellStyle name="Normal 3 3 3 4 2 3 2 4" xfId="39565" xr:uid="{00000000-0005-0000-0000-00000F920000}"/>
    <cellStyle name="Normal 3 3 3 4 2 3 3" xfId="12351" xr:uid="{00000000-0005-0000-0000-000010920000}"/>
    <cellStyle name="Normal 3 3 3 4 2 3 3 2" xfId="27943" xr:uid="{00000000-0005-0000-0000-000011920000}"/>
    <cellStyle name="Normal 3 3 3 4 2 3 3 3" xfId="43435" xr:uid="{00000000-0005-0000-0000-000012920000}"/>
    <cellStyle name="Normal 3 3 3 4 2 3 4" xfId="20203" xr:uid="{00000000-0005-0000-0000-000013920000}"/>
    <cellStyle name="Normal 3 3 3 4 2 3 5" xfId="35695" xr:uid="{00000000-0005-0000-0000-000014920000}"/>
    <cellStyle name="Normal 3 3 3 4 2 4" xfId="6549" xr:uid="{00000000-0005-0000-0000-000015920000}"/>
    <cellStyle name="Normal 3 3 3 4 2 4 2" xfId="14294" xr:uid="{00000000-0005-0000-0000-000016920000}"/>
    <cellStyle name="Normal 3 3 3 4 2 4 2 2" xfId="29886" xr:uid="{00000000-0005-0000-0000-000017920000}"/>
    <cellStyle name="Normal 3 3 3 4 2 4 2 3" xfId="45378" xr:uid="{00000000-0005-0000-0000-000018920000}"/>
    <cellStyle name="Normal 3 3 3 4 2 4 3" xfId="22146" xr:uid="{00000000-0005-0000-0000-000019920000}"/>
    <cellStyle name="Normal 3 3 3 4 2 4 4" xfId="37638" xr:uid="{00000000-0005-0000-0000-00001A920000}"/>
    <cellStyle name="Normal 3 3 3 4 2 5" xfId="10424" xr:uid="{00000000-0005-0000-0000-00001B920000}"/>
    <cellStyle name="Normal 3 3 3 4 2 5 2" xfId="26016" xr:uid="{00000000-0005-0000-0000-00001C920000}"/>
    <cellStyle name="Normal 3 3 3 4 2 5 3" xfId="41508" xr:uid="{00000000-0005-0000-0000-00001D920000}"/>
    <cellStyle name="Normal 3 3 3 4 2 6" xfId="18276" xr:uid="{00000000-0005-0000-0000-00001E920000}"/>
    <cellStyle name="Normal 3 3 3 4 2 7" xfId="33768" xr:uid="{00000000-0005-0000-0000-00001F920000}"/>
    <cellStyle name="Normal 3 3 3 4 3" xfId="3305" xr:uid="{00000000-0005-0000-0000-000020920000}"/>
    <cellStyle name="Normal 3 3 3 4 3 2" xfId="5244" xr:uid="{00000000-0005-0000-0000-000021920000}"/>
    <cellStyle name="Normal 3 3 3 4 3 2 2" xfId="9115" xr:uid="{00000000-0005-0000-0000-000022920000}"/>
    <cellStyle name="Normal 3 3 3 4 3 2 2 2" xfId="16860" xr:uid="{00000000-0005-0000-0000-000023920000}"/>
    <cellStyle name="Normal 3 3 3 4 3 2 2 2 2" xfId="32452" xr:uid="{00000000-0005-0000-0000-000024920000}"/>
    <cellStyle name="Normal 3 3 3 4 3 2 2 2 3" xfId="47944" xr:uid="{00000000-0005-0000-0000-000025920000}"/>
    <cellStyle name="Normal 3 3 3 4 3 2 2 3" xfId="24712" xr:uid="{00000000-0005-0000-0000-000026920000}"/>
    <cellStyle name="Normal 3 3 3 4 3 2 2 4" xfId="40204" xr:uid="{00000000-0005-0000-0000-000027920000}"/>
    <cellStyle name="Normal 3 3 3 4 3 2 3" xfId="12990" xr:uid="{00000000-0005-0000-0000-000028920000}"/>
    <cellStyle name="Normal 3 3 3 4 3 2 3 2" xfId="28582" xr:uid="{00000000-0005-0000-0000-000029920000}"/>
    <cellStyle name="Normal 3 3 3 4 3 2 3 3" xfId="44074" xr:uid="{00000000-0005-0000-0000-00002A920000}"/>
    <cellStyle name="Normal 3 3 3 4 3 2 4" xfId="20842" xr:uid="{00000000-0005-0000-0000-00002B920000}"/>
    <cellStyle name="Normal 3 3 3 4 3 2 5" xfId="36334" xr:uid="{00000000-0005-0000-0000-00002C920000}"/>
    <cellStyle name="Normal 3 3 3 4 3 3" xfId="7188" xr:uid="{00000000-0005-0000-0000-00002D920000}"/>
    <cellStyle name="Normal 3 3 3 4 3 3 2" xfId="14933" xr:uid="{00000000-0005-0000-0000-00002E920000}"/>
    <cellStyle name="Normal 3 3 3 4 3 3 2 2" xfId="30525" xr:uid="{00000000-0005-0000-0000-00002F920000}"/>
    <cellStyle name="Normal 3 3 3 4 3 3 2 3" xfId="46017" xr:uid="{00000000-0005-0000-0000-000030920000}"/>
    <cellStyle name="Normal 3 3 3 4 3 3 3" xfId="22785" xr:uid="{00000000-0005-0000-0000-000031920000}"/>
    <cellStyle name="Normal 3 3 3 4 3 3 4" xfId="38277" xr:uid="{00000000-0005-0000-0000-000032920000}"/>
    <cellStyle name="Normal 3 3 3 4 3 4" xfId="11063" xr:uid="{00000000-0005-0000-0000-000033920000}"/>
    <cellStyle name="Normal 3 3 3 4 3 4 2" xfId="26655" xr:uid="{00000000-0005-0000-0000-000034920000}"/>
    <cellStyle name="Normal 3 3 3 4 3 4 3" xfId="42147" xr:uid="{00000000-0005-0000-0000-000035920000}"/>
    <cellStyle name="Normal 3 3 3 4 3 5" xfId="18915" xr:uid="{00000000-0005-0000-0000-000036920000}"/>
    <cellStyle name="Normal 3 3 3 4 3 6" xfId="34407" xr:uid="{00000000-0005-0000-0000-000037920000}"/>
    <cellStyle name="Normal 3 3 3 4 4" xfId="4296" xr:uid="{00000000-0005-0000-0000-000038920000}"/>
    <cellStyle name="Normal 3 3 3 4 4 2" xfId="8167" xr:uid="{00000000-0005-0000-0000-000039920000}"/>
    <cellStyle name="Normal 3 3 3 4 4 2 2" xfId="15912" xr:uid="{00000000-0005-0000-0000-00003A920000}"/>
    <cellStyle name="Normal 3 3 3 4 4 2 2 2" xfId="31504" xr:uid="{00000000-0005-0000-0000-00003B920000}"/>
    <cellStyle name="Normal 3 3 3 4 4 2 2 3" xfId="46996" xr:uid="{00000000-0005-0000-0000-00003C920000}"/>
    <cellStyle name="Normal 3 3 3 4 4 2 3" xfId="23764" xr:uid="{00000000-0005-0000-0000-00003D920000}"/>
    <cellStyle name="Normal 3 3 3 4 4 2 4" xfId="39256" xr:uid="{00000000-0005-0000-0000-00003E920000}"/>
    <cellStyle name="Normal 3 3 3 4 4 3" xfId="12042" xr:uid="{00000000-0005-0000-0000-00003F920000}"/>
    <cellStyle name="Normal 3 3 3 4 4 3 2" xfId="27634" xr:uid="{00000000-0005-0000-0000-000040920000}"/>
    <cellStyle name="Normal 3 3 3 4 4 3 3" xfId="43126" xr:uid="{00000000-0005-0000-0000-000041920000}"/>
    <cellStyle name="Normal 3 3 3 4 4 4" xfId="19894" xr:uid="{00000000-0005-0000-0000-000042920000}"/>
    <cellStyle name="Normal 3 3 3 4 4 5" xfId="35386" xr:uid="{00000000-0005-0000-0000-000043920000}"/>
    <cellStyle name="Normal 3 3 3 4 5" xfId="6240" xr:uid="{00000000-0005-0000-0000-000044920000}"/>
    <cellStyle name="Normal 3 3 3 4 5 2" xfId="13985" xr:uid="{00000000-0005-0000-0000-000045920000}"/>
    <cellStyle name="Normal 3 3 3 4 5 2 2" xfId="29577" xr:uid="{00000000-0005-0000-0000-000046920000}"/>
    <cellStyle name="Normal 3 3 3 4 5 2 3" xfId="45069" xr:uid="{00000000-0005-0000-0000-000047920000}"/>
    <cellStyle name="Normal 3 3 3 4 5 3" xfId="21837" xr:uid="{00000000-0005-0000-0000-000048920000}"/>
    <cellStyle name="Normal 3 3 3 4 5 4" xfId="37329" xr:uid="{00000000-0005-0000-0000-000049920000}"/>
    <cellStyle name="Normal 3 3 3 4 6" xfId="10115" xr:uid="{00000000-0005-0000-0000-00004A920000}"/>
    <cellStyle name="Normal 3 3 3 4 6 2" xfId="25707" xr:uid="{00000000-0005-0000-0000-00004B920000}"/>
    <cellStyle name="Normal 3 3 3 4 6 3" xfId="41199" xr:uid="{00000000-0005-0000-0000-00004C920000}"/>
    <cellStyle name="Normal 3 3 3 4 7" xfId="17967" xr:uid="{00000000-0005-0000-0000-00004D920000}"/>
    <cellStyle name="Normal 3 3 3 4 8" xfId="33459" xr:uid="{00000000-0005-0000-0000-00004E920000}"/>
    <cellStyle name="Normal 3 3 3 5" xfId="2328" xr:uid="{00000000-0005-0000-0000-00004F920000}"/>
    <cellStyle name="Normal 3 3 3 5 2" xfId="2642" xr:uid="{00000000-0005-0000-0000-000050920000}"/>
    <cellStyle name="Normal 3 3 3 5 2 2" xfId="3650" xr:uid="{00000000-0005-0000-0000-000051920000}"/>
    <cellStyle name="Normal 3 3 3 5 2 2 2" xfId="5589" xr:uid="{00000000-0005-0000-0000-000052920000}"/>
    <cellStyle name="Normal 3 3 3 5 2 2 2 2" xfId="9460" xr:uid="{00000000-0005-0000-0000-000053920000}"/>
    <cellStyle name="Normal 3 3 3 5 2 2 2 2 2" xfId="17205" xr:uid="{00000000-0005-0000-0000-000054920000}"/>
    <cellStyle name="Normal 3 3 3 5 2 2 2 2 2 2" xfId="32797" xr:uid="{00000000-0005-0000-0000-000055920000}"/>
    <cellStyle name="Normal 3 3 3 5 2 2 2 2 2 3" xfId="48289" xr:uid="{00000000-0005-0000-0000-000056920000}"/>
    <cellStyle name="Normal 3 3 3 5 2 2 2 2 3" xfId="25057" xr:uid="{00000000-0005-0000-0000-000057920000}"/>
    <cellStyle name="Normal 3 3 3 5 2 2 2 2 4" xfId="40549" xr:uid="{00000000-0005-0000-0000-000058920000}"/>
    <cellStyle name="Normal 3 3 3 5 2 2 2 3" xfId="13335" xr:uid="{00000000-0005-0000-0000-000059920000}"/>
    <cellStyle name="Normal 3 3 3 5 2 2 2 3 2" xfId="28927" xr:uid="{00000000-0005-0000-0000-00005A920000}"/>
    <cellStyle name="Normal 3 3 3 5 2 2 2 3 3" xfId="44419" xr:uid="{00000000-0005-0000-0000-00005B920000}"/>
    <cellStyle name="Normal 3 3 3 5 2 2 2 4" xfId="21187" xr:uid="{00000000-0005-0000-0000-00005C920000}"/>
    <cellStyle name="Normal 3 3 3 5 2 2 2 5" xfId="36679" xr:uid="{00000000-0005-0000-0000-00005D920000}"/>
    <cellStyle name="Normal 3 3 3 5 2 2 3" xfId="7533" xr:uid="{00000000-0005-0000-0000-00005E920000}"/>
    <cellStyle name="Normal 3 3 3 5 2 2 3 2" xfId="15278" xr:uid="{00000000-0005-0000-0000-00005F920000}"/>
    <cellStyle name="Normal 3 3 3 5 2 2 3 2 2" xfId="30870" xr:uid="{00000000-0005-0000-0000-000060920000}"/>
    <cellStyle name="Normal 3 3 3 5 2 2 3 2 3" xfId="46362" xr:uid="{00000000-0005-0000-0000-000061920000}"/>
    <cellStyle name="Normal 3 3 3 5 2 2 3 3" xfId="23130" xr:uid="{00000000-0005-0000-0000-000062920000}"/>
    <cellStyle name="Normal 3 3 3 5 2 2 3 4" xfId="38622" xr:uid="{00000000-0005-0000-0000-000063920000}"/>
    <cellStyle name="Normal 3 3 3 5 2 2 4" xfId="11408" xr:uid="{00000000-0005-0000-0000-000064920000}"/>
    <cellStyle name="Normal 3 3 3 5 2 2 4 2" xfId="27000" xr:uid="{00000000-0005-0000-0000-000065920000}"/>
    <cellStyle name="Normal 3 3 3 5 2 2 4 3" xfId="42492" xr:uid="{00000000-0005-0000-0000-000066920000}"/>
    <cellStyle name="Normal 3 3 3 5 2 2 5" xfId="19260" xr:uid="{00000000-0005-0000-0000-000067920000}"/>
    <cellStyle name="Normal 3 3 3 5 2 2 6" xfId="34752" xr:uid="{00000000-0005-0000-0000-000068920000}"/>
    <cellStyle name="Normal 3 3 3 5 2 3" xfId="4641" xr:uid="{00000000-0005-0000-0000-000069920000}"/>
    <cellStyle name="Normal 3 3 3 5 2 3 2" xfId="8512" xr:uid="{00000000-0005-0000-0000-00006A920000}"/>
    <cellStyle name="Normal 3 3 3 5 2 3 2 2" xfId="16257" xr:uid="{00000000-0005-0000-0000-00006B920000}"/>
    <cellStyle name="Normal 3 3 3 5 2 3 2 2 2" xfId="31849" xr:uid="{00000000-0005-0000-0000-00006C920000}"/>
    <cellStyle name="Normal 3 3 3 5 2 3 2 2 3" xfId="47341" xr:uid="{00000000-0005-0000-0000-00006D920000}"/>
    <cellStyle name="Normal 3 3 3 5 2 3 2 3" xfId="24109" xr:uid="{00000000-0005-0000-0000-00006E920000}"/>
    <cellStyle name="Normal 3 3 3 5 2 3 2 4" xfId="39601" xr:uid="{00000000-0005-0000-0000-00006F920000}"/>
    <cellStyle name="Normal 3 3 3 5 2 3 3" xfId="12387" xr:uid="{00000000-0005-0000-0000-000070920000}"/>
    <cellStyle name="Normal 3 3 3 5 2 3 3 2" xfId="27979" xr:uid="{00000000-0005-0000-0000-000071920000}"/>
    <cellStyle name="Normal 3 3 3 5 2 3 3 3" xfId="43471" xr:uid="{00000000-0005-0000-0000-000072920000}"/>
    <cellStyle name="Normal 3 3 3 5 2 3 4" xfId="20239" xr:uid="{00000000-0005-0000-0000-000073920000}"/>
    <cellStyle name="Normal 3 3 3 5 2 3 5" xfId="35731" xr:uid="{00000000-0005-0000-0000-000074920000}"/>
    <cellStyle name="Normal 3 3 3 5 2 4" xfId="6585" xr:uid="{00000000-0005-0000-0000-000075920000}"/>
    <cellStyle name="Normal 3 3 3 5 2 4 2" xfId="14330" xr:uid="{00000000-0005-0000-0000-000076920000}"/>
    <cellStyle name="Normal 3 3 3 5 2 4 2 2" xfId="29922" xr:uid="{00000000-0005-0000-0000-000077920000}"/>
    <cellStyle name="Normal 3 3 3 5 2 4 2 3" xfId="45414" xr:uid="{00000000-0005-0000-0000-000078920000}"/>
    <cellStyle name="Normal 3 3 3 5 2 4 3" xfId="22182" xr:uid="{00000000-0005-0000-0000-000079920000}"/>
    <cellStyle name="Normal 3 3 3 5 2 4 4" xfId="37674" xr:uid="{00000000-0005-0000-0000-00007A920000}"/>
    <cellStyle name="Normal 3 3 3 5 2 5" xfId="10460" xr:uid="{00000000-0005-0000-0000-00007B920000}"/>
    <cellStyle name="Normal 3 3 3 5 2 5 2" xfId="26052" xr:uid="{00000000-0005-0000-0000-00007C920000}"/>
    <cellStyle name="Normal 3 3 3 5 2 5 3" xfId="41544" xr:uid="{00000000-0005-0000-0000-00007D920000}"/>
    <cellStyle name="Normal 3 3 3 5 2 6" xfId="18312" xr:uid="{00000000-0005-0000-0000-00007E920000}"/>
    <cellStyle name="Normal 3 3 3 5 2 7" xfId="33804" xr:uid="{00000000-0005-0000-0000-00007F920000}"/>
    <cellStyle name="Normal 3 3 3 5 3" xfId="3341" xr:uid="{00000000-0005-0000-0000-000080920000}"/>
    <cellStyle name="Normal 3 3 3 5 3 2" xfId="5280" xr:uid="{00000000-0005-0000-0000-000081920000}"/>
    <cellStyle name="Normal 3 3 3 5 3 2 2" xfId="9151" xr:uid="{00000000-0005-0000-0000-000082920000}"/>
    <cellStyle name="Normal 3 3 3 5 3 2 2 2" xfId="16896" xr:uid="{00000000-0005-0000-0000-000083920000}"/>
    <cellStyle name="Normal 3 3 3 5 3 2 2 2 2" xfId="32488" xr:uid="{00000000-0005-0000-0000-000084920000}"/>
    <cellStyle name="Normal 3 3 3 5 3 2 2 2 3" xfId="47980" xr:uid="{00000000-0005-0000-0000-000085920000}"/>
    <cellStyle name="Normal 3 3 3 5 3 2 2 3" xfId="24748" xr:uid="{00000000-0005-0000-0000-000086920000}"/>
    <cellStyle name="Normal 3 3 3 5 3 2 2 4" xfId="40240" xr:uid="{00000000-0005-0000-0000-000087920000}"/>
    <cellStyle name="Normal 3 3 3 5 3 2 3" xfId="13026" xr:uid="{00000000-0005-0000-0000-000088920000}"/>
    <cellStyle name="Normal 3 3 3 5 3 2 3 2" xfId="28618" xr:uid="{00000000-0005-0000-0000-000089920000}"/>
    <cellStyle name="Normal 3 3 3 5 3 2 3 3" xfId="44110" xr:uid="{00000000-0005-0000-0000-00008A920000}"/>
    <cellStyle name="Normal 3 3 3 5 3 2 4" xfId="20878" xr:uid="{00000000-0005-0000-0000-00008B920000}"/>
    <cellStyle name="Normal 3 3 3 5 3 2 5" xfId="36370" xr:uid="{00000000-0005-0000-0000-00008C920000}"/>
    <cellStyle name="Normal 3 3 3 5 3 3" xfId="7224" xr:uid="{00000000-0005-0000-0000-00008D920000}"/>
    <cellStyle name="Normal 3 3 3 5 3 3 2" xfId="14969" xr:uid="{00000000-0005-0000-0000-00008E920000}"/>
    <cellStyle name="Normal 3 3 3 5 3 3 2 2" xfId="30561" xr:uid="{00000000-0005-0000-0000-00008F920000}"/>
    <cellStyle name="Normal 3 3 3 5 3 3 2 3" xfId="46053" xr:uid="{00000000-0005-0000-0000-000090920000}"/>
    <cellStyle name="Normal 3 3 3 5 3 3 3" xfId="22821" xr:uid="{00000000-0005-0000-0000-000091920000}"/>
    <cellStyle name="Normal 3 3 3 5 3 3 4" xfId="38313" xr:uid="{00000000-0005-0000-0000-000092920000}"/>
    <cellStyle name="Normal 3 3 3 5 3 4" xfId="11099" xr:uid="{00000000-0005-0000-0000-000093920000}"/>
    <cellStyle name="Normal 3 3 3 5 3 4 2" xfId="26691" xr:uid="{00000000-0005-0000-0000-000094920000}"/>
    <cellStyle name="Normal 3 3 3 5 3 4 3" xfId="42183" xr:uid="{00000000-0005-0000-0000-000095920000}"/>
    <cellStyle name="Normal 3 3 3 5 3 5" xfId="18951" xr:uid="{00000000-0005-0000-0000-000096920000}"/>
    <cellStyle name="Normal 3 3 3 5 3 6" xfId="34443" xr:uid="{00000000-0005-0000-0000-000097920000}"/>
    <cellStyle name="Normal 3 3 3 5 4" xfId="4332" xr:uid="{00000000-0005-0000-0000-000098920000}"/>
    <cellStyle name="Normal 3 3 3 5 4 2" xfId="8203" xr:uid="{00000000-0005-0000-0000-000099920000}"/>
    <cellStyle name="Normal 3 3 3 5 4 2 2" xfId="15948" xr:uid="{00000000-0005-0000-0000-00009A920000}"/>
    <cellStyle name="Normal 3 3 3 5 4 2 2 2" xfId="31540" xr:uid="{00000000-0005-0000-0000-00009B920000}"/>
    <cellStyle name="Normal 3 3 3 5 4 2 2 3" xfId="47032" xr:uid="{00000000-0005-0000-0000-00009C920000}"/>
    <cellStyle name="Normal 3 3 3 5 4 2 3" xfId="23800" xr:uid="{00000000-0005-0000-0000-00009D920000}"/>
    <cellStyle name="Normal 3 3 3 5 4 2 4" xfId="39292" xr:uid="{00000000-0005-0000-0000-00009E920000}"/>
    <cellStyle name="Normal 3 3 3 5 4 3" xfId="12078" xr:uid="{00000000-0005-0000-0000-00009F920000}"/>
    <cellStyle name="Normal 3 3 3 5 4 3 2" xfId="27670" xr:uid="{00000000-0005-0000-0000-0000A0920000}"/>
    <cellStyle name="Normal 3 3 3 5 4 3 3" xfId="43162" xr:uid="{00000000-0005-0000-0000-0000A1920000}"/>
    <cellStyle name="Normal 3 3 3 5 4 4" xfId="19930" xr:uid="{00000000-0005-0000-0000-0000A2920000}"/>
    <cellStyle name="Normal 3 3 3 5 4 5" xfId="35422" xr:uid="{00000000-0005-0000-0000-0000A3920000}"/>
    <cellStyle name="Normal 3 3 3 5 5" xfId="6276" xr:uid="{00000000-0005-0000-0000-0000A4920000}"/>
    <cellStyle name="Normal 3 3 3 5 5 2" xfId="14021" xr:uid="{00000000-0005-0000-0000-0000A5920000}"/>
    <cellStyle name="Normal 3 3 3 5 5 2 2" xfId="29613" xr:uid="{00000000-0005-0000-0000-0000A6920000}"/>
    <cellStyle name="Normal 3 3 3 5 5 2 3" xfId="45105" xr:uid="{00000000-0005-0000-0000-0000A7920000}"/>
    <cellStyle name="Normal 3 3 3 5 5 3" xfId="21873" xr:uid="{00000000-0005-0000-0000-0000A8920000}"/>
    <cellStyle name="Normal 3 3 3 5 5 4" xfId="37365" xr:uid="{00000000-0005-0000-0000-0000A9920000}"/>
    <cellStyle name="Normal 3 3 3 5 6" xfId="10151" xr:uid="{00000000-0005-0000-0000-0000AA920000}"/>
    <cellStyle name="Normal 3 3 3 5 6 2" xfId="25743" xr:uid="{00000000-0005-0000-0000-0000AB920000}"/>
    <cellStyle name="Normal 3 3 3 5 6 3" xfId="41235" xr:uid="{00000000-0005-0000-0000-0000AC920000}"/>
    <cellStyle name="Normal 3 3 3 5 7" xfId="18003" xr:uid="{00000000-0005-0000-0000-0000AD920000}"/>
    <cellStyle name="Normal 3 3 3 5 8" xfId="33495" xr:uid="{00000000-0005-0000-0000-0000AE920000}"/>
    <cellStyle name="Normal 3 3 3 6" xfId="2365" xr:uid="{00000000-0005-0000-0000-0000AF920000}"/>
    <cellStyle name="Normal 3 3 3 6 2" xfId="2678" xr:uid="{00000000-0005-0000-0000-0000B0920000}"/>
    <cellStyle name="Normal 3 3 3 6 2 2" xfId="3686" xr:uid="{00000000-0005-0000-0000-0000B1920000}"/>
    <cellStyle name="Normal 3 3 3 6 2 2 2" xfId="5625" xr:uid="{00000000-0005-0000-0000-0000B2920000}"/>
    <cellStyle name="Normal 3 3 3 6 2 2 2 2" xfId="9496" xr:uid="{00000000-0005-0000-0000-0000B3920000}"/>
    <cellStyle name="Normal 3 3 3 6 2 2 2 2 2" xfId="17241" xr:uid="{00000000-0005-0000-0000-0000B4920000}"/>
    <cellStyle name="Normal 3 3 3 6 2 2 2 2 2 2" xfId="32833" xr:uid="{00000000-0005-0000-0000-0000B5920000}"/>
    <cellStyle name="Normal 3 3 3 6 2 2 2 2 2 3" xfId="48325" xr:uid="{00000000-0005-0000-0000-0000B6920000}"/>
    <cellStyle name="Normal 3 3 3 6 2 2 2 2 3" xfId="25093" xr:uid="{00000000-0005-0000-0000-0000B7920000}"/>
    <cellStyle name="Normal 3 3 3 6 2 2 2 2 4" xfId="40585" xr:uid="{00000000-0005-0000-0000-0000B8920000}"/>
    <cellStyle name="Normal 3 3 3 6 2 2 2 3" xfId="13371" xr:uid="{00000000-0005-0000-0000-0000B9920000}"/>
    <cellStyle name="Normal 3 3 3 6 2 2 2 3 2" xfId="28963" xr:uid="{00000000-0005-0000-0000-0000BA920000}"/>
    <cellStyle name="Normal 3 3 3 6 2 2 2 3 3" xfId="44455" xr:uid="{00000000-0005-0000-0000-0000BB920000}"/>
    <cellStyle name="Normal 3 3 3 6 2 2 2 4" xfId="21223" xr:uid="{00000000-0005-0000-0000-0000BC920000}"/>
    <cellStyle name="Normal 3 3 3 6 2 2 2 5" xfId="36715" xr:uid="{00000000-0005-0000-0000-0000BD920000}"/>
    <cellStyle name="Normal 3 3 3 6 2 2 3" xfId="7569" xr:uid="{00000000-0005-0000-0000-0000BE920000}"/>
    <cellStyle name="Normal 3 3 3 6 2 2 3 2" xfId="15314" xr:uid="{00000000-0005-0000-0000-0000BF920000}"/>
    <cellStyle name="Normal 3 3 3 6 2 2 3 2 2" xfId="30906" xr:uid="{00000000-0005-0000-0000-0000C0920000}"/>
    <cellStyle name="Normal 3 3 3 6 2 2 3 2 3" xfId="46398" xr:uid="{00000000-0005-0000-0000-0000C1920000}"/>
    <cellStyle name="Normal 3 3 3 6 2 2 3 3" xfId="23166" xr:uid="{00000000-0005-0000-0000-0000C2920000}"/>
    <cellStyle name="Normal 3 3 3 6 2 2 3 4" xfId="38658" xr:uid="{00000000-0005-0000-0000-0000C3920000}"/>
    <cellStyle name="Normal 3 3 3 6 2 2 4" xfId="11444" xr:uid="{00000000-0005-0000-0000-0000C4920000}"/>
    <cellStyle name="Normal 3 3 3 6 2 2 4 2" xfId="27036" xr:uid="{00000000-0005-0000-0000-0000C5920000}"/>
    <cellStyle name="Normal 3 3 3 6 2 2 4 3" xfId="42528" xr:uid="{00000000-0005-0000-0000-0000C6920000}"/>
    <cellStyle name="Normal 3 3 3 6 2 2 5" xfId="19296" xr:uid="{00000000-0005-0000-0000-0000C7920000}"/>
    <cellStyle name="Normal 3 3 3 6 2 2 6" xfId="34788" xr:uid="{00000000-0005-0000-0000-0000C8920000}"/>
    <cellStyle name="Normal 3 3 3 6 2 3" xfId="4677" xr:uid="{00000000-0005-0000-0000-0000C9920000}"/>
    <cellStyle name="Normal 3 3 3 6 2 3 2" xfId="8548" xr:uid="{00000000-0005-0000-0000-0000CA920000}"/>
    <cellStyle name="Normal 3 3 3 6 2 3 2 2" xfId="16293" xr:uid="{00000000-0005-0000-0000-0000CB920000}"/>
    <cellStyle name="Normal 3 3 3 6 2 3 2 2 2" xfId="31885" xr:uid="{00000000-0005-0000-0000-0000CC920000}"/>
    <cellStyle name="Normal 3 3 3 6 2 3 2 2 3" xfId="47377" xr:uid="{00000000-0005-0000-0000-0000CD920000}"/>
    <cellStyle name="Normal 3 3 3 6 2 3 2 3" xfId="24145" xr:uid="{00000000-0005-0000-0000-0000CE920000}"/>
    <cellStyle name="Normal 3 3 3 6 2 3 2 4" xfId="39637" xr:uid="{00000000-0005-0000-0000-0000CF920000}"/>
    <cellStyle name="Normal 3 3 3 6 2 3 3" xfId="12423" xr:uid="{00000000-0005-0000-0000-0000D0920000}"/>
    <cellStyle name="Normal 3 3 3 6 2 3 3 2" xfId="28015" xr:uid="{00000000-0005-0000-0000-0000D1920000}"/>
    <cellStyle name="Normal 3 3 3 6 2 3 3 3" xfId="43507" xr:uid="{00000000-0005-0000-0000-0000D2920000}"/>
    <cellStyle name="Normal 3 3 3 6 2 3 4" xfId="20275" xr:uid="{00000000-0005-0000-0000-0000D3920000}"/>
    <cellStyle name="Normal 3 3 3 6 2 3 5" xfId="35767" xr:uid="{00000000-0005-0000-0000-0000D4920000}"/>
    <cellStyle name="Normal 3 3 3 6 2 4" xfId="6621" xr:uid="{00000000-0005-0000-0000-0000D5920000}"/>
    <cellStyle name="Normal 3 3 3 6 2 4 2" xfId="14366" xr:uid="{00000000-0005-0000-0000-0000D6920000}"/>
    <cellStyle name="Normal 3 3 3 6 2 4 2 2" xfId="29958" xr:uid="{00000000-0005-0000-0000-0000D7920000}"/>
    <cellStyle name="Normal 3 3 3 6 2 4 2 3" xfId="45450" xr:uid="{00000000-0005-0000-0000-0000D8920000}"/>
    <cellStyle name="Normal 3 3 3 6 2 4 3" xfId="22218" xr:uid="{00000000-0005-0000-0000-0000D9920000}"/>
    <cellStyle name="Normal 3 3 3 6 2 4 4" xfId="37710" xr:uid="{00000000-0005-0000-0000-0000DA920000}"/>
    <cellStyle name="Normal 3 3 3 6 2 5" xfId="10496" xr:uid="{00000000-0005-0000-0000-0000DB920000}"/>
    <cellStyle name="Normal 3 3 3 6 2 5 2" xfId="26088" xr:uid="{00000000-0005-0000-0000-0000DC920000}"/>
    <cellStyle name="Normal 3 3 3 6 2 5 3" xfId="41580" xr:uid="{00000000-0005-0000-0000-0000DD920000}"/>
    <cellStyle name="Normal 3 3 3 6 2 6" xfId="18348" xr:uid="{00000000-0005-0000-0000-0000DE920000}"/>
    <cellStyle name="Normal 3 3 3 6 2 7" xfId="33840" xr:uid="{00000000-0005-0000-0000-0000DF920000}"/>
    <cellStyle name="Normal 3 3 3 6 3" xfId="3377" xr:uid="{00000000-0005-0000-0000-0000E0920000}"/>
    <cellStyle name="Normal 3 3 3 6 3 2" xfId="5316" xr:uid="{00000000-0005-0000-0000-0000E1920000}"/>
    <cellStyle name="Normal 3 3 3 6 3 2 2" xfId="9187" xr:uid="{00000000-0005-0000-0000-0000E2920000}"/>
    <cellStyle name="Normal 3 3 3 6 3 2 2 2" xfId="16932" xr:uid="{00000000-0005-0000-0000-0000E3920000}"/>
    <cellStyle name="Normal 3 3 3 6 3 2 2 2 2" xfId="32524" xr:uid="{00000000-0005-0000-0000-0000E4920000}"/>
    <cellStyle name="Normal 3 3 3 6 3 2 2 2 3" xfId="48016" xr:uid="{00000000-0005-0000-0000-0000E5920000}"/>
    <cellStyle name="Normal 3 3 3 6 3 2 2 3" xfId="24784" xr:uid="{00000000-0005-0000-0000-0000E6920000}"/>
    <cellStyle name="Normal 3 3 3 6 3 2 2 4" xfId="40276" xr:uid="{00000000-0005-0000-0000-0000E7920000}"/>
    <cellStyle name="Normal 3 3 3 6 3 2 3" xfId="13062" xr:uid="{00000000-0005-0000-0000-0000E8920000}"/>
    <cellStyle name="Normal 3 3 3 6 3 2 3 2" xfId="28654" xr:uid="{00000000-0005-0000-0000-0000E9920000}"/>
    <cellStyle name="Normal 3 3 3 6 3 2 3 3" xfId="44146" xr:uid="{00000000-0005-0000-0000-0000EA920000}"/>
    <cellStyle name="Normal 3 3 3 6 3 2 4" xfId="20914" xr:uid="{00000000-0005-0000-0000-0000EB920000}"/>
    <cellStyle name="Normal 3 3 3 6 3 2 5" xfId="36406" xr:uid="{00000000-0005-0000-0000-0000EC920000}"/>
    <cellStyle name="Normal 3 3 3 6 3 3" xfId="7260" xr:uid="{00000000-0005-0000-0000-0000ED920000}"/>
    <cellStyle name="Normal 3 3 3 6 3 3 2" xfId="15005" xr:uid="{00000000-0005-0000-0000-0000EE920000}"/>
    <cellStyle name="Normal 3 3 3 6 3 3 2 2" xfId="30597" xr:uid="{00000000-0005-0000-0000-0000EF920000}"/>
    <cellStyle name="Normal 3 3 3 6 3 3 2 3" xfId="46089" xr:uid="{00000000-0005-0000-0000-0000F0920000}"/>
    <cellStyle name="Normal 3 3 3 6 3 3 3" xfId="22857" xr:uid="{00000000-0005-0000-0000-0000F1920000}"/>
    <cellStyle name="Normal 3 3 3 6 3 3 4" xfId="38349" xr:uid="{00000000-0005-0000-0000-0000F2920000}"/>
    <cellStyle name="Normal 3 3 3 6 3 4" xfId="11135" xr:uid="{00000000-0005-0000-0000-0000F3920000}"/>
    <cellStyle name="Normal 3 3 3 6 3 4 2" xfId="26727" xr:uid="{00000000-0005-0000-0000-0000F4920000}"/>
    <cellStyle name="Normal 3 3 3 6 3 4 3" xfId="42219" xr:uid="{00000000-0005-0000-0000-0000F5920000}"/>
    <cellStyle name="Normal 3 3 3 6 3 5" xfId="18987" xr:uid="{00000000-0005-0000-0000-0000F6920000}"/>
    <cellStyle name="Normal 3 3 3 6 3 6" xfId="34479" xr:uid="{00000000-0005-0000-0000-0000F7920000}"/>
    <cellStyle name="Normal 3 3 3 6 4" xfId="4368" xr:uid="{00000000-0005-0000-0000-0000F8920000}"/>
    <cellStyle name="Normal 3 3 3 6 4 2" xfId="8239" xr:uid="{00000000-0005-0000-0000-0000F9920000}"/>
    <cellStyle name="Normal 3 3 3 6 4 2 2" xfId="15984" xr:uid="{00000000-0005-0000-0000-0000FA920000}"/>
    <cellStyle name="Normal 3 3 3 6 4 2 2 2" xfId="31576" xr:uid="{00000000-0005-0000-0000-0000FB920000}"/>
    <cellStyle name="Normal 3 3 3 6 4 2 2 3" xfId="47068" xr:uid="{00000000-0005-0000-0000-0000FC920000}"/>
    <cellStyle name="Normal 3 3 3 6 4 2 3" xfId="23836" xr:uid="{00000000-0005-0000-0000-0000FD920000}"/>
    <cellStyle name="Normal 3 3 3 6 4 2 4" xfId="39328" xr:uid="{00000000-0005-0000-0000-0000FE920000}"/>
    <cellStyle name="Normal 3 3 3 6 4 3" xfId="12114" xr:uid="{00000000-0005-0000-0000-0000FF920000}"/>
    <cellStyle name="Normal 3 3 3 6 4 3 2" xfId="27706" xr:uid="{00000000-0005-0000-0000-000000930000}"/>
    <cellStyle name="Normal 3 3 3 6 4 3 3" xfId="43198" xr:uid="{00000000-0005-0000-0000-000001930000}"/>
    <cellStyle name="Normal 3 3 3 6 4 4" xfId="19966" xr:uid="{00000000-0005-0000-0000-000002930000}"/>
    <cellStyle name="Normal 3 3 3 6 4 5" xfId="35458" xr:uid="{00000000-0005-0000-0000-000003930000}"/>
    <cellStyle name="Normal 3 3 3 6 5" xfId="6312" xr:uid="{00000000-0005-0000-0000-000004930000}"/>
    <cellStyle name="Normal 3 3 3 6 5 2" xfId="14057" xr:uid="{00000000-0005-0000-0000-000005930000}"/>
    <cellStyle name="Normal 3 3 3 6 5 2 2" xfId="29649" xr:uid="{00000000-0005-0000-0000-000006930000}"/>
    <cellStyle name="Normal 3 3 3 6 5 2 3" xfId="45141" xr:uid="{00000000-0005-0000-0000-000007930000}"/>
    <cellStyle name="Normal 3 3 3 6 5 3" xfId="21909" xr:uid="{00000000-0005-0000-0000-000008930000}"/>
    <cellStyle name="Normal 3 3 3 6 5 4" xfId="37401" xr:uid="{00000000-0005-0000-0000-000009930000}"/>
    <cellStyle name="Normal 3 3 3 6 6" xfId="10187" xr:uid="{00000000-0005-0000-0000-00000A930000}"/>
    <cellStyle name="Normal 3 3 3 6 6 2" xfId="25779" xr:uid="{00000000-0005-0000-0000-00000B930000}"/>
    <cellStyle name="Normal 3 3 3 6 6 3" xfId="41271" xr:uid="{00000000-0005-0000-0000-00000C930000}"/>
    <cellStyle name="Normal 3 3 3 6 7" xfId="18039" xr:uid="{00000000-0005-0000-0000-00000D930000}"/>
    <cellStyle name="Normal 3 3 3 6 8" xfId="33531" xr:uid="{00000000-0005-0000-0000-00000E930000}"/>
    <cellStyle name="Normal 3 3 3 7" xfId="2403" xr:uid="{00000000-0005-0000-0000-00000F930000}"/>
    <cellStyle name="Normal 3 3 3 7 2" xfId="2714" xr:uid="{00000000-0005-0000-0000-000010930000}"/>
    <cellStyle name="Normal 3 3 3 7 2 2" xfId="3722" xr:uid="{00000000-0005-0000-0000-000011930000}"/>
    <cellStyle name="Normal 3 3 3 7 2 2 2" xfId="5661" xr:uid="{00000000-0005-0000-0000-000012930000}"/>
    <cellStyle name="Normal 3 3 3 7 2 2 2 2" xfId="9532" xr:uid="{00000000-0005-0000-0000-000013930000}"/>
    <cellStyle name="Normal 3 3 3 7 2 2 2 2 2" xfId="17277" xr:uid="{00000000-0005-0000-0000-000014930000}"/>
    <cellStyle name="Normal 3 3 3 7 2 2 2 2 2 2" xfId="32869" xr:uid="{00000000-0005-0000-0000-000015930000}"/>
    <cellStyle name="Normal 3 3 3 7 2 2 2 2 2 3" xfId="48361" xr:uid="{00000000-0005-0000-0000-000016930000}"/>
    <cellStyle name="Normal 3 3 3 7 2 2 2 2 3" xfId="25129" xr:uid="{00000000-0005-0000-0000-000017930000}"/>
    <cellStyle name="Normal 3 3 3 7 2 2 2 2 4" xfId="40621" xr:uid="{00000000-0005-0000-0000-000018930000}"/>
    <cellStyle name="Normal 3 3 3 7 2 2 2 3" xfId="13407" xr:uid="{00000000-0005-0000-0000-000019930000}"/>
    <cellStyle name="Normal 3 3 3 7 2 2 2 3 2" xfId="28999" xr:uid="{00000000-0005-0000-0000-00001A930000}"/>
    <cellStyle name="Normal 3 3 3 7 2 2 2 3 3" xfId="44491" xr:uid="{00000000-0005-0000-0000-00001B930000}"/>
    <cellStyle name="Normal 3 3 3 7 2 2 2 4" xfId="21259" xr:uid="{00000000-0005-0000-0000-00001C930000}"/>
    <cellStyle name="Normal 3 3 3 7 2 2 2 5" xfId="36751" xr:uid="{00000000-0005-0000-0000-00001D930000}"/>
    <cellStyle name="Normal 3 3 3 7 2 2 3" xfId="7605" xr:uid="{00000000-0005-0000-0000-00001E930000}"/>
    <cellStyle name="Normal 3 3 3 7 2 2 3 2" xfId="15350" xr:uid="{00000000-0005-0000-0000-00001F930000}"/>
    <cellStyle name="Normal 3 3 3 7 2 2 3 2 2" xfId="30942" xr:uid="{00000000-0005-0000-0000-000020930000}"/>
    <cellStyle name="Normal 3 3 3 7 2 2 3 2 3" xfId="46434" xr:uid="{00000000-0005-0000-0000-000021930000}"/>
    <cellStyle name="Normal 3 3 3 7 2 2 3 3" xfId="23202" xr:uid="{00000000-0005-0000-0000-000022930000}"/>
    <cellStyle name="Normal 3 3 3 7 2 2 3 4" xfId="38694" xr:uid="{00000000-0005-0000-0000-000023930000}"/>
    <cellStyle name="Normal 3 3 3 7 2 2 4" xfId="11480" xr:uid="{00000000-0005-0000-0000-000024930000}"/>
    <cellStyle name="Normal 3 3 3 7 2 2 4 2" xfId="27072" xr:uid="{00000000-0005-0000-0000-000025930000}"/>
    <cellStyle name="Normal 3 3 3 7 2 2 4 3" xfId="42564" xr:uid="{00000000-0005-0000-0000-000026930000}"/>
    <cellStyle name="Normal 3 3 3 7 2 2 5" xfId="19332" xr:uid="{00000000-0005-0000-0000-000027930000}"/>
    <cellStyle name="Normal 3 3 3 7 2 2 6" xfId="34824" xr:uid="{00000000-0005-0000-0000-000028930000}"/>
    <cellStyle name="Normal 3 3 3 7 2 3" xfId="4713" xr:uid="{00000000-0005-0000-0000-000029930000}"/>
    <cellStyle name="Normal 3 3 3 7 2 3 2" xfId="8584" xr:uid="{00000000-0005-0000-0000-00002A930000}"/>
    <cellStyle name="Normal 3 3 3 7 2 3 2 2" xfId="16329" xr:uid="{00000000-0005-0000-0000-00002B930000}"/>
    <cellStyle name="Normal 3 3 3 7 2 3 2 2 2" xfId="31921" xr:uid="{00000000-0005-0000-0000-00002C930000}"/>
    <cellStyle name="Normal 3 3 3 7 2 3 2 2 3" xfId="47413" xr:uid="{00000000-0005-0000-0000-00002D930000}"/>
    <cellStyle name="Normal 3 3 3 7 2 3 2 3" xfId="24181" xr:uid="{00000000-0005-0000-0000-00002E930000}"/>
    <cellStyle name="Normal 3 3 3 7 2 3 2 4" xfId="39673" xr:uid="{00000000-0005-0000-0000-00002F930000}"/>
    <cellStyle name="Normal 3 3 3 7 2 3 3" xfId="12459" xr:uid="{00000000-0005-0000-0000-000030930000}"/>
    <cellStyle name="Normal 3 3 3 7 2 3 3 2" xfId="28051" xr:uid="{00000000-0005-0000-0000-000031930000}"/>
    <cellStyle name="Normal 3 3 3 7 2 3 3 3" xfId="43543" xr:uid="{00000000-0005-0000-0000-000032930000}"/>
    <cellStyle name="Normal 3 3 3 7 2 3 4" xfId="20311" xr:uid="{00000000-0005-0000-0000-000033930000}"/>
    <cellStyle name="Normal 3 3 3 7 2 3 5" xfId="35803" xr:uid="{00000000-0005-0000-0000-000034930000}"/>
    <cellStyle name="Normal 3 3 3 7 2 4" xfId="6657" xr:uid="{00000000-0005-0000-0000-000035930000}"/>
    <cellStyle name="Normal 3 3 3 7 2 4 2" xfId="14402" xr:uid="{00000000-0005-0000-0000-000036930000}"/>
    <cellStyle name="Normal 3 3 3 7 2 4 2 2" xfId="29994" xr:uid="{00000000-0005-0000-0000-000037930000}"/>
    <cellStyle name="Normal 3 3 3 7 2 4 2 3" xfId="45486" xr:uid="{00000000-0005-0000-0000-000038930000}"/>
    <cellStyle name="Normal 3 3 3 7 2 4 3" xfId="22254" xr:uid="{00000000-0005-0000-0000-000039930000}"/>
    <cellStyle name="Normal 3 3 3 7 2 4 4" xfId="37746" xr:uid="{00000000-0005-0000-0000-00003A930000}"/>
    <cellStyle name="Normal 3 3 3 7 2 5" xfId="10532" xr:uid="{00000000-0005-0000-0000-00003B930000}"/>
    <cellStyle name="Normal 3 3 3 7 2 5 2" xfId="26124" xr:uid="{00000000-0005-0000-0000-00003C930000}"/>
    <cellStyle name="Normal 3 3 3 7 2 5 3" xfId="41616" xr:uid="{00000000-0005-0000-0000-00003D930000}"/>
    <cellStyle name="Normal 3 3 3 7 2 6" xfId="18384" xr:uid="{00000000-0005-0000-0000-00003E930000}"/>
    <cellStyle name="Normal 3 3 3 7 2 7" xfId="33876" xr:uid="{00000000-0005-0000-0000-00003F930000}"/>
    <cellStyle name="Normal 3 3 3 7 3" xfId="3413" xr:uid="{00000000-0005-0000-0000-000040930000}"/>
    <cellStyle name="Normal 3 3 3 7 3 2" xfId="5352" xr:uid="{00000000-0005-0000-0000-000041930000}"/>
    <cellStyle name="Normal 3 3 3 7 3 2 2" xfId="9223" xr:uid="{00000000-0005-0000-0000-000042930000}"/>
    <cellStyle name="Normal 3 3 3 7 3 2 2 2" xfId="16968" xr:uid="{00000000-0005-0000-0000-000043930000}"/>
    <cellStyle name="Normal 3 3 3 7 3 2 2 2 2" xfId="32560" xr:uid="{00000000-0005-0000-0000-000044930000}"/>
    <cellStyle name="Normal 3 3 3 7 3 2 2 2 3" xfId="48052" xr:uid="{00000000-0005-0000-0000-000045930000}"/>
    <cellStyle name="Normal 3 3 3 7 3 2 2 3" xfId="24820" xr:uid="{00000000-0005-0000-0000-000046930000}"/>
    <cellStyle name="Normal 3 3 3 7 3 2 2 4" xfId="40312" xr:uid="{00000000-0005-0000-0000-000047930000}"/>
    <cellStyle name="Normal 3 3 3 7 3 2 3" xfId="13098" xr:uid="{00000000-0005-0000-0000-000048930000}"/>
    <cellStyle name="Normal 3 3 3 7 3 2 3 2" xfId="28690" xr:uid="{00000000-0005-0000-0000-000049930000}"/>
    <cellStyle name="Normal 3 3 3 7 3 2 3 3" xfId="44182" xr:uid="{00000000-0005-0000-0000-00004A930000}"/>
    <cellStyle name="Normal 3 3 3 7 3 2 4" xfId="20950" xr:uid="{00000000-0005-0000-0000-00004B930000}"/>
    <cellStyle name="Normal 3 3 3 7 3 2 5" xfId="36442" xr:uid="{00000000-0005-0000-0000-00004C930000}"/>
    <cellStyle name="Normal 3 3 3 7 3 3" xfId="7296" xr:uid="{00000000-0005-0000-0000-00004D930000}"/>
    <cellStyle name="Normal 3 3 3 7 3 3 2" xfId="15041" xr:uid="{00000000-0005-0000-0000-00004E930000}"/>
    <cellStyle name="Normal 3 3 3 7 3 3 2 2" xfId="30633" xr:uid="{00000000-0005-0000-0000-00004F930000}"/>
    <cellStyle name="Normal 3 3 3 7 3 3 2 3" xfId="46125" xr:uid="{00000000-0005-0000-0000-000050930000}"/>
    <cellStyle name="Normal 3 3 3 7 3 3 3" xfId="22893" xr:uid="{00000000-0005-0000-0000-000051930000}"/>
    <cellStyle name="Normal 3 3 3 7 3 3 4" xfId="38385" xr:uid="{00000000-0005-0000-0000-000052930000}"/>
    <cellStyle name="Normal 3 3 3 7 3 4" xfId="11171" xr:uid="{00000000-0005-0000-0000-000053930000}"/>
    <cellStyle name="Normal 3 3 3 7 3 4 2" xfId="26763" xr:uid="{00000000-0005-0000-0000-000054930000}"/>
    <cellStyle name="Normal 3 3 3 7 3 4 3" xfId="42255" xr:uid="{00000000-0005-0000-0000-000055930000}"/>
    <cellStyle name="Normal 3 3 3 7 3 5" xfId="19023" xr:uid="{00000000-0005-0000-0000-000056930000}"/>
    <cellStyle name="Normal 3 3 3 7 3 6" xfId="34515" xr:uid="{00000000-0005-0000-0000-000057930000}"/>
    <cellStyle name="Normal 3 3 3 7 4" xfId="4404" xr:uid="{00000000-0005-0000-0000-000058930000}"/>
    <cellStyle name="Normal 3 3 3 7 4 2" xfId="8275" xr:uid="{00000000-0005-0000-0000-000059930000}"/>
    <cellStyle name="Normal 3 3 3 7 4 2 2" xfId="16020" xr:uid="{00000000-0005-0000-0000-00005A930000}"/>
    <cellStyle name="Normal 3 3 3 7 4 2 2 2" xfId="31612" xr:uid="{00000000-0005-0000-0000-00005B930000}"/>
    <cellStyle name="Normal 3 3 3 7 4 2 2 3" xfId="47104" xr:uid="{00000000-0005-0000-0000-00005C930000}"/>
    <cellStyle name="Normal 3 3 3 7 4 2 3" xfId="23872" xr:uid="{00000000-0005-0000-0000-00005D930000}"/>
    <cellStyle name="Normal 3 3 3 7 4 2 4" xfId="39364" xr:uid="{00000000-0005-0000-0000-00005E930000}"/>
    <cellStyle name="Normal 3 3 3 7 4 3" xfId="12150" xr:uid="{00000000-0005-0000-0000-00005F930000}"/>
    <cellStyle name="Normal 3 3 3 7 4 3 2" xfId="27742" xr:uid="{00000000-0005-0000-0000-000060930000}"/>
    <cellStyle name="Normal 3 3 3 7 4 3 3" xfId="43234" xr:uid="{00000000-0005-0000-0000-000061930000}"/>
    <cellStyle name="Normal 3 3 3 7 4 4" xfId="20002" xr:uid="{00000000-0005-0000-0000-000062930000}"/>
    <cellStyle name="Normal 3 3 3 7 4 5" xfId="35494" xr:uid="{00000000-0005-0000-0000-000063930000}"/>
    <cellStyle name="Normal 3 3 3 7 5" xfId="6348" xr:uid="{00000000-0005-0000-0000-000064930000}"/>
    <cellStyle name="Normal 3 3 3 7 5 2" xfId="14093" xr:uid="{00000000-0005-0000-0000-000065930000}"/>
    <cellStyle name="Normal 3 3 3 7 5 2 2" xfId="29685" xr:uid="{00000000-0005-0000-0000-000066930000}"/>
    <cellStyle name="Normal 3 3 3 7 5 2 3" xfId="45177" xr:uid="{00000000-0005-0000-0000-000067930000}"/>
    <cellStyle name="Normal 3 3 3 7 5 3" xfId="21945" xr:uid="{00000000-0005-0000-0000-000068930000}"/>
    <cellStyle name="Normal 3 3 3 7 5 4" xfId="37437" xr:uid="{00000000-0005-0000-0000-000069930000}"/>
    <cellStyle name="Normal 3 3 3 7 6" xfId="10223" xr:uid="{00000000-0005-0000-0000-00006A930000}"/>
    <cellStyle name="Normal 3 3 3 7 6 2" xfId="25815" xr:uid="{00000000-0005-0000-0000-00006B930000}"/>
    <cellStyle name="Normal 3 3 3 7 6 3" xfId="41307" xr:uid="{00000000-0005-0000-0000-00006C930000}"/>
    <cellStyle name="Normal 3 3 3 7 7" xfId="18075" xr:uid="{00000000-0005-0000-0000-00006D930000}"/>
    <cellStyle name="Normal 3 3 3 7 8" xfId="33567" xr:uid="{00000000-0005-0000-0000-00006E930000}"/>
    <cellStyle name="Normal 3 3 3 8" xfId="2440" xr:uid="{00000000-0005-0000-0000-00006F930000}"/>
    <cellStyle name="Normal 3 3 3 8 2" xfId="2750" xr:uid="{00000000-0005-0000-0000-000070930000}"/>
    <cellStyle name="Normal 3 3 3 8 2 2" xfId="3758" xr:uid="{00000000-0005-0000-0000-000071930000}"/>
    <cellStyle name="Normal 3 3 3 8 2 2 2" xfId="5697" xr:uid="{00000000-0005-0000-0000-000072930000}"/>
    <cellStyle name="Normal 3 3 3 8 2 2 2 2" xfId="9568" xr:uid="{00000000-0005-0000-0000-000073930000}"/>
    <cellStyle name="Normal 3 3 3 8 2 2 2 2 2" xfId="17313" xr:uid="{00000000-0005-0000-0000-000074930000}"/>
    <cellStyle name="Normal 3 3 3 8 2 2 2 2 2 2" xfId="32905" xr:uid="{00000000-0005-0000-0000-000075930000}"/>
    <cellStyle name="Normal 3 3 3 8 2 2 2 2 2 3" xfId="48397" xr:uid="{00000000-0005-0000-0000-000076930000}"/>
    <cellStyle name="Normal 3 3 3 8 2 2 2 2 3" xfId="25165" xr:uid="{00000000-0005-0000-0000-000077930000}"/>
    <cellStyle name="Normal 3 3 3 8 2 2 2 2 4" xfId="40657" xr:uid="{00000000-0005-0000-0000-000078930000}"/>
    <cellStyle name="Normal 3 3 3 8 2 2 2 3" xfId="13443" xr:uid="{00000000-0005-0000-0000-000079930000}"/>
    <cellStyle name="Normal 3 3 3 8 2 2 2 3 2" xfId="29035" xr:uid="{00000000-0005-0000-0000-00007A930000}"/>
    <cellStyle name="Normal 3 3 3 8 2 2 2 3 3" xfId="44527" xr:uid="{00000000-0005-0000-0000-00007B930000}"/>
    <cellStyle name="Normal 3 3 3 8 2 2 2 4" xfId="21295" xr:uid="{00000000-0005-0000-0000-00007C930000}"/>
    <cellStyle name="Normal 3 3 3 8 2 2 2 5" xfId="36787" xr:uid="{00000000-0005-0000-0000-00007D930000}"/>
    <cellStyle name="Normal 3 3 3 8 2 2 3" xfId="7641" xr:uid="{00000000-0005-0000-0000-00007E930000}"/>
    <cellStyle name="Normal 3 3 3 8 2 2 3 2" xfId="15386" xr:uid="{00000000-0005-0000-0000-00007F930000}"/>
    <cellStyle name="Normal 3 3 3 8 2 2 3 2 2" xfId="30978" xr:uid="{00000000-0005-0000-0000-000080930000}"/>
    <cellStyle name="Normal 3 3 3 8 2 2 3 2 3" xfId="46470" xr:uid="{00000000-0005-0000-0000-000081930000}"/>
    <cellStyle name="Normal 3 3 3 8 2 2 3 3" xfId="23238" xr:uid="{00000000-0005-0000-0000-000082930000}"/>
    <cellStyle name="Normal 3 3 3 8 2 2 3 4" xfId="38730" xr:uid="{00000000-0005-0000-0000-000083930000}"/>
    <cellStyle name="Normal 3 3 3 8 2 2 4" xfId="11516" xr:uid="{00000000-0005-0000-0000-000084930000}"/>
    <cellStyle name="Normal 3 3 3 8 2 2 4 2" xfId="27108" xr:uid="{00000000-0005-0000-0000-000085930000}"/>
    <cellStyle name="Normal 3 3 3 8 2 2 4 3" xfId="42600" xr:uid="{00000000-0005-0000-0000-000086930000}"/>
    <cellStyle name="Normal 3 3 3 8 2 2 5" xfId="19368" xr:uid="{00000000-0005-0000-0000-000087930000}"/>
    <cellStyle name="Normal 3 3 3 8 2 2 6" xfId="34860" xr:uid="{00000000-0005-0000-0000-000088930000}"/>
    <cellStyle name="Normal 3 3 3 8 2 3" xfId="4749" xr:uid="{00000000-0005-0000-0000-000089930000}"/>
    <cellStyle name="Normal 3 3 3 8 2 3 2" xfId="8620" xr:uid="{00000000-0005-0000-0000-00008A930000}"/>
    <cellStyle name="Normal 3 3 3 8 2 3 2 2" xfId="16365" xr:uid="{00000000-0005-0000-0000-00008B930000}"/>
    <cellStyle name="Normal 3 3 3 8 2 3 2 2 2" xfId="31957" xr:uid="{00000000-0005-0000-0000-00008C930000}"/>
    <cellStyle name="Normal 3 3 3 8 2 3 2 2 3" xfId="47449" xr:uid="{00000000-0005-0000-0000-00008D930000}"/>
    <cellStyle name="Normal 3 3 3 8 2 3 2 3" xfId="24217" xr:uid="{00000000-0005-0000-0000-00008E930000}"/>
    <cellStyle name="Normal 3 3 3 8 2 3 2 4" xfId="39709" xr:uid="{00000000-0005-0000-0000-00008F930000}"/>
    <cellStyle name="Normal 3 3 3 8 2 3 3" xfId="12495" xr:uid="{00000000-0005-0000-0000-000090930000}"/>
    <cellStyle name="Normal 3 3 3 8 2 3 3 2" xfId="28087" xr:uid="{00000000-0005-0000-0000-000091930000}"/>
    <cellStyle name="Normal 3 3 3 8 2 3 3 3" xfId="43579" xr:uid="{00000000-0005-0000-0000-000092930000}"/>
    <cellStyle name="Normal 3 3 3 8 2 3 4" xfId="20347" xr:uid="{00000000-0005-0000-0000-000093930000}"/>
    <cellStyle name="Normal 3 3 3 8 2 3 5" xfId="35839" xr:uid="{00000000-0005-0000-0000-000094930000}"/>
    <cellStyle name="Normal 3 3 3 8 2 4" xfId="6693" xr:uid="{00000000-0005-0000-0000-000095930000}"/>
    <cellStyle name="Normal 3 3 3 8 2 4 2" xfId="14438" xr:uid="{00000000-0005-0000-0000-000096930000}"/>
    <cellStyle name="Normal 3 3 3 8 2 4 2 2" xfId="30030" xr:uid="{00000000-0005-0000-0000-000097930000}"/>
    <cellStyle name="Normal 3 3 3 8 2 4 2 3" xfId="45522" xr:uid="{00000000-0005-0000-0000-000098930000}"/>
    <cellStyle name="Normal 3 3 3 8 2 4 3" xfId="22290" xr:uid="{00000000-0005-0000-0000-000099930000}"/>
    <cellStyle name="Normal 3 3 3 8 2 4 4" xfId="37782" xr:uid="{00000000-0005-0000-0000-00009A930000}"/>
    <cellStyle name="Normal 3 3 3 8 2 5" xfId="10568" xr:uid="{00000000-0005-0000-0000-00009B930000}"/>
    <cellStyle name="Normal 3 3 3 8 2 5 2" xfId="26160" xr:uid="{00000000-0005-0000-0000-00009C930000}"/>
    <cellStyle name="Normal 3 3 3 8 2 5 3" xfId="41652" xr:uid="{00000000-0005-0000-0000-00009D930000}"/>
    <cellStyle name="Normal 3 3 3 8 2 6" xfId="18420" xr:uid="{00000000-0005-0000-0000-00009E930000}"/>
    <cellStyle name="Normal 3 3 3 8 2 7" xfId="33912" xr:uid="{00000000-0005-0000-0000-00009F930000}"/>
    <cellStyle name="Normal 3 3 3 8 3" xfId="3449" xr:uid="{00000000-0005-0000-0000-0000A0930000}"/>
    <cellStyle name="Normal 3 3 3 8 3 2" xfId="5388" xr:uid="{00000000-0005-0000-0000-0000A1930000}"/>
    <cellStyle name="Normal 3 3 3 8 3 2 2" xfId="9259" xr:uid="{00000000-0005-0000-0000-0000A2930000}"/>
    <cellStyle name="Normal 3 3 3 8 3 2 2 2" xfId="17004" xr:uid="{00000000-0005-0000-0000-0000A3930000}"/>
    <cellStyle name="Normal 3 3 3 8 3 2 2 2 2" xfId="32596" xr:uid="{00000000-0005-0000-0000-0000A4930000}"/>
    <cellStyle name="Normal 3 3 3 8 3 2 2 2 3" xfId="48088" xr:uid="{00000000-0005-0000-0000-0000A5930000}"/>
    <cellStyle name="Normal 3 3 3 8 3 2 2 3" xfId="24856" xr:uid="{00000000-0005-0000-0000-0000A6930000}"/>
    <cellStyle name="Normal 3 3 3 8 3 2 2 4" xfId="40348" xr:uid="{00000000-0005-0000-0000-0000A7930000}"/>
    <cellStyle name="Normal 3 3 3 8 3 2 3" xfId="13134" xr:uid="{00000000-0005-0000-0000-0000A8930000}"/>
    <cellStyle name="Normal 3 3 3 8 3 2 3 2" xfId="28726" xr:uid="{00000000-0005-0000-0000-0000A9930000}"/>
    <cellStyle name="Normal 3 3 3 8 3 2 3 3" xfId="44218" xr:uid="{00000000-0005-0000-0000-0000AA930000}"/>
    <cellStyle name="Normal 3 3 3 8 3 2 4" xfId="20986" xr:uid="{00000000-0005-0000-0000-0000AB930000}"/>
    <cellStyle name="Normal 3 3 3 8 3 2 5" xfId="36478" xr:uid="{00000000-0005-0000-0000-0000AC930000}"/>
    <cellStyle name="Normal 3 3 3 8 3 3" xfId="7332" xr:uid="{00000000-0005-0000-0000-0000AD930000}"/>
    <cellStyle name="Normal 3 3 3 8 3 3 2" xfId="15077" xr:uid="{00000000-0005-0000-0000-0000AE930000}"/>
    <cellStyle name="Normal 3 3 3 8 3 3 2 2" xfId="30669" xr:uid="{00000000-0005-0000-0000-0000AF930000}"/>
    <cellStyle name="Normal 3 3 3 8 3 3 2 3" xfId="46161" xr:uid="{00000000-0005-0000-0000-0000B0930000}"/>
    <cellStyle name="Normal 3 3 3 8 3 3 3" xfId="22929" xr:uid="{00000000-0005-0000-0000-0000B1930000}"/>
    <cellStyle name="Normal 3 3 3 8 3 3 4" xfId="38421" xr:uid="{00000000-0005-0000-0000-0000B2930000}"/>
    <cellStyle name="Normal 3 3 3 8 3 4" xfId="11207" xr:uid="{00000000-0005-0000-0000-0000B3930000}"/>
    <cellStyle name="Normal 3 3 3 8 3 4 2" xfId="26799" xr:uid="{00000000-0005-0000-0000-0000B4930000}"/>
    <cellStyle name="Normal 3 3 3 8 3 4 3" xfId="42291" xr:uid="{00000000-0005-0000-0000-0000B5930000}"/>
    <cellStyle name="Normal 3 3 3 8 3 5" xfId="19059" xr:uid="{00000000-0005-0000-0000-0000B6930000}"/>
    <cellStyle name="Normal 3 3 3 8 3 6" xfId="34551" xr:uid="{00000000-0005-0000-0000-0000B7930000}"/>
    <cellStyle name="Normal 3 3 3 8 4" xfId="4440" xr:uid="{00000000-0005-0000-0000-0000B8930000}"/>
    <cellStyle name="Normal 3 3 3 8 4 2" xfId="8311" xr:uid="{00000000-0005-0000-0000-0000B9930000}"/>
    <cellStyle name="Normal 3 3 3 8 4 2 2" xfId="16056" xr:uid="{00000000-0005-0000-0000-0000BA930000}"/>
    <cellStyle name="Normal 3 3 3 8 4 2 2 2" xfId="31648" xr:uid="{00000000-0005-0000-0000-0000BB930000}"/>
    <cellStyle name="Normal 3 3 3 8 4 2 2 3" xfId="47140" xr:uid="{00000000-0005-0000-0000-0000BC930000}"/>
    <cellStyle name="Normal 3 3 3 8 4 2 3" xfId="23908" xr:uid="{00000000-0005-0000-0000-0000BD930000}"/>
    <cellStyle name="Normal 3 3 3 8 4 2 4" xfId="39400" xr:uid="{00000000-0005-0000-0000-0000BE930000}"/>
    <cellStyle name="Normal 3 3 3 8 4 3" xfId="12186" xr:uid="{00000000-0005-0000-0000-0000BF930000}"/>
    <cellStyle name="Normal 3 3 3 8 4 3 2" xfId="27778" xr:uid="{00000000-0005-0000-0000-0000C0930000}"/>
    <cellStyle name="Normal 3 3 3 8 4 3 3" xfId="43270" xr:uid="{00000000-0005-0000-0000-0000C1930000}"/>
    <cellStyle name="Normal 3 3 3 8 4 4" xfId="20038" xr:uid="{00000000-0005-0000-0000-0000C2930000}"/>
    <cellStyle name="Normal 3 3 3 8 4 5" xfId="35530" xr:uid="{00000000-0005-0000-0000-0000C3930000}"/>
    <cellStyle name="Normal 3 3 3 8 5" xfId="6384" xr:uid="{00000000-0005-0000-0000-0000C4930000}"/>
    <cellStyle name="Normal 3 3 3 8 5 2" xfId="14129" xr:uid="{00000000-0005-0000-0000-0000C5930000}"/>
    <cellStyle name="Normal 3 3 3 8 5 2 2" xfId="29721" xr:uid="{00000000-0005-0000-0000-0000C6930000}"/>
    <cellStyle name="Normal 3 3 3 8 5 2 3" xfId="45213" xr:uid="{00000000-0005-0000-0000-0000C7930000}"/>
    <cellStyle name="Normal 3 3 3 8 5 3" xfId="21981" xr:uid="{00000000-0005-0000-0000-0000C8930000}"/>
    <cellStyle name="Normal 3 3 3 8 5 4" xfId="37473" xr:uid="{00000000-0005-0000-0000-0000C9930000}"/>
    <cellStyle name="Normal 3 3 3 8 6" xfId="10259" xr:uid="{00000000-0005-0000-0000-0000CA930000}"/>
    <cellStyle name="Normal 3 3 3 8 6 2" xfId="25851" xr:uid="{00000000-0005-0000-0000-0000CB930000}"/>
    <cellStyle name="Normal 3 3 3 8 6 3" xfId="41343" xr:uid="{00000000-0005-0000-0000-0000CC930000}"/>
    <cellStyle name="Normal 3 3 3 8 7" xfId="18111" xr:uid="{00000000-0005-0000-0000-0000CD930000}"/>
    <cellStyle name="Normal 3 3 3 8 8" xfId="33603" xr:uid="{00000000-0005-0000-0000-0000CE930000}"/>
    <cellStyle name="Normal 3 3 3 9" xfId="2477" xr:uid="{00000000-0005-0000-0000-0000CF930000}"/>
    <cellStyle name="Normal 3 3 3 9 2" xfId="2786" xr:uid="{00000000-0005-0000-0000-0000D0930000}"/>
    <cellStyle name="Normal 3 3 3 9 2 2" xfId="3794" xr:uid="{00000000-0005-0000-0000-0000D1930000}"/>
    <cellStyle name="Normal 3 3 3 9 2 2 2" xfId="5733" xr:uid="{00000000-0005-0000-0000-0000D2930000}"/>
    <cellStyle name="Normal 3 3 3 9 2 2 2 2" xfId="9604" xr:uid="{00000000-0005-0000-0000-0000D3930000}"/>
    <cellStyle name="Normal 3 3 3 9 2 2 2 2 2" xfId="17349" xr:uid="{00000000-0005-0000-0000-0000D4930000}"/>
    <cellStyle name="Normal 3 3 3 9 2 2 2 2 2 2" xfId="32941" xr:uid="{00000000-0005-0000-0000-0000D5930000}"/>
    <cellStyle name="Normal 3 3 3 9 2 2 2 2 2 3" xfId="48433" xr:uid="{00000000-0005-0000-0000-0000D6930000}"/>
    <cellStyle name="Normal 3 3 3 9 2 2 2 2 3" xfId="25201" xr:uid="{00000000-0005-0000-0000-0000D7930000}"/>
    <cellStyle name="Normal 3 3 3 9 2 2 2 2 4" xfId="40693" xr:uid="{00000000-0005-0000-0000-0000D8930000}"/>
    <cellStyle name="Normal 3 3 3 9 2 2 2 3" xfId="13479" xr:uid="{00000000-0005-0000-0000-0000D9930000}"/>
    <cellStyle name="Normal 3 3 3 9 2 2 2 3 2" xfId="29071" xr:uid="{00000000-0005-0000-0000-0000DA930000}"/>
    <cellStyle name="Normal 3 3 3 9 2 2 2 3 3" xfId="44563" xr:uid="{00000000-0005-0000-0000-0000DB930000}"/>
    <cellStyle name="Normal 3 3 3 9 2 2 2 4" xfId="21331" xr:uid="{00000000-0005-0000-0000-0000DC930000}"/>
    <cellStyle name="Normal 3 3 3 9 2 2 2 5" xfId="36823" xr:uid="{00000000-0005-0000-0000-0000DD930000}"/>
    <cellStyle name="Normal 3 3 3 9 2 2 3" xfId="7677" xr:uid="{00000000-0005-0000-0000-0000DE930000}"/>
    <cellStyle name="Normal 3 3 3 9 2 2 3 2" xfId="15422" xr:uid="{00000000-0005-0000-0000-0000DF930000}"/>
    <cellStyle name="Normal 3 3 3 9 2 2 3 2 2" xfId="31014" xr:uid="{00000000-0005-0000-0000-0000E0930000}"/>
    <cellStyle name="Normal 3 3 3 9 2 2 3 2 3" xfId="46506" xr:uid="{00000000-0005-0000-0000-0000E1930000}"/>
    <cellStyle name="Normal 3 3 3 9 2 2 3 3" xfId="23274" xr:uid="{00000000-0005-0000-0000-0000E2930000}"/>
    <cellStyle name="Normal 3 3 3 9 2 2 3 4" xfId="38766" xr:uid="{00000000-0005-0000-0000-0000E3930000}"/>
    <cellStyle name="Normal 3 3 3 9 2 2 4" xfId="11552" xr:uid="{00000000-0005-0000-0000-0000E4930000}"/>
    <cellStyle name="Normal 3 3 3 9 2 2 4 2" xfId="27144" xr:uid="{00000000-0005-0000-0000-0000E5930000}"/>
    <cellStyle name="Normal 3 3 3 9 2 2 4 3" xfId="42636" xr:uid="{00000000-0005-0000-0000-0000E6930000}"/>
    <cellStyle name="Normal 3 3 3 9 2 2 5" xfId="19404" xr:uid="{00000000-0005-0000-0000-0000E7930000}"/>
    <cellStyle name="Normal 3 3 3 9 2 2 6" xfId="34896" xr:uid="{00000000-0005-0000-0000-0000E8930000}"/>
    <cellStyle name="Normal 3 3 3 9 2 3" xfId="4785" xr:uid="{00000000-0005-0000-0000-0000E9930000}"/>
    <cellStyle name="Normal 3 3 3 9 2 3 2" xfId="8656" xr:uid="{00000000-0005-0000-0000-0000EA930000}"/>
    <cellStyle name="Normal 3 3 3 9 2 3 2 2" xfId="16401" xr:uid="{00000000-0005-0000-0000-0000EB930000}"/>
    <cellStyle name="Normal 3 3 3 9 2 3 2 2 2" xfId="31993" xr:uid="{00000000-0005-0000-0000-0000EC930000}"/>
    <cellStyle name="Normal 3 3 3 9 2 3 2 2 3" xfId="47485" xr:uid="{00000000-0005-0000-0000-0000ED930000}"/>
    <cellStyle name="Normal 3 3 3 9 2 3 2 3" xfId="24253" xr:uid="{00000000-0005-0000-0000-0000EE930000}"/>
    <cellStyle name="Normal 3 3 3 9 2 3 2 4" xfId="39745" xr:uid="{00000000-0005-0000-0000-0000EF930000}"/>
    <cellStyle name="Normal 3 3 3 9 2 3 3" xfId="12531" xr:uid="{00000000-0005-0000-0000-0000F0930000}"/>
    <cellStyle name="Normal 3 3 3 9 2 3 3 2" xfId="28123" xr:uid="{00000000-0005-0000-0000-0000F1930000}"/>
    <cellStyle name="Normal 3 3 3 9 2 3 3 3" xfId="43615" xr:uid="{00000000-0005-0000-0000-0000F2930000}"/>
    <cellStyle name="Normal 3 3 3 9 2 3 4" xfId="20383" xr:uid="{00000000-0005-0000-0000-0000F3930000}"/>
    <cellStyle name="Normal 3 3 3 9 2 3 5" xfId="35875" xr:uid="{00000000-0005-0000-0000-0000F4930000}"/>
    <cellStyle name="Normal 3 3 3 9 2 4" xfId="6729" xr:uid="{00000000-0005-0000-0000-0000F5930000}"/>
    <cellStyle name="Normal 3 3 3 9 2 4 2" xfId="14474" xr:uid="{00000000-0005-0000-0000-0000F6930000}"/>
    <cellStyle name="Normal 3 3 3 9 2 4 2 2" xfId="30066" xr:uid="{00000000-0005-0000-0000-0000F7930000}"/>
    <cellStyle name="Normal 3 3 3 9 2 4 2 3" xfId="45558" xr:uid="{00000000-0005-0000-0000-0000F8930000}"/>
    <cellStyle name="Normal 3 3 3 9 2 4 3" xfId="22326" xr:uid="{00000000-0005-0000-0000-0000F9930000}"/>
    <cellStyle name="Normal 3 3 3 9 2 4 4" xfId="37818" xr:uid="{00000000-0005-0000-0000-0000FA930000}"/>
    <cellStyle name="Normal 3 3 3 9 2 5" xfId="10604" xr:uid="{00000000-0005-0000-0000-0000FB930000}"/>
    <cellStyle name="Normal 3 3 3 9 2 5 2" xfId="26196" xr:uid="{00000000-0005-0000-0000-0000FC930000}"/>
    <cellStyle name="Normal 3 3 3 9 2 5 3" xfId="41688" xr:uid="{00000000-0005-0000-0000-0000FD930000}"/>
    <cellStyle name="Normal 3 3 3 9 2 6" xfId="18456" xr:uid="{00000000-0005-0000-0000-0000FE930000}"/>
    <cellStyle name="Normal 3 3 3 9 2 7" xfId="33948" xr:uid="{00000000-0005-0000-0000-0000FF930000}"/>
    <cellStyle name="Normal 3 3 3 9 3" xfId="3485" xr:uid="{00000000-0005-0000-0000-000000940000}"/>
    <cellStyle name="Normal 3 3 3 9 3 2" xfId="5424" xr:uid="{00000000-0005-0000-0000-000001940000}"/>
    <cellStyle name="Normal 3 3 3 9 3 2 2" xfId="9295" xr:uid="{00000000-0005-0000-0000-000002940000}"/>
    <cellStyle name="Normal 3 3 3 9 3 2 2 2" xfId="17040" xr:uid="{00000000-0005-0000-0000-000003940000}"/>
    <cellStyle name="Normal 3 3 3 9 3 2 2 2 2" xfId="32632" xr:uid="{00000000-0005-0000-0000-000004940000}"/>
    <cellStyle name="Normal 3 3 3 9 3 2 2 2 3" xfId="48124" xr:uid="{00000000-0005-0000-0000-000005940000}"/>
    <cellStyle name="Normal 3 3 3 9 3 2 2 3" xfId="24892" xr:uid="{00000000-0005-0000-0000-000006940000}"/>
    <cellStyle name="Normal 3 3 3 9 3 2 2 4" xfId="40384" xr:uid="{00000000-0005-0000-0000-000007940000}"/>
    <cellStyle name="Normal 3 3 3 9 3 2 3" xfId="13170" xr:uid="{00000000-0005-0000-0000-000008940000}"/>
    <cellStyle name="Normal 3 3 3 9 3 2 3 2" xfId="28762" xr:uid="{00000000-0005-0000-0000-000009940000}"/>
    <cellStyle name="Normal 3 3 3 9 3 2 3 3" xfId="44254" xr:uid="{00000000-0005-0000-0000-00000A940000}"/>
    <cellStyle name="Normal 3 3 3 9 3 2 4" xfId="21022" xr:uid="{00000000-0005-0000-0000-00000B940000}"/>
    <cellStyle name="Normal 3 3 3 9 3 2 5" xfId="36514" xr:uid="{00000000-0005-0000-0000-00000C940000}"/>
    <cellStyle name="Normal 3 3 3 9 3 3" xfId="7368" xr:uid="{00000000-0005-0000-0000-00000D940000}"/>
    <cellStyle name="Normal 3 3 3 9 3 3 2" xfId="15113" xr:uid="{00000000-0005-0000-0000-00000E940000}"/>
    <cellStyle name="Normal 3 3 3 9 3 3 2 2" xfId="30705" xr:uid="{00000000-0005-0000-0000-00000F940000}"/>
    <cellStyle name="Normal 3 3 3 9 3 3 2 3" xfId="46197" xr:uid="{00000000-0005-0000-0000-000010940000}"/>
    <cellStyle name="Normal 3 3 3 9 3 3 3" xfId="22965" xr:uid="{00000000-0005-0000-0000-000011940000}"/>
    <cellStyle name="Normal 3 3 3 9 3 3 4" xfId="38457" xr:uid="{00000000-0005-0000-0000-000012940000}"/>
    <cellStyle name="Normal 3 3 3 9 3 4" xfId="11243" xr:uid="{00000000-0005-0000-0000-000013940000}"/>
    <cellStyle name="Normal 3 3 3 9 3 4 2" xfId="26835" xr:uid="{00000000-0005-0000-0000-000014940000}"/>
    <cellStyle name="Normal 3 3 3 9 3 4 3" xfId="42327" xr:uid="{00000000-0005-0000-0000-000015940000}"/>
    <cellStyle name="Normal 3 3 3 9 3 5" xfId="19095" xr:uid="{00000000-0005-0000-0000-000016940000}"/>
    <cellStyle name="Normal 3 3 3 9 3 6" xfId="34587" xr:uid="{00000000-0005-0000-0000-000017940000}"/>
    <cellStyle name="Normal 3 3 3 9 4" xfId="4476" xr:uid="{00000000-0005-0000-0000-000018940000}"/>
    <cellStyle name="Normal 3 3 3 9 4 2" xfId="8347" xr:uid="{00000000-0005-0000-0000-000019940000}"/>
    <cellStyle name="Normal 3 3 3 9 4 2 2" xfId="16092" xr:uid="{00000000-0005-0000-0000-00001A940000}"/>
    <cellStyle name="Normal 3 3 3 9 4 2 2 2" xfId="31684" xr:uid="{00000000-0005-0000-0000-00001B940000}"/>
    <cellStyle name="Normal 3 3 3 9 4 2 2 3" xfId="47176" xr:uid="{00000000-0005-0000-0000-00001C940000}"/>
    <cellStyle name="Normal 3 3 3 9 4 2 3" xfId="23944" xr:uid="{00000000-0005-0000-0000-00001D940000}"/>
    <cellStyle name="Normal 3 3 3 9 4 2 4" xfId="39436" xr:uid="{00000000-0005-0000-0000-00001E940000}"/>
    <cellStyle name="Normal 3 3 3 9 4 3" xfId="12222" xr:uid="{00000000-0005-0000-0000-00001F940000}"/>
    <cellStyle name="Normal 3 3 3 9 4 3 2" xfId="27814" xr:uid="{00000000-0005-0000-0000-000020940000}"/>
    <cellStyle name="Normal 3 3 3 9 4 3 3" xfId="43306" xr:uid="{00000000-0005-0000-0000-000021940000}"/>
    <cellStyle name="Normal 3 3 3 9 4 4" xfId="20074" xr:uid="{00000000-0005-0000-0000-000022940000}"/>
    <cellStyle name="Normal 3 3 3 9 4 5" xfId="35566" xr:uid="{00000000-0005-0000-0000-000023940000}"/>
    <cellStyle name="Normal 3 3 3 9 5" xfId="6420" xr:uid="{00000000-0005-0000-0000-000024940000}"/>
    <cellStyle name="Normal 3 3 3 9 5 2" xfId="14165" xr:uid="{00000000-0005-0000-0000-000025940000}"/>
    <cellStyle name="Normal 3 3 3 9 5 2 2" xfId="29757" xr:uid="{00000000-0005-0000-0000-000026940000}"/>
    <cellStyle name="Normal 3 3 3 9 5 2 3" xfId="45249" xr:uid="{00000000-0005-0000-0000-000027940000}"/>
    <cellStyle name="Normal 3 3 3 9 5 3" xfId="22017" xr:uid="{00000000-0005-0000-0000-000028940000}"/>
    <cellStyle name="Normal 3 3 3 9 5 4" xfId="37509" xr:uid="{00000000-0005-0000-0000-000029940000}"/>
    <cellStyle name="Normal 3 3 3 9 6" xfId="10295" xr:uid="{00000000-0005-0000-0000-00002A940000}"/>
    <cellStyle name="Normal 3 3 3 9 6 2" xfId="25887" xr:uid="{00000000-0005-0000-0000-00002B940000}"/>
    <cellStyle name="Normal 3 3 3 9 6 3" xfId="41379" xr:uid="{00000000-0005-0000-0000-00002C940000}"/>
    <cellStyle name="Normal 3 3 3 9 7" xfId="18147" xr:uid="{00000000-0005-0000-0000-00002D940000}"/>
    <cellStyle name="Normal 3 3 3 9 8" xfId="33639" xr:uid="{00000000-0005-0000-0000-00002E940000}"/>
    <cellStyle name="Normal 3 30" xfId="3135" xr:uid="{00000000-0005-0000-0000-00002F940000}"/>
    <cellStyle name="Normal 3 30 2" xfId="4118" xr:uid="{00000000-0005-0000-0000-000030940000}"/>
    <cellStyle name="Normal 3 30 2 2" xfId="6057" xr:uid="{00000000-0005-0000-0000-000031940000}"/>
    <cellStyle name="Normal 3 30 2 2 2" xfId="9928" xr:uid="{00000000-0005-0000-0000-000032940000}"/>
    <cellStyle name="Normal 3 30 2 2 2 2" xfId="17673" xr:uid="{00000000-0005-0000-0000-000033940000}"/>
    <cellStyle name="Normal 3 30 2 2 2 2 2" xfId="33265" xr:uid="{00000000-0005-0000-0000-000034940000}"/>
    <cellStyle name="Normal 3 30 2 2 2 2 3" xfId="48757" xr:uid="{00000000-0005-0000-0000-000035940000}"/>
    <cellStyle name="Normal 3 30 2 2 2 3" xfId="25525" xr:uid="{00000000-0005-0000-0000-000036940000}"/>
    <cellStyle name="Normal 3 30 2 2 2 4" xfId="41017" xr:uid="{00000000-0005-0000-0000-000037940000}"/>
    <cellStyle name="Normal 3 30 2 2 3" xfId="13803" xr:uid="{00000000-0005-0000-0000-000038940000}"/>
    <cellStyle name="Normal 3 30 2 2 3 2" xfId="29395" xr:uid="{00000000-0005-0000-0000-000039940000}"/>
    <cellStyle name="Normal 3 30 2 2 3 3" xfId="44887" xr:uid="{00000000-0005-0000-0000-00003A940000}"/>
    <cellStyle name="Normal 3 30 2 2 4" xfId="21655" xr:uid="{00000000-0005-0000-0000-00003B940000}"/>
    <cellStyle name="Normal 3 30 2 2 5" xfId="37147" xr:uid="{00000000-0005-0000-0000-00003C940000}"/>
    <cellStyle name="Normal 3 30 2 3" xfId="8001" xr:uid="{00000000-0005-0000-0000-00003D940000}"/>
    <cellStyle name="Normal 3 30 2 3 2" xfId="15746" xr:uid="{00000000-0005-0000-0000-00003E940000}"/>
    <cellStyle name="Normal 3 30 2 3 2 2" xfId="31338" xr:uid="{00000000-0005-0000-0000-00003F940000}"/>
    <cellStyle name="Normal 3 30 2 3 2 3" xfId="46830" xr:uid="{00000000-0005-0000-0000-000040940000}"/>
    <cellStyle name="Normal 3 30 2 3 3" xfId="23598" xr:uid="{00000000-0005-0000-0000-000041940000}"/>
    <cellStyle name="Normal 3 30 2 3 4" xfId="39090" xr:uid="{00000000-0005-0000-0000-000042940000}"/>
    <cellStyle name="Normal 3 30 2 4" xfId="11876" xr:uid="{00000000-0005-0000-0000-000043940000}"/>
    <cellStyle name="Normal 3 30 2 4 2" xfId="27468" xr:uid="{00000000-0005-0000-0000-000044940000}"/>
    <cellStyle name="Normal 3 30 2 4 3" xfId="42960" xr:uid="{00000000-0005-0000-0000-000045940000}"/>
    <cellStyle name="Normal 3 30 2 5" xfId="19728" xr:uid="{00000000-0005-0000-0000-000046940000}"/>
    <cellStyle name="Normal 3 30 2 6" xfId="35220" xr:uid="{00000000-0005-0000-0000-000047940000}"/>
    <cellStyle name="Normal 3 30 3" xfId="5109" xr:uid="{00000000-0005-0000-0000-000048940000}"/>
    <cellStyle name="Normal 3 30 3 2" xfId="8980" xr:uid="{00000000-0005-0000-0000-000049940000}"/>
    <cellStyle name="Normal 3 30 3 2 2" xfId="16725" xr:uid="{00000000-0005-0000-0000-00004A940000}"/>
    <cellStyle name="Normal 3 30 3 2 2 2" xfId="32317" xr:uid="{00000000-0005-0000-0000-00004B940000}"/>
    <cellStyle name="Normal 3 30 3 2 2 3" xfId="47809" xr:uid="{00000000-0005-0000-0000-00004C940000}"/>
    <cellStyle name="Normal 3 30 3 2 3" xfId="24577" xr:uid="{00000000-0005-0000-0000-00004D940000}"/>
    <cellStyle name="Normal 3 30 3 2 4" xfId="40069" xr:uid="{00000000-0005-0000-0000-00004E940000}"/>
    <cellStyle name="Normal 3 30 3 3" xfId="12855" xr:uid="{00000000-0005-0000-0000-00004F940000}"/>
    <cellStyle name="Normal 3 30 3 3 2" xfId="28447" xr:uid="{00000000-0005-0000-0000-000050940000}"/>
    <cellStyle name="Normal 3 30 3 3 3" xfId="43939" xr:uid="{00000000-0005-0000-0000-000051940000}"/>
    <cellStyle name="Normal 3 30 3 4" xfId="20707" xr:uid="{00000000-0005-0000-0000-000052940000}"/>
    <cellStyle name="Normal 3 30 3 5" xfId="36199" xr:uid="{00000000-0005-0000-0000-000053940000}"/>
    <cellStyle name="Normal 3 30 4" xfId="7053" xr:uid="{00000000-0005-0000-0000-000054940000}"/>
    <cellStyle name="Normal 3 30 4 2" xfId="14798" xr:uid="{00000000-0005-0000-0000-000055940000}"/>
    <cellStyle name="Normal 3 30 4 2 2" xfId="30390" xr:uid="{00000000-0005-0000-0000-000056940000}"/>
    <cellStyle name="Normal 3 30 4 2 3" xfId="45882" xr:uid="{00000000-0005-0000-0000-000057940000}"/>
    <cellStyle name="Normal 3 30 4 3" xfId="22650" xr:uid="{00000000-0005-0000-0000-000058940000}"/>
    <cellStyle name="Normal 3 30 4 4" xfId="38142" xr:uid="{00000000-0005-0000-0000-000059940000}"/>
    <cellStyle name="Normal 3 30 5" xfId="10928" xr:uid="{00000000-0005-0000-0000-00005A940000}"/>
    <cellStyle name="Normal 3 30 5 2" xfId="26520" xr:uid="{00000000-0005-0000-0000-00005B940000}"/>
    <cellStyle name="Normal 3 30 5 3" xfId="42012" xr:uid="{00000000-0005-0000-0000-00005C940000}"/>
    <cellStyle name="Normal 3 30 6" xfId="18780" xr:uid="{00000000-0005-0000-0000-00005D940000}"/>
    <cellStyle name="Normal 3 30 7" xfId="34272" xr:uid="{00000000-0005-0000-0000-00005E940000}"/>
    <cellStyle name="Normal 3 31" xfId="3194" xr:uid="{00000000-0005-0000-0000-00005F940000}"/>
    <cellStyle name="Normal 3 31 2" xfId="5133" xr:uid="{00000000-0005-0000-0000-000060940000}"/>
    <cellStyle name="Normal 3 31 2 2" xfId="9004" xr:uid="{00000000-0005-0000-0000-000061940000}"/>
    <cellStyle name="Normal 3 31 2 2 2" xfId="16749" xr:uid="{00000000-0005-0000-0000-000062940000}"/>
    <cellStyle name="Normal 3 31 2 2 2 2" xfId="32341" xr:uid="{00000000-0005-0000-0000-000063940000}"/>
    <cellStyle name="Normal 3 31 2 2 2 3" xfId="47833" xr:uid="{00000000-0005-0000-0000-000064940000}"/>
    <cellStyle name="Normal 3 31 2 2 3" xfId="24601" xr:uid="{00000000-0005-0000-0000-000065940000}"/>
    <cellStyle name="Normal 3 31 2 2 4" xfId="40093" xr:uid="{00000000-0005-0000-0000-000066940000}"/>
    <cellStyle name="Normal 3 31 2 3" xfId="12879" xr:uid="{00000000-0005-0000-0000-000067940000}"/>
    <cellStyle name="Normal 3 31 2 3 2" xfId="28471" xr:uid="{00000000-0005-0000-0000-000068940000}"/>
    <cellStyle name="Normal 3 31 2 3 3" xfId="43963" xr:uid="{00000000-0005-0000-0000-000069940000}"/>
    <cellStyle name="Normal 3 31 2 4" xfId="20731" xr:uid="{00000000-0005-0000-0000-00006A940000}"/>
    <cellStyle name="Normal 3 31 2 5" xfId="36223" xr:uid="{00000000-0005-0000-0000-00006B940000}"/>
    <cellStyle name="Normal 3 31 3" xfId="7077" xr:uid="{00000000-0005-0000-0000-00006C940000}"/>
    <cellStyle name="Normal 3 31 3 2" xfId="14822" xr:uid="{00000000-0005-0000-0000-00006D940000}"/>
    <cellStyle name="Normal 3 31 3 2 2" xfId="30414" xr:uid="{00000000-0005-0000-0000-00006E940000}"/>
    <cellStyle name="Normal 3 31 3 2 3" xfId="45906" xr:uid="{00000000-0005-0000-0000-00006F940000}"/>
    <cellStyle name="Normal 3 31 3 3" xfId="22674" xr:uid="{00000000-0005-0000-0000-000070940000}"/>
    <cellStyle name="Normal 3 31 3 4" xfId="38166" xr:uid="{00000000-0005-0000-0000-000071940000}"/>
    <cellStyle name="Normal 3 31 4" xfId="10952" xr:uid="{00000000-0005-0000-0000-000072940000}"/>
    <cellStyle name="Normal 3 31 4 2" xfId="26544" xr:uid="{00000000-0005-0000-0000-000073940000}"/>
    <cellStyle name="Normal 3 31 4 3" xfId="42036" xr:uid="{00000000-0005-0000-0000-000074940000}"/>
    <cellStyle name="Normal 3 31 5" xfId="18804" xr:uid="{00000000-0005-0000-0000-000075940000}"/>
    <cellStyle name="Normal 3 31 6" xfId="34296" xr:uid="{00000000-0005-0000-0000-000076940000}"/>
    <cellStyle name="Normal 3 32" xfId="4140" xr:uid="{00000000-0005-0000-0000-000077940000}"/>
    <cellStyle name="Normal 3 32 2" xfId="6078" xr:uid="{00000000-0005-0000-0000-000078940000}"/>
    <cellStyle name="Normal 3 32 2 2" xfId="9949" xr:uid="{00000000-0005-0000-0000-000079940000}"/>
    <cellStyle name="Normal 3 32 2 2 2" xfId="17694" xr:uid="{00000000-0005-0000-0000-00007A940000}"/>
    <cellStyle name="Normal 3 32 2 2 2 2" xfId="33286" xr:uid="{00000000-0005-0000-0000-00007B940000}"/>
    <cellStyle name="Normal 3 32 2 2 2 3" xfId="48778" xr:uid="{00000000-0005-0000-0000-00007C940000}"/>
    <cellStyle name="Normal 3 32 2 2 3" xfId="25546" xr:uid="{00000000-0005-0000-0000-00007D940000}"/>
    <cellStyle name="Normal 3 32 2 2 4" xfId="41038" xr:uid="{00000000-0005-0000-0000-00007E940000}"/>
    <cellStyle name="Normal 3 32 2 3" xfId="13824" xr:uid="{00000000-0005-0000-0000-00007F940000}"/>
    <cellStyle name="Normal 3 32 2 3 2" xfId="29416" xr:uid="{00000000-0005-0000-0000-000080940000}"/>
    <cellStyle name="Normal 3 32 2 3 3" xfId="44908" xr:uid="{00000000-0005-0000-0000-000081940000}"/>
    <cellStyle name="Normal 3 32 2 4" xfId="21676" xr:uid="{00000000-0005-0000-0000-000082940000}"/>
    <cellStyle name="Normal 3 32 2 5" xfId="37168" xr:uid="{00000000-0005-0000-0000-000083940000}"/>
    <cellStyle name="Normal 3 32 3" xfId="8022" xr:uid="{00000000-0005-0000-0000-000084940000}"/>
    <cellStyle name="Normal 3 32 3 2" xfId="15767" xr:uid="{00000000-0005-0000-0000-000085940000}"/>
    <cellStyle name="Normal 3 32 3 2 2" xfId="31359" xr:uid="{00000000-0005-0000-0000-000086940000}"/>
    <cellStyle name="Normal 3 32 3 2 3" xfId="46851" xr:uid="{00000000-0005-0000-0000-000087940000}"/>
    <cellStyle name="Normal 3 32 3 3" xfId="23619" xr:uid="{00000000-0005-0000-0000-000088940000}"/>
    <cellStyle name="Normal 3 32 3 4" xfId="39111" xr:uid="{00000000-0005-0000-0000-000089940000}"/>
    <cellStyle name="Normal 3 32 4" xfId="11897" xr:uid="{00000000-0005-0000-0000-00008A940000}"/>
    <cellStyle name="Normal 3 32 4 2" xfId="27489" xr:uid="{00000000-0005-0000-0000-00008B940000}"/>
    <cellStyle name="Normal 3 32 4 3" xfId="42981" xr:uid="{00000000-0005-0000-0000-00008C940000}"/>
    <cellStyle name="Normal 3 32 5" xfId="19749" xr:uid="{00000000-0005-0000-0000-00008D940000}"/>
    <cellStyle name="Normal 3 32 6" xfId="35241" xr:uid="{00000000-0005-0000-0000-00008E940000}"/>
    <cellStyle name="Normal 3 33" xfId="4164" xr:uid="{00000000-0005-0000-0000-00008F940000}"/>
    <cellStyle name="Normal 3 33 2" xfId="6093" xr:uid="{00000000-0005-0000-0000-000090940000}"/>
    <cellStyle name="Normal 3 33 2 2" xfId="9964" xr:uid="{00000000-0005-0000-0000-000091940000}"/>
    <cellStyle name="Normal 3 33 2 2 2" xfId="17709" xr:uid="{00000000-0005-0000-0000-000092940000}"/>
    <cellStyle name="Normal 3 33 2 2 2 2" xfId="33301" xr:uid="{00000000-0005-0000-0000-000093940000}"/>
    <cellStyle name="Normal 3 33 2 2 2 3" xfId="48793" xr:uid="{00000000-0005-0000-0000-000094940000}"/>
    <cellStyle name="Normal 3 33 2 2 3" xfId="25561" xr:uid="{00000000-0005-0000-0000-000095940000}"/>
    <cellStyle name="Normal 3 33 2 2 4" xfId="41053" xr:uid="{00000000-0005-0000-0000-000096940000}"/>
    <cellStyle name="Normal 3 33 2 3" xfId="13839" xr:uid="{00000000-0005-0000-0000-000097940000}"/>
    <cellStyle name="Normal 3 33 2 3 2" xfId="29431" xr:uid="{00000000-0005-0000-0000-000098940000}"/>
    <cellStyle name="Normal 3 33 2 3 3" xfId="44923" xr:uid="{00000000-0005-0000-0000-000099940000}"/>
    <cellStyle name="Normal 3 33 2 4" xfId="21691" xr:uid="{00000000-0005-0000-0000-00009A940000}"/>
    <cellStyle name="Normal 3 33 2 5" xfId="37183" xr:uid="{00000000-0005-0000-0000-00009B940000}"/>
    <cellStyle name="Normal 3 33 3" xfId="8037" xr:uid="{00000000-0005-0000-0000-00009C940000}"/>
    <cellStyle name="Normal 3 33 3 2" xfId="15782" xr:uid="{00000000-0005-0000-0000-00009D940000}"/>
    <cellStyle name="Normal 3 33 3 2 2" xfId="31374" xr:uid="{00000000-0005-0000-0000-00009E940000}"/>
    <cellStyle name="Normal 3 33 3 2 3" xfId="46866" xr:uid="{00000000-0005-0000-0000-00009F940000}"/>
    <cellStyle name="Normal 3 33 3 3" xfId="23634" xr:uid="{00000000-0005-0000-0000-0000A0940000}"/>
    <cellStyle name="Normal 3 33 3 4" xfId="39126" xr:uid="{00000000-0005-0000-0000-0000A1940000}"/>
    <cellStyle name="Normal 3 33 4" xfId="11912" xr:uid="{00000000-0005-0000-0000-0000A2940000}"/>
    <cellStyle name="Normal 3 33 4 2" xfId="27504" xr:uid="{00000000-0005-0000-0000-0000A3940000}"/>
    <cellStyle name="Normal 3 33 4 3" xfId="42996" xr:uid="{00000000-0005-0000-0000-0000A4940000}"/>
    <cellStyle name="Normal 3 33 5" xfId="19764" xr:uid="{00000000-0005-0000-0000-0000A5940000}"/>
    <cellStyle name="Normal 3 33 6" xfId="35256" xr:uid="{00000000-0005-0000-0000-0000A6940000}"/>
    <cellStyle name="Normal 3 34" xfId="4185" xr:uid="{00000000-0005-0000-0000-0000A7940000}"/>
    <cellStyle name="Normal 3 34 2" xfId="8056" xr:uid="{00000000-0005-0000-0000-0000A8940000}"/>
    <cellStyle name="Normal 3 34 2 2" xfId="15801" xr:uid="{00000000-0005-0000-0000-0000A9940000}"/>
    <cellStyle name="Normal 3 34 2 2 2" xfId="31393" xr:uid="{00000000-0005-0000-0000-0000AA940000}"/>
    <cellStyle name="Normal 3 34 2 2 3" xfId="46885" xr:uid="{00000000-0005-0000-0000-0000AB940000}"/>
    <cellStyle name="Normal 3 34 2 3" xfId="23653" xr:uid="{00000000-0005-0000-0000-0000AC940000}"/>
    <cellStyle name="Normal 3 34 2 4" xfId="39145" xr:uid="{00000000-0005-0000-0000-0000AD940000}"/>
    <cellStyle name="Normal 3 34 3" xfId="11931" xr:uid="{00000000-0005-0000-0000-0000AE940000}"/>
    <cellStyle name="Normal 3 34 3 2" xfId="27523" xr:uid="{00000000-0005-0000-0000-0000AF940000}"/>
    <cellStyle name="Normal 3 34 3 3" xfId="43015" xr:uid="{00000000-0005-0000-0000-0000B0940000}"/>
    <cellStyle name="Normal 3 34 4" xfId="19783" xr:uid="{00000000-0005-0000-0000-0000B1940000}"/>
    <cellStyle name="Normal 3 34 5" xfId="35275" xr:uid="{00000000-0005-0000-0000-0000B2940000}"/>
    <cellStyle name="Normal 3 35" xfId="6110" xr:uid="{00000000-0005-0000-0000-0000B3940000}"/>
    <cellStyle name="Normal 3 35 2" xfId="9980" xr:uid="{00000000-0005-0000-0000-0000B4940000}"/>
    <cellStyle name="Normal 3 35 2 2" xfId="17725" xr:uid="{00000000-0005-0000-0000-0000B5940000}"/>
    <cellStyle name="Normal 3 35 2 2 2" xfId="33317" xr:uid="{00000000-0005-0000-0000-0000B6940000}"/>
    <cellStyle name="Normal 3 35 2 2 3" xfId="48809" xr:uid="{00000000-0005-0000-0000-0000B7940000}"/>
    <cellStyle name="Normal 3 35 2 3" xfId="25577" xr:uid="{00000000-0005-0000-0000-0000B8940000}"/>
    <cellStyle name="Normal 3 35 2 4" xfId="41069" xr:uid="{00000000-0005-0000-0000-0000B9940000}"/>
    <cellStyle name="Normal 3 35 3" xfId="13855" xr:uid="{00000000-0005-0000-0000-0000BA940000}"/>
    <cellStyle name="Normal 3 35 3 2" xfId="29447" xr:uid="{00000000-0005-0000-0000-0000BB940000}"/>
    <cellStyle name="Normal 3 35 3 3" xfId="44939" xr:uid="{00000000-0005-0000-0000-0000BC940000}"/>
    <cellStyle name="Normal 3 35 4" xfId="21707" xr:uid="{00000000-0005-0000-0000-0000BD940000}"/>
    <cellStyle name="Normal 3 35 5" xfId="37199" xr:uid="{00000000-0005-0000-0000-0000BE940000}"/>
    <cellStyle name="Normal 3 36" xfId="6129" xr:uid="{00000000-0005-0000-0000-0000BF940000}"/>
    <cellStyle name="Normal 3 36 2" xfId="13874" xr:uid="{00000000-0005-0000-0000-0000C0940000}"/>
    <cellStyle name="Normal 3 36 2 2" xfId="29466" xr:uid="{00000000-0005-0000-0000-0000C1940000}"/>
    <cellStyle name="Normal 3 36 2 3" xfId="44958" xr:uid="{00000000-0005-0000-0000-0000C2940000}"/>
    <cellStyle name="Normal 3 36 3" xfId="21726" xr:uid="{00000000-0005-0000-0000-0000C3940000}"/>
    <cellStyle name="Normal 3 36 4" xfId="37218" xr:uid="{00000000-0005-0000-0000-0000C4940000}"/>
    <cellStyle name="Normal 3 37" xfId="10004" xr:uid="{00000000-0005-0000-0000-0000C5940000}"/>
    <cellStyle name="Normal 3 37 2" xfId="25596" xr:uid="{00000000-0005-0000-0000-0000C6940000}"/>
    <cellStyle name="Normal 3 37 3" xfId="41088" xr:uid="{00000000-0005-0000-0000-0000C7940000}"/>
    <cellStyle name="Normal 3 38" xfId="17856" xr:uid="{00000000-0005-0000-0000-0000C8940000}"/>
    <cellStyle name="Normal 3 39" xfId="33348" xr:uid="{00000000-0005-0000-0000-0000C9940000}"/>
    <cellStyle name="Normal 3 4" xfId="2015" xr:uid="{00000000-0005-0000-0000-0000CA940000}"/>
    <cellStyle name="Normal 3 5" xfId="2016" xr:uid="{00000000-0005-0000-0000-0000CB940000}"/>
    <cellStyle name="Normal 3 6" xfId="2017" xr:uid="{00000000-0005-0000-0000-0000CC940000}"/>
    <cellStyle name="Normal 3 7" xfId="2018" xr:uid="{00000000-0005-0000-0000-0000CD940000}"/>
    <cellStyle name="Normal 3 8" xfId="2019" xr:uid="{00000000-0005-0000-0000-0000CE940000}"/>
    <cellStyle name="Normal 3 9" xfId="2020" xr:uid="{00000000-0005-0000-0000-0000CF940000}"/>
    <cellStyle name="Normal 4" xfId="2021" xr:uid="{00000000-0005-0000-0000-0000D0940000}"/>
    <cellStyle name="Normal 4 10" xfId="2022" xr:uid="{00000000-0005-0000-0000-0000D1940000}"/>
    <cellStyle name="Normal 4 11" xfId="2023" xr:uid="{00000000-0005-0000-0000-0000D2940000}"/>
    <cellStyle name="Normal 4 12" xfId="2024" xr:uid="{00000000-0005-0000-0000-0000D3940000}"/>
    <cellStyle name="Normal 4 13" xfId="2025" xr:uid="{00000000-0005-0000-0000-0000D4940000}"/>
    <cellStyle name="Normal 4 14" xfId="2026" xr:uid="{00000000-0005-0000-0000-0000D5940000}"/>
    <cellStyle name="Normal 4 15" xfId="2027" xr:uid="{00000000-0005-0000-0000-0000D6940000}"/>
    <cellStyle name="Normal 4 16" xfId="2028" xr:uid="{00000000-0005-0000-0000-0000D7940000}"/>
    <cellStyle name="Normal 4 17" xfId="2029" xr:uid="{00000000-0005-0000-0000-0000D8940000}"/>
    <cellStyle name="Normal 4 18" xfId="2030" xr:uid="{00000000-0005-0000-0000-0000D9940000}"/>
    <cellStyle name="Normal 4 19" xfId="17791" xr:uid="{00000000-0005-0000-0000-0000DA940000}"/>
    <cellStyle name="Normal 4 19 2" xfId="48871" xr:uid="{00000000-0005-0000-0000-0000DB940000}"/>
    <cellStyle name="Normal 4 2" xfId="2031" xr:uid="{00000000-0005-0000-0000-0000DC940000}"/>
    <cellStyle name="Normal 4 2 2" xfId="2032" xr:uid="{00000000-0005-0000-0000-0000DD940000}"/>
    <cellStyle name="Normal 4 2 2 2" xfId="2033" xr:uid="{00000000-0005-0000-0000-0000DE940000}"/>
    <cellStyle name="Normal 4 2 2 2 2" xfId="48919" xr:uid="{00000000-0005-0000-0000-0000DF940000}"/>
    <cellStyle name="Normal 4 2 2 3" xfId="2034" xr:uid="{00000000-0005-0000-0000-0000E0940000}"/>
    <cellStyle name="Normal 4 2 3" xfId="2035" xr:uid="{00000000-0005-0000-0000-0000E1940000}"/>
    <cellStyle name="Normal 4 2 4" xfId="17749" xr:uid="{00000000-0005-0000-0000-0000E2940000}"/>
    <cellStyle name="Normal 4 2 4 2" xfId="48942" xr:uid="{00000000-0005-0000-0000-0000E3940000}"/>
    <cellStyle name="Normal 4 2 5" xfId="17746" xr:uid="{00000000-0005-0000-0000-0000E4940000}"/>
    <cellStyle name="Normal 4 20" xfId="17786" xr:uid="{00000000-0005-0000-0000-0000E5940000}"/>
    <cellStyle name="Normal 4 20 2" xfId="48918" xr:uid="{00000000-0005-0000-0000-0000E6940000}"/>
    <cellStyle name="Normal 4 3" xfId="2036" xr:uid="{00000000-0005-0000-0000-0000E7940000}"/>
    <cellStyle name="Normal 4 3 2" xfId="2037" xr:uid="{00000000-0005-0000-0000-0000E8940000}"/>
    <cellStyle name="Normal 4 3 3" xfId="2038" xr:uid="{00000000-0005-0000-0000-0000E9940000}"/>
    <cellStyle name="Normal 4 3 4" xfId="17766" xr:uid="{00000000-0005-0000-0000-0000EA940000}"/>
    <cellStyle name="Normal 4 3 5" xfId="17796" xr:uid="{00000000-0005-0000-0000-0000EB940000}"/>
    <cellStyle name="Normal 4 4" xfId="2039" xr:uid="{00000000-0005-0000-0000-0000EC940000}"/>
    <cellStyle name="Normal 4 4 2" xfId="17767" xr:uid="{00000000-0005-0000-0000-0000ED940000}"/>
    <cellStyle name="Normal 4 4 2 2" xfId="48920" xr:uid="{00000000-0005-0000-0000-0000EE940000}"/>
    <cellStyle name="Normal 4 4 3" xfId="17769" xr:uid="{00000000-0005-0000-0000-0000EF940000}"/>
    <cellStyle name="Normal 4 5" xfId="2040" xr:uid="{00000000-0005-0000-0000-0000F0940000}"/>
    <cellStyle name="Normal 4 5 2" xfId="17781" xr:uid="{00000000-0005-0000-0000-0000F1940000}"/>
    <cellStyle name="Normal 4 5 3" xfId="17785" xr:uid="{00000000-0005-0000-0000-0000F2940000}"/>
    <cellStyle name="Normal 4 6" xfId="2041" xr:uid="{00000000-0005-0000-0000-0000F3940000}"/>
    <cellStyle name="Normal 4 7" xfId="2042" xr:uid="{00000000-0005-0000-0000-0000F4940000}"/>
    <cellStyle name="Normal 4 7 3 2" xfId="48921" xr:uid="{00000000-0005-0000-0000-0000F5940000}"/>
    <cellStyle name="Normal 4 8" xfId="2043" xr:uid="{00000000-0005-0000-0000-0000F6940000}"/>
    <cellStyle name="Normal 4 9" xfId="2044" xr:uid="{00000000-0005-0000-0000-0000F7940000}"/>
    <cellStyle name="Normal 5" xfId="2045" xr:uid="{00000000-0005-0000-0000-0000F8940000}"/>
    <cellStyle name="Normal 5 10" xfId="2046" xr:uid="{00000000-0005-0000-0000-0000F9940000}"/>
    <cellStyle name="Normal 5 2" xfId="2047" xr:uid="{00000000-0005-0000-0000-0000FA940000}"/>
    <cellStyle name="Normal 5 2 2" xfId="2048" xr:uid="{00000000-0005-0000-0000-0000FB940000}"/>
    <cellStyle name="Normal 5 2 2 2" xfId="2049" xr:uid="{00000000-0005-0000-0000-0000FC940000}"/>
    <cellStyle name="Normal 5 2 3" xfId="2050" xr:uid="{00000000-0005-0000-0000-0000FD940000}"/>
    <cellStyle name="Normal 5 3" xfId="2051" xr:uid="{00000000-0005-0000-0000-0000FE940000}"/>
    <cellStyle name="Normal 5 3 2" xfId="2052" xr:uid="{00000000-0005-0000-0000-0000FF940000}"/>
    <cellStyle name="Normal 5 3 3" xfId="2053" xr:uid="{00000000-0005-0000-0000-000000950000}"/>
    <cellStyle name="Normal 5 4" xfId="2054" xr:uid="{00000000-0005-0000-0000-000001950000}"/>
    <cellStyle name="Normal 5 5" xfId="2055" xr:uid="{00000000-0005-0000-0000-000002950000}"/>
    <cellStyle name="Normal 5 6" xfId="2056" xr:uid="{00000000-0005-0000-0000-000003950000}"/>
    <cellStyle name="Normal 5 7" xfId="2057" xr:uid="{00000000-0005-0000-0000-000004950000}"/>
    <cellStyle name="Normal 5 8" xfId="2058" xr:uid="{00000000-0005-0000-0000-000005950000}"/>
    <cellStyle name="Normal 5 9" xfId="2059" xr:uid="{00000000-0005-0000-0000-000006950000}"/>
    <cellStyle name="Normal 52" xfId="17797" xr:uid="{00000000-0005-0000-0000-000007950000}"/>
    <cellStyle name="Normal 56 4 2" xfId="48922" xr:uid="{00000000-0005-0000-0000-000008950000}"/>
    <cellStyle name="Normal 6" xfId="2060" xr:uid="{00000000-0005-0000-0000-000009950000}"/>
    <cellStyle name="Normal 6 10" xfId="2061" xr:uid="{00000000-0005-0000-0000-00000A950000}"/>
    <cellStyle name="Normal 6 11" xfId="2062" xr:uid="{00000000-0005-0000-0000-00000B950000}"/>
    <cellStyle name="Normal 6 12" xfId="2063" xr:uid="{00000000-0005-0000-0000-00000C950000}"/>
    <cellStyle name="Normal 6 13" xfId="2200" xr:uid="{00000000-0005-0000-0000-00000D950000}"/>
    <cellStyle name="Normal 6 13 2" xfId="2533" xr:uid="{00000000-0005-0000-0000-00000E950000}"/>
    <cellStyle name="Normal 6 13 2 2" xfId="3541" xr:uid="{00000000-0005-0000-0000-00000F950000}"/>
    <cellStyle name="Normal 6 13 2 2 2" xfId="5480" xr:uid="{00000000-0005-0000-0000-000010950000}"/>
    <cellStyle name="Normal 6 13 2 2 2 2" xfId="9351" xr:uid="{00000000-0005-0000-0000-000011950000}"/>
    <cellStyle name="Normal 6 13 2 2 2 2 2" xfId="17096" xr:uid="{00000000-0005-0000-0000-000012950000}"/>
    <cellStyle name="Normal 6 13 2 2 2 2 2 2" xfId="32688" xr:uid="{00000000-0005-0000-0000-000013950000}"/>
    <cellStyle name="Normal 6 13 2 2 2 2 2 3" xfId="48180" xr:uid="{00000000-0005-0000-0000-000014950000}"/>
    <cellStyle name="Normal 6 13 2 2 2 2 3" xfId="24948" xr:uid="{00000000-0005-0000-0000-000015950000}"/>
    <cellStyle name="Normal 6 13 2 2 2 2 4" xfId="40440" xr:uid="{00000000-0005-0000-0000-000016950000}"/>
    <cellStyle name="Normal 6 13 2 2 2 3" xfId="13226" xr:uid="{00000000-0005-0000-0000-000017950000}"/>
    <cellStyle name="Normal 6 13 2 2 2 3 2" xfId="28818" xr:uid="{00000000-0005-0000-0000-000018950000}"/>
    <cellStyle name="Normal 6 13 2 2 2 3 3" xfId="44310" xr:uid="{00000000-0005-0000-0000-000019950000}"/>
    <cellStyle name="Normal 6 13 2 2 2 4" xfId="21078" xr:uid="{00000000-0005-0000-0000-00001A950000}"/>
    <cellStyle name="Normal 6 13 2 2 2 5" xfId="36570" xr:uid="{00000000-0005-0000-0000-00001B950000}"/>
    <cellStyle name="Normal 6 13 2 2 3" xfId="7424" xr:uid="{00000000-0005-0000-0000-00001C950000}"/>
    <cellStyle name="Normal 6 13 2 2 3 2" xfId="15169" xr:uid="{00000000-0005-0000-0000-00001D950000}"/>
    <cellStyle name="Normal 6 13 2 2 3 2 2" xfId="30761" xr:uid="{00000000-0005-0000-0000-00001E950000}"/>
    <cellStyle name="Normal 6 13 2 2 3 2 3" xfId="46253" xr:uid="{00000000-0005-0000-0000-00001F950000}"/>
    <cellStyle name="Normal 6 13 2 2 3 3" xfId="23021" xr:uid="{00000000-0005-0000-0000-000020950000}"/>
    <cellStyle name="Normal 6 13 2 2 3 4" xfId="38513" xr:uid="{00000000-0005-0000-0000-000021950000}"/>
    <cellStyle name="Normal 6 13 2 2 4" xfId="11299" xr:uid="{00000000-0005-0000-0000-000022950000}"/>
    <cellStyle name="Normal 6 13 2 2 4 2" xfId="26891" xr:uid="{00000000-0005-0000-0000-000023950000}"/>
    <cellStyle name="Normal 6 13 2 2 4 3" xfId="42383" xr:uid="{00000000-0005-0000-0000-000024950000}"/>
    <cellStyle name="Normal 6 13 2 2 5" xfId="19151" xr:uid="{00000000-0005-0000-0000-000025950000}"/>
    <cellStyle name="Normal 6 13 2 2 6" xfId="34643" xr:uid="{00000000-0005-0000-0000-000026950000}"/>
    <cellStyle name="Normal 6 13 2 3" xfId="4532" xr:uid="{00000000-0005-0000-0000-000027950000}"/>
    <cellStyle name="Normal 6 13 2 3 2" xfId="8403" xr:uid="{00000000-0005-0000-0000-000028950000}"/>
    <cellStyle name="Normal 6 13 2 3 2 2" xfId="16148" xr:uid="{00000000-0005-0000-0000-000029950000}"/>
    <cellStyle name="Normal 6 13 2 3 2 2 2" xfId="31740" xr:uid="{00000000-0005-0000-0000-00002A950000}"/>
    <cellStyle name="Normal 6 13 2 3 2 2 3" xfId="47232" xr:uid="{00000000-0005-0000-0000-00002B950000}"/>
    <cellStyle name="Normal 6 13 2 3 2 3" xfId="24000" xr:uid="{00000000-0005-0000-0000-00002C950000}"/>
    <cellStyle name="Normal 6 13 2 3 2 4" xfId="39492" xr:uid="{00000000-0005-0000-0000-00002D950000}"/>
    <cellStyle name="Normal 6 13 2 3 3" xfId="12278" xr:uid="{00000000-0005-0000-0000-00002E950000}"/>
    <cellStyle name="Normal 6 13 2 3 3 2" xfId="27870" xr:uid="{00000000-0005-0000-0000-00002F950000}"/>
    <cellStyle name="Normal 6 13 2 3 3 3" xfId="43362" xr:uid="{00000000-0005-0000-0000-000030950000}"/>
    <cellStyle name="Normal 6 13 2 3 4" xfId="20130" xr:uid="{00000000-0005-0000-0000-000031950000}"/>
    <cellStyle name="Normal 6 13 2 3 5" xfId="35622" xr:uid="{00000000-0005-0000-0000-000032950000}"/>
    <cellStyle name="Normal 6 13 2 4" xfId="6476" xr:uid="{00000000-0005-0000-0000-000033950000}"/>
    <cellStyle name="Normal 6 13 2 4 2" xfId="14221" xr:uid="{00000000-0005-0000-0000-000034950000}"/>
    <cellStyle name="Normal 6 13 2 4 2 2" xfId="29813" xr:uid="{00000000-0005-0000-0000-000035950000}"/>
    <cellStyle name="Normal 6 13 2 4 2 3" xfId="45305" xr:uid="{00000000-0005-0000-0000-000036950000}"/>
    <cellStyle name="Normal 6 13 2 4 3" xfId="22073" xr:uid="{00000000-0005-0000-0000-000037950000}"/>
    <cellStyle name="Normal 6 13 2 4 4" xfId="37565" xr:uid="{00000000-0005-0000-0000-000038950000}"/>
    <cellStyle name="Normal 6 13 2 5" xfId="10351" xr:uid="{00000000-0005-0000-0000-000039950000}"/>
    <cellStyle name="Normal 6 13 2 5 2" xfId="25943" xr:uid="{00000000-0005-0000-0000-00003A950000}"/>
    <cellStyle name="Normal 6 13 2 5 3" xfId="41435" xr:uid="{00000000-0005-0000-0000-00003B950000}"/>
    <cellStyle name="Normal 6 13 2 6" xfId="18203" xr:uid="{00000000-0005-0000-0000-00003C950000}"/>
    <cellStyle name="Normal 6 13 2 7" xfId="33695" xr:uid="{00000000-0005-0000-0000-00003D950000}"/>
    <cellStyle name="Normal 6 13 3" xfId="3232" xr:uid="{00000000-0005-0000-0000-00003E950000}"/>
    <cellStyle name="Normal 6 13 3 2" xfId="5171" xr:uid="{00000000-0005-0000-0000-00003F950000}"/>
    <cellStyle name="Normal 6 13 3 2 2" xfId="9042" xr:uid="{00000000-0005-0000-0000-000040950000}"/>
    <cellStyle name="Normal 6 13 3 2 2 2" xfId="16787" xr:uid="{00000000-0005-0000-0000-000041950000}"/>
    <cellStyle name="Normal 6 13 3 2 2 2 2" xfId="32379" xr:uid="{00000000-0005-0000-0000-000042950000}"/>
    <cellStyle name="Normal 6 13 3 2 2 2 3" xfId="47871" xr:uid="{00000000-0005-0000-0000-000043950000}"/>
    <cellStyle name="Normal 6 13 3 2 2 3" xfId="24639" xr:uid="{00000000-0005-0000-0000-000044950000}"/>
    <cellStyle name="Normal 6 13 3 2 2 4" xfId="40131" xr:uid="{00000000-0005-0000-0000-000045950000}"/>
    <cellStyle name="Normal 6 13 3 2 3" xfId="12917" xr:uid="{00000000-0005-0000-0000-000046950000}"/>
    <cellStyle name="Normal 6 13 3 2 3 2" xfId="28509" xr:uid="{00000000-0005-0000-0000-000047950000}"/>
    <cellStyle name="Normal 6 13 3 2 3 3" xfId="44001" xr:uid="{00000000-0005-0000-0000-000048950000}"/>
    <cellStyle name="Normal 6 13 3 2 4" xfId="20769" xr:uid="{00000000-0005-0000-0000-000049950000}"/>
    <cellStyle name="Normal 6 13 3 2 5" xfId="36261" xr:uid="{00000000-0005-0000-0000-00004A950000}"/>
    <cellStyle name="Normal 6 13 3 3" xfId="7115" xr:uid="{00000000-0005-0000-0000-00004B950000}"/>
    <cellStyle name="Normal 6 13 3 3 2" xfId="14860" xr:uid="{00000000-0005-0000-0000-00004C950000}"/>
    <cellStyle name="Normal 6 13 3 3 2 2" xfId="30452" xr:uid="{00000000-0005-0000-0000-00004D950000}"/>
    <cellStyle name="Normal 6 13 3 3 2 3" xfId="45944" xr:uid="{00000000-0005-0000-0000-00004E950000}"/>
    <cellStyle name="Normal 6 13 3 3 3" xfId="22712" xr:uid="{00000000-0005-0000-0000-00004F950000}"/>
    <cellStyle name="Normal 6 13 3 3 4" xfId="38204" xr:uid="{00000000-0005-0000-0000-000050950000}"/>
    <cellStyle name="Normal 6 13 3 4" xfId="10990" xr:uid="{00000000-0005-0000-0000-000051950000}"/>
    <cellStyle name="Normal 6 13 3 4 2" xfId="26582" xr:uid="{00000000-0005-0000-0000-000052950000}"/>
    <cellStyle name="Normal 6 13 3 4 3" xfId="42074" xr:uid="{00000000-0005-0000-0000-000053950000}"/>
    <cellStyle name="Normal 6 13 3 5" xfId="18842" xr:uid="{00000000-0005-0000-0000-000054950000}"/>
    <cellStyle name="Normal 6 13 3 6" xfId="34334" xr:uid="{00000000-0005-0000-0000-000055950000}"/>
    <cellStyle name="Normal 6 13 4" xfId="4223" xr:uid="{00000000-0005-0000-0000-000056950000}"/>
    <cellStyle name="Normal 6 13 4 2" xfId="8094" xr:uid="{00000000-0005-0000-0000-000057950000}"/>
    <cellStyle name="Normal 6 13 4 2 2" xfId="15839" xr:uid="{00000000-0005-0000-0000-000058950000}"/>
    <cellStyle name="Normal 6 13 4 2 2 2" xfId="31431" xr:uid="{00000000-0005-0000-0000-000059950000}"/>
    <cellStyle name="Normal 6 13 4 2 2 3" xfId="46923" xr:uid="{00000000-0005-0000-0000-00005A950000}"/>
    <cellStyle name="Normal 6 13 4 2 3" xfId="23691" xr:uid="{00000000-0005-0000-0000-00005B950000}"/>
    <cellStyle name="Normal 6 13 4 2 4" xfId="39183" xr:uid="{00000000-0005-0000-0000-00005C950000}"/>
    <cellStyle name="Normal 6 13 4 3" xfId="11969" xr:uid="{00000000-0005-0000-0000-00005D950000}"/>
    <cellStyle name="Normal 6 13 4 3 2" xfId="27561" xr:uid="{00000000-0005-0000-0000-00005E950000}"/>
    <cellStyle name="Normal 6 13 4 3 3" xfId="43053" xr:uid="{00000000-0005-0000-0000-00005F950000}"/>
    <cellStyle name="Normal 6 13 4 4" xfId="19821" xr:uid="{00000000-0005-0000-0000-000060950000}"/>
    <cellStyle name="Normal 6 13 4 5" xfId="35313" xr:uid="{00000000-0005-0000-0000-000061950000}"/>
    <cellStyle name="Normal 6 13 5" xfId="6167" xr:uid="{00000000-0005-0000-0000-000062950000}"/>
    <cellStyle name="Normal 6 13 5 2" xfId="13912" xr:uid="{00000000-0005-0000-0000-000063950000}"/>
    <cellStyle name="Normal 6 13 5 2 2" xfId="29504" xr:uid="{00000000-0005-0000-0000-000064950000}"/>
    <cellStyle name="Normal 6 13 5 2 3" xfId="44996" xr:uid="{00000000-0005-0000-0000-000065950000}"/>
    <cellStyle name="Normal 6 13 5 3" xfId="21764" xr:uid="{00000000-0005-0000-0000-000066950000}"/>
    <cellStyle name="Normal 6 13 5 4" xfId="37256" xr:uid="{00000000-0005-0000-0000-000067950000}"/>
    <cellStyle name="Normal 6 13 6" xfId="10042" xr:uid="{00000000-0005-0000-0000-000068950000}"/>
    <cellStyle name="Normal 6 13 6 2" xfId="25634" xr:uid="{00000000-0005-0000-0000-000069950000}"/>
    <cellStyle name="Normal 6 13 6 3" xfId="41126" xr:uid="{00000000-0005-0000-0000-00006A950000}"/>
    <cellStyle name="Normal 6 13 7" xfId="17894" xr:uid="{00000000-0005-0000-0000-00006B950000}"/>
    <cellStyle name="Normal 6 13 8" xfId="33386" xr:uid="{00000000-0005-0000-0000-00006C950000}"/>
    <cellStyle name="Normal 6 14" xfId="2254" xr:uid="{00000000-0005-0000-0000-00006D950000}"/>
    <cellStyle name="Normal 6 14 2" xfId="2571" xr:uid="{00000000-0005-0000-0000-00006E950000}"/>
    <cellStyle name="Normal 6 14 2 2" xfId="3579" xr:uid="{00000000-0005-0000-0000-00006F950000}"/>
    <cellStyle name="Normal 6 14 2 2 2" xfId="5518" xr:uid="{00000000-0005-0000-0000-000070950000}"/>
    <cellStyle name="Normal 6 14 2 2 2 2" xfId="9389" xr:uid="{00000000-0005-0000-0000-000071950000}"/>
    <cellStyle name="Normal 6 14 2 2 2 2 2" xfId="17134" xr:uid="{00000000-0005-0000-0000-000072950000}"/>
    <cellStyle name="Normal 6 14 2 2 2 2 2 2" xfId="32726" xr:uid="{00000000-0005-0000-0000-000073950000}"/>
    <cellStyle name="Normal 6 14 2 2 2 2 2 3" xfId="48218" xr:uid="{00000000-0005-0000-0000-000074950000}"/>
    <cellStyle name="Normal 6 14 2 2 2 2 3" xfId="24986" xr:uid="{00000000-0005-0000-0000-000075950000}"/>
    <cellStyle name="Normal 6 14 2 2 2 2 4" xfId="40478" xr:uid="{00000000-0005-0000-0000-000076950000}"/>
    <cellStyle name="Normal 6 14 2 2 2 3" xfId="13264" xr:uid="{00000000-0005-0000-0000-000077950000}"/>
    <cellStyle name="Normal 6 14 2 2 2 3 2" xfId="28856" xr:uid="{00000000-0005-0000-0000-000078950000}"/>
    <cellStyle name="Normal 6 14 2 2 2 3 3" xfId="44348" xr:uid="{00000000-0005-0000-0000-000079950000}"/>
    <cellStyle name="Normal 6 14 2 2 2 4" xfId="21116" xr:uid="{00000000-0005-0000-0000-00007A950000}"/>
    <cellStyle name="Normal 6 14 2 2 2 5" xfId="36608" xr:uid="{00000000-0005-0000-0000-00007B950000}"/>
    <cellStyle name="Normal 6 14 2 2 3" xfId="7462" xr:uid="{00000000-0005-0000-0000-00007C950000}"/>
    <cellStyle name="Normal 6 14 2 2 3 2" xfId="15207" xr:uid="{00000000-0005-0000-0000-00007D950000}"/>
    <cellStyle name="Normal 6 14 2 2 3 2 2" xfId="30799" xr:uid="{00000000-0005-0000-0000-00007E950000}"/>
    <cellStyle name="Normal 6 14 2 2 3 2 3" xfId="46291" xr:uid="{00000000-0005-0000-0000-00007F950000}"/>
    <cellStyle name="Normal 6 14 2 2 3 3" xfId="23059" xr:uid="{00000000-0005-0000-0000-000080950000}"/>
    <cellStyle name="Normal 6 14 2 2 3 4" xfId="38551" xr:uid="{00000000-0005-0000-0000-000081950000}"/>
    <cellStyle name="Normal 6 14 2 2 4" xfId="11337" xr:uid="{00000000-0005-0000-0000-000082950000}"/>
    <cellStyle name="Normal 6 14 2 2 4 2" xfId="26929" xr:uid="{00000000-0005-0000-0000-000083950000}"/>
    <cellStyle name="Normal 6 14 2 2 4 3" xfId="42421" xr:uid="{00000000-0005-0000-0000-000084950000}"/>
    <cellStyle name="Normal 6 14 2 2 5" xfId="19189" xr:uid="{00000000-0005-0000-0000-000085950000}"/>
    <cellStyle name="Normal 6 14 2 2 6" xfId="34681" xr:uid="{00000000-0005-0000-0000-000086950000}"/>
    <cellStyle name="Normal 6 14 2 3" xfId="4570" xr:uid="{00000000-0005-0000-0000-000087950000}"/>
    <cellStyle name="Normal 6 14 2 3 2" xfId="8441" xr:uid="{00000000-0005-0000-0000-000088950000}"/>
    <cellStyle name="Normal 6 14 2 3 2 2" xfId="16186" xr:uid="{00000000-0005-0000-0000-000089950000}"/>
    <cellStyle name="Normal 6 14 2 3 2 2 2" xfId="31778" xr:uid="{00000000-0005-0000-0000-00008A950000}"/>
    <cellStyle name="Normal 6 14 2 3 2 2 3" xfId="47270" xr:uid="{00000000-0005-0000-0000-00008B950000}"/>
    <cellStyle name="Normal 6 14 2 3 2 3" xfId="24038" xr:uid="{00000000-0005-0000-0000-00008C950000}"/>
    <cellStyle name="Normal 6 14 2 3 2 4" xfId="39530" xr:uid="{00000000-0005-0000-0000-00008D950000}"/>
    <cellStyle name="Normal 6 14 2 3 3" xfId="12316" xr:uid="{00000000-0005-0000-0000-00008E950000}"/>
    <cellStyle name="Normal 6 14 2 3 3 2" xfId="27908" xr:uid="{00000000-0005-0000-0000-00008F950000}"/>
    <cellStyle name="Normal 6 14 2 3 3 3" xfId="43400" xr:uid="{00000000-0005-0000-0000-000090950000}"/>
    <cellStyle name="Normal 6 14 2 3 4" xfId="20168" xr:uid="{00000000-0005-0000-0000-000091950000}"/>
    <cellStyle name="Normal 6 14 2 3 5" xfId="35660" xr:uid="{00000000-0005-0000-0000-000092950000}"/>
    <cellStyle name="Normal 6 14 2 4" xfId="6514" xr:uid="{00000000-0005-0000-0000-000093950000}"/>
    <cellStyle name="Normal 6 14 2 4 2" xfId="14259" xr:uid="{00000000-0005-0000-0000-000094950000}"/>
    <cellStyle name="Normal 6 14 2 4 2 2" xfId="29851" xr:uid="{00000000-0005-0000-0000-000095950000}"/>
    <cellStyle name="Normal 6 14 2 4 2 3" xfId="45343" xr:uid="{00000000-0005-0000-0000-000096950000}"/>
    <cellStyle name="Normal 6 14 2 4 3" xfId="22111" xr:uid="{00000000-0005-0000-0000-000097950000}"/>
    <cellStyle name="Normal 6 14 2 4 4" xfId="37603" xr:uid="{00000000-0005-0000-0000-000098950000}"/>
    <cellStyle name="Normal 6 14 2 5" xfId="10389" xr:uid="{00000000-0005-0000-0000-000099950000}"/>
    <cellStyle name="Normal 6 14 2 5 2" xfId="25981" xr:uid="{00000000-0005-0000-0000-00009A950000}"/>
    <cellStyle name="Normal 6 14 2 5 3" xfId="41473" xr:uid="{00000000-0005-0000-0000-00009B950000}"/>
    <cellStyle name="Normal 6 14 2 6" xfId="18241" xr:uid="{00000000-0005-0000-0000-00009C950000}"/>
    <cellStyle name="Normal 6 14 2 7" xfId="33733" xr:uid="{00000000-0005-0000-0000-00009D950000}"/>
    <cellStyle name="Normal 6 14 3" xfId="3270" xr:uid="{00000000-0005-0000-0000-00009E950000}"/>
    <cellStyle name="Normal 6 14 3 2" xfId="5209" xr:uid="{00000000-0005-0000-0000-00009F950000}"/>
    <cellStyle name="Normal 6 14 3 2 2" xfId="9080" xr:uid="{00000000-0005-0000-0000-0000A0950000}"/>
    <cellStyle name="Normal 6 14 3 2 2 2" xfId="16825" xr:uid="{00000000-0005-0000-0000-0000A1950000}"/>
    <cellStyle name="Normal 6 14 3 2 2 2 2" xfId="32417" xr:uid="{00000000-0005-0000-0000-0000A2950000}"/>
    <cellStyle name="Normal 6 14 3 2 2 2 3" xfId="47909" xr:uid="{00000000-0005-0000-0000-0000A3950000}"/>
    <cellStyle name="Normal 6 14 3 2 2 3" xfId="24677" xr:uid="{00000000-0005-0000-0000-0000A4950000}"/>
    <cellStyle name="Normal 6 14 3 2 2 4" xfId="40169" xr:uid="{00000000-0005-0000-0000-0000A5950000}"/>
    <cellStyle name="Normal 6 14 3 2 3" xfId="12955" xr:uid="{00000000-0005-0000-0000-0000A6950000}"/>
    <cellStyle name="Normal 6 14 3 2 3 2" xfId="28547" xr:uid="{00000000-0005-0000-0000-0000A7950000}"/>
    <cellStyle name="Normal 6 14 3 2 3 3" xfId="44039" xr:uid="{00000000-0005-0000-0000-0000A8950000}"/>
    <cellStyle name="Normal 6 14 3 2 4" xfId="20807" xr:uid="{00000000-0005-0000-0000-0000A9950000}"/>
    <cellStyle name="Normal 6 14 3 2 5" xfId="36299" xr:uid="{00000000-0005-0000-0000-0000AA950000}"/>
    <cellStyle name="Normal 6 14 3 3" xfId="7153" xr:uid="{00000000-0005-0000-0000-0000AB950000}"/>
    <cellStyle name="Normal 6 14 3 3 2" xfId="14898" xr:uid="{00000000-0005-0000-0000-0000AC950000}"/>
    <cellStyle name="Normal 6 14 3 3 2 2" xfId="30490" xr:uid="{00000000-0005-0000-0000-0000AD950000}"/>
    <cellStyle name="Normal 6 14 3 3 2 3" xfId="45982" xr:uid="{00000000-0005-0000-0000-0000AE950000}"/>
    <cellStyle name="Normal 6 14 3 3 3" xfId="22750" xr:uid="{00000000-0005-0000-0000-0000AF950000}"/>
    <cellStyle name="Normal 6 14 3 3 4" xfId="38242" xr:uid="{00000000-0005-0000-0000-0000B0950000}"/>
    <cellStyle name="Normal 6 14 3 4" xfId="11028" xr:uid="{00000000-0005-0000-0000-0000B1950000}"/>
    <cellStyle name="Normal 6 14 3 4 2" xfId="26620" xr:uid="{00000000-0005-0000-0000-0000B2950000}"/>
    <cellStyle name="Normal 6 14 3 4 3" xfId="42112" xr:uid="{00000000-0005-0000-0000-0000B3950000}"/>
    <cellStyle name="Normal 6 14 3 5" xfId="18880" xr:uid="{00000000-0005-0000-0000-0000B4950000}"/>
    <cellStyle name="Normal 6 14 3 6" xfId="34372" xr:uid="{00000000-0005-0000-0000-0000B5950000}"/>
    <cellStyle name="Normal 6 14 4" xfId="4261" xr:uid="{00000000-0005-0000-0000-0000B6950000}"/>
    <cellStyle name="Normal 6 14 4 2" xfId="8132" xr:uid="{00000000-0005-0000-0000-0000B7950000}"/>
    <cellStyle name="Normal 6 14 4 2 2" xfId="15877" xr:uid="{00000000-0005-0000-0000-0000B8950000}"/>
    <cellStyle name="Normal 6 14 4 2 2 2" xfId="31469" xr:uid="{00000000-0005-0000-0000-0000B9950000}"/>
    <cellStyle name="Normal 6 14 4 2 2 3" xfId="46961" xr:uid="{00000000-0005-0000-0000-0000BA950000}"/>
    <cellStyle name="Normal 6 14 4 2 3" xfId="23729" xr:uid="{00000000-0005-0000-0000-0000BB950000}"/>
    <cellStyle name="Normal 6 14 4 2 4" xfId="39221" xr:uid="{00000000-0005-0000-0000-0000BC950000}"/>
    <cellStyle name="Normal 6 14 4 3" xfId="12007" xr:uid="{00000000-0005-0000-0000-0000BD950000}"/>
    <cellStyle name="Normal 6 14 4 3 2" xfId="27599" xr:uid="{00000000-0005-0000-0000-0000BE950000}"/>
    <cellStyle name="Normal 6 14 4 3 3" xfId="43091" xr:uid="{00000000-0005-0000-0000-0000BF950000}"/>
    <cellStyle name="Normal 6 14 4 4" xfId="19859" xr:uid="{00000000-0005-0000-0000-0000C0950000}"/>
    <cellStyle name="Normal 6 14 4 5" xfId="35351" xr:uid="{00000000-0005-0000-0000-0000C1950000}"/>
    <cellStyle name="Normal 6 14 5" xfId="6205" xr:uid="{00000000-0005-0000-0000-0000C2950000}"/>
    <cellStyle name="Normal 6 14 5 2" xfId="13950" xr:uid="{00000000-0005-0000-0000-0000C3950000}"/>
    <cellStyle name="Normal 6 14 5 2 2" xfId="29542" xr:uid="{00000000-0005-0000-0000-0000C4950000}"/>
    <cellStyle name="Normal 6 14 5 2 3" xfId="45034" xr:uid="{00000000-0005-0000-0000-0000C5950000}"/>
    <cellStyle name="Normal 6 14 5 3" xfId="21802" xr:uid="{00000000-0005-0000-0000-0000C6950000}"/>
    <cellStyle name="Normal 6 14 5 4" xfId="37294" xr:uid="{00000000-0005-0000-0000-0000C7950000}"/>
    <cellStyle name="Normal 6 14 6" xfId="10080" xr:uid="{00000000-0005-0000-0000-0000C8950000}"/>
    <cellStyle name="Normal 6 14 6 2" xfId="25672" xr:uid="{00000000-0005-0000-0000-0000C9950000}"/>
    <cellStyle name="Normal 6 14 6 3" xfId="41164" xr:uid="{00000000-0005-0000-0000-0000CA950000}"/>
    <cellStyle name="Normal 6 14 7" xfId="17932" xr:uid="{00000000-0005-0000-0000-0000CB950000}"/>
    <cellStyle name="Normal 6 14 8" xfId="33424" xr:uid="{00000000-0005-0000-0000-0000CC950000}"/>
    <cellStyle name="Normal 6 15" xfId="2291" xr:uid="{00000000-0005-0000-0000-0000CD950000}"/>
    <cellStyle name="Normal 6 15 2" xfId="2607" xr:uid="{00000000-0005-0000-0000-0000CE950000}"/>
    <cellStyle name="Normal 6 15 2 2" xfId="3615" xr:uid="{00000000-0005-0000-0000-0000CF950000}"/>
    <cellStyle name="Normal 6 15 2 2 2" xfId="5554" xr:uid="{00000000-0005-0000-0000-0000D0950000}"/>
    <cellStyle name="Normal 6 15 2 2 2 2" xfId="9425" xr:uid="{00000000-0005-0000-0000-0000D1950000}"/>
    <cellStyle name="Normal 6 15 2 2 2 2 2" xfId="17170" xr:uid="{00000000-0005-0000-0000-0000D2950000}"/>
    <cellStyle name="Normal 6 15 2 2 2 2 2 2" xfId="32762" xr:uid="{00000000-0005-0000-0000-0000D3950000}"/>
    <cellStyle name="Normal 6 15 2 2 2 2 2 3" xfId="48254" xr:uid="{00000000-0005-0000-0000-0000D4950000}"/>
    <cellStyle name="Normal 6 15 2 2 2 2 3" xfId="25022" xr:uid="{00000000-0005-0000-0000-0000D5950000}"/>
    <cellStyle name="Normal 6 15 2 2 2 2 4" xfId="40514" xr:uid="{00000000-0005-0000-0000-0000D6950000}"/>
    <cellStyle name="Normal 6 15 2 2 2 3" xfId="13300" xr:uid="{00000000-0005-0000-0000-0000D7950000}"/>
    <cellStyle name="Normal 6 15 2 2 2 3 2" xfId="28892" xr:uid="{00000000-0005-0000-0000-0000D8950000}"/>
    <cellStyle name="Normal 6 15 2 2 2 3 3" xfId="44384" xr:uid="{00000000-0005-0000-0000-0000D9950000}"/>
    <cellStyle name="Normal 6 15 2 2 2 4" xfId="21152" xr:uid="{00000000-0005-0000-0000-0000DA950000}"/>
    <cellStyle name="Normal 6 15 2 2 2 5" xfId="36644" xr:uid="{00000000-0005-0000-0000-0000DB950000}"/>
    <cellStyle name="Normal 6 15 2 2 3" xfId="7498" xr:uid="{00000000-0005-0000-0000-0000DC950000}"/>
    <cellStyle name="Normal 6 15 2 2 3 2" xfId="15243" xr:uid="{00000000-0005-0000-0000-0000DD950000}"/>
    <cellStyle name="Normal 6 15 2 2 3 2 2" xfId="30835" xr:uid="{00000000-0005-0000-0000-0000DE950000}"/>
    <cellStyle name="Normal 6 15 2 2 3 2 3" xfId="46327" xr:uid="{00000000-0005-0000-0000-0000DF950000}"/>
    <cellStyle name="Normal 6 15 2 2 3 3" xfId="23095" xr:uid="{00000000-0005-0000-0000-0000E0950000}"/>
    <cellStyle name="Normal 6 15 2 2 3 4" xfId="38587" xr:uid="{00000000-0005-0000-0000-0000E1950000}"/>
    <cellStyle name="Normal 6 15 2 2 4" xfId="11373" xr:uid="{00000000-0005-0000-0000-0000E2950000}"/>
    <cellStyle name="Normal 6 15 2 2 4 2" xfId="26965" xr:uid="{00000000-0005-0000-0000-0000E3950000}"/>
    <cellStyle name="Normal 6 15 2 2 4 3" xfId="42457" xr:uid="{00000000-0005-0000-0000-0000E4950000}"/>
    <cellStyle name="Normal 6 15 2 2 5" xfId="19225" xr:uid="{00000000-0005-0000-0000-0000E5950000}"/>
    <cellStyle name="Normal 6 15 2 2 6" xfId="34717" xr:uid="{00000000-0005-0000-0000-0000E6950000}"/>
    <cellStyle name="Normal 6 15 2 3" xfId="4606" xr:uid="{00000000-0005-0000-0000-0000E7950000}"/>
    <cellStyle name="Normal 6 15 2 3 2" xfId="8477" xr:uid="{00000000-0005-0000-0000-0000E8950000}"/>
    <cellStyle name="Normal 6 15 2 3 2 2" xfId="16222" xr:uid="{00000000-0005-0000-0000-0000E9950000}"/>
    <cellStyle name="Normal 6 15 2 3 2 2 2" xfId="31814" xr:uid="{00000000-0005-0000-0000-0000EA950000}"/>
    <cellStyle name="Normal 6 15 2 3 2 2 3" xfId="47306" xr:uid="{00000000-0005-0000-0000-0000EB950000}"/>
    <cellStyle name="Normal 6 15 2 3 2 3" xfId="24074" xr:uid="{00000000-0005-0000-0000-0000EC950000}"/>
    <cellStyle name="Normal 6 15 2 3 2 4" xfId="39566" xr:uid="{00000000-0005-0000-0000-0000ED950000}"/>
    <cellStyle name="Normal 6 15 2 3 3" xfId="12352" xr:uid="{00000000-0005-0000-0000-0000EE950000}"/>
    <cellStyle name="Normal 6 15 2 3 3 2" xfId="27944" xr:uid="{00000000-0005-0000-0000-0000EF950000}"/>
    <cellStyle name="Normal 6 15 2 3 3 3" xfId="43436" xr:uid="{00000000-0005-0000-0000-0000F0950000}"/>
    <cellStyle name="Normal 6 15 2 3 4" xfId="20204" xr:uid="{00000000-0005-0000-0000-0000F1950000}"/>
    <cellStyle name="Normal 6 15 2 3 5" xfId="35696" xr:uid="{00000000-0005-0000-0000-0000F2950000}"/>
    <cellStyle name="Normal 6 15 2 4" xfId="6550" xr:uid="{00000000-0005-0000-0000-0000F3950000}"/>
    <cellStyle name="Normal 6 15 2 4 2" xfId="14295" xr:uid="{00000000-0005-0000-0000-0000F4950000}"/>
    <cellStyle name="Normal 6 15 2 4 2 2" xfId="29887" xr:uid="{00000000-0005-0000-0000-0000F5950000}"/>
    <cellStyle name="Normal 6 15 2 4 2 3" xfId="45379" xr:uid="{00000000-0005-0000-0000-0000F6950000}"/>
    <cellStyle name="Normal 6 15 2 4 3" xfId="22147" xr:uid="{00000000-0005-0000-0000-0000F7950000}"/>
    <cellStyle name="Normal 6 15 2 4 4" xfId="37639" xr:uid="{00000000-0005-0000-0000-0000F8950000}"/>
    <cellStyle name="Normal 6 15 2 5" xfId="10425" xr:uid="{00000000-0005-0000-0000-0000F9950000}"/>
    <cellStyle name="Normal 6 15 2 5 2" xfId="26017" xr:uid="{00000000-0005-0000-0000-0000FA950000}"/>
    <cellStyle name="Normal 6 15 2 5 3" xfId="41509" xr:uid="{00000000-0005-0000-0000-0000FB950000}"/>
    <cellStyle name="Normal 6 15 2 6" xfId="18277" xr:uid="{00000000-0005-0000-0000-0000FC950000}"/>
    <cellStyle name="Normal 6 15 2 7" xfId="33769" xr:uid="{00000000-0005-0000-0000-0000FD950000}"/>
    <cellStyle name="Normal 6 15 3" xfId="3306" xr:uid="{00000000-0005-0000-0000-0000FE950000}"/>
    <cellStyle name="Normal 6 15 3 2" xfId="5245" xr:uid="{00000000-0005-0000-0000-0000FF950000}"/>
    <cellStyle name="Normal 6 15 3 2 2" xfId="9116" xr:uid="{00000000-0005-0000-0000-000000960000}"/>
    <cellStyle name="Normal 6 15 3 2 2 2" xfId="16861" xr:uid="{00000000-0005-0000-0000-000001960000}"/>
    <cellStyle name="Normal 6 15 3 2 2 2 2" xfId="32453" xr:uid="{00000000-0005-0000-0000-000002960000}"/>
    <cellStyle name="Normal 6 15 3 2 2 2 3" xfId="47945" xr:uid="{00000000-0005-0000-0000-000003960000}"/>
    <cellStyle name="Normal 6 15 3 2 2 3" xfId="24713" xr:uid="{00000000-0005-0000-0000-000004960000}"/>
    <cellStyle name="Normal 6 15 3 2 2 4" xfId="40205" xr:uid="{00000000-0005-0000-0000-000005960000}"/>
    <cellStyle name="Normal 6 15 3 2 3" xfId="12991" xr:uid="{00000000-0005-0000-0000-000006960000}"/>
    <cellStyle name="Normal 6 15 3 2 3 2" xfId="28583" xr:uid="{00000000-0005-0000-0000-000007960000}"/>
    <cellStyle name="Normal 6 15 3 2 3 3" xfId="44075" xr:uid="{00000000-0005-0000-0000-000008960000}"/>
    <cellStyle name="Normal 6 15 3 2 4" xfId="20843" xr:uid="{00000000-0005-0000-0000-000009960000}"/>
    <cellStyle name="Normal 6 15 3 2 5" xfId="36335" xr:uid="{00000000-0005-0000-0000-00000A960000}"/>
    <cellStyle name="Normal 6 15 3 3" xfId="7189" xr:uid="{00000000-0005-0000-0000-00000B960000}"/>
    <cellStyle name="Normal 6 15 3 3 2" xfId="14934" xr:uid="{00000000-0005-0000-0000-00000C960000}"/>
    <cellStyle name="Normal 6 15 3 3 2 2" xfId="30526" xr:uid="{00000000-0005-0000-0000-00000D960000}"/>
    <cellStyle name="Normal 6 15 3 3 2 3" xfId="46018" xr:uid="{00000000-0005-0000-0000-00000E960000}"/>
    <cellStyle name="Normal 6 15 3 3 3" xfId="22786" xr:uid="{00000000-0005-0000-0000-00000F960000}"/>
    <cellStyle name="Normal 6 15 3 3 4" xfId="38278" xr:uid="{00000000-0005-0000-0000-000010960000}"/>
    <cellStyle name="Normal 6 15 3 4" xfId="11064" xr:uid="{00000000-0005-0000-0000-000011960000}"/>
    <cellStyle name="Normal 6 15 3 4 2" xfId="26656" xr:uid="{00000000-0005-0000-0000-000012960000}"/>
    <cellStyle name="Normal 6 15 3 4 3" xfId="42148" xr:uid="{00000000-0005-0000-0000-000013960000}"/>
    <cellStyle name="Normal 6 15 3 5" xfId="18916" xr:uid="{00000000-0005-0000-0000-000014960000}"/>
    <cellStyle name="Normal 6 15 3 6" xfId="34408" xr:uid="{00000000-0005-0000-0000-000015960000}"/>
    <cellStyle name="Normal 6 15 4" xfId="4297" xr:uid="{00000000-0005-0000-0000-000016960000}"/>
    <cellStyle name="Normal 6 15 4 2" xfId="8168" xr:uid="{00000000-0005-0000-0000-000017960000}"/>
    <cellStyle name="Normal 6 15 4 2 2" xfId="15913" xr:uid="{00000000-0005-0000-0000-000018960000}"/>
    <cellStyle name="Normal 6 15 4 2 2 2" xfId="31505" xr:uid="{00000000-0005-0000-0000-000019960000}"/>
    <cellStyle name="Normal 6 15 4 2 2 3" xfId="46997" xr:uid="{00000000-0005-0000-0000-00001A960000}"/>
    <cellStyle name="Normal 6 15 4 2 3" xfId="23765" xr:uid="{00000000-0005-0000-0000-00001B960000}"/>
    <cellStyle name="Normal 6 15 4 2 4" xfId="39257" xr:uid="{00000000-0005-0000-0000-00001C960000}"/>
    <cellStyle name="Normal 6 15 4 3" xfId="12043" xr:uid="{00000000-0005-0000-0000-00001D960000}"/>
    <cellStyle name="Normal 6 15 4 3 2" xfId="27635" xr:uid="{00000000-0005-0000-0000-00001E960000}"/>
    <cellStyle name="Normal 6 15 4 3 3" xfId="43127" xr:uid="{00000000-0005-0000-0000-00001F960000}"/>
    <cellStyle name="Normal 6 15 4 4" xfId="19895" xr:uid="{00000000-0005-0000-0000-000020960000}"/>
    <cellStyle name="Normal 6 15 4 5" xfId="35387" xr:uid="{00000000-0005-0000-0000-000021960000}"/>
    <cellStyle name="Normal 6 15 5" xfId="6241" xr:uid="{00000000-0005-0000-0000-000022960000}"/>
    <cellStyle name="Normal 6 15 5 2" xfId="13986" xr:uid="{00000000-0005-0000-0000-000023960000}"/>
    <cellStyle name="Normal 6 15 5 2 2" xfId="29578" xr:uid="{00000000-0005-0000-0000-000024960000}"/>
    <cellStyle name="Normal 6 15 5 2 3" xfId="45070" xr:uid="{00000000-0005-0000-0000-000025960000}"/>
    <cellStyle name="Normal 6 15 5 3" xfId="21838" xr:uid="{00000000-0005-0000-0000-000026960000}"/>
    <cellStyle name="Normal 6 15 5 4" xfId="37330" xr:uid="{00000000-0005-0000-0000-000027960000}"/>
    <cellStyle name="Normal 6 15 6" xfId="10116" xr:uid="{00000000-0005-0000-0000-000028960000}"/>
    <cellStyle name="Normal 6 15 6 2" xfId="25708" xr:uid="{00000000-0005-0000-0000-000029960000}"/>
    <cellStyle name="Normal 6 15 6 3" xfId="41200" xr:uid="{00000000-0005-0000-0000-00002A960000}"/>
    <cellStyle name="Normal 6 15 7" xfId="17968" xr:uid="{00000000-0005-0000-0000-00002B960000}"/>
    <cellStyle name="Normal 6 15 8" xfId="33460" xr:uid="{00000000-0005-0000-0000-00002C960000}"/>
    <cellStyle name="Normal 6 16" xfId="2329" xr:uid="{00000000-0005-0000-0000-00002D960000}"/>
    <cellStyle name="Normal 6 16 2" xfId="2643" xr:uid="{00000000-0005-0000-0000-00002E960000}"/>
    <cellStyle name="Normal 6 16 2 2" xfId="3651" xr:uid="{00000000-0005-0000-0000-00002F960000}"/>
    <cellStyle name="Normal 6 16 2 2 2" xfId="5590" xr:uid="{00000000-0005-0000-0000-000030960000}"/>
    <cellStyle name="Normal 6 16 2 2 2 2" xfId="9461" xr:uid="{00000000-0005-0000-0000-000031960000}"/>
    <cellStyle name="Normal 6 16 2 2 2 2 2" xfId="17206" xr:uid="{00000000-0005-0000-0000-000032960000}"/>
    <cellStyle name="Normal 6 16 2 2 2 2 2 2" xfId="32798" xr:uid="{00000000-0005-0000-0000-000033960000}"/>
    <cellStyle name="Normal 6 16 2 2 2 2 2 3" xfId="48290" xr:uid="{00000000-0005-0000-0000-000034960000}"/>
    <cellStyle name="Normal 6 16 2 2 2 2 3" xfId="25058" xr:uid="{00000000-0005-0000-0000-000035960000}"/>
    <cellStyle name="Normal 6 16 2 2 2 2 4" xfId="40550" xr:uid="{00000000-0005-0000-0000-000036960000}"/>
    <cellStyle name="Normal 6 16 2 2 2 3" xfId="13336" xr:uid="{00000000-0005-0000-0000-000037960000}"/>
    <cellStyle name="Normal 6 16 2 2 2 3 2" xfId="28928" xr:uid="{00000000-0005-0000-0000-000038960000}"/>
    <cellStyle name="Normal 6 16 2 2 2 3 3" xfId="44420" xr:uid="{00000000-0005-0000-0000-000039960000}"/>
    <cellStyle name="Normal 6 16 2 2 2 4" xfId="21188" xr:uid="{00000000-0005-0000-0000-00003A960000}"/>
    <cellStyle name="Normal 6 16 2 2 2 5" xfId="36680" xr:uid="{00000000-0005-0000-0000-00003B960000}"/>
    <cellStyle name="Normal 6 16 2 2 3" xfId="7534" xr:uid="{00000000-0005-0000-0000-00003C960000}"/>
    <cellStyle name="Normal 6 16 2 2 3 2" xfId="15279" xr:uid="{00000000-0005-0000-0000-00003D960000}"/>
    <cellStyle name="Normal 6 16 2 2 3 2 2" xfId="30871" xr:uid="{00000000-0005-0000-0000-00003E960000}"/>
    <cellStyle name="Normal 6 16 2 2 3 2 3" xfId="46363" xr:uid="{00000000-0005-0000-0000-00003F960000}"/>
    <cellStyle name="Normal 6 16 2 2 3 3" xfId="23131" xr:uid="{00000000-0005-0000-0000-000040960000}"/>
    <cellStyle name="Normal 6 16 2 2 3 4" xfId="38623" xr:uid="{00000000-0005-0000-0000-000041960000}"/>
    <cellStyle name="Normal 6 16 2 2 4" xfId="11409" xr:uid="{00000000-0005-0000-0000-000042960000}"/>
    <cellStyle name="Normal 6 16 2 2 4 2" xfId="27001" xr:uid="{00000000-0005-0000-0000-000043960000}"/>
    <cellStyle name="Normal 6 16 2 2 4 3" xfId="42493" xr:uid="{00000000-0005-0000-0000-000044960000}"/>
    <cellStyle name="Normal 6 16 2 2 5" xfId="19261" xr:uid="{00000000-0005-0000-0000-000045960000}"/>
    <cellStyle name="Normal 6 16 2 2 6" xfId="34753" xr:uid="{00000000-0005-0000-0000-000046960000}"/>
    <cellStyle name="Normal 6 16 2 3" xfId="4642" xr:uid="{00000000-0005-0000-0000-000047960000}"/>
    <cellStyle name="Normal 6 16 2 3 2" xfId="8513" xr:uid="{00000000-0005-0000-0000-000048960000}"/>
    <cellStyle name="Normal 6 16 2 3 2 2" xfId="16258" xr:uid="{00000000-0005-0000-0000-000049960000}"/>
    <cellStyle name="Normal 6 16 2 3 2 2 2" xfId="31850" xr:uid="{00000000-0005-0000-0000-00004A960000}"/>
    <cellStyle name="Normal 6 16 2 3 2 2 3" xfId="47342" xr:uid="{00000000-0005-0000-0000-00004B960000}"/>
    <cellStyle name="Normal 6 16 2 3 2 3" xfId="24110" xr:uid="{00000000-0005-0000-0000-00004C960000}"/>
    <cellStyle name="Normal 6 16 2 3 2 4" xfId="39602" xr:uid="{00000000-0005-0000-0000-00004D960000}"/>
    <cellStyle name="Normal 6 16 2 3 3" xfId="12388" xr:uid="{00000000-0005-0000-0000-00004E960000}"/>
    <cellStyle name="Normal 6 16 2 3 3 2" xfId="27980" xr:uid="{00000000-0005-0000-0000-00004F960000}"/>
    <cellStyle name="Normal 6 16 2 3 3 3" xfId="43472" xr:uid="{00000000-0005-0000-0000-000050960000}"/>
    <cellStyle name="Normal 6 16 2 3 4" xfId="20240" xr:uid="{00000000-0005-0000-0000-000051960000}"/>
    <cellStyle name="Normal 6 16 2 3 5" xfId="35732" xr:uid="{00000000-0005-0000-0000-000052960000}"/>
    <cellStyle name="Normal 6 16 2 4" xfId="6586" xr:uid="{00000000-0005-0000-0000-000053960000}"/>
    <cellStyle name="Normal 6 16 2 4 2" xfId="14331" xr:uid="{00000000-0005-0000-0000-000054960000}"/>
    <cellStyle name="Normal 6 16 2 4 2 2" xfId="29923" xr:uid="{00000000-0005-0000-0000-000055960000}"/>
    <cellStyle name="Normal 6 16 2 4 2 3" xfId="45415" xr:uid="{00000000-0005-0000-0000-000056960000}"/>
    <cellStyle name="Normal 6 16 2 4 3" xfId="22183" xr:uid="{00000000-0005-0000-0000-000057960000}"/>
    <cellStyle name="Normal 6 16 2 4 4" xfId="37675" xr:uid="{00000000-0005-0000-0000-000058960000}"/>
    <cellStyle name="Normal 6 16 2 5" xfId="10461" xr:uid="{00000000-0005-0000-0000-000059960000}"/>
    <cellStyle name="Normal 6 16 2 5 2" xfId="26053" xr:uid="{00000000-0005-0000-0000-00005A960000}"/>
    <cellStyle name="Normal 6 16 2 5 3" xfId="41545" xr:uid="{00000000-0005-0000-0000-00005B960000}"/>
    <cellStyle name="Normal 6 16 2 6" xfId="18313" xr:uid="{00000000-0005-0000-0000-00005C960000}"/>
    <cellStyle name="Normal 6 16 2 7" xfId="33805" xr:uid="{00000000-0005-0000-0000-00005D960000}"/>
    <cellStyle name="Normal 6 16 3" xfId="3342" xr:uid="{00000000-0005-0000-0000-00005E960000}"/>
    <cellStyle name="Normal 6 16 3 2" xfId="5281" xr:uid="{00000000-0005-0000-0000-00005F960000}"/>
    <cellStyle name="Normal 6 16 3 2 2" xfId="9152" xr:uid="{00000000-0005-0000-0000-000060960000}"/>
    <cellStyle name="Normal 6 16 3 2 2 2" xfId="16897" xr:uid="{00000000-0005-0000-0000-000061960000}"/>
    <cellStyle name="Normal 6 16 3 2 2 2 2" xfId="32489" xr:uid="{00000000-0005-0000-0000-000062960000}"/>
    <cellStyle name="Normal 6 16 3 2 2 2 3" xfId="47981" xr:uid="{00000000-0005-0000-0000-000063960000}"/>
    <cellStyle name="Normal 6 16 3 2 2 3" xfId="24749" xr:uid="{00000000-0005-0000-0000-000064960000}"/>
    <cellStyle name="Normal 6 16 3 2 2 4" xfId="40241" xr:uid="{00000000-0005-0000-0000-000065960000}"/>
    <cellStyle name="Normal 6 16 3 2 3" xfId="13027" xr:uid="{00000000-0005-0000-0000-000066960000}"/>
    <cellStyle name="Normal 6 16 3 2 3 2" xfId="28619" xr:uid="{00000000-0005-0000-0000-000067960000}"/>
    <cellStyle name="Normal 6 16 3 2 3 3" xfId="44111" xr:uid="{00000000-0005-0000-0000-000068960000}"/>
    <cellStyle name="Normal 6 16 3 2 4" xfId="20879" xr:uid="{00000000-0005-0000-0000-000069960000}"/>
    <cellStyle name="Normal 6 16 3 2 5" xfId="36371" xr:uid="{00000000-0005-0000-0000-00006A960000}"/>
    <cellStyle name="Normal 6 16 3 3" xfId="7225" xr:uid="{00000000-0005-0000-0000-00006B960000}"/>
    <cellStyle name="Normal 6 16 3 3 2" xfId="14970" xr:uid="{00000000-0005-0000-0000-00006C960000}"/>
    <cellStyle name="Normal 6 16 3 3 2 2" xfId="30562" xr:uid="{00000000-0005-0000-0000-00006D960000}"/>
    <cellStyle name="Normal 6 16 3 3 2 3" xfId="46054" xr:uid="{00000000-0005-0000-0000-00006E960000}"/>
    <cellStyle name="Normal 6 16 3 3 3" xfId="22822" xr:uid="{00000000-0005-0000-0000-00006F960000}"/>
    <cellStyle name="Normal 6 16 3 3 4" xfId="38314" xr:uid="{00000000-0005-0000-0000-000070960000}"/>
    <cellStyle name="Normal 6 16 3 4" xfId="11100" xr:uid="{00000000-0005-0000-0000-000071960000}"/>
    <cellStyle name="Normal 6 16 3 4 2" xfId="26692" xr:uid="{00000000-0005-0000-0000-000072960000}"/>
    <cellStyle name="Normal 6 16 3 4 3" xfId="42184" xr:uid="{00000000-0005-0000-0000-000073960000}"/>
    <cellStyle name="Normal 6 16 3 5" xfId="18952" xr:uid="{00000000-0005-0000-0000-000074960000}"/>
    <cellStyle name="Normal 6 16 3 6" xfId="34444" xr:uid="{00000000-0005-0000-0000-000075960000}"/>
    <cellStyle name="Normal 6 16 4" xfId="4333" xr:uid="{00000000-0005-0000-0000-000076960000}"/>
    <cellStyle name="Normal 6 16 4 2" xfId="8204" xr:uid="{00000000-0005-0000-0000-000077960000}"/>
    <cellStyle name="Normal 6 16 4 2 2" xfId="15949" xr:uid="{00000000-0005-0000-0000-000078960000}"/>
    <cellStyle name="Normal 6 16 4 2 2 2" xfId="31541" xr:uid="{00000000-0005-0000-0000-000079960000}"/>
    <cellStyle name="Normal 6 16 4 2 2 3" xfId="47033" xr:uid="{00000000-0005-0000-0000-00007A960000}"/>
    <cellStyle name="Normal 6 16 4 2 3" xfId="23801" xr:uid="{00000000-0005-0000-0000-00007B960000}"/>
    <cellStyle name="Normal 6 16 4 2 4" xfId="39293" xr:uid="{00000000-0005-0000-0000-00007C960000}"/>
    <cellStyle name="Normal 6 16 4 3" xfId="12079" xr:uid="{00000000-0005-0000-0000-00007D960000}"/>
    <cellStyle name="Normal 6 16 4 3 2" xfId="27671" xr:uid="{00000000-0005-0000-0000-00007E960000}"/>
    <cellStyle name="Normal 6 16 4 3 3" xfId="43163" xr:uid="{00000000-0005-0000-0000-00007F960000}"/>
    <cellStyle name="Normal 6 16 4 4" xfId="19931" xr:uid="{00000000-0005-0000-0000-000080960000}"/>
    <cellStyle name="Normal 6 16 4 5" xfId="35423" xr:uid="{00000000-0005-0000-0000-000081960000}"/>
    <cellStyle name="Normal 6 16 5" xfId="6277" xr:uid="{00000000-0005-0000-0000-000082960000}"/>
    <cellStyle name="Normal 6 16 5 2" xfId="14022" xr:uid="{00000000-0005-0000-0000-000083960000}"/>
    <cellStyle name="Normal 6 16 5 2 2" xfId="29614" xr:uid="{00000000-0005-0000-0000-000084960000}"/>
    <cellStyle name="Normal 6 16 5 2 3" xfId="45106" xr:uid="{00000000-0005-0000-0000-000085960000}"/>
    <cellStyle name="Normal 6 16 5 3" xfId="21874" xr:uid="{00000000-0005-0000-0000-000086960000}"/>
    <cellStyle name="Normal 6 16 5 4" xfId="37366" xr:uid="{00000000-0005-0000-0000-000087960000}"/>
    <cellStyle name="Normal 6 16 6" xfId="10152" xr:uid="{00000000-0005-0000-0000-000088960000}"/>
    <cellStyle name="Normal 6 16 6 2" xfId="25744" xr:uid="{00000000-0005-0000-0000-000089960000}"/>
    <cellStyle name="Normal 6 16 6 3" xfId="41236" xr:uid="{00000000-0005-0000-0000-00008A960000}"/>
    <cellStyle name="Normal 6 16 7" xfId="18004" xr:uid="{00000000-0005-0000-0000-00008B960000}"/>
    <cellStyle name="Normal 6 16 8" xfId="33496" xr:uid="{00000000-0005-0000-0000-00008C960000}"/>
    <cellStyle name="Normal 6 17" xfId="2366" xr:uid="{00000000-0005-0000-0000-00008D960000}"/>
    <cellStyle name="Normal 6 17 2" xfId="2679" xr:uid="{00000000-0005-0000-0000-00008E960000}"/>
    <cellStyle name="Normal 6 17 2 2" xfId="3687" xr:uid="{00000000-0005-0000-0000-00008F960000}"/>
    <cellStyle name="Normal 6 17 2 2 2" xfId="5626" xr:uid="{00000000-0005-0000-0000-000090960000}"/>
    <cellStyle name="Normal 6 17 2 2 2 2" xfId="9497" xr:uid="{00000000-0005-0000-0000-000091960000}"/>
    <cellStyle name="Normal 6 17 2 2 2 2 2" xfId="17242" xr:uid="{00000000-0005-0000-0000-000092960000}"/>
    <cellStyle name="Normal 6 17 2 2 2 2 2 2" xfId="32834" xr:uid="{00000000-0005-0000-0000-000093960000}"/>
    <cellStyle name="Normal 6 17 2 2 2 2 2 3" xfId="48326" xr:uid="{00000000-0005-0000-0000-000094960000}"/>
    <cellStyle name="Normal 6 17 2 2 2 2 3" xfId="25094" xr:uid="{00000000-0005-0000-0000-000095960000}"/>
    <cellStyle name="Normal 6 17 2 2 2 2 4" xfId="40586" xr:uid="{00000000-0005-0000-0000-000096960000}"/>
    <cellStyle name="Normal 6 17 2 2 2 3" xfId="13372" xr:uid="{00000000-0005-0000-0000-000097960000}"/>
    <cellStyle name="Normal 6 17 2 2 2 3 2" xfId="28964" xr:uid="{00000000-0005-0000-0000-000098960000}"/>
    <cellStyle name="Normal 6 17 2 2 2 3 3" xfId="44456" xr:uid="{00000000-0005-0000-0000-000099960000}"/>
    <cellStyle name="Normal 6 17 2 2 2 4" xfId="21224" xr:uid="{00000000-0005-0000-0000-00009A960000}"/>
    <cellStyle name="Normal 6 17 2 2 2 5" xfId="36716" xr:uid="{00000000-0005-0000-0000-00009B960000}"/>
    <cellStyle name="Normal 6 17 2 2 3" xfId="7570" xr:uid="{00000000-0005-0000-0000-00009C960000}"/>
    <cellStyle name="Normal 6 17 2 2 3 2" xfId="15315" xr:uid="{00000000-0005-0000-0000-00009D960000}"/>
    <cellStyle name="Normal 6 17 2 2 3 2 2" xfId="30907" xr:uid="{00000000-0005-0000-0000-00009E960000}"/>
    <cellStyle name="Normal 6 17 2 2 3 2 3" xfId="46399" xr:uid="{00000000-0005-0000-0000-00009F960000}"/>
    <cellStyle name="Normal 6 17 2 2 3 3" xfId="23167" xr:uid="{00000000-0005-0000-0000-0000A0960000}"/>
    <cellStyle name="Normal 6 17 2 2 3 4" xfId="38659" xr:uid="{00000000-0005-0000-0000-0000A1960000}"/>
    <cellStyle name="Normal 6 17 2 2 4" xfId="11445" xr:uid="{00000000-0005-0000-0000-0000A2960000}"/>
    <cellStyle name="Normal 6 17 2 2 4 2" xfId="27037" xr:uid="{00000000-0005-0000-0000-0000A3960000}"/>
    <cellStyle name="Normal 6 17 2 2 4 3" xfId="42529" xr:uid="{00000000-0005-0000-0000-0000A4960000}"/>
    <cellStyle name="Normal 6 17 2 2 5" xfId="19297" xr:uid="{00000000-0005-0000-0000-0000A5960000}"/>
    <cellStyle name="Normal 6 17 2 2 6" xfId="34789" xr:uid="{00000000-0005-0000-0000-0000A6960000}"/>
    <cellStyle name="Normal 6 17 2 3" xfId="4678" xr:uid="{00000000-0005-0000-0000-0000A7960000}"/>
    <cellStyle name="Normal 6 17 2 3 2" xfId="8549" xr:uid="{00000000-0005-0000-0000-0000A8960000}"/>
    <cellStyle name="Normal 6 17 2 3 2 2" xfId="16294" xr:uid="{00000000-0005-0000-0000-0000A9960000}"/>
    <cellStyle name="Normal 6 17 2 3 2 2 2" xfId="31886" xr:uid="{00000000-0005-0000-0000-0000AA960000}"/>
    <cellStyle name="Normal 6 17 2 3 2 2 3" xfId="47378" xr:uid="{00000000-0005-0000-0000-0000AB960000}"/>
    <cellStyle name="Normal 6 17 2 3 2 3" xfId="24146" xr:uid="{00000000-0005-0000-0000-0000AC960000}"/>
    <cellStyle name="Normal 6 17 2 3 2 4" xfId="39638" xr:uid="{00000000-0005-0000-0000-0000AD960000}"/>
    <cellStyle name="Normal 6 17 2 3 3" xfId="12424" xr:uid="{00000000-0005-0000-0000-0000AE960000}"/>
    <cellStyle name="Normal 6 17 2 3 3 2" xfId="28016" xr:uid="{00000000-0005-0000-0000-0000AF960000}"/>
    <cellStyle name="Normal 6 17 2 3 3 3" xfId="43508" xr:uid="{00000000-0005-0000-0000-0000B0960000}"/>
    <cellStyle name="Normal 6 17 2 3 4" xfId="20276" xr:uid="{00000000-0005-0000-0000-0000B1960000}"/>
    <cellStyle name="Normal 6 17 2 3 5" xfId="35768" xr:uid="{00000000-0005-0000-0000-0000B2960000}"/>
    <cellStyle name="Normal 6 17 2 4" xfId="6622" xr:uid="{00000000-0005-0000-0000-0000B3960000}"/>
    <cellStyle name="Normal 6 17 2 4 2" xfId="14367" xr:uid="{00000000-0005-0000-0000-0000B4960000}"/>
    <cellStyle name="Normal 6 17 2 4 2 2" xfId="29959" xr:uid="{00000000-0005-0000-0000-0000B5960000}"/>
    <cellStyle name="Normal 6 17 2 4 2 3" xfId="45451" xr:uid="{00000000-0005-0000-0000-0000B6960000}"/>
    <cellStyle name="Normal 6 17 2 4 3" xfId="22219" xr:uid="{00000000-0005-0000-0000-0000B7960000}"/>
    <cellStyle name="Normal 6 17 2 4 4" xfId="37711" xr:uid="{00000000-0005-0000-0000-0000B8960000}"/>
    <cellStyle name="Normal 6 17 2 5" xfId="10497" xr:uid="{00000000-0005-0000-0000-0000B9960000}"/>
    <cellStyle name="Normal 6 17 2 5 2" xfId="26089" xr:uid="{00000000-0005-0000-0000-0000BA960000}"/>
    <cellStyle name="Normal 6 17 2 5 3" xfId="41581" xr:uid="{00000000-0005-0000-0000-0000BB960000}"/>
    <cellStyle name="Normal 6 17 2 6" xfId="18349" xr:uid="{00000000-0005-0000-0000-0000BC960000}"/>
    <cellStyle name="Normal 6 17 2 7" xfId="33841" xr:uid="{00000000-0005-0000-0000-0000BD960000}"/>
    <cellStyle name="Normal 6 17 3" xfId="3378" xr:uid="{00000000-0005-0000-0000-0000BE960000}"/>
    <cellStyle name="Normal 6 17 3 2" xfId="5317" xr:uid="{00000000-0005-0000-0000-0000BF960000}"/>
    <cellStyle name="Normal 6 17 3 2 2" xfId="9188" xr:uid="{00000000-0005-0000-0000-0000C0960000}"/>
    <cellStyle name="Normal 6 17 3 2 2 2" xfId="16933" xr:uid="{00000000-0005-0000-0000-0000C1960000}"/>
    <cellStyle name="Normal 6 17 3 2 2 2 2" xfId="32525" xr:uid="{00000000-0005-0000-0000-0000C2960000}"/>
    <cellStyle name="Normal 6 17 3 2 2 2 3" xfId="48017" xr:uid="{00000000-0005-0000-0000-0000C3960000}"/>
    <cellStyle name="Normal 6 17 3 2 2 3" xfId="24785" xr:uid="{00000000-0005-0000-0000-0000C4960000}"/>
    <cellStyle name="Normal 6 17 3 2 2 4" xfId="40277" xr:uid="{00000000-0005-0000-0000-0000C5960000}"/>
    <cellStyle name="Normal 6 17 3 2 3" xfId="13063" xr:uid="{00000000-0005-0000-0000-0000C6960000}"/>
    <cellStyle name="Normal 6 17 3 2 3 2" xfId="28655" xr:uid="{00000000-0005-0000-0000-0000C7960000}"/>
    <cellStyle name="Normal 6 17 3 2 3 3" xfId="44147" xr:uid="{00000000-0005-0000-0000-0000C8960000}"/>
    <cellStyle name="Normal 6 17 3 2 4" xfId="20915" xr:uid="{00000000-0005-0000-0000-0000C9960000}"/>
    <cellStyle name="Normal 6 17 3 2 5" xfId="36407" xr:uid="{00000000-0005-0000-0000-0000CA960000}"/>
    <cellStyle name="Normal 6 17 3 3" xfId="7261" xr:uid="{00000000-0005-0000-0000-0000CB960000}"/>
    <cellStyle name="Normal 6 17 3 3 2" xfId="15006" xr:uid="{00000000-0005-0000-0000-0000CC960000}"/>
    <cellStyle name="Normal 6 17 3 3 2 2" xfId="30598" xr:uid="{00000000-0005-0000-0000-0000CD960000}"/>
    <cellStyle name="Normal 6 17 3 3 2 3" xfId="46090" xr:uid="{00000000-0005-0000-0000-0000CE960000}"/>
    <cellStyle name="Normal 6 17 3 3 3" xfId="22858" xr:uid="{00000000-0005-0000-0000-0000CF960000}"/>
    <cellStyle name="Normal 6 17 3 3 4" xfId="38350" xr:uid="{00000000-0005-0000-0000-0000D0960000}"/>
    <cellStyle name="Normal 6 17 3 4" xfId="11136" xr:uid="{00000000-0005-0000-0000-0000D1960000}"/>
    <cellStyle name="Normal 6 17 3 4 2" xfId="26728" xr:uid="{00000000-0005-0000-0000-0000D2960000}"/>
    <cellStyle name="Normal 6 17 3 4 3" xfId="42220" xr:uid="{00000000-0005-0000-0000-0000D3960000}"/>
    <cellStyle name="Normal 6 17 3 5" xfId="18988" xr:uid="{00000000-0005-0000-0000-0000D4960000}"/>
    <cellStyle name="Normal 6 17 3 6" xfId="34480" xr:uid="{00000000-0005-0000-0000-0000D5960000}"/>
    <cellStyle name="Normal 6 17 4" xfId="4369" xr:uid="{00000000-0005-0000-0000-0000D6960000}"/>
    <cellStyle name="Normal 6 17 4 2" xfId="8240" xr:uid="{00000000-0005-0000-0000-0000D7960000}"/>
    <cellStyle name="Normal 6 17 4 2 2" xfId="15985" xr:uid="{00000000-0005-0000-0000-0000D8960000}"/>
    <cellStyle name="Normal 6 17 4 2 2 2" xfId="31577" xr:uid="{00000000-0005-0000-0000-0000D9960000}"/>
    <cellStyle name="Normal 6 17 4 2 2 3" xfId="47069" xr:uid="{00000000-0005-0000-0000-0000DA960000}"/>
    <cellStyle name="Normal 6 17 4 2 3" xfId="23837" xr:uid="{00000000-0005-0000-0000-0000DB960000}"/>
    <cellStyle name="Normal 6 17 4 2 4" xfId="39329" xr:uid="{00000000-0005-0000-0000-0000DC960000}"/>
    <cellStyle name="Normal 6 17 4 3" xfId="12115" xr:uid="{00000000-0005-0000-0000-0000DD960000}"/>
    <cellStyle name="Normal 6 17 4 3 2" xfId="27707" xr:uid="{00000000-0005-0000-0000-0000DE960000}"/>
    <cellStyle name="Normal 6 17 4 3 3" xfId="43199" xr:uid="{00000000-0005-0000-0000-0000DF960000}"/>
    <cellStyle name="Normal 6 17 4 4" xfId="19967" xr:uid="{00000000-0005-0000-0000-0000E0960000}"/>
    <cellStyle name="Normal 6 17 4 5" xfId="35459" xr:uid="{00000000-0005-0000-0000-0000E1960000}"/>
    <cellStyle name="Normal 6 17 5" xfId="6313" xr:uid="{00000000-0005-0000-0000-0000E2960000}"/>
    <cellStyle name="Normal 6 17 5 2" xfId="14058" xr:uid="{00000000-0005-0000-0000-0000E3960000}"/>
    <cellStyle name="Normal 6 17 5 2 2" xfId="29650" xr:uid="{00000000-0005-0000-0000-0000E4960000}"/>
    <cellStyle name="Normal 6 17 5 2 3" xfId="45142" xr:uid="{00000000-0005-0000-0000-0000E5960000}"/>
    <cellStyle name="Normal 6 17 5 3" xfId="21910" xr:uid="{00000000-0005-0000-0000-0000E6960000}"/>
    <cellStyle name="Normal 6 17 5 4" xfId="37402" xr:uid="{00000000-0005-0000-0000-0000E7960000}"/>
    <cellStyle name="Normal 6 17 6" xfId="10188" xr:uid="{00000000-0005-0000-0000-0000E8960000}"/>
    <cellStyle name="Normal 6 17 6 2" xfId="25780" xr:uid="{00000000-0005-0000-0000-0000E9960000}"/>
    <cellStyle name="Normal 6 17 6 3" xfId="41272" xr:uid="{00000000-0005-0000-0000-0000EA960000}"/>
    <cellStyle name="Normal 6 17 7" xfId="18040" xr:uid="{00000000-0005-0000-0000-0000EB960000}"/>
    <cellStyle name="Normal 6 17 8" xfId="33532" xr:uid="{00000000-0005-0000-0000-0000EC960000}"/>
    <cellStyle name="Normal 6 18" xfId="2404" xr:uid="{00000000-0005-0000-0000-0000ED960000}"/>
    <cellStyle name="Normal 6 18 2" xfId="2715" xr:uid="{00000000-0005-0000-0000-0000EE960000}"/>
    <cellStyle name="Normal 6 18 2 2" xfId="3723" xr:uid="{00000000-0005-0000-0000-0000EF960000}"/>
    <cellStyle name="Normal 6 18 2 2 2" xfId="5662" xr:uid="{00000000-0005-0000-0000-0000F0960000}"/>
    <cellStyle name="Normal 6 18 2 2 2 2" xfId="9533" xr:uid="{00000000-0005-0000-0000-0000F1960000}"/>
    <cellStyle name="Normal 6 18 2 2 2 2 2" xfId="17278" xr:uid="{00000000-0005-0000-0000-0000F2960000}"/>
    <cellStyle name="Normal 6 18 2 2 2 2 2 2" xfId="32870" xr:uid="{00000000-0005-0000-0000-0000F3960000}"/>
    <cellStyle name="Normal 6 18 2 2 2 2 2 3" xfId="48362" xr:uid="{00000000-0005-0000-0000-0000F4960000}"/>
    <cellStyle name="Normal 6 18 2 2 2 2 3" xfId="25130" xr:uid="{00000000-0005-0000-0000-0000F5960000}"/>
    <cellStyle name="Normal 6 18 2 2 2 2 4" xfId="40622" xr:uid="{00000000-0005-0000-0000-0000F6960000}"/>
    <cellStyle name="Normal 6 18 2 2 2 3" xfId="13408" xr:uid="{00000000-0005-0000-0000-0000F7960000}"/>
    <cellStyle name="Normal 6 18 2 2 2 3 2" xfId="29000" xr:uid="{00000000-0005-0000-0000-0000F8960000}"/>
    <cellStyle name="Normal 6 18 2 2 2 3 3" xfId="44492" xr:uid="{00000000-0005-0000-0000-0000F9960000}"/>
    <cellStyle name="Normal 6 18 2 2 2 4" xfId="21260" xr:uid="{00000000-0005-0000-0000-0000FA960000}"/>
    <cellStyle name="Normal 6 18 2 2 2 5" xfId="36752" xr:uid="{00000000-0005-0000-0000-0000FB960000}"/>
    <cellStyle name="Normal 6 18 2 2 3" xfId="7606" xr:uid="{00000000-0005-0000-0000-0000FC960000}"/>
    <cellStyle name="Normal 6 18 2 2 3 2" xfId="15351" xr:uid="{00000000-0005-0000-0000-0000FD960000}"/>
    <cellStyle name="Normal 6 18 2 2 3 2 2" xfId="30943" xr:uid="{00000000-0005-0000-0000-0000FE960000}"/>
    <cellStyle name="Normal 6 18 2 2 3 2 3" xfId="46435" xr:uid="{00000000-0005-0000-0000-0000FF960000}"/>
    <cellStyle name="Normal 6 18 2 2 3 3" xfId="23203" xr:uid="{00000000-0005-0000-0000-000000970000}"/>
    <cellStyle name="Normal 6 18 2 2 3 4" xfId="38695" xr:uid="{00000000-0005-0000-0000-000001970000}"/>
    <cellStyle name="Normal 6 18 2 2 4" xfId="11481" xr:uid="{00000000-0005-0000-0000-000002970000}"/>
    <cellStyle name="Normal 6 18 2 2 4 2" xfId="27073" xr:uid="{00000000-0005-0000-0000-000003970000}"/>
    <cellStyle name="Normal 6 18 2 2 4 3" xfId="42565" xr:uid="{00000000-0005-0000-0000-000004970000}"/>
    <cellStyle name="Normal 6 18 2 2 5" xfId="19333" xr:uid="{00000000-0005-0000-0000-000005970000}"/>
    <cellStyle name="Normal 6 18 2 2 6" xfId="34825" xr:uid="{00000000-0005-0000-0000-000006970000}"/>
    <cellStyle name="Normal 6 18 2 3" xfId="4714" xr:uid="{00000000-0005-0000-0000-000007970000}"/>
    <cellStyle name="Normal 6 18 2 3 2" xfId="8585" xr:uid="{00000000-0005-0000-0000-000008970000}"/>
    <cellStyle name="Normal 6 18 2 3 2 2" xfId="16330" xr:uid="{00000000-0005-0000-0000-000009970000}"/>
    <cellStyle name="Normal 6 18 2 3 2 2 2" xfId="31922" xr:uid="{00000000-0005-0000-0000-00000A970000}"/>
    <cellStyle name="Normal 6 18 2 3 2 2 3" xfId="47414" xr:uid="{00000000-0005-0000-0000-00000B970000}"/>
    <cellStyle name="Normal 6 18 2 3 2 3" xfId="24182" xr:uid="{00000000-0005-0000-0000-00000C970000}"/>
    <cellStyle name="Normal 6 18 2 3 2 4" xfId="39674" xr:uid="{00000000-0005-0000-0000-00000D970000}"/>
    <cellStyle name="Normal 6 18 2 3 3" xfId="12460" xr:uid="{00000000-0005-0000-0000-00000E970000}"/>
    <cellStyle name="Normal 6 18 2 3 3 2" xfId="28052" xr:uid="{00000000-0005-0000-0000-00000F970000}"/>
    <cellStyle name="Normal 6 18 2 3 3 3" xfId="43544" xr:uid="{00000000-0005-0000-0000-000010970000}"/>
    <cellStyle name="Normal 6 18 2 3 4" xfId="20312" xr:uid="{00000000-0005-0000-0000-000011970000}"/>
    <cellStyle name="Normal 6 18 2 3 5" xfId="35804" xr:uid="{00000000-0005-0000-0000-000012970000}"/>
    <cellStyle name="Normal 6 18 2 4" xfId="6658" xr:uid="{00000000-0005-0000-0000-000013970000}"/>
    <cellStyle name="Normal 6 18 2 4 2" xfId="14403" xr:uid="{00000000-0005-0000-0000-000014970000}"/>
    <cellStyle name="Normal 6 18 2 4 2 2" xfId="29995" xr:uid="{00000000-0005-0000-0000-000015970000}"/>
    <cellStyle name="Normal 6 18 2 4 2 3" xfId="45487" xr:uid="{00000000-0005-0000-0000-000016970000}"/>
    <cellStyle name="Normal 6 18 2 4 3" xfId="22255" xr:uid="{00000000-0005-0000-0000-000017970000}"/>
    <cellStyle name="Normal 6 18 2 4 4" xfId="37747" xr:uid="{00000000-0005-0000-0000-000018970000}"/>
    <cellStyle name="Normal 6 18 2 5" xfId="10533" xr:uid="{00000000-0005-0000-0000-000019970000}"/>
    <cellStyle name="Normal 6 18 2 5 2" xfId="26125" xr:uid="{00000000-0005-0000-0000-00001A970000}"/>
    <cellStyle name="Normal 6 18 2 5 3" xfId="41617" xr:uid="{00000000-0005-0000-0000-00001B970000}"/>
    <cellStyle name="Normal 6 18 2 6" xfId="18385" xr:uid="{00000000-0005-0000-0000-00001C970000}"/>
    <cellStyle name="Normal 6 18 2 7" xfId="33877" xr:uid="{00000000-0005-0000-0000-00001D970000}"/>
    <cellStyle name="Normal 6 18 3" xfId="3414" xr:uid="{00000000-0005-0000-0000-00001E970000}"/>
    <cellStyle name="Normal 6 18 3 2" xfId="5353" xr:uid="{00000000-0005-0000-0000-00001F970000}"/>
    <cellStyle name="Normal 6 18 3 2 2" xfId="9224" xr:uid="{00000000-0005-0000-0000-000020970000}"/>
    <cellStyle name="Normal 6 18 3 2 2 2" xfId="16969" xr:uid="{00000000-0005-0000-0000-000021970000}"/>
    <cellStyle name="Normal 6 18 3 2 2 2 2" xfId="32561" xr:uid="{00000000-0005-0000-0000-000022970000}"/>
    <cellStyle name="Normal 6 18 3 2 2 2 3" xfId="48053" xr:uid="{00000000-0005-0000-0000-000023970000}"/>
    <cellStyle name="Normal 6 18 3 2 2 3" xfId="24821" xr:uid="{00000000-0005-0000-0000-000024970000}"/>
    <cellStyle name="Normal 6 18 3 2 2 4" xfId="40313" xr:uid="{00000000-0005-0000-0000-000025970000}"/>
    <cellStyle name="Normal 6 18 3 2 3" xfId="13099" xr:uid="{00000000-0005-0000-0000-000026970000}"/>
    <cellStyle name="Normal 6 18 3 2 3 2" xfId="28691" xr:uid="{00000000-0005-0000-0000-000027970000}"/>
    <cellStyle name="Normal 6 18 3 2 3 3" xfId="44183" xr:uid="{00000000-0005-0000-0000-000028970000}"/>
    <cellStyle name="Normal 6 18 3 2 4" xfId="20951" xr:uid="{00000000-0005-0000-0000-000029970000}"/>
    <cellStyle name="Normal 6 18 3 2 5" xfId="36443" xr:uid="{00000000-0005-0000-0000-00002A970000}"/>
    <cellStyle name="Normal 6 18 3 3" xfId="7297" xr:uid="{00000000-0005-0000-0000-00002B970000}"/>
    <cellStyle name="Normal 6 18 3 3 2" xfId="15042" xr:uid="{00000000-0005-0000-0000-00002C970000}"/>
    <cellStyle name="Normal 6 18 3 3 2 2" xfId="30634" xr:uid="{00000000-0005-0000-0000-00002D970000}"/>
    <cellStyle name="Normal 6 18 3 3 2 3" xfId="46126" xr:uid="{00000000-0005-0000-0000-00002E970000}"/>
    <cellStyle name="Normal 6 18 3 3 3" xfId="22894" xr:uid="{00000000-0005-0000-0000-00002F970000}"/>
    <cellStyle name="Normal 6 18 3 3 4" xfId="38386" xr:uid="{00000000-0005-0000-0000-000030970000}"/>
    <cellStyle name="Normal 6 18 3 4" xfId="11172" xr:uid="{00000000-0005-0000-0000-000031970000}"/>
    <cellStyle name="Normal 6 18 3 4 2" xfId="26764" xr:uid="{00000000-0005-0000-0000-000032970000}"/>
    <cellStyle name="Normal 6 18 3 4 3" xfId="42256" xr:uid="{00000000-0005-0000-0000-000033970000}"/>
    <cellStyle name="Normal 6 18 3 5" xfId="19024" xr:uid="{00000000-0005-0000-0000-000034970000}"/>
    <cellStyle name="Normal 6 18 3 6" xfId="34516" xr:uid="{00000000-0005-0000-0000-000035970000}"/>
    <cellStyle name="Normal 6 18 4" xfId="4405" xr:uid="{00000000-0005-0000-0000-000036970000}"/>
    <cellStyle name="Normal 6 18 4 2" xfId="8276" xr:uid="{00000000-0005-0000-0000-000037970000}"/>
    <cellStyle name="Normal 6 18 4 2 2" xfId="16021" xr:uid="{00000000-0005-0000-0000-000038970000}"/>
    <cellStyle name="Normal 6 18 4 2 2 2" xfId="31613" xr:uid="{00000000-0005-0000-0000-000039970000}"/>
    <cellStyle name="Normal 6 18 4 2 2 3" xfId="47105" xr:uid="{00000000-0005-0000-0000-00003A970000}"/>
    <cellStyle name="Normal 6 18 4 2 3" xfId="23873" xr:uid="{00000000-0005-0000-0000-00003B970000}"/>
    <cellStyle name="Normal 6 18 4 2 4" xfId="39365" xr:uid="{00000000-0005-0000-0000-00003C970000}"/>
    <cellStyle name="Normal 6 18 4 3" xfId="12151" xr:uid="{00000000-0005-0000-0000-00003D970000}"/>
    <cellStyle name="Normal 6 18 4 3 2" xfId="27743" xr:uid="{00000000-0005-0000-0000-00003E970000}"/>
    <cellStyle name="Normal 6 18 4 3 3" xfId="43235" xr:uid="{00000000-0005-0000-0000-00003F970000}"/>
    <cellStyle name="Normal 6 18 4 4" xfId="20003" xr:uid="{00000000-0005-0000-0000-000040970000}"/>
    <cellStyle name="Normal 6 18 4 5" xfId="35495" xr:uid="{00000000-0005-0000-0000-000041970000}"/>
    <cellStyle name="Normal 6 18 5" xfId="6349" xr:uid="{00000000-0005-0000-0000-000042970000}"/>
    <cellStyle name="Normal 6 18 5 2" xfId="14094" xr:uid="{00000000-0005-0000-0000-000043970000}"/>
    <cellStyle name="Normal 6 18 5 2 2" xfId="29686" xr:uid="{00000000-0005-0000-0000-000044970000}"/>
    <cellStyle name="Normal 6 18 5 2 3" xfId="45178" xr:uid="{00000000-0005-0000-0000-000045970000}"/>
    <cellStyle name="Normal 6 18 5 3" xfId="21946" xr:uid="{00000000-0005-0000-0000-000046970000}"/>
    <cellStyle name="Normal 6 18 5 4" xfId="37438" xr:uid="{00000000-0005-0000-0000-000047970000}"/>
    <cellStyle name="Normal 6 18 6" xfId="10224" xr:uid="{00000000-0005-0000-0000-000048970000}"/>
    <cellStyle name="Normal 6 18 6 2" xfId="25816" xr:uid="{00000000-0005-0000-0000-000049970000}"/>
    <cellStyle name="Normal 6 18 6 3" xfId="41308" xr:uid="{00000000-0005-0000-0000-00004A970000}"/>
    <cellStyle name="Normal 6 18 7" xfId="18076" xr:uid="{00000000-0005-0000-0000-00004B970000}"/>
    <cellStyle name="Normal 6 18 8" xfId="33568" xr:uid="{00000000-0005-0000-0000-00004C970000}"/>
    <cellStyle name="Normal 6 19" xfId="2441" xr:uid="{00000000-0005-0000-0000-00004D970000}"/>
    <cellStyle name="Normal 6 19 2" xfId="2751" xr:uid="{00000000-0005-0000-0000-00004E970000}"/>
    <cellStyle name="Normal 6 19 2 2" xfId="3759" xr:uid="{00000000-0005-0000-0000-00004F970000}"/>
    <cellStyle name="Normal 6 19 2 2 2" xfId="5698" xr:uid="{00000000-0005-0000-0000-000050970000}"/>
    <cellStyle name="Normal 6 19 2 2 2 2" xfId="9569" xr:uid="{00000000-0005-0000-0000-000051970000}"/>
    <cellStyle name="Normal 6 19 2 2 2 2 2" xfId="17314" xr:uid="{00000000-0005-0000-0000-000052970000}"/>
    <cellStyle name="Normal 6 19 2 2 2 2 2 2" xfId="32906" xr:uid="{00000000-0005-0000-0000-000053970000}"/>
    <cellStyle name="Normal 6 19 2 2 2 2 2 3" xfId="48398" xr:uid="{00000000-0005-0000-0000-000054970000}"/>
    <cellStyle name="Normal 6 19 2 2 2 2 3" xfId="25166" xr:uid="{00000000-0005-0000-0000-000055970000}"/>
    <cellStyle name="Normal 6 19 2 2 2 2 4" xfId="40658" xr:uid="{00000000-0005-0000-0000-000056970000}"/>
    <cellStyle name="Normal 6 19 2 2 2 3" xfId="13444" xr:uid="{00000000-0005-0000-0000-000057970000}"/>
    <cellStyle name="Normal 6 19 2 2 2 3 2" xfId="29036" xr:uid="{00000000-0005-0000-0000-000058970000}"/>
    <cellStyle name="Normal 6 19 2 2 2 3 3" xfId="44528" xr:uid="{00000000-0005-0000-0000-000059970000}"/>
    <cellStyle name="Normal 6 19 2 2 2 4" xfId="21296" xr:uid="{00000000-0005-0000-0000-00005A970000}"/>
    <cellStyle name="Normal 6 19 2 2 2 5" xfId="36788" xr:uid="{00000000-0005-0000-0000-00005B970000}"/>
    <cellStyle name="Normal 6 19 2 2 3" xfId="7642" xr:uid="{00000000-0005-0000-0000-00005C970000}"/>
    <cellStyle name="Normal 6 19 2 2 3 2" xfId="15387" xr:uid="{00000000-0005-0000-0000-00005D970000}"/>
    <cellStyle name="Normal 6 19 2 2 3 2 2" xfId="30979" xr:uid="{00000000-0005-0000-0000-00005E970000}"/>
    <cellStyle name="Normal 6 19 2 2 3 2 3" xfId="46471" xr:uid="{00000000-0005-0000-0000-00005F970000}"/>
    <cellStyle name="Normal 6 19 2 2 3 3" xfId="23239" xr:uid="{00000000-0005-0000-0000-000060970000}"/>
    <cellStyle name="Normal 6 19 2 2 3 4" xfId="38731" xr:uid="{00000000-0005-0000-0000-000061970000}"/>
    <cellStyle name="Normal 6 19 2 2 4" xfId="11517" xr:uid="{00000000-0005-0000-0000-000062970000}"/>
    <cellStyle name="Normal 6 19 2 2 4 2" xfId="27109" xr:uid="{00000000-0005-0000-0000-000063970000}"/>
    <cellStyle name="Normal 6 19 2 2 4 3" xfId="42601" xr:uid="{00000000-0005-0000-0000-000064970000}"/>
    <cellStyle name="Normal 6 19 2 2 5" xfId="19369" xr:uid="{00000000-0005-0000-0000-000065970000}"/>
    <cellStyle name="Normal 6 19 2 2 6" xfId="34861" xr:uid="{00000000-0005-0000-0000-000066970000}"/>
    <cellStyle name="Normal 6 19 2 3" xfId="4750" xr:uid="{00000000-0005-0000-0000-000067970000}"/>
    <cellStyle name="Normal 6 19 2 3 2" xfId="8621" xr:uid="{00000000-0005-0000-0000-000068970000}"/>
    <cellStyle name="Normal 6 19 2 3 2 2" xfId="16366" xr:uid="{00000000-0005-0000-0000-000069970000}"/>
    <cellStyle name="Normal 6 19 2 3 2 2 2" xfId="31958" xr:uid="{00000000-0005-0000-0000-00006A970000}"/>
    <cellStyle name="Normal 6 19 2 3 2 2 3" xfId="47450" xr:uid="{00000000-0005-0000-0000-00006B970000}"/>
    <cellStyle name="Normal 6 19 2 3 2 3" xfId="24218" xr:uid="{00000000-0005-0000-0000-00006C970000}"/>
    <cellStyle name="Normal 6 19 2 3 2 4" xfId="39710" xr:uid="{00000000-0005-0000-0000-00006D970000}"/>
    <cellStyle name="Normal 6 19 2 3 3" xfId="12496" xr:uid="{00000000-0005-0000-0000-00006E970000}"/>
    <cellStyle name="Normal 6 19 2 3 3 2" xfId="28088" xr:uid="{00000000-0005-0000-0000-00006F970000}"/>
    <cellStyle name="Normal 6 19 2 3 3 3" xfId="43580" xr:uid="{00000000-0005-0000-0000-000070970000}"/>
    <cellStyle name="Normal 6 19 2 3 4" xfId="20348" xr:uid="{00000000-0005-0000-0000-000071970000}"/>
    <cellStyle name="Normal 6 19 2 3 5" xfId="35840" xr:uid="{00000000-0005-0000-0000-000072970000}"/>
    <cellStyle name="Normal 6 19 2 4" xfId="6694" xr:uid="{00000000-0005-0000-0000-000073970000}"/>
    <cellStyle name="Normal 6 19 2 4 2" xfId="14439" xr:uid="{00000000-0005-0000-0000-000074970000}"/>
    <cellStyle name="Normal 6 19 2 4 2 2" xfId="30031" xr:uid="{00000000-0005-0000-0000-000075970000}"/>
    <cellStyle name="Normal 6 19 2 4 2 3" xfId="45523" xr:uid="{00000000-0005-0000-0000-000076970000}"/>
    <cellStyle name="Normal 6 19 2 4 3" xfId="22291" xr:uid="{00000000-0005-0000-0000-000077970000}"/>
    <cellStyle name="Normal 6 19 2 4 4" xfId="37783" xr:uid="{00000000-0005-0000-0000-000078970000}"/>
    <cellStyle name="Normal 6 19 2 5" xfId="10569" xr:uid="{00000000-0005-0000-0000-000079970000}"/>
    <cellStyle name="Normal 6 19 2 5 2" xfId="26161" xr:uid="{00000000-0005-0000-0000-00007A970000}"/>
    <cellStyle name="Normal 6 19 2 5 3" xfId="41653" xr:uid="{00000000-0005-0000-0000-00007B970000}"/>
    <cellStyle name="Normal 6 19 2 6" xfId="18421" xr:uid="{00000000-0005-0000-0000-00007C970000}"/>
    <cellStyle name="Normal 6 19 2 7" xfId="33913" xr:uid="{00000000-0005-0000-0000-00007D970000}"/>
    <cellStyle name="Normal 6 19 3" xfId="3450" xr:uid="{00000000-0005-0000-0000-00007E970000}"/>
    <cellStyle name="Normal 6 19 3 2" xfId="5389" xr:uid="{00000000-0005-0000-0000-00007F970000}"/>
    <cellStyle name="Normal 6 19 3 2 2" xfId="9260" xr:uid="{00000000-0005-0000-0000-000080970000}"/>
    <cellStyle name="Normal 6 19 3 2 2 2" xfId="17005" xr:uid="{00000000-0005-0000-0000-000081970000}"/>
    <cellStyle name="Normal 6 19 3 2 2 2 2" xfId="32597" xr:uid="{00000000-0005-0000-0000-000082970000}"/>
    <cellStyle name="Normal 6 19 3 2 2 2 3" xfId="48089" xr:uid="{00000000-0005-0000-0000-000083970000}"/>
    <cellStyle name="Normal 6 19 3 2 2 3" xfId="24857" xr:uid="{00000000-0005-0000-0000-000084970000}"/>
    <cellStyle name="Normal 6 19 3 2 2 4" xfId="40349" xr:uid="{00000000-0005-0000-0000-000085970000}"/>
    <cellStyle name="Normal 6 19 3 2 3" xfId="13135" xr:uid="{00000000-0005-0000-0000-000086970000}"/>
    <cellStyle name="Normal 6 19 3 2 3 2" xfId="28727" xr:uid="{00000000-0005-0000-0000-000087970000}"/>
    <cellStyle name="Normal 6 19 3 2 3 3" xfId="44219" xr:uid="{00000000-0005-0000-0000-000088970000}"/>
    <cellStyle name="Normal 6 19 3 2 4" xfId="20987" xr:uid="{00000000-0005-0000-0000-000089970000}"/>
    <cellStyle name="Normal 6 19 3 2 5" xfId="36479" xr:uid="{00000000-0005-0000-0000-00008A970000}"/>
    <cellStyle name="Normal 6 19 3 3" xfId="7333" xr:uid="{00000000-0005-0000-0000-00008B970000}"/>
    <cellStyle name="Normal 6 19 3 3 2" xfId="15078" xr:uid="{00000000-0005-0000-0000-00008C970000}"/>
    <cellStyle name="Normal 6 19 3 3 2 2" xfId="30670" xr:uid="{00000000-0005-0000-0000-00008D970000}"/>
    <cellStyle name="Normal 6 19 3 3 2 3" xfId="46162" xr:uid="{00000000-0005-0000-0000-00008E970000}"/>
    <cellStyle name="Normal 6 19 3 3 3" xfId="22930" xr:uid="{00000000-0005-0000-0000-00008F970000}"/>
    <cellStyle name="Normal 6 19 3 3 4" xfId="38422" xr:uid="{00000000-0005-0000-0000-000090970000}"/>
    <cellStyle name="Normal 6 19 3 4" xfId="11208" xr:uid="{00000000-0005-0000-0000-000091970000}"/>
    <cellStyle name="Normal 6 19 3 4 2" xfId="26800" xr:uid="{00000000-0005-0000-0000-000092970000}"/>
    <cellStyle name="Normal 6 19 3 4 3" xfId="42292" xr:uid="{00000000-0005-0000-0000-000093970000}"/>
    <cellStyle name="Normal 6 19 3 5" xfId="19060" xr:uid="{00000000-0005-0000-0000-000094970000}"/>
    <cellStyle name="Normal 6 19 3 6" xfId="34552" xr:uid="{00000000-0005-0000-0000-000095970000}"/>
    <cellStyle name="Normal 6 19 4" xfId="4441" xr:uid="{00000000-0005-0000-0000-000096970000}"/>
    <cellStyle name="Normal 6 19 4 2" xfId="8312" xr:uid="{00000000-0005-0000-0000-000097970000}"/>
    <cellStyle name="Normal 6 19 4 2 2" xfId="16057" xr:uid="{00000000-0005-0000-0000-000098970000}"/>
    <cellStyle name="Normal 6 19 4 2 2 2" xfId="31649" xr:uid="{00000000-0005-0000-0000-000099970000}"/>
    <cellStyle name="Normal 6 19 4 2 2 3" xfId="47141" xr:uid="{00000000-0005-0000-0000-00009A970000}"/>
    <cellStyle name="Normal 6 19 4 2 3" xfId="23909" xr:uid="{00000000-0005-0000-0000-00009B970000}"/>
    <cellStyle name="Normal 6 19 4 2 4" xfId="39401" xr:uid="{00000000-0005-0000-0000-00009C970000}"/>
    <cellStyle name="Normal 6 19 4 3" xfId="12187" xr:uid="{00000000-0005-0000-0000-00009D970000}"/>
    <cellStyle name="Normal 6 19 4 3 2" xfId="27779" xr:uid="{00000000-0005-0000-0000-00009E970000}"/>
    <cellStyle name="Normal 6 19 4 3 3" xfId="43271" xr:uid="{00000000-0005-0000-0000-00009F970000}"/>
    <cellStyle name="Normal 6 19 4 4" xfId="20039" xr:uid="{00000000-0005-0000-0000-0000A0970000}"/>
    <cellStyle name="Normal 6 19 4 5" xfId="35531" xr:uid="{00000000-0005-0000-0000-0000A1970000}"/>
    <cellStyle name="Normal 6 19 5" xfId="6385" xr:uid="{00000000-0005-0000-0000-0000A2970000}"/>
    <cellStyle name="Normal 6 19 5 2" xfId="14130" xr:uid="{00000000-0005-0000-0000-0000A3970000}"/>
    <cellStyle name="Normal 6 19 5 2 2" xfId="29722" xr:uid="{00000000-0005-0000-0000-0000A4970000}"/>
    <cellStyle name="Normal 6 19 5 2 3" xfId="45214" xr:uid="{00000000-0005-0000-0000-0000A5970000}"/>
    <cellStyle name="Normal 6 19 5 3" xfId="21982" xr:uid="{00000000-0005-0000-0000-0000A6970000}"/>
    <cellStyle name="Normal 6 19 5 4" xfId="37474" xr:uid="{00000000-0005-0000-0000-0000A7970000}"/>
    <cellStyle name="Normal 6 19 6" xfId="10260" xr:uid="{00000000-0005-0000-0000-0000A8970000}"/>
    <cellStyle name="Normal 6 19 6 2" xfId="25852" xr:uid="{00000000-0005-0000-0000-0000A9970000}"/>
    <cellStyle name="Normal 6 19 6 3" xfId="41344" xr:uid="{00000000-0005-0000-0000-0000AA970000}"/>
    <cellStyle name="Normal 6 19 7" xfId="18112" xr:uid="{00000000-0005-0000-0000-0000AB970000}"/>
    <cellStyle name="Normal 6 19 8" xfId="33604" xr:uid="{00000000-0005-0000-0000-0000AC970000}"/>
    <cellStyle name="Normal 6 2" xfId="2064" xr:uid="{00000000-0005-0000-0000-0000AD970000}"/>
    <cellStyle name="Normal 6 2 2" xfId="2065" xr:uid="{00000000-0005-0000-0000-0000AE970000}"/>
    <cellStyle name="Normal 6 2 3" xfId="2066" xr:uid="{00000000-0005-0000-0000-0000AF970000}"/>
    <cellStyle name="Normal 6 20" xfId="2478" xr:uid="{00000000-0005-0000-0000-0000B0970000}"/>
    <cellStyle name="Normal 6 20 2" xfId="2787" xr:uid="{00000000-0005-0000-0000-0000B1970000}"/>
    <cellStyle name="Normal 6 20 2 2" xfId="3795" xr:uid="{00000000-0005-0000-0000-0000B2970000}"/>
    <cellStyle name="Normal 6 20 2 2 2" xfId="5734" xr:uid="{00000000-0005-0000-0000-0000B3970000}"/>
    <cellStyle name="Normal 6 20 2 2 2 2" xfId="9605" xr:uid="{00000000-0005-0000-0000-0000B4970000}"/>
    <cellStyle name="Normal 6 20 2 2 2 2 2" xfId="17350" xr:uid="{00000000-0005-0000-0000-0000B5970000}"/>
    <cellStyle name="Normal 6 20 2 2 2 2 2 2" xfId="32942" xr:uid="{00000000-0005-0000-0000-0000B6970000}"/>
    <cellStyle name="Normal 6 20 2 2 2 2 2 3" xfId="48434" xr:uid="{00000000-0005-0000-0000-0000B7970000}"/>
    <cellStyle name="Normal 6 20 2 2 2 2 3" xfId="25202" xr:uid="{00000000-0005-0000-0000-0000B8970000}"/>
    <cellStyle name="Normal 6 20 2 2 2 2 4" xfId="40694" xr:uid="{00000000-0005-0000-0000-0000B9970000}"/>
    <cellStyle name="Normal 6 20 2 2 2 3" xfId="13480" xr:uid="{00000000-0005-0000-0000-0000BA970000}"/>
    <cellStyle name="Normal 6 20 2 2 2 3 2" xfId="29072" xr:uid="{00000000-0005-0000-0000-0000BB970000}"/>
    <cellStyle name="Normal 6 20 2 2 2 3 3" xfId="44564" xr:uid="{00000000-0005-0000-0000-0000BC970000}"/>
    <cellStyle name="Normal 6 20 2 2 2 4" xfId="21332" xr:uid="{00000000-0005-0000-0000-0000BD970000}"/>
    <cellStyle name="Normal 6 20 2 2 2 5" xfId="36824" xr:uid="{00000000-0005-0000-0000-0000BE970000}"/>
    <cellStyle name="Normal 6 20 2 2 3" xfId="7678" xr:uid="{00000000-0005-0000-0000-0000BF970000}"/>
    <cellStyle name="Normal 6 20 2 2 3 2" xfId="15423" xr:uid="{00000000-0005-0000-0000-0000C0970000}"/>
    <cellStyle name="Normal 6 20 2 2 3 2 2" xfId="31015" xr:uid="{00000000-0005-0000-0000-0000C1970000}"/>
    <cellStyle name="Normal 6 20 2 2 3 2 3" xfId="46507" xr:uid="{00000000-0005-0000-0000-0000C2970000}"/>
    <cellStyle name="Normal 6 20 2 2 3 3" xfId="23275" xr:uid="{00000000-0005-0000-0000-0000C3970000}"/>
    <cellStyle name="Normal 6 20 2 2 3 4" xfId="38767" xr:uid="{00000000-0005-0000-0000-0000C4970000}"/>
    <cellStyle name="Normal 6 20 2 2 4" xfId="11553" xr:uid="{00000000-0005-0000-0000-0000C5970000}"/>
    <cellStyle name="Normal 6 20 2 2 4 2" xfId="27145" xr:uid="{00000000-0005-0000-0000-0000C6970000}"/>
    <cellStyle name="Normal 6 20 2 2 4 3" xfId="42637" xr:uid="{00000000-0005-0000-0000-0000C7970000}"/>
    <cellStyle name="Normal 6 20 2 2 5" xfId="19405" xr:uid="{00000000-0005-0000-0000-0000C8970000}"/>
    <cellStyle name="Normal 6 20 2 2 6" xfId="34897" xr:uid="{00000000-0005-0000-0000-0000C9970000}"/>
    <cellStyle name="Normal 6 20 2 3" xfId="4786" xr:uid="{00000000-0005-0000-0000-0000CA970000}"/>
    <cellStyle name="Normal 6 20 2 3 2" xfId="8657" xr:uid="{00000000-0005-0000-0000-0000CB970000}"/>
    <cellStyle name="Normal 6 20 2 3 2 2" xfId="16402" xr:uid="{00000000-0005-0000-0000-0000CC970000}"/>
    <cellStyle name="Normal 6 20 2 3 2 2 2" xfId="31994" xr:uid="{00000000-0005-0000-0000-0000CD970000}"/>
    <cellStyle name="Normal 6 20 2 3 2 2 3" xfId="47486" xr:uid="{00000000-0005-0000-0000-0000CE970000}"/>
    <cellStyle name="Normal 6 20 2 3 2 3" xfId="24254" xr:uid="{00000000-0005-0000-0000-0000CF970000}"/>
    <cellStyle name="Normal 6 20 2 3 2 4" xfId="39746" xr:uid="{00000000-0005-0000-0000-0000D0970000}"/>
    <cellStyle name="Normal 6 20 2 3 3" xfId="12532" xr:uid="{00000000-0005-0000-0000-0000D1970000}"/>
    <cellStyle name="Normal 6 20 2 3 3 2" xfId="28124" xr:uid="{00000000-0005-0000-0000-0000D2970000}"/>
    <cellStyle name="Normal 6 20 2 3 3 3" xfId="43616" xr:uid="{00000000-0005-0000-0000-0000D3970000}"/>
    <cellStyle name="Normal 6 20 2 3 4" xfId="20384" xr:uid="{00000000-0005-0000-0000-0000D4970000}"/>
    <cellStyle name="Normal 6 20 2 3 5" xfId="35876" xr:uid="{00000000-0005-0000-0000-0000D5970000}"/>
    <cellStyle name="Normal 6 20 2 4" xfId="6730" xr:uid="{00000000-0005-0000-0000-0000D6970000}"/>
    <cellStyle name="Normal 6 20 2 4 2" xfId="14475" xr:uid="{00000000-0005-0000-0000-0000D7970000}"/>
    <cellStyle name="Normal 6 20 2 4 2 2" xfId="30067" xr:uid="{00000000-0005-0000-0000-0000D8970000}"/>
    <cellStyle name="Normal 6 20 2 4 2 3" xfId="45559" xr:uid="{00000000-0005-0000-0000-0000D9970000}"/>
    <cellStyle name="Normal 6 20 2 4 3" xfId="22327" xr:uid="{00000000-0005-0000-0000-0000DA970000}"/>
    <cellStyle name="Normal 6 20 2 4 4" xfId="37819" xr:uid="{00000000-0005-0000-0000-0000DB970000}"/>
    <cellStyle name="Normal 6 20 2 5" xfId="10605" xr:uid="{00000000-0005-0000-0000-0000DC970000}"/>
    <cellStyle name="Normal 6 20 2 5 2" xfId="26197" xr:uid="{00000000-0005-0000-0000-0000DD970000}"/>
    <cellStyle name="Normal 6 20 2 5 3" xfId="41689" xr:uid="{00000000-0005-0000-0000-0000DE970000}"/>
    <cellStyle name="Normal 6 20 2 6" xfId="18457" xr:uid="{00000000-0005-0000-0000-0000DF970000}"/>
    <cellStyle name="Normal 6 20 2 7" xfId="33949" xr:uid="{00000000-0005-0000-0000-0000E0970000}"/>
    <cellStyle name="Normal 6 20 3" xfId="3486" xr:uid="{00000000-0005-0000-0000-0000E1970000}"/>
    <cellStyle name="Normal 6 20 3 2" xfId="5425" xr:uid="{00000000-0005-0000-0000-0000E2970000}"/>
    <cellStyle name="Normal 6 20 3 2 2" xfId="9296" xr:uid="{00000000-0005-0000-0000-0000E3970000}"/>
    <cellStyle name="Normal 6 20 3 2 2 2" xfId="17041" xr:uid="{00000000-0005-0000-0000-0000E4970000}"/>
    <cellStyle name="Normal 6 20 3 2 2 2 2" xfId="32633" xr:uid="{00000000-0005-0000-0000-0000E5970000}"/>
    <cellStyle name="Normal 6 20 3 2 2 2 3" xfId="48125" xr:uid="{00000000-0005-0000-0000-0000E6970000}"/>
    <cellStyle name="Normal 6 20 3 2 2 3" xfId="24893" xr:uid="{00000000-0005-0000-0000-0000E7970000}"/>
    <cellStyle name="Normal 6 20 3 2 2 4" xfId="40385" xr:uid="{00000000-0005-0000-0000-0000E8970000}"/>
    <cellStyle name="Normal 6 20 3 2 3" xfId="13171" xr:uid="{00000000-0005-0000-0000-0000E9970000}"/>
    <cellStyle name="Normal 6 20 3 2 3 2" xfId="28763" xr:uid="{00000000-0005-0000-0000-0000EA970000}"/>
    <cellStyle name="Normal 6 20 3 2 3 3" xfId="44255" xr:uid="{00000000-0005-0000-0000-0000EB970000}"/>
    <cellStyle name="Normal 6 20 3 2 4" xfId="21023" xr:uid="{00000000-0005-0000-0000-0000EC970000}"/>
    <cellStyle name="Normal 6 20 3 2 5" xfId="36515" xr:uid="{00000000-0005-0000-0000-0000ED970000}"/>
    <cellStyle name="Normal 6 20 3 3" xfId="7369" xr:uid="{00000000-0005-0000-0000-0000EE970000}"/>
    <cellStyle name="Normal 6 20 3 3 2" xfId="15114" xr:uid="{00000000-0005-0000-0000-0000EF970000}"/>
    <cellStyle name="Normal 6 20 3 3 2 2" xfId="30706" xr:uid="{00000000-0005-0000-0000-0000F0970000}"/>
    <cellStyle name="Normal 6 20 3 3 2 3" xfId="46198" xr:uid="{00000000-0005-0000-0000-0000F1970000}"/>
    <cellStyle name="Normal 6 20 3 3 3" xfId="22966" xr:uid="{00000000-0005-0000-0000-0000F2970000}"/>
    <cellStyle name="Normal 6 20 3 3 4" xfId="38458" xr:uid="{00000000-0005-0000-0000-0000F3970000}"/>
    <cellStyle name="Normal 6 20 3 4" xfId="11244" xr:uid="{00000000-0005-0000-0000-0000F4970000}"/>
    <cellStyle name="Normal 6 20 3 4 2" xfId="26836" xr:uid="{00000000-0005-0000-0000-0000F5970000}"/>
    <cellStyle name="Normal 6 20 3 4 3" xfId="42328" xr:uid="{00000000-0005-0000-0000-0000F6970000}"/>
    <cellStyle name="Normal 6 20 3 5" xfId="19096" xr:uid="{00000000-0005-0000-0000-0000F7970000}"/>
    <cellStyle name="Normal 6 20 3 6" xfId="34588" xr:uid="{00000000-0005-0000-0000-0000F8970000}"/>
    <cellStyle name="Normal 6 20 4" xfId="4477" xr:uid="{00000000-0005-0000-0000-0000F9970000}"/>
    <cellStyle name="Normal 6 20 4 2" xfId="8348" xr:uid="{00000000-0005-0000-0000-0000FA970000}"/>
    <cellStyle name="Normal 6 20 4 2 2" xfId="16093" xr:uid="{00000000-0005-0000-0000-0000FB970000}"/>
    <cellStyle name="Normal 6 20 4 2 2 2" xfId="31685" xr:uid="{00000000-0005-0000-0000-0000FC970000}"/>
    <cellStyle name="Normal 6 20 4 2 2 3" xfId="47177" xr:uid="{00000000-0005-0000-0000-0000FD970000}"/>
    <cellStyle name="Normal 6 20 4 2 3" xfId="23945" xr:uid="{00000000-0005-0000-0000-0000FE970000}"/>
    <cellStyle name="Normal 6 20 4 2 4" xfId="39437" xr:uid="{00000000-0005-0000-0000-0000FF970000}"/>
    <cellStyle name="Normal 6 20 4 3" xfId="12223" xr:uid="{00000000-0005-0000-0000-000000980000}"/>
    <cellStyle name="Normal 6 20 4 3 2" xfId="27815" xr:uid="{00000000-0005-0000-0000-000001980000}"/>
    <cellStyle name="Normal 6 20 4 3 3" xfId="43307" xr:uid="{00000000-0005-0000-0000-000002980000}"/>
    <cellStyle name="Normal 6 20 4 4" xfId="20075" xr:uid="{00000000-0005-0000-0000-000003980000}"/>
    <cellStyle name="Normal 6 20 4 5" xfId="35567" xr:uid="{00000000-0005-0000-0000-000004980000}"/>
    <cellStyle name="Normal 6 20 5" xfId="6421" xr:uid="{00000000-0005-0000-0000-000005980000}"/>
    <cellStyle name="Normal 6 20 5 2" xfId="14166" xr:uid="{00000000-0005-0000-0000-000006980000}"/>
    <cellStyle name="Normal 6 20 5 2 2" xfId="29758" xr:uid="{00000000-0005-0000-0000-000007980000}"/>
    <cellStyle name="Normal 6 20 5 2 3" xfId="45250" xr:uid="{00000000-0005-0000-0000-000008980000}"/>
    <cellStyle name="Normal 6 20 5 3" xfId="22018" xr:uid="{00000000-0005-0000-0000-000009980000}"/>
    <cellStyle name="Normal 6 20 5 4" xfId="37510" xr:uid="{00000000-0005-0000-0000-00000A980000}"/>
    <cellStyle name="Normal 6 20 6" xfId="10296" xr:uid="{00000000-0005-0000-0000-00000B980000}"/>
    <cellStyle name="Normal 6 20 6 2" xfId="25888" xr:uid="{00000000-0005-0000-0000-00000C980000}"/>
    <cellStyle name="Normal 6 20 6 3" xfId="41380" xr:uid="{00000000-0005-0000-0000-00000D980000}"/>
    <cellStyle name="Normal 6 20 7" xfId="18148" xr:uid="{00000000-0005-0000-0000-00000E980000}"/>
    <cellStyle name="Normal 6 20 8" xfId="33640" xr:uid="{00000000-0005-0000-0000-00000F980000}"/>
    <cellStyle name="Normal 6 21" xfId="2498" xr:uid="{00000000-0005-0000-0000-000010980000}"/>
    <cellStyle name="Normal 6 21 2" xfId="3506" xr:uid="{00000000-0005-0000-0000-000011980000}"/>
    <cellStyle name="Normal 6 21 2 2" xfId="5445" xr:uid="{00000000-0005-0000-0000-000012980000}"/>
    <cellStyle name="Normal 6 21 2 2 2" xfId="9316" xr:uid="{00000000-0005-0000-0000-000013980000}"/>
    <cellStyle name="Normal 6 21 2 2 2 2" xfId="17061" xr:uid="{00000000-0005-0000-0000-000014980000}"/>
    <cellStyle name="Normal 6 21 2 2 2 2 2" xfId="32653" xr:uid="{00000000-0005-0000-0000-000015980000}"/>
    <cellStyle name="Normal 6 21 2 2 2 2 3" xfId="48145" xr:uid="{00000000-0005-0000-0000-000016980000}"/>
    <cellStyle name="Normal 6 21 2 2 2 3" xfId="24913" xr:uid="{00000000-0005-0000-0000-000017980000}"/>
    <cellStyle name="Normal 6 21 2 2 2 4" xfId="40405" xr:uid="{00000000-0005-0000-0000-000018980000}"/>
    <cellStyle name="Normal 6 21 2 2 3" xfId="13191" xr:uid="{00000000-0005-0000-0000-000019980000}"/>
    <cellStyle name="Normal 6 21 2 2 3 2" xfId="28783" xr:uid="{00000000-0005-0000-0000-00001A980000}"/>
    <cellStyle name="Normal 6 21 2 2 3 3" xfId="44275" xr:uid="{00000000-0005-0000-0000-00001B980000}"/>
    <cellStyle name="Normal 6 21 2 2 4" xfId="21043" xr:uid="{00000000-0005-0000-0000-00001C980000}"/>
    <cellStyle name="Normal 6 21 2 2 5" xfId="36535" xr:uid="{00000000-0005-0000-0000-00001D980000}"/>
    <cellStyle name="Normal 6 21 2 3" xfId="7389" xr:uid="{00000000-0005-0000-0000-00001E980000}"/>
    <cellStyle name="Normal 6 21 2 3 2" xfId="15134" xr:uid="{00000000-0005-0000-0000-00001F980000}"/>
    <cellStyle name="Normal 6 21 2 3 2 2" xfId="30726" xr:uid="{00000000-0005-0000-0000-000020980000}"/>
    <cellStyle name="Normal 6 21 2 3 2 3" xfId="46218" xr:uid="{00000000-0005-0000-0000-000021980000}"/>
    <cellStyle name="Normal 6 21 2 3 3" xfId="22986" xr:uid="{00000000-0005-0000-0000-000022980000}"/>
    <cellStyle name="Normal 6 21 2 3 4" xfId="38478" xr:uid="{00000000-0005-0000-0000-000023980000}"/>
    <cellStyle name="Normal 6 21 2 4" xfId="11264" xr:uid="{00000000-0005-0000-0000-000024980000}"/>
    <cellStyle name="Normal 6 21 2 4 2" xfId="26856" xr:uid="{00000000-0005-0000-0000-000025980000}"/>
    <cellStyle name="Normal 6 21 2 4 3" xfId="42348" xr:uid="{00000000-0005-0000-0000-000026980000}"/>
    <cellStyle name="Normal 6 21 2 5" xfId="19116" xr:uid="{00000000-0005-0000-0000-000027980000}"/>
    <cellStyle name="Normal 6 21 2 6" xfId="34608" xr:uid="{00000000-0005-0000-0000-000028980000}"/>
    <cellStyle name="Normal 6 21 3" xfId="4497" xr:uid="{00000000-0005-0000-0000-000029980000}"/>
    <cellStyle name="Normal 6 21 3 2" xfId="8368" xr:uid="{00000000-0005-0000-0000-00002A980000}"/>
    <cellStyle name="Normal 6 21 3 2 2" xfId="16113" xr:uid="{00000000-0005-0000-0000-00002B980000}"/>
    <cellStyle name="Normal 6 21 3 2 2 2" xfId="31705" xr:uid="{00000000-0005-0000-0000-00002C980000}"/>
    <cellStyle name="Normal 6 21 3 2 2 3" xfId="47197" xr:uid="{00000000-0005-0000-0000-00002D980000}"/>
    <cellStyle name="Normal 6 21 3 2 3" xfId="23965" xr:uid="{00000000-0005-0000-0000-00002E980000}"/>
    <cellStyle name="Normal 6 21 3 2 4" xfId="39457" xr:uid="{00000000-0005-0000-0000-00002F980000}"/>
    <cellStyle name="Normal 6 21 3 3" xfId="12243" xr:uid="{00000000-0005-0000-0000-000030980000}"/>
    <cellStyle name="Normal 6 21 3 3 2" xfId="27835" xr:uid="{00000000-0005-0000-0000-000031980000}"/>
    <cellStyle name="Normal 6 21 3 3 3" xfId="43327" xr:uid="{00000000-0005-0000-0000-000032980000}"/>
    <cellStyle name="Normal 6 21 3 4" xfId="20095" xr:uid="{00000000-0005-0000-0000-000033980000}"/>
    <cellStyle name="Normal 6 21 3 5" xfId="35587" xr:uid="{00000000-0005-0000-0000-000034980000}"/>
    <cellStyle name="Normal 6 21 4" xfId="6441" xr:uid="{00000000-0005-0000-0000-000035980000}"/>
    <cellStyle name="Normal 6 21 4 2" xfId="14186" xr:uid="{00000000-0005-0000-0000-000036980000}"/>
    <cellStyle name="Normal 6 21 4 2 2" xfId="29778" xr:uid="{00000000-0005-0000-0000-000037980000}"/>
    <cellStyle name="Normal 6 21 4 2 3" xfId="45270" xr:uid="{00000000-0005-0000-0000-000038980000}"/>
    <cellStyle name="Normal 6 21 4 3" xfId="22038" xr:uid="{00000000-0005-0000-0000-000039980000}"/>
    <cellStyle name="Normal 6 21 4 4" xfId="37530" xr:uid="{00000000-0005-0000-0000-00003A980000}"/>
    <cellStyle name="Normal 6 21 5" xfId="10316" xr:uid="{00000000-0005-0000-0000-00003B980000}"/>
    <cellStyle name="Normal 6 21 5 2" xfId="25908" xr:uid="{00000000-0005-0000-0000-00003C980000}"/>
    <cellStyle name="Normal 6 21 5 3" xfId="41400" xr:uid="{00000000-0005-0000-0000-00003D980000}"/>
    <cellStyle name="Normal 6 21 6" xfId="18168" xr:uid="{00000000-0005-0000-0000-00003E980000}"/>
    <cellStyle name="Normal 6 21 7" xfId="33660" xr:uid="{00000000-0005-0000-0000-00003F980000}"/>
    <cellStyle name="Normal 6 22" xfId="2824" xr:uid="{00000000-0005-0000-0000-000040980000}"/>
    <cellStyle name="Normal 6 22 2" xfId="3831" xr:uid="{00000000-0005-0000-0000-000041980000}"/>
    <cellStyle name="Normal 6 22 2 2" xfId="5770" xr:uid="{00000000-0005-0000-0000-000042980000}"/>
    <cellStyle name="Normal 6 22 2 2 2" xfId="9641" xr:uid="{00000000-0005-0000-0000-000043980000}"/>
    <cellStyle name="Normal 6 22 2 2 2 2" xfId="17386" xr:uid="{00000000-0005-0000-0000-000044980000}"/>
    <cellStyle name="Normal 6 22 2 2 2 2 2" xfId="32978" xr:uid="{00000000-0005-0000-0000-000045980000}"/>
    <cellStyle name="Normal 6 22 2 2 2 2 3" xfId="48470" xr:uid="{00000000-0005-0000-0000-000046980000}"/>
    <cellStyle name="Normal 6 22 2 2 2 3" xfId="25238" xr:uid="{00000000-0005-0000-0000-000047980000}"/>
    <cellStyle name="Normal 6 22 2 2 2 4" xfId="40730" xr:uid="{00000000-0005-0000-0000-000048980000}"/>
    <cellStyle name="Normal 6 22 2 2 3" xfId="13516" xr:uid="{00000000-0005-0000-0000-000049980000}"/>
    <cellStyle name="Normal 6 22 2 2 3 2" xfId="29108" xr:uid="{00000000-0005-0000-0000-00004A980000}"/>
    <cellStyle name="Normal 6 22 2 2 3 3" xfId="44600" xr:uid="{00000000-0005-0000-0000-00004B980000}"/>
    <cellStyle name="Normal 6 22 2 2 4" xfId="21368" xr:uid="{00000000-0005-0000-0000-00004C980000}"/>
    <cellStyle name="Normal 6 22 2 2 5" xfId="36860" xr:uid="{00000000-0005-0000-0000-00004D980000}"/>
    <cellStyle name="Normal 6 22 2 3" xfId="7714" xr:uid="{00000000-0005-0000-0000-00004E980000}"/>
    <cellStyle name="Normal 6 22 2 3 2" xfId="15459" xr:uid="{00000000-0005-0000-0000-00004F980000}"/>
    <cellStyle name="Normal 6 22 2 3 2 2" xfId="31051" xr:uid="{00000000-0005-0000-0000-000050980000}"/>
    <cellStyle name="Normal 6 22 2 3 2 3" xfId="46543" xr:uid="{00000000-0005-0000-0000-000051980000}"/>
    <cellStyle name="Normal 6 22 2 3 3" xfId="23311" xr:uid="{00000000-0005-0000-0000-000052980000}"/>
    <cellStyle name="Normal 6 22 2 3 4" xfId="38803" xr:uid="{00000000-0005-0000-0000-000053980000}"/>
    <cellStyle name="Normal 6 22 2 4" xfId="11589" xr:uid="{00000000-0005-0000-0000-000054980000}"/>
    <cellStyle name="Normal 6 22 2 4 2" xfId="27181" xr:uid="{00000000-0005-0000-0000-000055980000}"/>
    <cellStyle name="Normal 6 22 2 4 3" xfId="42673" xr:uid="{00000000-0005-0000-0000-000056980000}"/>
    <cellStyle name="Normal 6 22 2 5" xfId="19441" xr:uid="{00000000-0005-0000-0000-000057980000}"/>
    <cellStyle name="Normal 6 22 2 6" xfId="34933" xr:uid="{00000000-0005-0000-0000-000058980000}"/>
    <cellStyle name="Normal 6 22 3" xfId="4822" xr:uid="{00000000-0005-0000-0000-000059980000}"/>
    <cellStyle name="Normal 6 22 3 2" xfId="8693" xr:uid="{00000000-0005-0000-0000-00005A980000}"/>
    <cellStyle name="Normal 6 22 3 2 2" xfId="16438" xr:uid="{00000000-0005-0000-0000-00005B980000}"/>
    <cellStyle name="Normal 6 22 3 2 2 2" xfId="32030" xr:uid="{00000000-0005-0000-0000-00005C980000}"/>
    <cellStyle name="Normal 6 22 3 2 2 3" xfId="47522" xr:uid="{00000000-0005-0000-0000-00005D980000}"/>
    <cellStyle name="Normal 6 22 3 2 3" xfId="24290" xr:uid="{00000000-0005-0000-0000-00005E980000}"/>
    <cellStyle name="Normal 6 22 3 2 4" xfId="39782" xr:uid="{00000000-0005-0000-0000-00005F980000}"/>
    <cellStyle name="Normal 6 22 3 3" xfId="12568" xr:uid="{00000000-0005-0000-0000-000060980000}"/>
    <cellStyle name="Normal 6 22 3 3 2" xfId="28160" xr:uid="{00000000-0005-0000-0000-000061980000}"/>
    <cellStyle name="Normal 6 22 3 3 3" xfId="43652" xr:uid="{00000000-0005-0000-0000-000062980000}"/>
    <cellStyle name="Normal 6 22 3 4" xfId="20420" xr:uid="{00000000-0005-0000-0000-000063980000}"/>
    <cellStyle name="Normal 6 22 3 5" xfId="35912" xr:uid="{00000000-0005-0000-0000-000064980000}"/>
    <cellStyle name="Normal 6 22 4" xfId="6766" xr:uid="{00000000-0005-0000-0000-000065980000}"/>
    <cellStyle name="Normal 6 22 4 2" xfId="14511" xr:uid="{00000000-0005-0000-0000-000066980000}"/>
    <cellStyle name="Normal 6 22 4 2 2" xfId="30103" xr:uid="{00000000-0005-0000-0000-000067980000}"/>
    <cellStyle name="Normal 6 22 4 2 3" xfId="45595" xr:uid="{00000000-0005-0000-0000-000068980000}"/>
    <cellStyle name="Normal 6 22 4 3" xfId="22363" xr:uid="{00000000-0005-0000-0000-000069980000}"/>
    <cellStyle name="Normal 6 22 4 4" xfId="37855" xr:uid="{00000000-0005-0000-0000-00006A980000}"/>
    <cellStyle name="Normal 6 22 5" xfId="10641" xr:uid="{00000000-0005-0000-0000-00006B980000}"/>
    <cellStyle name="Normal 6 22 5 2" xfId="26233" xr:uid="{00000000-0005-0000-0000-00006C980000}"/>
    <cellStyle name="Normal 6 22 5 3" xfId="41725" xr:uid="{00000000-0005-0000-0000-00006D980000}"/>
    <cellStyle name="Normal 6 22 6" xfId="18493" xr:uid="{00000000-0005-0000-0000-00006E980000}"/>
    <cellStyle name="Normal 6 22 7" xfId="33985" xr:uid="{00000000-0005-0000-0000-00006F980000}"/>
    <cellStyle name="Normal 6 23" xfId="2863" xr:uid="{00000000-0005-0000-0000-000070980000}"/>
    <cellStyle name="Normal 6 23 2" xfId="3869" xr:uid="{00000000-0005-0000-0000-000071980000}"/>
    <cellStyle name="Normal 6 23 2 2" xfId="5808" xr:uid="{00000000-0005-0000-0000-000072980000}"/>
    <cellStyle name="Normal 6 23 2 2 2" xfId="9679" xr:uid="{00000000-0005-0000-0000-000073980000}"/>
    <cellStyle name="Normal 6 23 2 2 2 2" xfId="17424" xr:uid="{00000000-0005-0000-0000-000074980000}"/>
    <cellStyle name="Normal 6 23 2 2 2 2 2" xfId="33016" xr:uid="{00000000-0005-0000-0000-000075980000}"/>
    <cellStyle name="Normal 6 23 2 2 2 2 3" xfId="48508" xr:uid="{00000000-0005-0000-0000-000076980000}"/>
    <cellStyle name="Normal 6 23 2 2 2 3" xfId="25276" xr:uid="{00000000-0005-0000-0000-000077980000}"/>
    <cellStyle name="Normal 6 23 2 2 2 4" xfId="40768" xr:uid="{00000000-0005-0000-0000-000078980000}"/>
    <cellStyle name="Normal 6 23 2 2 3" xfId="13554" xr:uid="{00000000-0005-0000-0000-000079980000}"/>
    <cellStyle name="Normal 6 23 2 2 3 2" xfId="29146" xr:uid="{00000000-0005-0000-0000-00007A980000}"/>
    <cellStyle name="Normal 6 23 2 2 3 3" xfId="44638" xr:uid="{00000000-0005-0000-0000-00007B980000}"/>
    <cellStyle name="Normal 6 23 2 2 4" xfId="21406" xr:uid="{00000000-0005-0000-0000-00007C980000}"/>
    <cellStyle name="Normal 6 23 2 2 5" xfId="36898" xr:uid="{00000000-0005-0000-0000-00007D980000}"/>
    <cellStyle name="Normal 6 23 2 3" xfId="7752" xr:uid="{00000000-0005-0000-0000-00007E980000}"/>
    <cellStyle name="Normal 6 23 2 3 2" xfId="15497" xr:uid="{00000000-0005-0000-0000-00007F980000}"/>
    <cellStyle name="Normal 6 23 2 3 2 2" xfId="31089" xr:uid="{00000000-0005-0000-0000-000080980000}"/>
    <cellStyle name="Normal 6 23 2 3 2 3" xfId="46581" xr:uid="{00000000-0005-0000-0000-000081980000}"/>
    <cellStyle name="Normal 6 23 2 3 3" xfId="23349" xr:uid="{00000000-0005-0000-0000-000082980000}"/>
    <cellStyle name="Normal 6 23 2 3 4" xfId="38841" xr:uid="{00000000-0005-0000-0000-000083980000}"/>
    <cellStyle name="Normal 6 23 2 4" xfId="11627" xr:uid="{00000000-0005-0000-0000-000084980000}"/>
    <cellStyle name="Normal 6 23 2 4 2" xfId="27219" xr:uid="{00000000-0005-0000-0000-000085980000}"/>
    <cellStyle name="Normal 6 23 2 4 3" xfId="42711" xr:uid="{00000000-0005-0000-0000-000086980000}"/>
    <cellStyle name="Normal 6 23 2 5" xfId="19479" xr:uid="{00000000-0005-0000-0000-000087980000}"/>
    <cellStyle name="Normal 6 23 2 6" xfId="34971" xr:uid="{00000000-0005-0000-0000-000088980000}"/>
    <cellStyle name="Normal 6 23 3" xfId="4860" xr:uid="{00000000-0005-0000-0000-000089980000}"/>
    <cellStyle name="Normal 6 23 3 2" xfId="8731" xr:uid="{00000000-0005-0000-0000-00008A980000}"/>
    <cellStyle name="Normal 6 23 3 2 2" xfId="16476" xr:uid="{00000000-0005-0000-0000-00008B980000}"/>
    <cellStyle name="Normal 6 23 3 2 2 2" xfId="32068" xr:uid="{00000000-0005-0000-0000-00008C980000}"/>
    <cellStyle name="Normal 6 23 3 2 2 3" xfId="47560" xr:uid="{00000000-0005-0000-0000-00008D980000}"/>
    <cellStyle name="Normal 6 23 3 2 3" xfId="24328" xr:uid="{00000000-0005-0000-0000-00008E980000}"/>
    <cellStyle name="Normal 6 23 3 2 4" xfId="39820" xr:uid="{00000000-0005-0000-0000-00008F980000}"/>
    <cellStyle name="Normal 6 23 3 3" xfId="12606" xr:uid="{00000000-0005-0000-0000-000090980000}"/>
    <cellStyle name="Normal 6 23 3 3 2" xfId="28198" xr:uid="{00000000-0005-0000-0000-000091980000}"/>
    <cellStyle name="Normal 6 23 3 3 3" xfId="43690" xr:uid="{00000000-0005-0000-0000-000092980000}"/>
    <cellStyle name="Normal 6 23 3 4" xfId="20458" xr:uid="{00000000-0005-0000-0000-000093980000}"/>
    <cellStyle name="Normal 6 23 3 5" xfId="35950" xr:uid="{00000000-0005-0000-0000-000094980000}"/>
    <cellStyle name="Normal 6 23 4" xfId="6804" xr:uid="{00000000-0005-0000-0000-000095980000}"/>
    <cellStyle name="Normal 6 23 4 2" xfId="14549" xr:uid="{00000000-0005-0000-0000-000096980000}"/>
    <cellStyle name="Normal 6 23 4 2 2" xfId="30141" xr:uid="{00000000-0005-0000-0000-000097980000}"/>
    <cellStyle name="Normal 6 23 4 2 3" xfId="45633" xr:uid="{00000000-0005-0000-0000-000098980000}"/>
    <cellStyle name="Normal 6 23 4 3" xfId="22401" xr:uid="{00000000-0005-0000-0000-000099980000}"/>
    <cellStyle name="Normal 6 23 4 4" xfId="37893" xr:uid="{00000000-0005-0000-0000-00009A980000}"/>
    <cellStyle name="Normal 6 23 5" xfId="10679" xr:uid="{00000000-0005-0000-0000-00009B980000}"/>
    <cellStyle name="Normal 6 23 5 2" xfId="26271" xr:uid="{00000000-0005-0000-0000-00009C980000}"/>
    <cellStyle name="Normal 6 23 5 3" xfId="41763" xr:uid="{00000000-0005-0000-0000-00009D980000}"/>
    <cellStyle name="Normal 6 23 6" xfId="18531" xr:uid="{00000000-0005-0000-0000-00009E980000}"/>
    <cellStyle name="Normal 6 23 7" xfId="34023" xr:uid="{00000000-0005-0000-0000-00009F980000}"/>
    <cellStyle name="Normal 6 24" xfId="2900" xr:uid="{00000000-0005-0000-0000-0000A0980000}"/>
    <cellStyle name="Normal 6 24 2" xfId="3905" xr:uid="{00000000-0005-0000-0000-0000A1980000}"/>
    <cellStyle name="Normal 6 24 2 2" xfId="5844" xr:uid="{00000000-0005-0000-0000-0000A2980000}"/>
    <cellStyle name="Normal 6 24 2 2 2" xfId="9715" xr:uid="{00000000-0005-0000-0000-0000A3980000}"/>
    <cellStyle name="Normal 6 24 2 2 2 2" xfId="17460" xr:uid="{00000000-0005-0000-0000-0000A4980000}"/>
    <cellStyle name="Normal 6 24 2 2 2 2 2" xfId="33052" xr:uid="{00000000-0005-0000-0000-0000A5980000}"/>
    <cellStyle name="Normal 6 24 2 2 2 2 3" xfId="48544" xr:uid="{00000000-0005-0000-0000-0000A6980000}"/>
    <cellStyle name="Normal 6 24 2 2 2 3" xfId="25312" xr:uid="{00000000-0005-0000-0000-0000A7980000}"/>
    <cellStyle name="Normal 6 24 2 2 2 4" xfId="40804" xr:uid="{00000000-0005-0000-0000-0000A8980000}"/>
    <cellStyle name="Normal 6 24 2 2 3" xfId="13590" xr:uid="{00000000-0005-0000-0000-0000A9980000}"/>
    <cellStyle name="Normal 6 24 2 2 3 2" xfId="29182" xr:uid="{00000000-0005-0000-0000-0000AA980000}"/>
    <cellStyle name="Normal 6 24 2 2 3 3" xfId="44674" xr:uid="{00000000-0005-0000-0000-0000AB980000}"/>
    <cellStyle name="Normal 6 24 2 2 4" xfId="21442" xr:uid="{00000000-0005-0000-0000-0000AC980000}"/>
    <cellStyle name="Normal 6 24 2 2 5" xfId="36934" xr:uid="{00000000-0005-0000-0000-0000AD980000}"/>
    <cellStyle name="Normal 6 24 2 3" xfId="7788" xr:uid="{00000000-0005-0000-0000-0000AE980000}"/>
    <cellStyle name="Normal 6 24 2 3 2" xfId="15533" xr:uid="{00000000-0005-0000-0000-0000AF980000}"/>
    <cellStyle name="Normal 6 24 2 3 2 2" xfId="31125" xr:uid="{00000000-0005-0000-0000-0000B0980000}"/>
    <cellStyle name="Normal 6 24 2 3 2 3" xfId="46617" xr:uid="{00000000-0005-0000-0000-0000B1980000}"/>
    <cellStyle name="Normal 6 24 2 3 3" xfId="23385" xr:uid="{00000000-0005-0000-0000-0000B2980000}"/>
    <cellStyle name="Normal 6 24 2 3 4" xfId="38877" xr:uid="{00000000-0005-0000-0000-0000B3980000}"/>
    <cellStyle name="Normal 6 24 2 4" xfId="11663" xr:uid="{00000000-0005-0000-0000-0000B4980000}"/>
    <cellStyle name="Normal 6 24 2 4 2" xfId="27255" xr:uid="{00000000-0005-0000-0000-0000B5980000}"/>
    <cellStyle name="Normal 6 24 2 4 3" xfId="42747" xr:uid="{00000000-0005-0000-0000-0000B6980000}"/>
    <cellStyle name="Normal 6 24 2 5" xfId="19515" xr:uid="{00000000-0005-0000-0000-0000B7980000}"/>
    <cellStyle name="Normal 6 24 2 6" xfId="35007" xr:uid="{00000000-0005-0000-0000-0000B8980000}"/>
    <cellStyle name="Normal 6 24 3" xfId="4896" xr:uid="{00000000-0005-0000-0000-0000B9980000}"/>
    <cellStyle name="Normal 6 24 3 2" xfId="8767" xr:uid="{00000000-0005-0000-0000-0000BA980000}"/>
    <cellStyle name="Normal 6 24 3 2 2" xfId="16512" xr:uid="{00000000-0005-0000-0000-0000BB980000}"/>
    <cellStyle name="Normal 6 24 3 2 2 2" xfId="32104" xr:uid="{00000000-0005-0000-0000-0000BC980000}"/>
    <cellStyle name="Normal 6 24 3 2 2 3" xfId="47596" xr:uid="{00000000-0005-0000-0000-0000BD980000}"/>
    <cellStyle name="Normal 6 24 3 2 3" xfId="24364" xr:uid="{00000000-0005-0000-0000-0000BE980000}"/>
    <cellStyle name="Normal 6 24 3 2 4" xfId="39856" xr:uid="{00000000-0005-0000-0000-0000BF980000}"/>
    <cellStyle name="Normal 6 24 3 3" xfId="12642" xr:uid="{00000000-0005-0000-0000-0000C0980000}"/>
    <cellStyle name="Normal 6 24 3 3 2" xfId="28234" xr:uid="{00000000-0005-0000-0000-0000C1980000}"/>
    <cellStyle name="Normal 6 24 3 3 3" xfId="43726" xr:uid="{00000000-0005-0000-0000-0000C2980000}"/>
    <cellStyle name="Normal 6 24 3 4" xfId="20494" xr:uid="{00000000-0005-0000-0000-0000C3980000}"/>
    <cellStyle name="Normal 6 24 3 5" xfId="35986" xr:uid="{00000000-0005-0000-0000-0000C4980000}"/>
    <cellStyle name="Normal 6 24 4" xfId="6840" xr:uid="{00000000-0005-0000-0000-0000C5980000}"/>
    <cellStyle name="Normal 6 24 4 2" xfId="14585" xr:uid="{00000000-0005-0000-0000-0000C6980000}"/>
    <cellStyle name="Normal 6 24 4 2 2" xfId="30177" xr:uid="{00000000-0005-0000-0000-0000C7980000}"/>
    <cellStyle name="Normal 6 24 4 2 3" xfId="45669" xr:uid="{00000000-0005-0000-0000-0000C8980000}"/>
    <cellStyle name="Normal 6 24 4 3" xfId="22437" xr:uid="{00000000-0005-0000-0000-0000C9980000}"/>
    <cellStyle name="Normal 6 24 4 4" xfId="37929" xr:uid="{00000000-0005-0000-0000-0000CA980000}"/>
    <cellStyle name="Normal 6 24 5" xfId="10715" xr:uid="{00000000-0005-0000-0000-0000CB980000}"/>
    <cellStyle name="Normal 6 24 5 2" xfId="26307" xr:uid="{00000000-0005-0000-0000-0000CC980000}"/>
    <cellStyle name="Normal 6 24 5 3" xfId="41799" xr:uid="{00000000-0005-0000-0000-0000CD980000}"/>
    <cellStyle name="Normal 6 24 6" xfId="18567" xr:uid="{00000000-0005-0000-0000-0000CE980000}"/>
    <cellStyle name="Normal 6 24 7" xfId="34059" xr:uid="{00000000-0005-0000-0000-0000CF980000}"/>
    <cellStyle name="Normal 6 25" xfId="2937" xr:uid="{00000000-0005-0000-0000-0000D0980000}"/>
    <cellStyle name="Normal 6 25 2" xfId="3941" xr:uid="{00000000-0005-0000-0000-0000D1980000}"/>
    <cellStyle name="Normal 6 25 2 2" xfId="5880" xr:uid="{00000000-0005-0000-0000-0000D2980000}"/>
    <cellStyle name="Normal 6 25 2 2 2" xfId="9751" xr:uid="{00000000-0005-0000-0000-0000D3980000}"/>
    <cellStyle name="Normal 6 25 2 2 2 2" xfId="17496" xr:uid="{00000000-0005-0000-0000-0000D4980000}"/>
    <cellStyle name="Normal 6 25 2 2 2 2 2" xfId="33088" xr:uid="{00000000-0005-0000-0000-0000D5980000}"/>
    <cellStyle name="Normal 6 25 2 2 2 2 3" xfId="48580" xr:uid="{00000000-0005-0000-0000-0000D6980000}"/>
    <cellStyle name="Normal 6 25 2 2 2 3" xfId="25348" xr:uid="{00000000-0005-0000-0000-0000D7980000}"/>
    <cellStyle name="Normal 6 25 2 2 2 4" xfId="40840" xr:uid="{00000000-0005-0000-0000-0000D8980000}"/>
    <cellStyle name="Normal 6 25 2 2 3" xfId="13626" xr:uid="{00000000-0005-0000-0000-0000D9980000}"/>
    <cellStyle name="Normal 6 25 2 2 3 2" xfId="29218" xr:uid="{00000000-0005-0000-0000-0000DA980000}"/>
    <cellStyle name="Normal 6 25 2 2 3 3" xfId="44710" xr:uid="{00000000-0005-0000-0000-0000DB980000}"/>
    <cellStyle name="Normal 6 25 2 2 4" xfId="21478" xr:uid="{00000000-0005-0000-0000-0000DC980000}"/>
    <cellStyle name="Normal 6 25 2 2 5" xfId="36970" xr:uid="{00000000-0005-0000-0000-0000DD980000}"/>
    <cellStyle name="Normal 6 25 2 3" xfId="7824" xr:uid="{00000000-0005-0000-0000-0000DE980000}"/>
    <cellStyle name="Normal 6 25 2 3 2" xfId="15569" xr:uid="{00000000-0005-0000-0000-0000DF980000}"/>
    <cellStyle name="Normal 6 25 2 3 2 2" xfId="31161" xr:uid="{00000000-0005-0000-0000-0000E0980000}"/>
    <cellStyle name="Normal 6 25 2 3 2 3" xfId="46653" xr:uid="{00000000-0005-0000-0000-0000E1980000}"/>
    <cellStyle name="Normal 6 25 2 3 3" xfId="23421" xr:uid="{00000000-0005-0000-0000-0000E2980000}"/>
    <cellStyle name="Normal 6 25 2 3 4" xfId="38913" xr:uid="{00000000-0005-0000-0000-0000E3980000}"/>
    <cellStyle name="Normal 6 25 2 4" xfId="11699" xr:uid="{00000000-0005-0000-0000-0000E4980000}"/>
    <cellStyle name="Normal 6 25 2 4 2" xfId="27291" xr:uid="{00000000-0005-0000-0000-0000E5980000}"/>
    <cellStyle name="Normal 6 25 2 4 3" xfId="42783" xr:uid="{00000000-0005-0000-0000-0000E6980000}"/>
    <cellStyle name="Normal 6 25 2 5" xfId="19551" xr:uid="{00000000-0005-0000-0000-0000E7980000}"/>
    <cellStyle name="Normal 6 25 2 6" xfId="35043" xr:uid="{00000000-0005-0000-0000-0000E8980000}"/>
    <cellStyle name="Normal 6 25 3" xfId="4932" xr:uid="{00000000-0005-0000-0000-0000E9980000}"/>
    <cellStyle name="Normal 6 25 3 2" xfId="8803" xr:uid="{00000000-0005-0000-0000-0000EA980000}"/>
    <cellStyle name="Normal 6 25 3 2 2" xfId="16548" xr:uid="{00000000-0005-0000-0000-0000EB980000}"/>
    <cellStyle name="Normal 6 25 3 2 2 2" xfId="32140" xr:uid="{00000000-0005-0000-0000-0000EC980000}"/>
    <cellStyle name="Normal 6 25 3 2 2 3" xfId="47632" xr:uid="{00000000-0005-0000-0000-0000ED980000}"/>
    <cellStyle name="Normal 6 25 3 2 3" xfId="24400" xr:uid="{00000000-0005-0000-0000-0000EE980000}"/>
    <cellStyle name="Normal 6 25 3 2 4" xfId="39892" xr:uid="{00000000-0005-0000-0000-0000EF980000}"/>
    <cellStyle name="Normal 6 25 3 3" xfId="12678" xr:uid="{00000000-0005-0000-0000-0000F0980000}"/>
    <cellStyle name="Normal 6 25 3 3 2" xfId="28270" xr:uid="{00000000-0005-0000-0000-0000F1980000}"/>
    <cellStyle name="Normal 6 25 3 3 3" xfId="43762" xr:uid="{00000000-0005-0000-0000-0000F2980000}"/>
    <cellStyle name="Normal 6 25 3 4" xfId="20530" xr:uid="{00000000-0005-0000-0000-0000F3980000}"/>
    <cellStyle name="Normal 6 25 3 5" xfId="36022" xr:uid="{00000000-0005-0000-0000-0000F4980000}"/>
    <cellStyle name="Normal 6 25 4" xfId="6876" xr:uid="{00000000-0005-0000-0000-0000F5980000}"/>
    <cellStyle name="Normal 6 25 4 2" xfId="14621" xr:uid="{00000000-0005-0000-0000-0000F6980000}"/>
    <cellStyle name="Normal 6 25 4 2 2" xfId="30213" xr:uid="{00000000-0005-0000-0000-0000F7980000}"/>
    <cellStyle name="Normal 6 25 4 2 3" xfId="45705" xr:uid="{00000000-0005-0000-0000-0000F8980000}"/>
    <cellStyle name="Normal 6 25 4 3" xfId="22473" xr:uid="{00000000-0005-0000-0000-0000F9980000}"/>
    <cellStyle name="Normal 6 25 4 4" xfId="37965" xr:uid="{00000000-0005-0000-0000-0000FA980000}"/>
    <cellStyle name="Normal 6 25 5" xfId="10751" xr:uid="{00000000-0005-0000-0000-0000FB980000}"/>
    <cellStyle name="Normal 6 25 5 2" xfId="26343" xr:uid="{00000000-0005-0000-0000-0000FC980000}"/>
    <cellStyle name="Normal 6 25 5 3" xfId="41835" xr:uid="{00000000-0005-0000-0000-0000FD980000}"/>
    <cellStyle name="Normal 6 25 6" xfId="18603" xr:uid="{00000000-0005-0000-0000-0000FE980000}"/>
    <cellStyle name="Normal 6 25 7" xfId="34095" xr:uid="{00000000-0005-0000-0000-0000FF980000}"/>
    <cellStyle name="Normal 6 26" xfId="2976" xr:uid="{00000000-0005-0000-0000-000000990000}"/>
    <cellStyle name="Normal 6 26 2" xfId="3977" xr:uid="{00000000-0005-0000-0000-000001990000}"/>
    <cellStyle name="Normal 6 26 2 2" xfId="5916" xr:uid="{00000000-0005-0000-0000-000002990000}"/>
    <cellStyle name="Normal 6 26 2 2 2" xfId="9787" xr:uid="{00000000-0005-0000-0000-000003990000}"/>
    <cellStyle name="Normal 6 26 2 2 2 2" xfId="17532" xr:uid="{00000000-0005-0000-0000-000004990000}"/>
    <cellStyle name="Normal 6 26 2 2 2 2 2" xfId="33124" xr:uid="{00000000-0005-0000-0000-000005990000}"/>
    <cellStyle name="Normal 6 26 2 2 2 2 3" xfId="48616" xr:uid="{00000000-0005-0000-0000-000006990000}"/>
    <cellStyle name="Normal 6 26 2 2 2 3" xfId="25384" xr:uid="{00000000-0005-0000-0000-000007990000}"/>
    <cellStyle name="Normal 6 26 2 2 2 4" xfId="40876" xr:uid="{00000000-0005-0000-0000-000008990000}"/>
    <cellStyle name="Normal 6 26 2 2 3" xfId="13662" xr:uid="{00000000-0005-0000-0000-000009990000}"/>
    <cellStyle name="Normal 6 26 2 2 3 2" xfId="29254" xr:uid="{00000000-0005-0000-0000-00000A990000}"/>
    <cellStyle name="Normal 6 26 2 2 3 3" xfId="44746" xr:uid="{00000000-0005-0000-0000-00000B990000}"/>
    <cellStyle name="Normal 6 26 2 2 4" xfId="21514" xr:uid="{00000000-0005-0000-0000-00000C990000}"/>
    <cellStyle name="Normal 6 26 2 2 5" xfId="37006" xr:uid="{00000000-0005-0000-0000-00000D990000}"/>
    <cellStyle name="Normal 6 26 2 3" xfId="7860" xr:uid="{00000000-0005-0000-0000-00000E990000}"/>
    <cellStyle name="Normal 6 26 2 3 2" xfId="15605" xr:uid="{00000000-0005-0000-0000-00000F990000}"/>
    <cellStyle name="Normal 6 26 2 3 2 2" xfId="31197" xr:uid="{00000000-0005-0000-0000-000010990000}"/>
    <cellStyle name="Normal 6 26 2 3 2 3" xfId="46689" xr:uid="{00000000-0005-0000-0000-000011990000}"/>
    <cellStyle name="Normal 6 26 2 3 3" xfId="23457" xr:uid="{00000000-0005-0000-0000-000012990000}"/>
    <cellStyle name="Normal 6 26 2 3 4" xfId="38949" xr:uid="{00000000-0005-0000-0000-000013990000}"/>
    <cellStyle name="Normal 6 26 2 4" xfId="11735" xr:uid="{00000000-0005-0000-0000-000014990000}"/>
    <cellStyle name="Normal 6 26 2 4 2" xfId="27327" xr:uid="{00000000-0005-0000-0000-000015990000}"/>
    <cellStyle name="Normal 6 26 2 4 3" xfId="42819" xr:uid="{00000000-0005-0000-0000-000016990000}"/>
    <cellStyle name="Normal 6 26 2 5" xfId="19587" xr:uid="{00000000-0005-0000-0000-000017990000}"/>
    <cellStyle name="Normal 6 26 2 6" xfId="35079" xr:uid="{00000000-0005-0000-0000-000018990000}"/>
    <cellStyle name="Normal 6 26 3" xfId="4968" xr:uid="{00000000-0005-0000-0000-000019990000}"/>
    <cellStyle name="Normal 6 26 3 2" xfId="8839" xr:uid="{00000000-0005-0000-0000-00001A990000}"/>
    <cellStyle name="Normal 6 26 3 2 2" xfId="16584" xr:uid="{00000000-0005-0000-0000-00001B990000}"/>
    <cellStyle name="Normal 6 26 3 2 2 2" xfId="32176" xr:uid="{00000000-0005-0000-0000-00001C990000}"/>
    <cellStyle name="Normal 6 26 3 2 2 3" xfId="47668" xr:uid="{00000000-0005-0000-0000-00001D990000}"/>
    <cellStyle name="Normal 6 26 3 2 3" xfId="24436" xr:uid="{00000000-0005-0000-0000-00001E990000}"/>
    <cellStyle name="Normal 6 26 3 2 4" xfId="39928" xr:uid="{00000000-0005-0000-0000-00001F990000}"/>
    <cellStyle name="Normal 6 26 3 3" xfId="12714" xr:uid="{00000000-0005-0000-0000-000020990000}"/>
    <cellStyle name="Normal 6 26 3 3 2" xfId="28306" xr:uid="{00000000-0005-0000-0000-000021990000}"/>
    <cellStyle name="Normal 6 26 3 3 3" xfId="43798" xr:uid="{00000000-0005-0000-0000-000022990000}"/>
    <cellStyle name="Normal 6 26 3 4" xfId="20566" xr:uid="{00000000-0005-0000-0000-000023990000}"/>
    <cellStyle name="Normal 6 26 3 5" xfId="36058" xr:uid="{00000000-0005-0000-0000-000024990000}"/>
    <cellStyle name="Normal 6 26 4" xfId="6912" xr:uid="{00000000-0005-0000-0000-000025990000}"/>
    <cellStyle name="Normal 6 26 4 2" xfId="14657" xr:uid="{00000000-0005-0000-0000-000026990000}"/>
    <cellStyle name="Normal 6 26 4 2 2" xfId="30249" xr:uid="{00000000-0005-0000-0000-000027990000}"/>
    <cellStyle name="Normal 6 26 4 2 3" xfId="45741" xr:uid="{00000000-0005-0000-0000-000028990000}"/>
    <cellStyle name="Normal 6 26 4 3" xfId="22509" xr:uid="{00000000-0005-0000-0000-000029990000}"/>
    <cellStyle name="Normal 6 26 4 4" xfId="38001" xr:uid="{00000000-0005-0000-0000-00002A990000}"/>
    <cellStyle name="Normal 6 26 5" xfId="10787" xr:uid="{00000000-0005-0000-0000-00002B990000}"/>
    <cellStyle name="Normal 6 26 5 2" xfId="26379" xr:uid="{00000000-0005-0000-0000-00002C990000}"/>
    <cellStyle name="Normal 6 26 5 3" xfId="41871" xr:uid="{00000000-0005-0000-0000-00002D990000}"/>
    <cellStyle name="Normal 6 26 6" xfId="18639" xr:uid="{00000000-0005-0000-0000-00002E990000}"/>
    <cellStyle name="Normal 6 26 7" xfId="34131" xr:uid="{00000000-0005-0000-0000-00002F990000}"/>
    <cellStyle name="Normal 6 27" xfId="3016" xr:uid="{00000000-0005-0000-0000-000030990000}"/>
    <cellStyle name="Normal 6 27 2" xfId="4013" xr:uid="{00000000-0005-0000-0000-000031990000}"/>
    <cellStyle name="Normal 6 27 2 2" xfId="5952" xr:uid="{00000000-0005-0000-0000-000032990000}"/>
    <cellStyle name="Normal 6 27 2 2 2" xfId="9823" xr:uid="{00000000-0005-0000-0000-000033990000}"/>
    <cellStyle name="Normal 6 27 2 2 2 2" xfId="17568" xr:uid="{00000000-0005-0000-0000-000034990000}"/>
    <cellStyle name="Normal 6 27 2 2 2 2 2" xfId="33160" xr:uid="{00000000-0005-0000-0000-000035990000}"/>
    <cellStyle name="Normal 6 27 2 2 2 2 3" xfId="48652" xr:uid="{00000000-0005-0000-0000-000036990000}"/>
    <cellStyle name="Normal 6 27 2 2 2 3" xfId="25420" xr:uid="{00000000-0005-0000-0000-000037990000}"/>
    <cellStyle name="Normal 6 27 2 2 2 4" xfId="40912" xr:uid="{00000000-0005-0000-0000-000038990000}"/>
    <cellStyle name="Normal 6 27 2 2 3" xfId="13698" xr:uid="{00000000-0005-0000-0000-000039990000}"/>
    <cellStyle name="Normal 6 27 2 2 3 2" xfId="29290" xr:uid="{00000000-0005-0000-0000-00003A990000}"/>
    <cellStyle name="Normal 6 27 2 2 3 3" xfId="44782" xr:uid="{00000000-0005-0000-0000-00003B990000}"/>
    <cellStyle name="Normal 6 27 2 2 4" xfId="21550" xr:uid="{00000000-0005-0000-0000-00003C990000}"/>
    <cellStyle name="Normal 6 27 2 2 5" xfId="37042" xr:uid="{00000000-0005-0000-0000-00003D990000}"/>
    <cellStyle name="Normal 6 27 2 3" xfId="7896" xr:uid="{00000000-0005-0000-0000-00003E990000}"/>
    <cellStyle name="Normal 6 27 2 3 2" xfId="15641" xr:uid="{00000000-0005-0000-0000-00003F990000}"/>
    <cellStyle name="Normal 6 27 2 3 2 2" xfId="31233" xr:uid="{00000000-0005-0000-0000-000040990000}"/>
    <cellStyle name="Normal 6 27 2 3 2 3" xfId="46725" xr:uid="{00000000-0005-0000-0000-000041990000}"/>
    <cellStyle name="Normal 6 27 2 3 3" xfId="23493" xr:uid="{00000000-0005-0000-0000-000042990000}"/>
    <cellStyle name="Normal 6 27 2 3 4" xfId="38985" xr:uid="{00000000-0005-0000-0000-000043990000}"/>
    <cellStyle name="Normal 6 27 2 4" xfId="11771" xr:uid="{00000000-0005-0000-0000-000044990000}"/>
    <cellStyle name="Normal 6 27 2 4 2" xfId="27363" xr:uid="{00000000-0005-0000-0000-000045990000}"/>
    <cellStyle name="Normal 6 27 2 4 3" xfId="42855" xr:uid="{00000000-0005-0000-0000-000046990000}"/>
    <cellStyle name="Normal 6 27 2 5" xfId="19623" xr:uid="{00000000-0005-0000-0000-000047990000}"/>
    <cellStyle name="Normal 6 27 2 6" xfId="35115" xr:uid="{00000000-0005-0000-0000-000048990000}"/>
    <cellStyle name="Normal 6 27 3" xfId="5004" xr:uid="{00000000-0005-0000-0000-000049990000}"/>
    <cellStyle name="Normal 6 27 3 2" xfId="8875" xr:uid="{00000000-0005-0000-0000-00004A990000}"/>
    <cellStyle name="Normal 6 27 3 2 2" xfId="16620" xr:uid="{00000000-0005-0000-0000-00004B990000}"/>
    <cellStyle name="Normal 6 27 3 2 2 2" xfId="32212" xr:uid="{00000000-0005-0000-0000-00004C990000}"/>
    <cellStyle name="Normal 6 27 3 2 2 3" xfId="47704" xr:uid="{00000000-0005-0000-0000-00004D990000}"/>
    <cellStyle name="Normal 6 27 3 2 3" xfId="24472" xr:uid="{00000000-0005-0000-0000-00004E990000}"/>
    <cellStyle name="Normal 6 27 3 2 4" xfId="39964" xr:uid="{00000000-0005-0000-0000-00004F990000}"/>
    <cellStyle name="Normal 6 27 3 3" xfId="12750" xr:uid="{00000000-0005-0000-0000-000050990000}"/>
    <cellStyle name="Normal 6 27 3 3 2" xfId="28342" xr:uid="{00000000-0005-0000-0000-000051990000}"/>
    <cellStyle name="Normal 6 27 3 3 3" xfId="43834" xr:uid="{00000000-0005-0000-0000-000052990000}"/>
    <cellStyle name="Normal 6 27 3 4" xfId="20602" xr:uid="{00000000-0005-0000-0000-000053990000}"/>
    <cellStyle name="Normal 6 27 3 5" xfId="36094" xr:uid="{00000000-0005-0000-0000-000054990000}"/>
    <cellStyle name="Normal 6 27 4" xfId="6948" xr:uid="{00000000-0005-0000-0000-000055990000}"/>
    <cellStyle name="Normal 6 27 4 2" xfId="14693" xr:uid="{00000000-0005-0000-0000-000056990000}"/>
    <cellStyle name="Normal 6 27 4 2 2" xfId="30285" xr:uid="{00000000-0005-0000-0000-000057990000}"/>
    <cellStyle name="Normal 6 27 4 2 3" xfId="45777" xr:uid="{00000000-0005-0000-0000-000058990000}"/>
    <cellStyle name="Normal 6 27 4 3" xfId="22545" xr:uid="{00000000-0005-0000-0000-000059990000}"/>
    <cellStyle name="Normal 6 27 4 4" xfId="38037" xr:uid="{00000000-0005-0000-0000-00005A990000}"/>
    <cellStyle name="Normal 6 27 5" xfId="10823" xr:uid="{00000000-0005-0000-0000-00005B990000}"/>
    <cellStyle name="Normal 6 27 5 2" xfId="26415" xr:uid="{00000000-0005-0000-0000-00005C990000}"/>
    <cellStyle name="Normal 6 27 5 3" xfId="41907" xr:uid="{00000000-0005-0000-0000-00005D990000}"/>
    <cellStyle name="Normal 6 27 6" xfId="18675" xr:uid="{00000000-0005-0000-0000-00005E990000}"/>
    <cellStyle name="Normal 6 27 7" xfId="34167" xr:uid="{00000000-0005-0000-0000-00005F990000}"/>
    <cellStyle name="Normal 6 28" xfId="3054" xr:uid="{00000000-0005-0000-0000-000060990000}"/>
    <cellStyle name="Normal 6 28 2" xfId="4049" xr:uid="{00000000-0005-0000-0000-000061990000}"/>
    <cellStyle name="Normal 6 28 2 2" xfId="5988" xr:uid="{00000000-0005-0000-0000-000062990000}"/>
    <cellStyle name="Normal 6 28 2 2 2" xfId="9859" xr:uid="{00000000-0005-0000-0000-000063990000}"/>
    <cellStyle name="Normal 6 28 2 2 2 2" xfId="17604" xr:uid="{00000000-0005-0000-0000-000064990000}"/>
    <cellStyle name="Normal 6 28 2 2 2 2 2" xfId="33196" xr:uid="{00000000-0005-0000-0000-000065990000}"/>
    <cellStyle name="Normal 6 28 2 2 2 2 3" xfId="48688" xr:uid="{00000000-0005-0000-0000-000066990000}"/>
    <cellStyle name="Normal 6 28 2 2 2 3" xfId="25456" xr:uid="{00000000-0005-0000-0000-000067990000}"/>
    <cellStyle name="Normal 6 28 2 2 2 4" xfId="40948" xr:uid="{00000000-0005-0000-0000-000068990000}"/>
    <cellStyle name="Normal 6 28 2 2 3" xfId="13734" xr:uid="{00000000-0005-0000-0000-000069990000}"/>
    <cellStyle name="Normal 6 28 2 2 3 2" xfId="29326" xr:uid="{00000000-0005-0000-0000-00006A990000}"/>
    <cellStyle name="Normal 6 28 2 2 3 3" xfId="44818" xr:uid="{00000000-0005-0000-0000-00006B990000}"/>
    <cellStyle name="Normal 6 28 2 2 4" xfId="21586" xr:uid="{00000000-0005-0000-0000-00006C990000}"/>
    <cellStyle name="Normal 6 28 2 2 5" xfId="37078" xr:uid="{00000000-0005-0000-0000-00006D990000}"/>
    <cellStyle name="Normal 6 28 2 3" xfId="7932" xr:uid="{00000000-0005-0000-0000-00006E990000}"/>
    <cellStyle name="Normal 6 28 2 3 2" xfId="15677" xr:uid="{00000000-0005-0000-0000-00006F990000}"/>
    <cellStyle name="Normal 6 28 2 3 2 2" xfId="31269" xr:uid="{00000000-0005-0000-0000-000070990000}"/>
    <cellStyle name="Normal 6 28 2 3 2 3" xfId="46761" xr:uid="{00000000-0005-0000-0000-000071990000}"/>
    <cellStyle name="Normal 6 28 2 3 3" xfId="23529" xr:uid="{00000000-0005-0000-0000-000072990000}"/>
    <cellStyle name="Normal 6 28 2 3 4" xfId="39021" xr:uid="{00000000-0005-0000-0000-000073990000}"/>
    <cellStyle name="Normal 6 28 2 4" xfId="11807" xr:uid="{00000000-0005-0000-0000-000074990000}"/>
    <cellStyle name="Normal 6 28 2 4 2" xfId="27399" xr:uid="{00000000-0005-0000-0000-000075990000}"/>
    <cellStyle name="Normal 6 28 2 4 3" xfId="42891" xr:uid="{00000000-0005-0000-0000-000076990000}"/>
    <cellStyle name="Normal 6 28 2 5" xfId="19659" xr:uid="{00000000-0005-0000-0000-000077990000}"/>
    <cellStyle name="Normal 6 28 2 6" xfId="35151" xr:uid="{00000000-0005-0000-0000-000078990000}"/>
    <cellStyle name="Normal 6 28 3" xfId="5040" xr:uid="{00000000-0005-0000-0000-000079990000}"/>
    <cellStyle name="Normal 6 28 3 2" xfId="8911" xr:uid="{00000000-0005-0000-0000-00007A990000}"/>
    <cellStyle name="Normal 6 28 3 2 2" xfId="16656" xr:uid="{00000000-0005-0000-0000-00007B990000}"/>
    <cellStyle name="Normal 6 28 3 2 2 2" xfId="32248" xr:uid="{00000000-0005-0000-0000-00007C990000}"/>
    <cellStyle name="Normal 6 28 3 2 2 3" xfId="47740" xr:uid="{00000000-0005-0000-0000-00007D990000}"/>
    <cellStyle name="Normal 6 28 3 2 3" xfId="24508" xr:uid="{00000000-0005-0000-0000-00007E990000}"/>
    <cellStyle name="Normal 6 28 3 2 4" xfId="40000" xr:uid="{00000000-0005-0000-0000-00007F990000}"/>
    <cellStyle name="Normal 6 28 3 3" xfId="12786" xr:uid="{00000000-0005-0000-0000-000080990000}"/>
    <cellStyle name="Normal 6 28 3 3 2" xfId="28378" xr:uid="{00000000-0005-0000-0000-000081990000}"/>
    <cellStyle name="Normal 6 28 3 3 3" xfId="43870" xr:uid="{00000000-0005-0000-0000-000082990000}"/>
    <cellStyle name="Normal 6 28 3 4" xfId="20638" xr:uid="{00000000-0005-0000-0000-000083990000}"/>
    <cellStyle name="Normal 6 28 3 5" xfId="36130" xr:uid="{00000000-0005-0000-0000-000084990000}"/>
    <cellStyle name="Normal 6 28 4" xfId="6984" xr:uid="{00000000-0005-0000-0000-000085990000}"/>
    <cellStyle name="Normal 6 28 4 2" xfId="14729" xr:uid="{00000000-0005-0000-0000-000086990000}"/>
    <cellStyle name="Normal 6 28 4 2 2" xfId="30321" xr:uid="{00000000-0005-0000-0000-000087990000}"/>
    <cellStyle name="Normal 6 28 4 2 3" xfId="45813" xr:uid="{00000000-0005-0000-0000-000088990000}"/>
    <cellStyle name="Normal 6 28 4 3" xfId="22581" xr:uid="{00000000-0005-0000-0000-000089990000}"/>
    <cellStyle name="Normal 6 28 4 4" xfId="38073" xr:uid="{00000000-0005-0000-0000-00008A990000}"/>
    <cellStyle name="Normal 6 28 5" xfId="10859" xr:uid="{00000000-0005-0000-0000-00008B990000}"/>
    <cellStyle name="Normal 6 28 5 2" xfId="26451" xr:uid="{00000000-0005-0000-0000-00008C990000}"/>
    <cellStyle name="Normal 6 28 5 3" xfId="41943" xr:uid="{00000000-0005-0000-0000-00008D990000}"/>
    <cellStyle name="Normal 6 28 6" xfId="18711" xr:uid="{00000000-0005-0000-0000-00008E990000}"/>
    <cellStyle name="Normal 6 28 7" xfId="34203" xr:uid="{00000000-0005-0000-0000-00008F990000}"/>
    <cellStyle name="Normal 6 29" xfId="3091" xr:uid="{00000000-0005-0000-0000-000090990000}"/>
    <cellStyle name="Normal 6 29 2" xfId="4085" xr:uid="{00000000-0005-0000-0000-000091990000}"/>
    <cellStyle name="Normal 6 29 2 2" xfId="6024" xr:uid="{00000000-0005-0000-0000-000092990000}"/>
    <cellStyle name="Normal 6 29 2 2 2" xfId="9895" xr:uid="{00000000-0005-0000-0000-000093990000}"/>
    <cellStyle name="Normal 6 29 2 2 2 2" xfId="17640" xr:uid="{00000000-0005-0000-0000-000094990000}"/>
    <cellStyle name="Normal 6 29 2 2 2 2 2" xfId="33232" xr:uid="{00000000-0005-0000-0000-000095990000}"/>
    <cellStyle name="Normal 6 29 2 2 2 2 3" xfId="48724" xr:uid="{00000000-0005-0000-0000-000096990000}"/>
    <cellStyle name="Normal 6 29 2 2 2 3" xfId="25492" xr:uid="{00000000-0005-0000-0000-000097990000}"/>
    <cellStyle name="Normal 6 29 2 2 2 4" xfId="40984" xr:uid="{00000000-0005-0000-0000-000098990000}"/>
    <cellStyle name="Normal 6 29 2 2 3" xfId="13770" xr:uid="{00000000-0005-0000-0000-000099990000}"/>
    <cellStyle name="Normal 6 29 2 2 3 2" xfId="29362" xr:uid="{00000000-0005-0000-0000-00009A990000}"/>
    <cellStyle name="Normal 6 29 2 2 3 3" xfId="44854" xr:uid="{00000000-0005-0000-0000-00009B990000}"/>
    <cellStyle name="Normal 6 29 2 2 4" xfId="21622" xr:uid="{00000000-0005-0000-0000-00009C990000}"/>
    <cellStyle name="Normal 6 29 2 2 5" xfId="37114" xr:uid="{00000000-0005-0000-0000-00009D990000}"/>
    <cellStyle name="Normal 6 29 2 3" xfId="7968" xr:uid="{00000000-0005-0000-0000-00009E990000}"/>
    <cellStyle name="Normal 6 29 2 3 2" xfId="15713" xr:uid="{00000000-0005-0000-0000-00009F990000}"/>
    <cellStyle name="Normal 6 29 2 3 2 2" xfId="31305" xr:uid="{00000000-0005-0000-0000-0000A0990000}"/>
    <cellStyle name="Normal 6 29 2 3 2 3" xfId="46797" xr:uid="{00000000-0005-0000-0000-0000A1990000}"/>
    <cellStyle name="Normal 6 29 2 3 3" xfId="23565" xr:uid="{00000000-0005-0000-0000-0000A2990000}"/>
    <cellStyle name="Normal 6 29 2 3 4" xfId="39057" xr:uid="{00000000-0005-0000-0000-0000A3990000}"/>
    <cellStyle name="Normal 6 29 2 4" xfId="11843" xr:uid="{00000000-0005-0000-0000-0000A4990000}"/>
    <cellStyle name="Normal 6 29 2 4 2" xfId="27435" xr:uid="{00000000-0005-0000-0000-0000A5990000}"/>
    <cellStyle name="Normal 6 29 2 4 3" xfId="42927" xr:uid="{00000000-0005-0000-0000-0000A6990000}"/>
    <cellStyle name="Normal 6 29 2 5" xfId="19695" xr:uid="{00000000-0005-0000-0000-0000A7990000}"/>
    <cellStyle name="Normal 6 29 2 6" xfId="35187" xr:uid="{00000000-0005-0000-0000-0000A8990000}"/>
    <cellStyle name="Normal 6 29 3" xfId="5076" xr:uid="{00000000-0005-0000-0000-0000A9990000}"/>
    <cellStyle name="Normal 6 29 3 2" xfId="8947" xr:uid="{00000000-0005-0000-0000-0000AA990000}"/>
    <cellStyle name="Normal 6 29 3 2 2" xfId="16692" xr:uid="{00000000-0005-0000-0000-0000AB990000}"/>
    <cellStyle name="Normal 6 29 3 2 2 2" xfId="32284" xr:uid="{00000000-0005-0000-0000-0000AC990000}"/>
    <cellStyle name="Normal 6 29 3 2 2 3" xfId="47776" xr:uid="{00000000-0005-0000-0000-0000AD990000}"/>
    <cellStyle name="Normal 6 29 3 2 3" xfId="24544" xr:uid="{00000000-0005-0000-0000-0000AE990000}"/>
    <cellStyle name="Normal 6 29 3 2 4" xfId="40036" xr:uid="{00000000-0005-0000-0000-0000AF990000}"/>
    <cellStyle name="Normal 6 29 3 3" xfId="12822" xr:uid="{00000000-0005-0000-0000-0000B0990000}"/>
    <cellStyle name="Normal 6 29 3 3 2" xfId="28414" xr:uid="{00000000-0005-0000-0000-0000B1990000}"/>
    <cellStyle name="Normal 6 29 3 3 3" xfId="43906" xr:uid="{00000000-0005-0000-0000-0000B2990000}"/>
    <cellStyle name="Normal 6 29 3 4" xfId="20674" xr:uid="{00000000-0005-0000-0000-0000B3990000}"/>
    <cellStyle name="Normal 6 29 3 5" xfId="36166" xr:uid="{00000000-0005-0000-0000-0000B4990000}"/>
    <cellStyle name="Normal 6 29 4" xfId="7020" xr:uid="{00000000-0005-0000-0000-0000B5990000}"/>
    <cellStyle name="Normal 6 29 4 2" xfId="14765" xr:uid="{00000000-0005-0000-0000-0000B6990000}"/>
    <cellStyle name="Normal 6 29 4 2 2" xfId="30357" xr:uid="{00000000-0005-0000-0000-0000B7990000}"/>
    <cellStyle name="Normal 6 29 4 2 3" xfId="45849" xr:uid="{00000000-0005-0000-0000-0000B8990000}"/>
    <cellStyle name="Normal 6 29 4 3" xfId="22617" xr:uid="{00000000-0005-0000-0000-0000B9990000}"/>
    <cellStyle name="Normal 6 29 4 4" xfId="38109" xr:uid="{00000000-0005-0000-0000-0000BA990000}"/>
    <cellStyle name="Normal 6 29 5" xfId="10895" xr:uid="{00000000-0005-0000-0000-0000BB990000}"/>
    <cellStyle name="Normal 6 29 5 2" xfId="26487" xr:uid="{00000000-0005-0000-0000-0000BC990000}"/>
    <cellStyle name="Normal 6 29 5 3" xfId="41979" xr:uid="{00000000-0005-0000-0000-0000BD990000}"/>
    <cellStyle name="Normal 6 29 6" xfId="18747" xr:uid="{00000000-0005-0000-0000-0000BE990000}"/>
    <cellStyle name="Normal 6 29 7" xfId="34239" xr:uid="{00000000-0005-0000-0000-0000BF990000}"/>
    <cellStyle name="Normal 6 3" xfId="2067" xr:uid="{00000000-0005-0000-0000-0000C0990000}"/>
    <cellStyle name="Normal 6 30" xfId="3138" xr:uid="{00000000-0005-0000-0000-0000C1990000}"/>
    <cellStyle name="Normal 6 30 2" xfId="4121" xr:uid="{00000000-0005-0000-0000-0000C2990000}"/>
    <cellStyle name="Normal 6 30 2 2" xfId="6060" xr:uid="{00000000-0005-0000-0000-0000C3990000}"/>
    <cellStyle name="Normal 6 30 2 2 2" xfId="9931" xr:uid="{00000000-0005-0000-0000-0000C4990000}"/>
    <cellStyle name="Normal 6 30 2 2 2 2" xfId="17676" xr:uid="{00000000-0005-0000-0000-0000C5990000}"/>
    <cellStyle name="Normal 6 30 2 2 2 2 2" xfId="33268" xr:uid="{00000000-0005-0000-0000-0000C6990000}"/>
    <cellStyle name="Normal 6 30 2 2 2 2 3" xfId="48760" xr:uid="{00000000-0005-0000-0000-0000C7990000}"/>
    <cellStyle name="Normal 6 30 2 2 2 3" xfId="25528" xr:uid="{00000000-0005-0000-0000-0000C8990000}"/>
    <cellStyle name="Normal 6 30 2 2 2 4" xfId="41020" xr:uid="{00000000-0005-0000-0000-0000C9990000}"/>
    <cellStyle name="Normal 6 30 2 2 3" xfId="13806" xr:uid="{00000000-0005-0000-0000-0000CA990000}"/>
    <cellStyle name="Normal 6 30 2 2 3 2" xfId="29398" xr:uid="{00000000-0005-0000-0000-0000CB990000}"/>
    <cellStyle name="Normal 6 30 2 2 3 3" xfId="44890" xr:uid="{00000000-0005-0000-0000-0000CC990000}"/>
    <cellStyle name="Normal 6 30 2 2 4" xfId="21658" xr:uid="{00000000-0005-0000-0000-0000CD990000}"/>
    <cellStyle name="Normal 6 30 2 2 5" xfId="37150" xr:uid="{00000000-0005-0000-0000-0000CE990000}"/>
    <cellStyle name="Normal 6 30 2 3" xfId="8004" xr:uid="{00000000-0005-0000-0000-0000CF990000}"/>
    <cellStyle name="Normal 6 30 2 3 2" xfId="15749" xr:uid="{00000000-0005-0000-0000-0000D0990000}"/>
    <cellStyle name="Normal 6 30 2 3 2 2" xfId="31341" xr:uid="{00000000-0005-0000-0000-0000D1990000}"/>
    <cellStyle name="Normal 6 30 2 3 2 3" xfId="46833" xr:uid="{00000000-0005-0000-0000-0000D2990000}"/>
    <cellStyle name="Normal 6 30 2 3 3" xfId="23601" xr:uid="{00000000-0005-0000-0000-0000D3990000}"/>
    <cellStyle name="Normal 6 30 2 3 4" xfId="39093" xr:uid="{00000000-0005-0000-0000-0000D4990000}"/>
    <cellStyle name="Normal 6 30 2 4" xfId="11879" xr:uid="{00000000-0005-0000-0000-0000D5990000}"/>
    <cellStyle name="Normal 6 30 2 4 2" xfId="27471" xr:uid="{00000000-0005-0000-0000-0000D6990000}"/>
    <cellStyle name="Normal 6 30 2 4 3" xfId="42963" xr:uid="{00000000-0005-0000-0000-0000D7990000}"/>
    <cellStyle name="Normal 6 30 2 5" xfId="19731" xr:uid="{00000000-0005-0000-0000-0000D8990000}"/>
    <cellStyle name="Normal 6 30 2 6" xfId="35223" xr:uid="{00000000-0005-0000-0000-0000D9990000}"/>
    <cellStyle name="Normal 6 30 3" xfId="5112" xr:uid="{00000000-0005-0000-0000-0000DA990000}"/>
    <cellStyle name="Normal 6 30 3 2" xfId="8983" xr:uid="{00000000-0005-0000-0000-0000DB990000}"/>
    <cellStyle name="Normal 6 30 3 2 2" xfId="16728" xr:uid="{00000000-0005-0000-0000-0000DC990000}"/>
    <cellStyle name="Normal 6 30 3 2 2 2" xfId="32320" xr:uid="{00000000-0005-0000-0000-0000DD990000}"/>
    <cellStyle name="Normal 6 30 3 2 2 3" xfId="47812" xr:uid="{00000000-0005-0000-0000-0000DE990000}"/>
    <cellStyle name="Normal 6 30 3 2 3" xfId="24580" xr:uid="{00000000-0005-0000-0000-0000DF990000}"/>
    <cellStyle name="Normal 6 30 3 2 4" xfId="40072" xr:uid="{00000000-0005-0000-0000-0000E0990000}"/>
    <cellStyle name="Normal 6 30 3 3" xfId="12858" xr:uid="{00000000-0005-0000-0000-0000E1990000}"/>
    <cellStyle name="Normal 6 30 3 3 2" xfId="28450" xr:uid="{00000000-0005-0000-0000-0000E2990000}"/>
    <cellStyle name="Normal 6 30 3 3 3" xfId="43942" xr:uid="{00000000-0005-0000-0000-0000E3990000}"/>
    <cellStyle name="Normal 6 30 3 4" xfId="20710" xr:uid="{00000000-0005-0000-0000-0000E4990000}"/>
    <cellStyle name="Normal 6 30 3 5" xfId="36202" xr:uid="{00000000-0005-0000-0000-0000E5990000}"/>
    <cellStyle name="Normal 6 30 4" xfId="7056" xr:uid="{00000000-0005-0000-0000-0000E6990000}"/>
    <cellStyle name="Normal 6 30 4 2" xfId="14801" xr:uid="{00000000-0005-0000-0000-0000E7990000}"/>
    <cellStyle name="Normal 6 30 4 2 2" xfId="30393" xr:uid="{00000000-0005-0000-0000-0000E8990000}"/>
    <cellStyle name="Normal 6 30 4 2 3" xfId="45885" xr:uid="{00000000-0005-0000-0000-0000E9990000}"/>
    <cellStyle name="Normal 6 30 4 3" xfId="22653" xr:uid="{00000000-0005-0000-0000-0000EA990000}"/>
    <cellStyle name="Normal 6 30 4 4" xfId="38145" xr:uid="{00000000-0005-0000-0000-0000EB990000}"/>
    <cellStyle name="Normal 6 30 5" xfId="10931" xr:uid="{00000000-0005-0000-0000-0000EC990000}"/>
    <cellStyle name="Normal 6 30 5 2" xfId="26523" xr:uid="{00000000-0005-0000-0000-0000ED990000}"/>
    <cellStyle name="Normal 6 30 5 3" xfId="42015" xr:uid="{00000000-0005-0000-0000-0000EE990000}"/>
    <cellStyle name="Normal 6 30 6" xfId="18783" xr:uid="{00000000-0005-0000-0000-0000EF990000}"/>
    <cellStyle name="Normal 6 30 7" xfId="34275" xr:uid="{00000000-0005-0000-0000-0000F0990000}"/>
    <cellStyle name="Normal 6 31" xfId="3197" xr:uid="{00000000-0005-0000-0000-0000F1990000}"/>
    <cellStyle name="Normal 6 31 2" xfId="5136" xr:uid="{00000000-0005-0000-0000-0000F2990000}"/>
    <cellStyle name="Normal 6 31 2 2" xfId="9007" xr:uid="{00000000-0005-0000-0000-0000F3990000}"/>
    <cellStyle name="Normal 6 31 2 2 2" xfId="16752" xr:uid="{00000000-0005-0000-0000-0000F4990000}"/>
    <cellStyle name="Normal 6 31 2 2 2 2" xfId="32344" xr:uid="{00000000-0005-0000-0000-0000F5990000}"/>
    <cellStyle name="Normal 6 31 2 2 2 3" xfId="47836" xr:uid="{00000000-0005-0000-0000-0000F6990000}"/>
    <cellStyle name="Normal 6 31 2 2 3" xfId="24604" xr:uid="{00000000-0005-0000-0000-0000F7990000}"/>
    <cellStyle name="Normal 6 31 2 2 4" xfId="40096" xr:uid="{00000000-0005-0000-0000-0000F8990000}"/>
    <cellStyle name="Normal 6 31 2 3" xfId="12882" xr:uid="{00000000-0005-0000-0000-0000F9990000}"/>
    <cellStyle name="Normal 6 31 2 3 2" xfId="28474" xr:uid="{00000000-0005-0000-0000-0000FA990000}"/>
    <cellStyle name="Normal 6 31 2 3 3" xfId="43966" xr:uid="{00000000-0005-0000-0000-0000FB990000}"/>
    <cellStyle name="Normal 6 31 2 4" xfId="20734" xr:uid="{00000000-0005-0000-0000-0000FC990000}"/>
    <cellStyle name="Normal 6 31 2 5" xfId="36226" xr:uid="{00000000-0005-0000-0000-0000FD990000}"/>
    <cellStyle name="Normal 6 31 3" xfId="7080" xr:uid="{00000000-0005-0000-0000-0000FE990000}"/>
    <cellStyle name="Normal 6 31 3 2" xfId="14825" xr:uid="{00000000-0005-0000-0000-0000FF990000}"/>
    <cellStyle name="Normal 6 31 3 2 2" xfId="30417" xr:uid="{00000000-0005-0000-0000-0000009A0000}"/>
    <cellStyle name="Normal 6 31 3 2 3" xfId="45909" xr:uid="{00000000-0005-0000-0000-0000019A0000}"/>
    <cellStyle name="Normal 6 31 3 3" xfId="22677" xr:uid="{00000000-0005-0000-0000-0000029A0000}"/>
    <cellStyle name="Normal 6 31 3 4" xfId="38169" xr:uid="{00000000-0005-0000-0000-0000039A0000}"/>
    <cellStyle name="Normal 6 31 4" xfId="10955" xr:uid="{00000000-0005-0000-0000-0000049A0000}"/>
    <cellStyle name="Normal 6 31 4 2" xfId="26547" xr:uid="{00000000-0005-0000-0000-0000059A0000}"/>
    <cellStyle name="Normal 6 31 4 3" xfId="42039" xr:uid="{00000000-0005-0000-0000-0000069A0000}"/>
    <cellStyle name="Normal 6 31 5" xfId="18807" xr:uid="{00000000-0005-0000-0000-0000079A0000}"/>
    <cellStyle name="Normal 6 31 6" xfId="34299" xr:uid="{00000000-0005-0000-0000-0000089A0000}"/>
    <cellStyle name="Normal 6 32" xfId="4134" xr:uid="{00000000-0005-0000-0000-0000099A0000}"/>
    <cellStyle name="Normal 6 32 2" xfId="6072" xr:uid="{00000000-0005-0000-0000-00000A9A0000}"/>
    <cellStyle name="Normal 6 32 2 2" xfId="9943" xr:uid="{00000000-0005-0000-0000-00000B9A0000}"/>
    <cellStyle name="Normal 6 32 2 2 2" xfId="17688" xr:uid="{00000000-0005-0000-0000-00000C9A0000}"/>
    <cellStyle name="Normal 6 32 2 2 2 2" xfId="33280" xr:uid="{00000000-0005-0000-0000-00000D9A0000}"/>
    <cellStyle name="Normal 6 32 2 2 2 3" xfId="48772" xr:uid="{00000000-0005-0000-0000-00000E9A0000}"/>
    <cellStyle name="Normal 6 32 2 2 3" xfId="25540" xr:uid="{00000000-0005-0000-0000-00000F9A0000}"/>
    <cellStyle name="Normal 6 32 2 2 4" xfId="41032" xr:uid="{00000000-0005-0000-0000-0000109A0000}"/>
    <cellStyle name="Normal 6 32 2 3" xfId="13818" xr:uid="{00000000-0005-0000-0000-0000119A0000}"/>
    <cellStyle name="Normal 6 32 2 3 2" xfId="29410" xr:uid="{00000000-0005-0000-0000-0000129A0000}"/>
    <cellStyle name="Normal 6 32 2 3 3" xfId="44902" xr:uid="{00000000-0005-0000-0000-0000139A0000}"/>
    <cellStyle name="Normal 6 32 2 4" xfId="21670" xr:uid="{00000000-0005-0000-0000-0000149A0000}"/>
    <cellStyle name="Normal 6 32 2 5" xfId="37162" xr:uid="{00000000-0005-0000-0000-0000159A0000}"/>
    <cellStyle name="Normal 6 32 3" xfId="8016" xr:uid="{00000000-0005-0000-0000-0000169A0000}"/>
    <cellStyle name="Normal 6 32 3 2" xfId="15761" xr:uid="{00000000-0005-0000-0000-0000179A0000}"/>
    <cellStyle name="Normal 6 32 3 2 2" xfId="31353" xr:uid="{00000000-0005-0000-0000-0000189A0000}"/>
    <cellStyle name="Normal 6 32 3 2 3" xfId="46845" xr:uid="{00000000-0005-0000-0000-0000199A0000}"/>
    <cellStyle name="Normal 6 32 3 3" xfId="23613" xr:uid="{00000000-0005-0000-0000-00001A9A0000}"/>
    <cellStyle name="Normal 6 32 3 4" xfId="39105" xr:uid="{00000000-0005-0000-0000-00001B9A0000}"/>
    <cellStyle name="Normal 6 32 4" xfId="11891" xr:uid="{00000000-0005-0000-0000-00001C9A0000}"/>
    <cellStyle name="Normal 6 32 4 2" xfId="27483" xr:uid="{00000000-0005-0000-0000-00001D9A0000}"/>
    <cellStyle name="Normal 6 32 4 3" xfId="42975" xr:uid="{00000000-0005-0000-0000-00001E9A0000}"/>
    <cellStyle name="Normal 6 32 5" xfId="19743" xr:uid="{00000000-0005-0000-0000-00001F9A0000}"/>
    <cellStyle name="Normal 6 32 6" xfId="35235" xr:uid="{00000000-0005-0000-0000-0000209A0000}"/>
    <cellStyle name="Normal 6 33" xfId="4167" xr:uid="{00000000-0005-0000-0000-0000219A0000}"/>
    <cellStyle name="Normal 6 33 2" xfId="6096" xr:uid="{00000000-0005-0000-0000-0000229A0000}"/>
    <cellStyle name="Normal 6 33 2 2" xfId="9967" xr:uid="{00000000-0005-0000-0000-0000239A0000}"/>
    <cellStyle name="Normal 6 33 2 2 2" xfId="17712" xr:uid="{00000000-0005-0000-0000-0000249A0000}"/>
    <cellStyle name="Normal 6 33 2 2 2 2" xfId="33304" xr:uid="{00000000-0005-0000-0000-0000259A0000}"/>
    <cellStyle name="Normal 6 33 2 2 2 3" xfId="48796" xr:uid="{00000000-0005-0000-0000-0000269A0000}"/>
    <cellStyle name="Normal 6 33 2 2 3" xfId="25564" xr:uid="{00000000-0005-0000-0000-0000279A0000}"/>
    <cellStyle name="Normal 6 33 2 2 4" xfId="41056" xr:uid="{00000000-0005-0000-0000-0000289A0000}"/>
    <cellStyle name="Normal 6 33 2 3" xfId="13842" xr:uid="{00000000-0005-0000-0000-0000299A0000}"/>
    <cellStyle name="Normal 6 33 2 3 2" xfId="29434" xr:uid="{00000000-0005-0000-0000-00002A9A0000}"/>
    <cellStyle name="Normal 6 33 2 3 3" xfId="44926" xr:uid="{00000000-0005-0000-0000-00002B9A0000}"/>
    <cellStyle name="Normal 6 33 2 4" xfId="21694" xr:uid="{00000000-0005-0000-0000-00002C9A0000}"/>
    <cellStyle name="Normal 6 33 2 5" xfId="37186" xr:uid="{00000000-0005-0000-0000-00002D9A0000}"/>
    <cellStyle name="Normal 6 33 3" xfId="8040" xr:uid="{00000000-0005-0000-0000-00002E9A0000}"/>
    <cellStyle name="Normal 6 33 3 2" xfId="15785" xr:uid="{00000000-0005-0000-0000-00002F9A0000}"/>
    <cellStyle name="Normal 6 33 3 2 2" xfId="31377" xr:uid="{00000000-0005-0000-0000-0000309A0000}"/>
    <cellStyle name="Normal 6 33 3 2 3" xfId="46869" xr:uid="{00000000-0005-0000-0000-0000319A0000}"/>
    <cellStyle name="Normal 6 33 3 3" xfId="23637" xr:uid="{00000000-0005-0000-0000-0000329A0000}"/>
    <cellStyle name="Normal 6 33 3 4" xfId="39129" xr:uid="{00000000-0005-0000-0000-0000339A0000}"/>
    <cellStyle name="Normal 6 33 4" xfId="11915" xr:uid="{00000000-0005-0000-0000-0000349A0000}"/>
    <cellStyle name="Normal 6 33 4 2" xfId="27507" xr:uid="{00000000-0005-0000-0000-0000359A0000}"/>
    <cellStyle name="Normal 6 33 4 3" xfId="42999" xr:uid="{00000000-0005-0000-0000-0000369A0000}"/>
    <cellStyle name="Normal 6 33 5" xfId="19767" xr:uid="{00000000-0005-0000-0000-0000379A0000}"/>
    <cellStyle name="Normal 6 33 6" xfId="35259" xr:uid="{00000000-0005-0000-0000-0000389A0000}"/>
    <cellStyle name="Normal 6 34" xfId="4188" xr:uid="{00000000-0005-0000-0000-0000399A0000}"/>
    <cellStyle name="Normal 6 34 2" xfId="8059" xr:uid="{00000000-0005-0000-0000-00003A9A0000}"/>
    <cellStyle name="Normal 6 34 2 2" xfId="15804" xr:uid="{00000000-0005-0000-0000-00003B9A0000}"/>
    <cellStyle name="Normal 6 34 2 2 2" xfId="31396" xr:uid="{00000000-0005-0000-0000-00003C9A0000}"/>
    <cellStyle name="Normal 6 34 2 2 3" xfId="46888" xr:uid="{00000000-0005-0000-0000-00003D9A0000}"/>
    <cellStyle name="Normal 6 34 2 3" xfId="23656" xr:uid="{00000000-0005-0000-0000-00003E9A0000}"/>
    <cellStyle name="Normal 6 34 2 4" xfId="39148" xr:uid="{00000000-0005-0000-0000-00003F9A0000}"/>
    <cellStyle name="Normal 6 34 3" xfId="11934" xr:uid="{00000000-0005-0000-0000-0000409A0000}"/>
    <cellStyle name="Normal 6 34 3 2" xfId="27526" xr:uid="{00000000-0005-0000-0000-0000419A0000}"/>
    <cellStyle name="Normal 6 34 3 3" xfId="43018" xr:uid="{00000000-0005-0000-0000-0000429A0000}"/>
    <cellStyle name="Normal 6 34 4" xfId="19786" xr:uid="{00000000-0005-0000-0000-0000439A0000}"/>
    <cellStyle name="Normal 6 34 5" xfId="35278" xr:uid="{00000000-0005-0000-0000-0000449A0000}"/>
    <cellStyle name="Normal 6 35" xfId="6104" xr:uid="{00000000-0005-0000-0000-0000459A0000}"/>
    <cellStyle name="Normal 6 35 2" xfId="9974" xr:uid="{00000000-0005-0000-0000-0000469A0000}"/>
    <cellStyle name="Normal 6 35 2 2" xfId="17719" xr:uid="{00000000-0005-0000-0000-0000479A0000}"/>
    <cellStyle name="Normal 6 35 2 2 2" xfId="33311" xr:uid="{00000000-0005-0000-0000-0000489A0000}"/>
    <cellStyle name="Normal 6 35 2 2 3" xfId="48803" xr:uid="{00000000-0005-0000-0000-0000499A0000}"/>
    <cellStyle name="Normal 6 35 2 3" xfId="25571" xr:uid="{00000000-0005-0000-0000-00004A9A0000}"/>
    <cellStyle name="Normal 6 35 2 4" xfId="41063" xr:uid="{00000000-0005-0000-0000-00004B9A0000}"/>
    <cellStyle name="Normal 6 35 3" xfId="13849" xr:uid="{00000000-0005-0000-0000-00004C9A0000}"/>
    <cellStyle name="Normal 6 35 3 2" xfId="29441" xr:uid="{00000000-0005-0000-0000-00004D9A0000}"/>
    <cellStyle name="Normal 6 35 3 3" xfId="44933" xr:uid="{00000000-0005-0000-0000-00004E9A0000}"/>
    <cellStyle name="Normal 6 35 4" xfId="21701" xr:uid="{00000000-0005-0000-0000-00004F9A0000}"/>
    <cellStyle name="Normal 6 35 5" xfId="37193" xr:uid="{00000000-0005-0000-0000-0000509A0000}"/>
    <cellStyle name="Normal 6 36" xfId="6132" xr:uid="{00000000-0005-0000-0000-0000519A0000}"/>
    <cellStyle name="Normal 6 36 2" xfId="13877" xr:uid="{00000000-0005-0000-0000-0000529A0000}"/>
    <cellStyle name="Normal 6 36 2 2" xfId="29469" xr:uid="{00000000-0005-0000-0000-0000539A0000}"/>
    <cellStyle name="Normal 6 36 2 3" xfId="44961" xr:uid="{00000000-0005-0000-0000-0000549A0000}"/>
    <cellStyle name="Normal 6 36 3" xfId="21729" xr:uid="{00000000-0005-0000-0000-0000559A0000}"/>
    <cellStyle name="Normal 6 36 4" xfId="37221" xr:uid="{00000000-0005-0000-0000-0000569A0000}"/>
    <cellStyle name="Normal 6 37" xfId="10007" xr:uid="{00000000-0005-0000-0000-0000579A0000}"/>
    <cellStyle name="Normal 6 37 2" xfId="25599" xr:uid="{00000000-0005-0000-0000-0000589A0000}"/>
    <cellStyle name="Normal 6 37 3" xfId="41091" xr:uid="{00000000-0005-0000-0000-0000599A0000}"/>
    <cellStyle name="Normal 6 38" xfId="17770" xr:uid="{00000000-0005-0000-0000-00005A9A0000}"/>
    <cellStyle name="Normal 6 39" xfId="17859" xr:uid="{00000000-0005-0000-0000-00005B9A0000}"/>
    <cellStyle name="Normal 6 4" xfId="2068" xr:uid="{00000000-0005-0000-0000-00005C9A0000}"/>
    <cellStyle name="Normal 6 40" xfId="33351" xr:uid="{00000000-0005-0000-0000-00005D9A0000}"/>
    <cellStyle name="Normal 6 5" xfId="2069" xr:uid="{00000000-0005-0000-0000-00005E9A0000}"/>
    <cellStyle name="Normal 6 6" xfId="2070" xr:uid="{00000000-0005-0000-0000-00005F9A0000}"/>
    <cellStyle name="Normal 6 7" xfId="2071" xr:uid="{00000000-0005-0000-0000-0000609A0000}"/>
    <cellStyle name="Normal 6 8" xfId="2072" xr:uid="{00000000-0005-0000-0000-0000619A0000}"/>
    <cellStyle name="Normal 6 9" xfId="2073" xr:uid="{00000000-0005-0000-0000-0000629A0000}"/>
    <cellStyle name="Normal 7" xfId="2074" xr:uid="{00000000-0005-0000-0000-0000639A0000}"/>
    <cellStyle name="Normal 7 10" xfId="2479" xr:uid="{00000000-0005-0000-0000-0000649A0000}"/>
    <cellStyle name="Normal 7 10 2" xfId="2788" xr:uid="{00000000-0005-0000-0000-0000659A0000}"/>
    <cellStyle name="Normal 7 10 2 2" xfId="3796" xr:uid="{00000000-0005-0000-0000-0000669A0000}"/>
    <cellStyle name="Normal 7 10 2 2 2" xfId="5735" xr:uid="{00000000-0005-0000-0000-0000679A0000}"/>
    <cellStyle name="Normal 7 10 2 2 2 2" xfId="9606" xr:uid="{00000000-0005-0000-0000-0000689A0000}"/>
    <cellStyle name="Normal 7 10 2 2 2 2 2" xfId="17351" xr:uid="{00000000-0005-0000-0000-0000699A0000}"/>
    <cellStyle name="Normal 7 10 2 2 2 2 2 2" xfId="32943" xr:uid="{00000000-0005-0000-0000-00006A9A0000}"/>
    <cellStyle name="Normal 7 10 2 2 2 2 2 3" xfId="48435" xr:uid="{00000000-0005-0000-0000-00006B9A0000}"/>
    <cellStyle name="Normal 7 10 2 2 2 2 3" xfId="25203" xr:uid="{00000000-0005-0000-0000-00006C9A0000}"/>
    <cellStyle name="Normal 7 10 2 2 2 2 4" xfId="40695" xr:uid="{00000000-0005-0000-0000-00006D9A0000}"/>
    <cellStyle name="Normal 7 10 2 2 2 3" xfId="13481" xr:uid="{00000000-0005-0000-0000-00006E9A0000}"/>
    <cellStyle name="Normal 7 10 2 2 2 3 2" xfId="29073" xr:uid="{00000000-0005-0000-0000-00006F9A0000}"/>
    <cellStyle name="Normal 7 10 2 2 2 3 3" xfId="44565" xr:uid="{00000000-0005-0000-0000-0000709A0000}"/>
    <cellStyle name="Normal 7 10 2 2 2 4" xfId="21333" xr:uid="{00000000-0005-0000-0000-0000719A0000}"/>
    <cellStyle name="Normal 7 10 2 2 2 5" xfId="36825" xr:uid="{00000000-0005-0000-0000-0000729A0000}"/>
    <cellStyle name="Normal 7 10 2 2 3" xfId="7679" xr:uid="{00000000-0005-0000-0000-0000739A0000}"/>
    <cellStyle name="Normal 7 10 2 2 3 2" xfId="15424" xr:uid="{00000000-0005-0000-0000-0000749A0000}"/>
    <cellStyle name="Normal 7 10 2 2 3 2 2" xfId="31016" xr:uid="{00000000-0005-0000-0000-0000759A0000}"/>
    <cellStyle name="Normal 7 10 2 2 3 2 3" xfId="46508" xr:uid="{00000000-0005-0000-0000-0000769A0000}"/>
    <cellStyle name="Normal 7 10 2 2 3 3" xfId="23276" xr:uid="{00000000-0005-0000-0000-0000779A0000}"/>
    <cellStyle name="Normal 7 10 2 2 3 4" xfId="38768" xr:uid="{00000000-0005-0000-0000-0000789A0000}"/>
    <cellStyle name="Normal 7 10 2 2 4" xfId="11554" xr:uid="{00000000-0005-0000-0000-0000799A0000}"/>
    <cellStyle name="Normal 7 10 2 2 4 2" xfId="27146" xr:uid="{00000000-0005-0000-0000-00007A9A0000}"/>
    <cellStyle name="Normal 7 10 2 2 4 3" xfId="42638" xr:uid="{00000000-0005-0000-0000-00007B9A0000}"/>
    <cellStyle name="Normal 7 10 2 2 5" xfId="19406" xr:uid="{00000000-0005-0000-0000-00007C9A0000}"/>
    <cellStyle name="Normal 7 10 2 2 6" xfId="34898" xr:uid="{00000000-0005-0000-0000-00007D9A0000}"/>
    <cellStyle name="Normal 7 10 2 3" xfId="4787" xr:uid="{00000000-0005-0000-0000-00007E9A0000}"/>
    <cellStyle name="Normal 7 10 2 3 2" xfId="8658" xr:uid="{00000000-0005-0000-0000-00007F9A0000}"/>
    <cellStyle name="Normal 7 10 2 3 2 2" xfId="16403" xr:uid="{00000000-0005-0000-0000-0000809A0000}"/>
    <cellStyle name="Normal 7 10 2 3 2 2 2" xfId="31995" xr:uid="{00000000-0005-0000-0000-0000819A0000}"/>
    <cellStyle name="Normal 7 10 2 3 2 2 3" xfId="47487" xr:uid="{00000000-0005-0000-0000-0000829A0000}"/>
    <cellStyle name="Normal 7 10 2 3 2 3" xfId="24255" xr:uid="{00000000-0005-0000-0000-0000839A0000}"/>
    <cellStyle name="Normal 7 10 2 3 2 4" xfId="39747" xr:uid="{00000000-0005-0000-0000-0000849A0000}"/>
    <cellStyle name="Normal 7 10 2 3 3" xfId="12533" xr:uid="{00000000-0005-0000-0000-0000859A0000}"/>
    <cellStyle name="Normal 7 10 2 3 3 2" xfId="28125" xr:uid="{00000000-0005-0000-0000-0000869A0000}"/>
    <cellStyle name="Normal 7 10 2 3 3 3" xfId="43617" xr:uid="{00000000-0005-0000-0000-0000879A0000}"/>
    <cellStyle name="Normal 7 10 2 3 4" xfId="20385" xr:uid="{00000000-0005-0000-0000-0000889A0000}"/>
    <cellStyle name="Normal 7 10 2 3 5" xfId="35877" xr:uid="{00000000-0005-0000-0000-0000899A0000}"/>
    <cellStyle name="Normal 7 10 2 4" xfId="6731" xr:uid="{00000000-0005-0000-0000-00008A9A0000}"/>
    <cellStyle name="Normal 7 10 2 4 2" xfId="14476" xr:uid="{00000000-0005-0000-0000-00008B9A0000}"/>
    <cellStyle name="Normal 7 10 2 4 2 2" xfId="30068" xr:uid="{00000000-0005-0000-0000-00008C9A0000}"/>
    <cellStyle name="Normal 7 10 2 4 2 3" xfId="45560" xr:uid="{00000000-0005-0000-0000-00008D9A0000}"/>
    <cellStyle name="Normal 7 10 2 4 3" xfId="22328" xr:uid="{00000000-0005-0000-0000-00008E9A0000}"/>
    <cellStyle name="Normal 7 10 2 4 4" xfId="37820" xr:uid="{00000000-0005-0000-0000-00008F9A0000}"/>
    <cellStyle name="Normal 7 10 2 5" xfId="10606" xr:uid="{00000000-0005-0000-0000-0000909A0000}"/>
    <cellStyle name="Normal 7 10 2 5 2" xfId="26198" xr:uid="{00000000-0005-0000-0000-0000919A0000}"/>
    <cellStyle name="Normal 7 10 2 5 3" xfId="41690" xr:uid="{00000000-0005-0000-0000-0000929A0000}"/>
    <cellStyle name="Normal 7 10 2 6" xfId="18458" xr:uid="{00000000-0005-0000-0000-0000939A0000}"/>
    <cellStyle name="Normal 7 10 2 7" xfId="33950" xr:uid="{00000000-0005-0000-0000-0000949A0000}"/>
    <cellStyle name="Normal 7 10 3" xfId="3487" xr:uid="{00000000-0005-0000-0000-0000959A0000}"/>
    <cellStyle name="Normal 7 10 3 2" xfId="5426" xr:uid="{00000000-0005-0000-0000-0000969A0000}"/>
    <cellStyle name="Normal 7 10 3 2 2" xfId="9297" xr:uid="{00000000-0005-0000-0000-0000979A0000}"/>
    <cellStyle name="Normal 7 10 3 2 2 2" xfId="17042" xr:uid="{00000000-0005-0000-0000-0000989A0000}"/>
    <cellStyle name="Normal 7 10 3 2 2 2 2" xfId="32634" xr:uid="{00000000-0005-0000-0000-0000999A0000}"/>
    <cellStyle name="Normal 7 10 3 2 2 2 3" xfId="48126" xr:uid="{00000000-0005-0000-0000-00009A9A0000}"/>
    <cellStyle name="Normal 7 10 3 2 2 3" xfId="24894" xr:uid="{00000000-0005-0000-0000-00009B9A0000}"/>
    <cellStyle name="Normal 7 10 3 2 2 4" xfId="40386" xr:uid="{00000000-0005-0000-0000-00009C9A0000}"/>
    <cellStyle name="Normal 7 10 3 2 3" xfId="13172" xr:uid="{00000000-0005-0000-0000-00009D9A0000}"/>
    <cellStyle name="Normal 7 10 3 2 3 2" xfId="28764" xr:uid="{00000000-0005-0000-0000-00009E9A0000}"/>
    <cellStyle name="Normal 7 10 3 2 3 3" xfId="44256" xr:uid="{00000000-0005-0000-0000-00009F9A0000}"/>
    <cellStyle name="Normal 7 10 3 2 4" xfId="21024" xr:uid="{00000000-0005-0000-0000-0000A09A0000}"/>
    <cellStyle name="Normal 7 10 3 2 5" xfId="36516" xr:uid="{00000000-0005-0000-0000-0000A19A0000}"/>
    <cellStyle name="Normal 7 10 3 3" xfId="7370" xr:uid="{00000000-0005-0000-0000-0000A29A0000}"/>
    <cellStyle name="Normal 7 10 3 3 2" xfId="15115" xr:uid="{00000000-0005-0000-0000-0000A39A0000}"/>
    <cellStyle name="Normal 7 10 3 3 2 2" xfId="30707" xr:uid="{00000000-0005-0000-0000-0000A49A0000}"/>
    <cellStyle name="Normal 7 10 3 3 2 3" xfId="46199" xr:uid="{00000000-0005-0000-0000-0000A59A0000}"/>
    <cellStyle name="Normal 7 10 3 3 3" xfId="22967" xr:uid="{00000000-0005-0000-0000-0000A69A0000}"/>
    <cellStyle name="Normal 7 10 3 3 4" xfId="38459" xr:uid="{00000000-0005-0000-0000-0000A79A0000}"/>
    <cellStyle name="Normal 7 10 3 4" xfId="11245" xr:uid="{00000000-0005-0000-0000-0000A89A0000}"/>
    <cellStyle name="Normal 7 10 3 4 2" xfId="26837" xr:uid="{00000000-0005-0000-0000-0000A99A0000}"/>
    <cellStyle name="Normal 7 10 3 4 3" xfId="42329" xr:uid="{00000000-0005-0000-0000-0000AA9A0000}"/>
    <cellStyle name="Normal 7 10 3 5" xfId="19097" xr:uid="{00000000-0005-0000-0000-0000AB9A0000}"/>
    <cellStyle name="Normal 7 10 3 6" xfId="34589" xr:uid="{00000000-0005-0000-0000-0000AC9A0000}"/>
    <cellStyle name="Normal 7 10 4" xfId="4478" xr:uid="{00000000-0005-0000-0000-0000AD9A0000}"/>
    <cellStyle name="Normal 7 10 4 2" xfId="8349" xr:uid="{00000000-0005-0000-0000-0000AE9A0000}"/>
    <cellStyle name="Normal 7 10 4 2 2" xfId="16094" xr:uid="{00000000-0005-0000-0000-0000AF9A0000}"/>
    <cellStyle name="Normal 7 10 4 2 2 2" xfId="31686" xr:uid="{00000000-0005-0000-0000-0000B09A0000}"/>
    <cellStyle name="Normal 7 10 4 2 2 3" xfId="47178" xr:uid="{00000000-0005-0000-0000-0000B19A0000}"/>
    <cellStyle name="Normal 7 10 4 2 3" xfId="23946" xr:uid="{00000000-0005-0000-0000-0000B29A0000}"/>
    <cellStyle name="Normal 7 10 4 2 4" xfId="39438" xr:uid="{00000000-0005-0000-0000-0000B39A0000}"/>
    <cellStyle name="Normal 7 10 4 3" xfId="12224" xr:uid="{00000000-0005-0000-0000-0000B49A0000}"/>
    <cellStyle name="Normal 7 10 4 3 2" xfId="27816" xr:uid="{00000000-0005-0000-0000-0000B59A0000}"/>
    <cellStyle name="Normal 7 10 4 3 3" xfId="43308" xr:uid="{00000000-0005-0000-0000-0000B69A0000}"/>
    <cellStyle name="Normal 7 10 4 4" xfId="20076" xr:uid="{00000000-0005-0000-0000-0000B79A0000}"/>
    <cellStyle name="Normal 7 10 4 5" xfId="35568" xr:uid="{00000000-0005-0000-0000-0000B89A0000}"/>
    <cellStyle name="Normal 7 10 5" xfId="6422" xr:uid="{00000000-0005-0000-0000-0000B99A0000}"/>
    <cellStyle name="Normal 7 10 5 2" xfId="14167" xr:uid="{00000000-0005-0000-0000-0000BA9A0000}"/>
    <cellStyle name="Normal 7 10 5 2 2" xfId="29759" xr:uid="{00000000-0005-0000-0000-0000BB9A0000}"/>
    <cellStyle name="Normal 7 10 5 2 3" xfId="45251" xr:uid="{00000000-0005-0000-0000-0000BC9A0000}"/>
    <cellStyle name="Normal 7 10 5 3" xfId="22019" xr:uid="{00000000-0005-0000-0000-0000BD9A0000}"/>
    <cellStyle name="Normal 7 10 5 4" xfId="37511" xr:uid="{00000000-0005-0000-0000-0000BE9A0000}"/>
    <cellStyle name="Normal 7 10 6" xfId="10297" xr:uid="{00000000-0005-0000-0000-0000BF9A0000}"/>
    <cellStyle name="Normal 7 10 6 2" xfId="25889" xr:uid="{00000000-0005-0000-0000-0000C09A0000}"/>
    <cellStyle name="Normal 7 10 6 3" xfId="41381" xr:uid="{00000000-0005-0000-0000-0000C19A0000}"/>
    <cellStyle name="Normal 7 10 7" xfId="18149" xr:uid="{00000000-0005-0000-0000-0000C29A0000}"/>
    <cellStyle name="Normal 7 10 8" xfId="33641" xr:uid="{00000000-0005-0000-0000-0000C39A0000}"/>
    <cellStyle name="Normal 7 11" xfId="2499" xr:uid="{00000000-0005-0000-0000-0000C49A0000}"/>
    <cellStyle name="Normal 7 11 2" xfId="3507" xr:uid="{00000000-0005-0000-0000-0000C59A0000}"/>
    <cellStyle name="Normal 7 11 2 2" xfId="5446" xr:uid="{00000000-0005-0000-0000-0000C69A0000}"/>
    <cellStyle name="Normal 7 11 2 2 2" xfId="9317" xr:uid="{00000000-0005-0000-0000-0000C79A0000}"/>
    <cellStyle name="Normal 7 11 2 2 2 2" xfId="17062" xr:uid="{00000000-0005-0000-0000-0000C89A0000}"/>
    <cellStyle name="Normal 7 11 2 2 2 2 2" xfId="32654" xr:uid="{00000000-0005-0000-0000-0000C99A0000}"/>
    <cellStyle name="Normal 7 11 2 2 2 2 3" xfId="48146" xr:uid="{00000000-0005-0000-0000-0000CA9A0000}"/>
    <cellStyle name="Normal 7 11 2 2 2 3" xfId="24914" xr:uid="{00000000-0005-0000-0000-0000CB9A0000}"/>
    <cellStyle name="Normal 7 11 2 2 2 4" xfId="40406" xr:uid="{00000000-0005-0000-0000-0000CC9A0000}"/>
    <cellStyle name="Normal 7 11 2 2 3" xfId="13192" xr:uid="{00000000-0005-0000-0000-0000CD9A0000}"/>
    <cellStyle name="Normal 7 11 2 2 3 2" xfId="28784" xr:uid="{00000000-0005-0000-0000-0000CE9A0000}"/>
    <cellStyle name="Normal 7 11 2 2 3 3" xfId="44276" xr:uid="{00000000-0005-0000-0000-0000CF9A0000}"/>
    <cellStyle name="Normal 7 11 2 2 4" xfId="21044" xr:uid="{00000000-0005-0000-0000-0000D09A0000}"/>
    <cellStyle name="Normal 7 11 2 2 5" xfId="36536" xr:uid="{00000000-0005-0000-0000-0000D19A0000}"/>
    <cellStyle name="Normal 7 11 2 3" xfId="7390" xr:uid="{00000000-0005-0000-0000-0000D29A0000}"/>
    <cellStyle name="Normal 7 11 2 3 2" xfId="15135" xr:uid="{00000000-0005-0000-0000-0000D39A0000}"/>
    <cellStyle name="Normal 7 11 2 3 2 2" xfId="30727" xr:uid="{00000000-0005-0000-0000-0000D49A0000}"/>
    <cellStyle name="Normal 7 11 2 3 2 3" xfId="46219" xr:uid="{00000000-0005-0000-0000-0000D59A0000}"/>
    <cellStyle name="Normal 7 11 2 3 3" xfId="22987" xr:uid="{00000000-0005-0000-0000-0000D69A0000}"/>
    <cellStyle name="Normal 7 11 2 3 4" xfId="38479" xr:uid="{00000000-0005-0000-0000-0000D79A0000}"/>
    <cellStyle name="Normal 7 11 2 4" xfId="11265" xr:uid="{00000000-0005-0000-0000-0000D89A0000}"/>
    <cellStyle name="Normal 7 11 2 4 2" xfId="26857" xr:uid="{00000000-0005-0000-0000-0000D99A0000}"/>
    <cellStyle name="Normal 7 11 2 4 3" xfId="42349" xr:uid="{00000000-0005-0000-0000-0000DA9A0000}"/>
    <cellStyle name="Normal 7 11 2 5" xfId="19117" xr:uid="{00000000-0005-0000-0000-0000DB9A0000}"/>
    <cellStyle name="Normal 7 11 2 6" xfId="34609" xr:uid="{00000000-0005-0000-0000-0000DC9A0000}"/>
    <cellStyle name="Normal 7 11 3" xfId="4498" xr:uid="{00000000-0005-0000-0000-0000DD9A0000}"/>
    <cellStyle name="Normal 7 11 3 2" xfId="8369" xr:uid="{00000000-0005-0000-0000-0000DE9A0000}"/>
    <cellStyle name="Normal 7 11 3 2 2" xfId="16114" xr:uid="{00000000-0005-0000-0000-0000DF9A0000}"/>
    <cellStyle name="Normal 7 11 3 2 2 2" xfId="31706" xr:uid="{00000000-0005-0000-0000-0000E09A0000}"/>
    <cellStyle name="Normal 7 11 3 2 2 3" xfId="47198" xr:uid="{00000000-0005-0000-0000-0000E19A0000}"/>
    <cellStyle name="Normal 7 11 3 2 3" xfId="23966" xr:uid="{00000000-0005-0000-0000-0000E29A0000}"/>
    <cellStyle name="Normal 7 11 3 2 4" xfId="39458" xr:uid="{00000000-0005-0000-0000-0000E39A0000}"/>
    <cellStyle name="Normal 7 11 3 3" xfId="12244" xr:uid="{00000000-0005-0000-0000-0000E49A0000}"/>
    <cellStyle name="Normal 7 11 3 3 2" xfId="27836" xr:uid="{00000000-0005-0000-0000-0000E59A0000}"/>
    <cellStyle name="Normal 7 11 3 3 3" xfId="43328" xr:uid="{00000000-0005-0000-0000-0000E69A0000}"/>
    <cellStyle name="Normal 7 11 3 4" xfId="20096" xr:uid="{00000000-0005-0000-0000-0000E79A0000}"/>
    <cellStyle name="Normal 7 11 3 5" xfId="35588" xr:uid="{00000000-0005-0000-0000-0000E89A0000}"/>
    <cellStyle name="Normal 7 11 4" xfId="6442" xr:uid="{00000000-0005-0000-0000-0000E99A0000}"/>
    <cellStyle name="Normal 7 11 4 2" xfId="14187" xr:uid="{00000000-0005-0000-0000-0000EA9A0000}"/>
    <cellStyle name="Normal 7 11 4 2 2" xfId="29779" xr:uid="{00000000-0005-0000-0000-0000EB9A0000}"/>
    <cellStyle name="Normal 7 11 4 2 3" xfId="45271" xr:uid="{00000000-0005-0000-0000-0000EC9A0000}"/>
    <cellStyle name="Normal 7 11 4 3" xfId="22039" xr:uid="{00000000-0005-0000-0000-0000ED9A0000}"/>
    <cellStyle name="Normal 7 11 4 4" xfId="37531" xr:uid="{00000000-0005-0000-0000-0000EE9A0000}"/>
    <cellStyle name="Normal 7 11 5" xfId="10317" xr:uid="{00000000-0005-0000-0000-0000EF9A0000}"/>
    <cellStyle name="Normal 7 11 5 2" xfId="25909" xr:uid="{00000000-0005-0000-0000-0000F09A0000}"/>
    <cellStyle name="Normal 7 11 5 3" xfId="41401" xr:uid="{00000000-0005-0000-0000-0000F19A0000}"/>
    <cellStyle name="Normal 7 11 6" xfId="18169" xr:uid="{00000000-0005-0000-0000-0000F29A0000}"/>
    <cellStyle name="Normal 7 11 7" xfId="33661" xr:uid="{00000000-0005-0000-0000-0000F39A0000}"/>
    <cellStyle name="Normal 7 12" xfId="2825" xr:uid="{00000000-0005-0000-0000-0000F49A0000}"/>
    <cellStyle name="Normal 7 12 2" xfId="3832" xr:uid="{00000000-0005-0000-0000-0000F59A0000}"/>
    <cellStyle name="Normal 7 12 2 2" xfId="5771" xr:uid="{00000000-0005-0000-0000-0000F69A0000}"/>
    <cellStyle name="Normal 7 12 2 2 2" xfId="9642" xr:uid="{00000000-0005-0000-0000-0000F79A0000}"/>
    <cellStyle name="Normal 7 12 2 2 2 2" xfId="17387" xr:uid="{00000000-0005-0000-0000-0000F89A0000}"/>
    <cellStyle name="Normal 7 12 2 2 2 2 2" xfId="32979" xr:uid="{00000000-0005-0000-0000-0000F99A0000}"/>
    <cellStyle name="Normal 7 12 2 2 2 2 3" xfId="48471" xr:uid="{00000000-0005-0000-0000-0000FA9A0000}"/>
    <cellStyle name="Normal 7 12 2 2 2 3" xfId="25239" xr:uid="{00000000-0005-0000-0000-0000FB9A0000}"/>
    <cellStyle name="Normal 7 12 2 2 2 4" xfId="40731" xr:uid="{00000000-0005-0000-0000-0000FC9A0000}"/>
    <cellStyle name="Normal 7 12 2 2 3" xfId="13517" xr:uid="{00000000-0005-0000-0000-0000FD9A0000}"/>
    <cellStyle name="Normal 7 12 2 2 3 2" xfId="29109" xr:uid="{00000000-0005-0000-0000-0000FE9A0000}"/>
    <cellStyle name="Normal 7 12 2 2 3 3" xfId="44601" xr:uid="{00000000-0005-0000-0000-0000FF9A0000}"/>
    <cellStyle name="Normal 7 12 2 2 4" xfId="21369" xr:uid="{00000000-0005-0000-0000-0000009B0000}"/>
    <cellStyle name="Normal 7 12 2 2 5" xfId="36861" xr:uid="{00000000-0005-0000-0000-0000019B0000}"/>
    <cellStyle name="Normal 7 12 2 3" xfId="7715" xr:uid="{00000000-0005-0000-0000-0000029B0000}"/>
    <cellStyle name="Normal 7 12 2 3 2" xfId="15460" xr:uid="{00000000-0005-0000-0000-0000039B0000}"/>
    <cellStyle name="Normal 7 12 2 3 2 2" xfId="31052" xr:uid="{00000000-0005-0000-0000-0000049B0000}"/>
    <cellStyle name="Normal 7 12 2 3 2 3" xfId="46544" xr:uid="{00000000-0005-0000-0000-0000059B0000}"/>
    <cellStyle name="Normal 7 12 2 3 3" xfId="23312" xr:uid="{00000000-0005-0000-0000-0000069B0000}"/>
    <cellStyle name="Normal 7 12 2 3 4" xfId="38804" xr:uid="{00000000-0005-0000-0000-0000079B0000}"/>
    <cellStyle name="Normal 7 12 2 4" xfId="11590" xr:uid="{00000000-0005-0000-0000-0000089B0000}"/>
    <cellStyle name="Normal 7 12 2 4 2" xfId="27182" xr:uid="{00000000-0005-0000-0000-0000099B0000}"/>
    <cellStyle name="Normal 7 12 2 4 3" xfId="42674" xr:uid="{00000000-0005-0000-0000-00000A9B0000}"/>
    <cellStyle name="Normal 7 12 2 5" xfId="19442" xr:uid="{00000000-0005-0000-0000-00000B9B0000}"/>
    <cellStyle name="Normal 7 12 2 6" xfId="34934" xr:uid="{00000000-0005-0000-0000-00000C9B0000}"/>
    <cellStyle name="Normal 7 12 3" xfId="4823" xr:uid="{00000000-0005-0000-0000-00000D9B0000}"/>
    <cellStyle name="Normal 7 12 3 2" xfId="8694" xr:uid="{00000000-0005-0000-0000-00000E9B0000}"/>
    <cellStyle name="Normal 7 12 3 2 2" xfId="16439" xr:uid="{00000000-0005-0000-0000-00000F9B0000}"/>
    <cellStyle name="Normal 7 12 3 2 2 2" xfId="32031" xr:uid="{00000000-0005-0000-0000-0000109B0000}"/>
    <cellStyle name="Normal 7 12 3 2 2 3" xfId="47523" xr:uid="{00000000-0005-0000-0000-0000119B0000}"/>
    <cellStyle name="Normal 7 12 3 2 3" xfId="24291" xr:uid="{00000000-0005-0000-0000-0000129B0000}"/>
    <cellStyle name="Normal 7 12 3 2 4" xfId="39783" xr:uid="{00000000-0005-0000-0000-0000139B0000}"/>
    <cellStyle name="Normal 7 12 3 3" xfId="12569" xr:uid="{00000000-0005-0000-0000-0000149B0000}"/>
    <cellStyle name="Normal 7 12 3 3 2" xfId="28161" xr:uid="{00000000-0005-0000-0000-0000159B0000}"/>
    <cellStyle name="Normal 7 12 3 3 3" xfId="43653" xr:uid="{00000000-0005-0000-0000-0000169B0000}"/>
    <cellStyle name="Normal 7 12 3 4" xfId="20421" xr:uid="{00000000-0005-0000-0000-0000179B0000}"/>
    <cellStyle name="Normal 7 12 3 5" xfId="35913" xr:uid="{00000000-0005-0000-0000-0000189B0000}"/>
    <cellStyle name="Normal 7 12 4" xfId="6767" xr:uid="{00000000-0005-0000-0000-0000199B0000}"/>
    <cellStyle name="Normal 7 12 4 2" xfId="14512" xr:uid="{00000000-0005-0000-0000-00001A9B0000}"/>
    <cellStyle name="Normal 7 12 4 2 2" xfId="30104" xr:uid="{00000000-0005-0000-0000-00001B9B0000}"/>
    <cellStyle name="Normal 7 12 4 2 3" xfId="45596" xr:uid="{00000000-0005-0000-0000-00001C9B0000}"/>
    <cellStyle name="Normal 7 12 4 3" xfId="22364" xr:uid="{00000000-0005-0000-0000-00001D9B0000}"/>
    <cellStyle name="Normal 7 12 4 4" xfId="37856" xr:uid="{00000000-0005-0000-0000-00001E9B0000}"/>
    <cellStyle name="Normal 7 12 5" xfId="10642" xr:uid="{00000000-0005-0000-0000-00001F9B0000}"/>
    <cellStyle name="Normal 7 12 5 2" xfId="26234" xr:uid="{00000000-0005-0000-0000-0000209B0000}"/>
    <cellStyle name="Normal 7 12 5 3" xfId="41726" xr:uid="{00000000-0005-0000-0000-0000219B0000}"/>
    <cellStyle name="Normal 7 12 6" xfId="18494" xr:uid="{00000000-0005-0000-0000-0000229B0000}"/>
    <cellStyle name="Normal 7 12 7" xfId="33986" xr:uid="{00000000-0005-0000-0000-0000239B0000}"/>
    <cellStyle name="Normal 7 13" xfId="2864" xr:uid="{00000000-0005-0000-0000-0000249B0000}"/>
    <cellStyle name="Normal 7 13 2" xfId="3870" xr:uid="{00000000-0005-0000-0000-0000259B0000}"/>
    <cellStyle name="Normal 7 13 2 2" xfId="5809" xr:uid="{00000000-0005-0000-0000-0000269B0000}"/>
    <cellStyle name="Normal 7 13 2 2 2" xfId="9680" xr:uid="{00000000-0005-0000-0000-0000279B0000}"/>
    <cellStyle name="Normal 7 13 2 2 2 2" xfId="17425" xr:uid="{00000000-0005-0000-0000-0000289B0000}"/>
    <cellStyle name="Normal 7 13 2 2 2 2 2" xfId="33017" xr:uid="{00000000-0005-0000-0000-0000299B0000}"/>
    <cellStyle name="Normal 7 13 2 2 2 2 3" xfId="48509" xr:uid="{00000000-0005-0000-0000-00002A9B0000}"/>
    <cellStyle name="Normal 7 13 2 2 2 3" xfId="25277" xr:uid="{00000000-0005-0000-0000-00002B9B0000}"/>
    <cellStyle name="Normal 7 13 2 2 2 4" xfId="40769" xr:uid="{00000000-0005-0000-0000-00002C9B0000}"/>
    <cellStyle name="Normal 7 13 2 2 3" xfId="13555" xr:uid="{00000000-0005-0000-0000-00002D9B0000}"/>
    <cellStyle name="Normal 7 13 2 2 3 2" xfId="29147" xr:uid="{00000000-0005-0000-0000-00002E9B0000}"/>
    <cellStyle name="Normal 7 13 2 2 3 3" xfId="44639" xr:uid="{00000000-0005-0000-0000-00002F9B0000}"/>
    <cellStyle name="Normal 7 13 2 2 4" xfId="21407" xr:uid="{00000000-0005-0000-0000-0000309B0000}"/>
    <cellStyle name="Normal 7 13 2 2 5" xfId="36899" xr:uid="{00000000-0005-0000-0000-0000319B0000}"/>
    <cellStyle name="Normal 7 13 2 3" xfId="7753" xr:uid="{00000000-0005-0000-0000-0000329B0000}"/>
    <cellStyle name="Normal 7 13 2 3 2" xfId="15498" xr:uid="{00000000-0005-0000-0000-0000339B0000}"/>
    <cellStyle name="Normal 7 13 2 3 2 2" xfId="31090" xr:uid="{00000000-0005-0000-0000-0000349B0000}"/>
    <cellStyle name="Normal 7 13 2 3 2 3" xfId="46582" xr:uid="{00000000-0005-0000-0000-0000359B0000}"/>
    <cellStyle name="Normal 7 13 2 3 3" xfId="23350" xr:uid="{00000000-0005-0000-0000-0000369B0000}"/>
    <cellStyle name="Normal 7 13 2 3 4" xfId="38842" xr:uid="{00000000-0005-0000-0000-0000379B0000}"/>
    <cellStyle name="Normal 7 13 2 4" xfId="11628" xr:uid="{00000000-0005-0000-0000-0000389B0000}"/>
    <cellStyle name="Normal 7 13 2 4 2" xfId="27220" xr:uid="{00000000-0005-0000-0000-0000399B0000}"/>
    <cellStyle name="Normal 7 13 2 4 3" xfId="42712" xr:uid="{00000000-0005-0000-0000-00003A9B0000}"/>
    <cellStyle name="Normal 7 13 2 5" xfId="19480" xr:uid="{00000000-0005-0000-0000-00003B9B0000}"/>
    <cellStyle name="Normal 7 13 2 6" xfId="34972" xr:uid="{00000000-0005-0000-0000-00003C9B0000}"/>
    <cellStyle name="Normal 7 13 3" xfId="4861" xr:uid="{00000000-0005-0000-0000-00003D9B0000}"/>
    <cellStyle name="Normal 7 13 3 2" xfId="8732" xr:uid="{00000000-0005-0000-0000-00003E9B0000}"/>
    <cellStyle name="Normal 7 13 3 2 2" xfId="16477" xr:uid="{00000000-0005-0000-0000-00003F9B0000}"/>
    <cellStyle name="Normal 7 13 3 2 2 2" xfId="32069" xr:uid="{00000000-0005-0000-0000-0000409B0000}"/>
    <cellStyle name="Normal 7 13 3 2 2 3" xfId="47561" xr:uid="{00000000-0005-0000-0000-0000419B0000}"/>
    <cellStyle name="Normal 7 13 3 2 3" xfId="24329" xr:uid="{00000000-0005-0000-0000-0000429B0000}"/>
    <cellStyle name="Normal 7 13 3 2 4" xfId="39821" xr:uid="{00000000-0005-0000-0000-0000439B0000}"/>
    <cellStyle name="Normal 7 13 3 3" xfId="12607" xr:uid="{00000000-0005-0000-0000-0000449B0000}"/>
    <cellStyle name="Normal 7 13 3 3 2" xfId="28199" xr:uid="{00000000-0005-0000-0000-0000459B0000}"/>
    <cellStyle name="Normal 7 13 3 3 3" xfId="43691" xr:uid="{00000000-0005-0000-0000-0000469B0000}"/>
    <cellStyle name="Normal 7 13 3 4" xfId="20459" xr:uid="{00000000-0005-0000-0000-0000479B0000}"/>
    <cellStyle name="Normal 7 13 3 5" xfId="35951" xr:uid="{00000000-0005-0000-0000-0000489B0000}"/>
    <cellStyle name="Normal 7 13 4" xfId="6805" xr:uid="{00000000-0005-0000-0000-0000499B0000}"/>
    <cellStyle name="Normal 7 13 4 2" xfId="14550" xr:uid="{00000000-0005-0000-0000-00004A9B0000}"/>
    <cellStyle name="Normal 7 13 4 2 2" xfId="30142" xr:uid="{00000000-0005-0000-0000-00004B9B0000}"/>
    <cellStyle name="Normal 7 13 4 2 3" xfId="45634" xr:uid="{00000000-0005-0000-0000-00004C9B0000}"/>
    <cellStyle name="Normal 7 13 4 3" xfId="22402" xr:uid="{00000000-0005-0000-0000-00004D9B0000}"/>
    <cellStyle name="Normal 7 13 4 4" xfId="37894" xr:uid="{00000000-0005-0000-0000-00004E9B0000}"/>
    <cellStyle name="Normal 7 13 5" xfId="10680" xr:uid="{00000000-0005-0000-0000-00004F9B0000}"/>
    <cellStyle name="Normal 7 13 5 2" xfId="26272" xr:uid="{00000000-0005-0000-0000-0000509B0000}"/>
    <cellStyle name="Normal 7 13 5 3" xfId="41764" xr:uid="{00000000-0005-0000-0000-0000519B0000}"/>
    <cellStyle name="Normal 7 13 6" xfId="18532" xr:uid="{00000000-0005-0000-0000-0000529B0000}"/>
    <cellStyle name="Normal 7 13 7" xfId="34024" xr:uid="{00000000-0005-0000-0000-0000539B0000}"/>
    <cellStyle name="Normal 7 14" xfId="2901" xr:uid="{00000000-0005-0000-0000-0000549B0000}"/>
    <cellStyle name="Normal 7 14 2" xfId="3906" xr:uid="{00000000-0005-0000-0000-0000559B0000}"/>
    <cellStyle name="Normal 7 14 2 2" xfId="5845" xr:uid="{00000000-0005-0000-0000-0000569B0000}"/>
    <cellStyle name="Normal 7 14 2 2 2" xfId="9716" xr:uid="{00000000-0005-0000-0000-0000579B0000}"/>
    <cellStyle name="Normal 7 14 2 2 2 2" xfId="17461" xr:uid="{00000000-0005-0000-0000-0000589B0000}"/>
    <cellStyle name="Normal 7 14 2 2 2 2 2" xfId="33053" xr:uid="{00000000-0005-0000-0000-0000599B0000}"/>
    <cellStyle name="Normal 7 14 2 2 2 2 3" xfId="48545" xr:uid="{00000000-0005-0000-0000-00005A9B0000}"/>
    <cellStyle name="Normal 7 14 2 2 2 3" xfId="25313" xr:uid="{00000000-0005-0000-0000-00005B9B0000}"/>
    <cellStyle name="Normal 7 14 2 2 2 4" xfId="40805" xr:uid="{00000000-0005-0000-0000-00005C9B0000}"/>
    <cellStyle name="Normal 7 14 2 2 3" xfId="13591" xr:uid="{00000000-0005-0000-0000-00005D9B0000}"/>
    <cellStyle name="Normal 7 14 2 2 3 2" xfId="29183" xr:uid="{00000000-0005-0000-0000-00005E9B0000}"/>
    <cellStyle name="Normal 7 14 2 2 3 3" xfId="44675" xr:uid="{00000000-0005-0000-0000-00005F9B0000}"/>
    <cellStyle name="Normal 7 14 2 2 4" xfId="21443" xr:uid="{00000000-0005-0000-0000-0000609B0000}"/>
    <cellStyle name="Normal 7 14 2 2 5" xfId="36935" xr:uid="{00000000-0005-0000-0000-0000619B0000}"/>
    <cellStyle name="Normal 7 14 2 3" xfId="7789" xr:uid="{00000000-0005-0000-0000-0000629B0000}"/>
    <cellStyle name="Normal 7 14 2 3 2" xfId="15534" xr:uid="{00000000-0005-0000-0000-0000639B0000}"/>
    <cellStyle name="Normal 7 14 2 3 2 2" xfId="31126" xr:uid="{00000000-0005-0000-0000-0000649B0000}"/>
    <cellStyle name="Normal 7 14 2 3 2 3" xfId="46618" xr:uid="{00000000-0005-0000-0000-0000659B0000}"/>
    <cellStyle name="Normal 7 14 2 3 3" xfId="23386" xr:uid="{00000000-0005-0000-0000-0000669B0000}"/>
    <cellStyle name="Normal 7 14 2 3 4" xfId="38878" xr:uid="{00000000-0005-0000-0000-0000679B0000}"/>
    <cellStyle name="Normal 7 14 2 4" xfId="11664" xr:uid="{00000000-0005-0000-0000-0000689B0000}"/>
    <cellStyle name="Normal 7 14 2 4 2" xfId="27256" xr:uid="{00000000-0005-0000-0000-0000699B0000}"/>
    <cellStyle name="Normal 7 14 2 4 3" xfId="42748" xr:uid="{00000000-0005-0000-0000-00006A9B0000}"/>
    <cellStyle name="Normal 7 14 2 5" xfId="19516" xr:uid="{00000000-0005-0000-0000-00006B9B0000}"/>
    <cellStyle name="Normal 7 14 2 6" xfId="35008" xr:uid="{00000000-0005-0000-0000-00006C9B0000}"/>
    <cellStyle name="Normal 7 14 3" xfId="4897" xr:uid="{00000000-0005-0000-0000-00006D9B0000}"/>
    <cellStyle name="Normal 7 14 3 2" xfId="8768" xr:uid="{00000000-0005-0000-0000-00006E9B0000}"/>
    <cellStyle name="Normal 7 14 3 2 2" xfId="16513" xr:uid="{00000000-0005-0000-0000-00006F9B0000}"/>
    <cellStyle name="Normal 7 14 3 2 2 2" xfId="32105" xr:uid="{00000000-0005-0000-0000-0000709B0000}"/>
    <cellStyle name="Normal 7 14 3 2 2 3" xfId="47597" xr:uid="{00000000-0005-0000-0000-0000719B0000}"/>
    <cellStyle name="Normal 7 14 3 2 3" xfId="24365" xr:uid="{00000000-0005-0000-0000-0000729B0000}"/>
    <cellStyle name="Normal 7 14 3 2 4" xfId="39857" xr:uid="{00000000-0005-0000-0000-0000739B0000}"/>
    <cellStyle name="Normal 7 14 3 3" xfId="12643" xr:uid="{00000000-0005-0000-0000-0000749B0000}"/>
    <cellStyle name="Normal 7 14 3 3 2" xfId="28235" xr:uid="{00000000-0005-0000-0000-0000759B0000}"/>
    <cellStyle name="Normal 7 14 3 3 3" xfId="43727" xr:uid="{00000000-0005-0000-0000-0000769B0000}"/>
    <cellStyle name="Normal 7 14 3 4" xfId="20495" xr:uid="{00000000-0005-0000-0000-0000779B0000}"/>
    <cellStyle name="Normal 7 14 3 5" xfId="35987" xr:uid="{00000000-0005-0000-0000-0000789B0000}"/>
    <cellStyle name="Normal 7 14 4" xfId="6841" xr:uid="{00000000-0005-0000-0000-0000799B0000}"/>
    <cellStyle name="Normal 7 14 4 2" xfId="14586" xr:uid="{00000000-0005-0000-0000-00007A9B0000}"/>
    <cellStyle name="Normal 7 14 4 2 2" xfId="30178" xr:uid="{00000000-0005-0000-0000-00007B9B0000}"/>
    <cellStyle name="Normal 7 14 4 2 3" xfId="45670" xr:uid="{00000000-0005-0000-0000-00007C9B0000}"/>
    <cellStyle name="Normal 7 14 4 3" xfId="22438" xr:uid="{00000000-0005-0000-0000-00007D9B0000}"/>
    <cellStyle name="Normal 7 14 4 4" xfId="37930" xr:uid="{00000000-0005-0000-0000-00007E9B0000}"/>
    <cellStyle name="Normal 7 14 5" xfId="10716" xr:uid="{00000000-0005-0000-0000-00007F9B0000}"/>
    <cellStyle name="Normal 7 14 5 2" xfId="26308" xr:uid="{00000000-0005-0000-0000-0000809B0000}"/>
    <cellStyle name="Normal 7 14 5 3" xfId="41800" xr:uid="{00000000-0005-0000-0000-0000819B0000}"/>
    <cellStyle name="Normal 7 14 6" xfId="18568" xr:uid="{00000000-0005-0000-0000-0000829B0000}"/>
    <cellStyle name="Normal 7 14 7" xfId="34060" xr:uid="{00000000-0005-0000-0000-0000839B0000}"/>
    <cellStyle name="Normal 7 15" xfId="2938" xr:uid="{00000000-0005-0000-0000-0000849B0000}"/>
    <cellStyle name="Normal 7 15 2" xfId="3942" xr:uid="{00000000-0005-0000-0000-0000859B0000}"/>
    <cellStyle name="Normal 7 15 2 2" xfId="5881" xr:uid="{00000000-0005-0000-0000-0000869B0000}"/>
    <cellStyle name="Normal 7 15 2 2 2" xfId="9752" xr:uid="{00000000-0005-0000-0000-0000879B0000}"/>
    <cellStyle name="Normal 7 15 2 2 2 2" xfId="17497" xr:uid="{00000000-0005-0000-0000-0000889B0000}"/>
    <cellStyle name="Normal 7 15 2 2 2 2 2" xfId="33089" xr:uid="{00000000-0005-0000-0000-0000899B0000}"/>
    <cellStyle name="Normal 7 15 2 2 2 2 3" xfId="48581" xr:uid="{00000000-0005-0000-0000-00008A9B0000}"/>
    <cellStyle name="Normal 7 15 2 2 2 3" xfId="25349" xr:uid="{00000000-0005-0000-0000-00008B9B0000}"/>
    <cellStyle name="Normal 7 15 2 2 2 4" xfId="40841" xr:uid="{00000000-0005-0000-0000-00008C9B0000}"/>
    <cellStyle name="Normal 7 15 2 2 3" xfId="13627" xr:uid="{00000000-0005-0000-0000-00008D9B0000}"/>
    <cellStyle name="Normal 7 15 2 2 3 2" xfId="29219" xr:uid="{00000000-0005-0000-0000-00008E9B0000}"/>
    <cellStyle name="Normal 7 15 2 2 3 3" xfId="44711" xr:uid="{00000000-0005-0000-0000-00008F9B0000}"/>
    <cellStyle name="Normal 7 15 2 2 4" xfId="21479" xr:uid="{00000000-0005-0000-0000-0000909B0000}"/>
    <cellStyle name="Normal 7 15 2 2 5" xfId="36971" xr:uid="{00000000-0005-0000-0000-0000919B0000}"/>
    <cellStyle name="Normal 7 15 2 3" xfId="7825" xr:uid="{00000000-0005-0000-0000-0000929B0000}"/>
    <cellStyle name="Normal 7 15 2 3 2" xfId="15570" xr:uid="{00000000-0005-0000-0000-0000939B0000}"/>
    <cellStyle name="Normal 7 15 2 3 2 2" xfId="31162" xr:uid="{00000000-0005-0000-0000-0000949B0000}"/>
    <cellStyle name="Normal 7 15 2 3 2 3" xfId="46654" xr:uid="{00000000-0005-0000-0000-0000959B0000}"/>
    <cellStyle name="Normal 7 15 2 3 3" xfId="23422" xr:uid="{00000000-0005-0000-0000-0000969B0000}"/>
    <cellStyle name="Normal 7 15 2 3 4" xfId="38914" xr:uid="{00000000-0005-0000-0000-0000979B0000}"/>
    <cellStyle name="Normal 7 15 2 4" xfId="11700" xr:uid="{00000000-0005-0000-0000-0000989B0000}"/>
    <cellStyle name="Normal 7 15 2 4 2" xfId="27292" xr:uid="{00000000-0005-0000-0000-0000999B0000}"/>
    <cellStyle name="Normal 7 15 2 4 3" xfId="42784" xr:uid="{00000000-0005-0000-0000-00009A9B0000}"/>
    <cellStyle name="Normal 7 15 2 5" xfId="19552" xr:uid="{00000000-0005-0000-0000-00009B9B0000}"/>
    <cellStyle name="Normal 7 15 2 6" xfId="35044" xr:uid="{00000000-0005-0000-0000-00009C9B0000}"/>
    <cellStyle name="Normal 7 15 3" xfId="4933" xr:uid="{00000000-0005-0000-0000-00009D9B0000}"/>
    <cellStyle name="Normal 7 15 3 2" xfId="8804" xr:uid="{00000000-0005-0000-0000-00009E9B0000}"/>
    <cellStyle name="Normal 7 15 3 2 2" xfId="16549" xr:uid="{00000000-0005-0000-0000-00009F9B0000}"/>
    <cellStyle name="Normal 7 15 3 2 2 2" xfId="32141" xr:uid="{00000000-0005-0000-0000-0000A09B0000}"/>
    <cellStyle name="Normal 7 15 3 2 2 3" xfId="47633" xr:uid="{00000000-0005-0000-0000-0000A19B0000}"/>
    <cellStyle name="Normal 7 15 3 2 3" xfId="24401" xr:uid="{00000000-0005-0000-0000-0000A29B0000}"/>
    <cellStyle name="Normal 7 15 3 2 4" xfId="39893" xr:uid="{00000000-0005-0000-0000-0000A39B0000}"/>
    <cellStyle name="Normal 7 15 3 3" xfId="12679" xr:uid="{00000000-0005-0000-0000-0000A49B0000}"/>
    <cellStyle name="Normal 7 15 3 3 2" xfId="28271" xr:uid="{00000000-0005-0000-0000-0000A59B0000}"/>
    <cellStyle name="Normal 7 15 3 3 3" xfId="43763" xr:uid="{00000000-0005-0000-0000-0000A69B0000}"/>
    <cellStyle name="Normal 7 15 3 4" xfId="20531" xr:uid="{00000000-0005-0000-0000-0000A79B0000}"/>
    <cellStyle name="Normal 7 15 3 5" xfId="36023" xr:uid="{00000000-0005-0000-0000-0000A89B0000}"/>
    <cellStyle name="Normal 7 15 4" xfId="6877" xr:uid="{00000000-0005-0000-0000-0000A99B0000}"/>
    <cellStyle name="Normal 7 15 4 2" xfId="14622" xr:uid="{00000000-0005-0000-0000-0000AA9B0000}"/>
    <cellStyle name="Normal 7 15 4 2 2" xfId="30214" xr:uid="{00000000-0005-0000-0000-0000AB9B0000}"/>
    <cellStyle name="Normal 7 15 4 2 3" xfId="45706" xr:uid="{00000000-0005-0000-0000-0000AC9B0000}"/>
    <cellStyle name="Normal 7 15 4 3" xfId="22474" xr:uid="{00000000-0005-0000-0000-0000AD9B0000}"/>
    <cellStyle name="Normal 7 15 4 4" xfId="37966" xr:uid="{00000000-0005-0000-0000-0000AE9B0000}"/>
    <cellStyle name="Normal 7 15 5" xfId="10752" xr:uid="{00000000-0005-0000-0000-0000AF9B0000}"/>
    <cellStyle name="Normal 7 15 5 2" xfId="26344" xr:uid="{00000000-0005-0000-0000-0000B09B0000}"/>
    <cellStyle name="Normal 7 15 5 3" xfId="41836" xr:uid="{00000000-0005-0000-0000-0000B19B0000}"/>
    <cellStyle name="Normal 7 15 6" xfId="18604" xr:uid="{00000000-0005-0000-0000-0000B29B0000}"/>
    <cellStyle name="Normal 7 15 7" xfId="34096" xr:uid="{00000000-0005-0000-0000-0000B39B0000}"/>
    <cellStyle name="Normal 7 16" xfId="2977" xr:uid="{00000000-0005-0000-0000-0000B49B0000}"/>
    <cellStyle name="Normal 7 16 2" xfId="3978" xr:uid="{00000000-0005-0000-0000-0000B59B0000}"/>
    <cellStyle name="Normal 7 16 2 2" xfId="5917" xr:uid="{00000000-0005-0000-0000-0000B69B0000}"/>
    <cellStyle name="Normal 7 16 2 2 2" xfId="9788" xr:uid="{00000000-0005-0000-0000-0000B79B0000}"/>
    <cellStyle name="Normal 7 16 2 2 2 2" xfId="17533" xr:uid="{00000000-0005-0000-0000-0000B89B0000}"/>
    <cellStyle name="Normal 7 16 2 2 2 2 2" xfId="33125" xr:uid="{00000000-0005-0000-0000-0000B99B0000}"/>
    <cellStyle name="Normal 7 16 2 2 2 2 3" xfId="48617" xr:uid="{00000000-0005-0000-0000-0000BA9B0000}"/>
    <cellStyle name="Normal 7 16 2 2 2 3" xfId="25385" xr:uid="{00000000-0005-0000-0000-0000BB9B0000}"/>
    <cellStyle name="Normal 7 16 2 2 2 4" xfId="40877" xr:uid="{00000000-0005-0000-0000-0000BC9B0000}"/>
    <cellStyle name="Normal 7 16 2 2 3" xfId="13663" xr:uid="{00000000-0005-0000-0000-0000BD9B0000}"/>
    <cellStyle name="Normal 7 16 2 2 3 2" xfId="29255" xr:uid="{00000000-0005-0000-0000-0000BE9B0000}"/>
    <cellStyle name="Normal 7 16 2 2 3 3" xfId="44747" xr:uid="{00000000-0005-0000-0000-0000BF9B0000}"/>
    <cellStyle name="Normal 7 16 2 2 4" xfId="21515" xr:uid="{00000000-0005-0000-0000-0000C09B0000}"/>
    <cellStyle name="Normal 7 16 2 2 5" xfId="37007" xr:uid="{00000000-0005-0000-0000-0000C19B0000}"/>
    <cellStyle name="Normal 7 16 2 3" xfId="7861" xr:uid="{00000000-0005-0000-0000-0000C29B0000}"/>
    <cellStyle name="Normal 7 16 2 3 2" xfId="15606" xr:uid="{00000000-0005-0000-0000-0000C39B0000}"/>
    <cellStyle name="Normal 7 16 2 3 2 2" xfId="31198" xr:uid="{00000000-0005-0000-0000-0000C49B0000}"/>
    <cellStyle name="Normal 7 16 2 3 2 3" xfId="46690" xr:uid="{00000000-0005-0000-0000-0000C59B0000}"/>
    <cellStyle name="Normal 7 16 2 3 3" xfId="23458" xr:uid="{00000000-0005-0000-0000-0000C69B0000}"/>
    <cellStyle name="Normal 7 16 2 3 4" xfId="38950" xr:uid="{00000000-0005-0000-0000-0000C79B0000}"/>
    <cellStyle name="Normal 7 16 2 4" xfId="11736" xr:uid="{00000000-0005-0000-0000-0000C89B0000}"/>
    <cellStyle name="Normal 7 16 2 4 2" xfId="27328" xr:uid="{00000000-0005-0000-0000-0000C99B0000}"/>
    <cellStyle name="Normal 7 16 2 4 3" xfId="42820" xr:uid="{00000000-0005-0000-0000-0000CA9B0000}"/>
    <cellStyle name="Normal 7 16 2 5" xfId="19588" xr:uid="{00000000-0005-0000-0000-0000CB9B0000}"/>
    <cellStyle name="Normal 7 16 2 6" xfId="35080" xr:uid="{00000000-0005-0000-0000-0000CC9B0000}"/>
    <cellStyle name="Normal 7 16 3" xfId="4969" xr:uid="{00000000-0005-0000-0000-0000CD9B0000}"/>
    <cellStyle name="Normal 7 16 3 2" xfId="8840" xr:uid="{00000000-0005-0000-0000-0000CE9B0000}"/>
    <cellStyle name="Normal 7 16 3 2 2" xfId="16585" xr:uid="{00000000-0005-0000-0000-0000CF9B0000}"/>
    <cellStyle name="Normal 7 16 3 2 2 2" xfId="32177" xr:uid="{00000000-0005-0000-0000-0000D09B0000}"/>
    <cellStyle name="Normal 7 16 3 2 2 3" xfId="47669" xr:uid="{00000000-0005-0000-0000-0000D19B0000}"/>
    <cellStyle name="Normal 7 16 3 2 3" xfId="24437" xr:uid="{00000000-0005-0000-0000-0000D29B0000}"/>
    <cellStyle name="Normal 7 16 3 2 4" xfId="39929" xr:uid="{00000000-0005-0000-0000-0000D39B0000}"/>
    <cellStyle name="Normal 7 16 3 3" xfId="12715" xr:uid="{00000000-0005-0000-0000-0000D49B0000}"/>
    <cellStyle name="Normal 7 16 3 3 2" xfId="28307" xr:uid="{00000000-0005-0000-0000-0000D59B0000}"/>
    <cellStyle name="Normal 7 16 3 3 3" xfId="43799" xr:uid="{00000000-0005-0000-0000-0000D69B0000}"/>
    <cellStyle name="Normal 7 16 3 4" xfId="20567" xr:uid="{00000000-0005-0000-0000-0000D79B0000}"/>
    <cellStyle name="Normal 7 16 3 5" xfId="36059" xr:uid="{00000000-0005-0000-0000-0000D89B0000}"/>
    <cellStyle name="Normal 7 16 4" xfId="6913" xr:uid="{00000000-0005-0000-0000-0000D99B0000}"/>
    <cellStyle name="Normal 7 16 4 2" xfId="14658" xr:uid="{00000000-0005-0000-0000-0000DA9B0000}"/>
    <cellStyle name="Normal 7 16 4 2 2" xfId="30250" xr:uid="{00000000-0005-0000-0000-0000DB9B0000}"/>
    <cellStyle name="Normal 7 16 4 2 3" xfId="45742" xr:uid="{00000000-0005-0000-0000-0000DC9B0000}"/>
    <cellStyle name="Normal 7 16 4 3" xfId="22510" xr:uid="{00000000-0005-0000-0000-0000DD9B0000}"/>
    <cellStyle name="Normal 7 16 4 4" xfId="38002" xr:uid="{00000000-0005-0000-0000-0000DE9B0000}"/>
    <cellStyle name="Normal 7 16 5" xfId="10788" xr:uid="{00000000-0005-0000-0000-0000DF9B0000}"/>
    <cellStyle name="Normal 7 16 5 2" xfId="26380" xr:uid="{00000000-0005-0000-0000-0000E09B0000}"/>
    <cellStyle name="Normal 7 16 5 3" xfId="41872" xr:uid="{00000000-0005-0000-0000-0000E19B0000}"/>
    <cellStyle name="Normal 7 16 6" xfId="18640" xr:uid="{00000000-0005-0000-0000-0000E29B0000}"/>
    <cellStyle name="Normal 7 16 7" xfId="34132" xr:uid="{00000000-0005-0000-0000-0000E39B0000}"/>
    <cellStyle name="Normal 7 17" xfId="3017" xr:uid="{00000000-0005-0000-0000-0000E49B0000}"/>
    <cellStyle name="Normal 7 17 2" xfId="4014" xr:uid="{00000000-0005-0000-0000-0000E59B0000}"/>
    <cellStyle name="Normal 7 17 2 2" xfId="5953" xr:uid="{00000000-0005-0000-0000-0000E69B0000}"/>
    <cellStyle name="Normal 7 17 2 2 2" xfId="9824" xr:uid="{00000000-0005-0000-0000-0000E79B0000}"/>
    <cellStyle name="Normal 7 17 2 2 2 2" xfId="17569" xr:uid="{00000000-0005-0000-0000-0000E89B0000}"/>
    <cellStyle name="Normal 7 17 2 2 2 2 2" xfId="33161" xr:uid="{00000000-0005-0000-0000-0000E99B0000}"/>
    <cellStyle name="Normal 7 17 2 2 2 2 3" xfId="48653" xr:uid="{00000000-0005-0000-0000-0000EA9B0000}"/>
    <cellStyle name="Normal 7 17 2 2 2 3" xfId="25421" xr:uid="{00000000-0005-0000-0000-0000EB9B0000}"/>
    <cellStyle name="Normal 7 17 2 2 2 4" xfId="40913" xr:uid="{00000000-0005-0000-0000-0000EC9B0000}"/>
    <cellStyle name="Normal 7 17 2 2 3" xfId="13699" xr:uid="{00000000-0005-0000-0000-0000ED9B0000}"/>
    <cellStyle name="Normal 7 17 2 2 3 2" xfId="29291" xr:uid="{00000000-0005-0000-0000-0000EE9B0000}"/>
    <cellStyle name="Normal 7 17 2 2 3 3" xfId="44783" xr:uid="{00000000-0005-0000-0000-0000EF9B0000}"/>
    <cellStyle name="Normal 7 17 2 2 4" xfId="21551" xr:uid="{00000000-0005-0000-0000-0000F09B0000}"/>
    <cellStyle name="Normal 7 17 2 2 5" xfId="37043" xr:uid="{00000000-0005-0000-0000-0000F19B0000}"/>
    <cellStyle name="Normal 7 17 2 3" xfId="7897" xr:uid="{00000000-0005-0000-0000-0000F29B0000}"/>
    <cellStyle name="Normal 7 17 2 3 2" xfId="15642" xr:uid="{00000000-0005-0000-0000-0000F39B0000}"/>
    <cellStyle name="Normal 7 17 2 3 2 2" xfId="31234" xr:uid="{00000000-0005-0000-0000-0000F49B0000}"/>
    <cellStyle name="Normal 7 17 2 3 2 3" xfId="46726" xr:uid="{00000000-0005-0000-0000-0000F59B0000}"/>
    <cellStyle name="Normal 7 17 2 3 3" xfId="23494" xr:uid="{00000000-0005-0000-0000-0000F69B0000}"/>
    <cellStyle name="Normal 7 17 2 3 4" xfId="38986" xr:uid="{00000000-0005-0000-0000-0000F79B0000}"/>
    <cellStyle name="Normal 7 17 2 4" xfId="11772" xr:uid="{00000000-0005-0000-0000-0000F89B0000}"/>
    <cellStyle name="Normal 7 17 2 4 2" xfId="27364" xr:uid="{00000000-0005-0000-0000-0000F99B0000}"/>
    <cellStyle name="Normal 7 17 2 4 3" xfId="42856" xr:uid="{00000000-0005-0000-0000-0000FA9B0000}"/>
    <cellStyle name="Normal 7 17 2 5" xfId="19624" xr:uid="{00000000-0005-0000-0000-0000FB9B0000}"/>
    <cellStyle name="Normal 7 17 2 6" xfId="35116" xr:uid="{00000000-0005-0000-0000-0000FC9B0000}"/>
    <cellStyle name="Normal 7 17 3" xfId="5005" xr:uid="{00000000-0005-0000-0000-0000FD9B0000}"/>
    <cellStyle name="Normal 7 17 3 2" xfId="8876" xr:uid="{00000000-0005-0000-0000-0000FE9B0000}"/>
    <cellStyle name="Normal 7 17 3 2 2" xfId="16621" xr:uid="{00000000-0005-0000-0000-0000FF9B0000}"/>
    <cellStyle name="Normal 7 17 3 2 2 2" xfId="32213" xr:uid="{00000000-0005-0000-0000-0000009C0000}"/>
    <cellStyle name="Normal 7 17 3 2 2 3" xfId="47705" xr:uid="{00000000-0005-0000-0000-0000019C0000}"/>
    <cellStyle name="Normal 7 17 3 2 3" xfId="24473" xr:uid="{00000000-0005-0000-0000-0000029C0000}"/>
    <cellStyle name="Normal 7 17 3 2 4" xfId="39965" xr:uid="{00000000-0005-0000-0000-0000039C0000}"/>
    <cellStyle name="Normal 7 17 3 3" xfId="12751" xr:uid="{00000000-0005-0000-0000-0000049C0000}"/>
    <cellStyle name="Normal 7 17 3 3 2" xfId="28343" xr:uid="{00000000-0005-0000-0000-0000059C0000}"/>
    <cellStyle name="Normal 7 17 3 3 3" xfId="43835" xr:uid="{00000000-0005-0000-0000-0000069C0000}"/>
    <cellStyle name="Normal 7 17 3 4" xfId="20603" xr:uid="{00000000-0005-0000-0000-0000079C0000}"/>
    <cellStyle name="Normal 7 17 3 5" xfId="36095" xr:uid="{00000000-0005-0000-0000-0000089C0000}"/>
    <cellStyle name="Normal 7 17 4" xfId="6949" xr:uid="{00000000-0005-0000-0000-0000099C0000}"/>
    <cellStyle name="Normal 7 17 4 2" xfId="14694" xr:uid="{00000000-0005-0000-0000-00000A9C0000}"/>
    <cellStyle name="Normal 7 17 4 2 2" xfId="30286" xr:uid="{00000000-0005-0000-0000-00000B9C0000}"/>
    <cellStyle name="Normal 7 17 4 2 3" xfId="45778" xr:uid="{00000000-0005-0000-0000-00000C9C0000}"/>
    <cellStyle name="Normal 7 17 4 3" xfId="22546" xr:uid="{00000000-0005-0000-0000-00000D9C0000}"/>
    <cellStyle name="Normal 7 17 4 4" xfId="38038" xr:uid="{00000000-0005-0000-0000-00000E9C0000}"/>
    <cellStyle name="Normal 7 17 5" xfId="10824" xr:uid="{00000000-0005-0000-0000-00000F9C0000}"/>
    <cellStyle name="Normal 7 17 5 2" xfId="26416" xr:uid="{00000000-0005-0000-0000-0000109C0000}"/>
    <cellStyle name="Normal 7 17 5 3" xfId="41908" xr:uid="{00000000-0005-0000-0000-0000119C0000}"/>
    <cellStyle name="Normal 7 17 6" xfId="18676" xr:uid="{00000000-0005-0000-0000-0000129C0000}"/>
    <cellStyle name="Normal 7 17 7" xfId="34168" xr:uid="{00000000-0005-0000-0000-0000139C0000}"/>
    <cellStyle name="Normal 7 18" xfId="3055" xr:uid="{00000000-0005-0000-0000-0000149C0000}"/>
    <cellStyle name="Normal 7 18 2" xfId="4050" xr:uid="{00000000-0005-0000-0000-0000159C0000}"/>
    <cellStyle name="Normal 7 18 2 2" xfId="5989" xr:uid="{00000000-0005-0000-0000-0000169C0000}"/>
    <cellStyle name="Normal 7 18 2 2 2" xfId="9860" xr:uid="{00000000-0005-0000-0000-0000179C0000}"/>
    <cellStyle name="Normal 7 18 2 2 2 2" xfId="17605" xr:uid="{00000000-0005-0000-0000-0000189C0000}"/>
    <cellStyle name="Normal 7 18 2 2 2 2 2" xfId="33197" xr:uid="{00000000-0005-0000-0000-0000199C0000}"/>
    <cellStyle name="Normal 7 18 2 2 2 2 3" xfId="48689" xr:uid="{00000000-0005-0000-0000-00001A9C0000}"/>
    <cellStyle name="Normal 7 18 2 2 2 3" xfId="25457" xr:uid="{00000000-0005-0000-0000-00001B9C0000}"/>
    <cellStyle name="Normal 7 18 2 2 2 4" xfId="40949" xr:uid="{00000000-0005-0000-0000-00001C9C0000}"/>
    <cellStyle name="Normal 7 18 2 2 3" xfId="13735" xr:uid="{00000000-0005-0000-0000-00001D9C0000}"/>
    <cellStyle name="Normal 7 18 2 2 3 2" xfId="29327" xr:uid="{00000000-0005-0000-0000-00001E9C0000}"/>
    <cellStyle name="Normal 7 18 2 2 3 3" xfId="44819" xr:uid="{00000000-0005-0000-0000-00001F9C0000}"/>
    <cellStyle name="Normal 7 18 2 2 4" xfId="21587" xr:uid="{00000000-0005-0000-0000-0000209C0000}"/>
    <cellStyle name="Normal 7 18 2 2 5" xfId="37079" xr:uid="{00000000-0005-0000-0000-0000219C0000}"/>
    <cellStyle name="Normal 7 18 2 3" xfId="7933" xr:uid="{00000000-0005-0000-0000-0000229C0000}"/>
    <cellStyle name="Normal 7 18 2 3 2" xfId="15678" xr:uid="{00000000-0005-0000-0000-0000239C0000}"/>
    <cellStyle name="Normal 7 18 2 3 2 2" xfId="31270" xr:uid="{00000000-0005-0000-0000-0000249C0000}"/>
    <cellStyle name="Normal 7 18 2 3 2 3" xfId="46762" xr:uid="{00000000-0005-0000-0000-0000259C0000}"/>
    <cellStyle name="Normal 7 18 2 3 3" xfId="23530" xr:uid="{00000000-0005-0000-0000-0000269C0000}"/>
    <cellStyle name="Normal 7 18 2 3 4" xfId="39022" xr:uid="{00000000-0005-0000-0000-0000279C0000}"/>
    <cellStyle name="Normal 7 18 2 4" xfId="11808" xr:uid="{00000000-0005-0000-0000-0000289C0000}"/>
    <cellStyle name="Normal 7 18 2 4 2" xfId="27400" xr:uid="{00000000-0005-0000-0000-0000299C0000}"/>
    <cellStyle name="Normal 7 18 2 4 3" xfId="42892" xr:uid="{00000000-0005-0000-0000-00002A9C0000}"/>
    <cellStyle name="Normal 7 18 2 5" xfId="19660" xr:uid="{00000000-0005-0000-0000-00002B9C0000}"/>
    <cellStyle name="Normal 7 18 2 6" xfId="35152" xr:uid="{00000000-0005-0000-0000-00002C9C0000}"/>
    <cellStyle name="Normal 7 18 3" xfId="5041" xr:uid="{00000000-0005-0000-0000-00002D9C0000}"/>
    <cellStyle name="Normal 7 18 3 2" xfId="8912" xr:uid="{00000000-0005-0000-0000-00002E9C0000}"/>
    <cellStyle name="Normal 7 18 3 2 2" xfId="16657" xr:uid="{00000000-0005-0000-0000-00002F9C0000}"/>
    <cellStyle name="Normal 7 18 3 2 2 2" xfId="32249" xr:uid="{00000000-0005-0000-0000-0000309C0000}"/>
    <cellStyle name="Normal 7 18 3 2 2 3" xfId="47741" xr:uid="{00000000-0005-0000-0000-0000319C0000}"/>
    <cellStyle name="Normal 7 18 3 2 3" xfId="24509" xr:uid="{00000000-0005-0000-0000-0000329C0000}"/>
    <cellStyle name="Normal 7 18 3 2 4" xfId="40001" xr:uid="{00000000-0005-0000-0000-0000339C0000}"/>
    <cellStyle name="Normal 7 18 3 3" xfId="12787" xr:uid="{00000000-0005-0000-0000-0000349C0000}"/>
    <cellStyle name="Normal 7 18 3 3 2" xfId="28379" xr:uid="{00000000-0005-0000-0000-0000359C0000}"/>
    <cellStyle name="Normal 7 18 3 3 3" xfId="43871" xr:uid="{00000000-0005-0000-0000-0000369C0000}"/>
    <cellStyle name="Normal 7 18 3 4" xfId="20639" xr:uid="{00000000-0005-0000-0000-0000379C0000}"/>
    <cellStyle name="Normal 7 18 3 5" xfId="36131" xr:uid="{00000000-0005-0000-0000-0000389C0000}"/>
    <cellStyle name="Normal 7 18 4" xfId="6985" xr:uid="{00000000-0005-0000-0000-0000399C0000}"/>
    <cellStyle name="Normal 7 18 4 2" xfId="14730" xr:uid="{00000000-0005-0000-0000-00003A9C0000}"/>
    <cellStyle name="Normal 7 18 4 2 2" xfId="30322" xr:uid="{00000000-0005-0000-0000-00003B9C0000}"/>
    <cellStyle name="Normal 7 18 4 2 3" xfId="45814" xr:uid="{00000000-0005-0000-0000-00003C9C0000}"/>
    <cellStyle name="Normal 7 18 4 3" xfId="22582" xr:uid="{00000000-0005-0000-0000-00003D9C0000}"/>
    <cellStyle name="Normal 7 18 4 4" xfId="38074" xr:uid="{00000000-0005-0000-0000-00003E9C0000}"/>
    <cellStyle name="Normal 7 18 5" xfId="10860" xr:uid="{00000000-0005-0000-0000-00003F9C0000}"/>
    <cellStyle name="Normal 7 18 5 2" xfId="26452" xr:uid="{00000000-0005-0000-0000-0000409C0000}"/>
    <cellStyle name="Normal 7 18 5 3" xfId="41944" xr:uid="{00000000-0005-0000-0000-0000419C0000}"/>
    <cellStyle name="Normal 7 18 6" xfId="18712" xr:uid="{00000000-0005-0000-0000-0000429C0000}"/>
    <cellStyle name="Normal 7 18 7" xfId="34204" xr:uid="{00000000-0005-0000-0000-0000439C0000}"/>
    <cellStyle name="Normal 7 19" xfId="3092" xr:uid="{00000000-0005-0000-0000-0000449C0000}"/>
    <cellStyle name="Normal 7 19 2" xfId="4086" xr:uid="{00000000-0005-0000-0000-0000459C0000}"/>
    <cellStyle name="Normal 7 19 2 2" xfId="6025" xr:uid="{00000000-0005-0000-0000-0000469C0000}"/>
    <cellStyle name="Normal 7 19 2 2 2" xfId="9896" xr:uid="{00000000-0005-0000-0000-0000479C0000}"/>
    <cellStyle name="Normal 7 19 2 2 2 2" xfId="17641" xr:uid="{00000000-0005-0000-0000-0000489C0000}"/>
    <cellStyle name="Normal 7 19 2 2 2 2 2" xfId="33233" xr:uid="{00000000-0005-0000-0000-0000499C0000}"/>
    <cellStyle name="Normal 7 19 2 2 2 2 3" xfId="48725" xr:uid="{00000000-0005-0000-0000-00004A9C0000}"/>
    <cellStyle name="Normal 7 19 2 2 2 3" xfId="25493" xr:uid="{00000000-0005-0000-0000-00004B9C0000}"/>
    <cellStyle name="Normal 7 19 2 2 2 4" xfId="40985" xr:uid="{00000000-0005-0000-0000-00004C9C0000}"/>
    <cellStyle name="Normal 7 19 2 2 3" xfId="13771" xr:uid="{00000000-0005-0000-0000-00004D9C0000}"/>
    <cellStyle name="Normal 7 19 2 2 3 2" xfId="29363" xr:uid="{00000000-0005-0000-0000-00004E9C0000}"/>
    <cellStyle name="Normal 7 19 2 2 3 3" xfId="44855" xr:uid="{00000000-0005-0000-0000-00004F9C0000}"/>
    <cellStyle name="Normal 7 19 2 2 4" xfId="21623" xr:uid="{00000000-0005-0000-0000-0000509C0000}"/>
    <cellStyle name="Normal 7 19 2 2 5" xfId="37115" xr:uid="{00000000-0005-0000-0000-0000519C0000}"/>
    <cellStyle name="Normal 7 19 2 3" xfId="7969" xr:uid="{00000000-0005-0000-0000-0000529C0000}"/>
    <cellStyle name="Normal 7 19 2 3 2" xfId="15714" xr:uid="{00000000-0005-0000-0000-0000539C0000}"/>
    <cellStyle name="Normal 7 19 2 3 2 2" xfId="31306" xr:uid="{00000000-0005-0000-0000-0000549C0000}"/>
    <cellStyle name="Normal 7 19 2 3 2 3" xfId="46798" xr:uid="{00000000-0005-0000-0000-0000559C0000}"/>
    <cellStyle name="Normal 7 19 2 3 3" xfId="23566" xr:uid="{00000000-0005-0000-0000-0000569C0000}"/>
    <cellStyle name="Normal 7 19 2 3 4" xfId="39058" xr:uid="{00000000-0005-0000-0000-0000579C0000}"/>
    <cellStyle name="Normal 7 19 2 4" xfId="11844" xr:uid="{00000000-0005-0000-0000-0000589C0000}"/>
    <cellStyle name="Normal 7 19 2 4 2" xfId="27436" xr:uid="{00000000-0005-0000-0000-0000599C0000}"/>
    <cellStyle name="Normal 7 19 2 4 3" xfId="42928" xr:uid="{00000000-0005-0000-0000-00005A9C0000}"/>
    <cellStyle name="Normal 7 19 2 5" xfId="19696" xr:uid="{00000000-0005-0000-0000-00005B9C0000}"/>
    <cellStyle name="Normal 7 19 2 6" xfId="35188" xr:uid="{00000000-0005-0000-0000-00005C9C0000}"/>
    <cellStyle name="Normal 7 19 3" xfId="5077" xr:uid="{00000000-0005-0000-0000-00005D9C0000}"/>
    <cellStyle name="Normal 7 19 3 2" xfId="8948" xr:uid="{00000000-0005-0000-0000-00005E9C0000}"/>
    <cellStyle name="Normal 7 19 3 2 2" xfId="16693" xr:uid="{00000000-0005-0000-0000-00005F9C0000}"/>
    <cellStyle name="Normal 7 19 3 2 2 2" xfId="32285" xr:uid="{00000000-0005-0000-0000-0000609C0000}"/>
    <cellStyle name="Normal 7 19 3 2 2 3" xfId="47777" xr:uid="{00000000-0005-0000-0000-0000619C0000}"/>
    <cellStyle name="Normal 7 19 3 2 3" xfId="24545" xr:uid="{00000000-0005-0000-0000-0000629C0000}"/>
    <cellStyle name="Normal 7 19 3 2 4" xfId="40037" xr:uid="{00000000-0005-0000-0000-0000639C0000}"/>
    <cellStyle name="Normal 7 19 3 3" xfId="12823" xr:uid="{00000000-0005-0000-0000-0000649C0000}"/>
    <cellStyle name="Normal 7 19 3 3 2" xfId="28415" xr:uid="{00000000-0005-0000-0000-0000659C0000}"/>
    <cellStyle name="Normal 7 19 3 3 3" xfId="43907" xr:uid="{00000000-0005-0000-0000-0000669C0000}"/>
    <cellStyle name="Normal 7 19 3 4" xfId="20675" xr:uid="{00000000-0005-0000-0000-0000679C0000}"/>
    <cellStyle name="Normal 7 19 3 5" xfId="36167" xr:uid="{00000000-0005-0000-0000-0000689C0000}"/>
    <cellStyle name="Normal 7 19 4" xfId="7021" xr:uid="{00000000-0005-0000-0000-0000699C0000}"/>
    <cellStyle name="Normal 7 19 4 2" xfId="14766" xr:uid="{00000000-0005-0000-0000-00006A9C0000}"/>
    <cellStyle name="Normal 7 19 4 2 2" xfId="30358" xr:uid="{00000000-0005-0000-0000-00006B9C0000}"/>
    <cellStyle name="Normal 7 19 4 2 3" xfId="45850" xr:uid="{00000000-0005-0000-0000-00006C9C0000}"/>
    <cellStyle name="Normal 7 19 4 3" xfId="22618" xr:uid="{00000000-0005-0000-0000-00006D9C0000}"/>
    <cellStyle name="Normal 7 19 4 4" xfId="38110" xr:uid="{00000000-0005-0000-0000-00006E9C0000}"/>
    <cellStyle name="Normal 7 19 5" xfId="10896" xr:uid="{00000000-0005-0000-0000-00006F9C0000}"/>
    <cellStyle name="Normal 7 19 5 2" xfId="26488" xr:uid="{00000000-0005-0000-0000-0000709C0000}"/>
    <cellStyle name="Normal 7 19 5 3" xfId="41980" xr:uid="{00000000-0005-0000-0000-0000719C0000}"/>
    <cellStyle name="Normal 7 19 6" xfId="18748" xr:uid="{00000000-0005-0000-0000-0000729C0000}"/>
    <cellStyle name="Normal 7 19 7" xfId="34240" xr:uid="{00000000-0005-0000-0000-0000739C0000}"/>
    <cellStyle name="Normal 7 2" xfId="2075" xr:uid="{00000000-0005-0000-0000-0000749C0000}"/>
    <cellStyle name="Normal 7 20" xfId="3139" xr:uid="{00000000-0005-0000-0000-0000759C0000}"/>
    <cellStyle name="Normal 7 20 2" xfId="4122" xr:uid="{00000000-0005-0000-0000-0000769C0000}"/>
    <cellStyle name="Normal 7 20 2 2" xfId="6061" xr:uid="{00000000-0005-0000-0000-0000779C0000}"/>
    <cellStyle name="Normal 7 20 2 2 2" xfId="9932" xr:uid="{00000000-0005-0000-0000-0000789C0000}"/>
    <cellStyle name="Normal 7 20 2 2 2 2" xfId="17677" xr:uid="{00000000-0005-0000-0000-0000799C0000}"/>
    <cellStyle name="Normal 7 20 2 2 2 2 2" xfId="33269" xr:uid="{00000000-0005-0000-0000-00007A9C0000}"/>
    <cellStyle name="Normal 7 20 2 2 2 2 3" xfId="48761" xr:uid="{00000000-0005-0000-0000-00007B9C0000}"/>
    <cellStyle name="Normal 7 20 2 2 2 3" xfId="25529" xr:uid="{00000000-0005-0000-0000-00007C9C0000}"/>
    <cellStyle name="Normal 7 20 2 2 2 4" xfId="41021" xr:uid="{00000000-0005-0000-0000-00007D9C0000}"/>
    <cellStyle name="Normal 7 20 2 2 3" xfId="13807" xr:uid="{00000000-0005-0000-0000-00007E9C0000}"/>
    <cellStyle name="Normal 7 20 2 2 3 2" xfId="29399" xr:uid="{00000000-0005-0000-0000-00007F9C0000}"/>
    <cellStyle name="Normal 7 20 2 2 3 3" xfId="44891" xr:uid="{00000000-0005-0000-0000-0000809C0000}"/>
    <cellStyle name="Normal 7 20 2 2 4" xfId="21659" xr:uid="{00000000-0005-0000-0000-0000819C0000}"/>
    <cellStyle name="Normal 7 20 2 2 5" xfId="37151" xr:uid="{00000000-0005-0000-0000-0000829C0000}"/>
    <cellStyle name="Normal 7 20 2 3" xfId="8005" xr:uid="{00000000-0005-0000-0000-0000839C0000}"/>
    <cellStyle name="Normal 7 20 2 3 2" xfId="15750" xr:uid="{00000000-0005-0000-0000-0000849C0000}"/>
    <cellStyle name="Normal 7 20 2 3 2 2" xfId="31342" xr:uid="{00000000-0005-0000-0000-0000859C0000}"/>
    <cellStyle name="Normal 7 20 2 3 2 3" xfId="46834" xr:uid="{00000000-0005-0000-0000-0000869C0000}"/>
    <cellStyle name="Normal 7 20 2 3 3" xfId="23602" xr:uid="{00000000-0005-0000-0000-0000879C0000}"/>
    <cellStyle name="Normal 7 20 2 3 4" xfId="39094" xr:uid="{00000000-0005-0000-0000-0000889C0000}"/>
    <cellStyle name="Normal 7 20 2 4" xfId="11880" xr:uid="{00000000-0005-0000-0000-0000899C0000}"/>
    <cellStyle name="Normal 7 20 2 4 2" xfId="27472" xr:uid="{00000000-0005-0000-0000-00008A9C0000}"/>
    <cellStyle name="Normal 7 20 2 4 3" xfId="42964" xr:uid="{00000000-0005-0000-0000-00008B9C0000}"/>
    <cellStyle name="Normal 7 20 2 5" xfId="19732" xr:uid="{00000000-0005-0000-0000-00008C9C0000}"/>
    <cellStyle name="Normal 7 20 2 6" xfId="35224" xr:uid="{00000000-0005-0000-0000-00008D9C0000}"/>
    <cellStyle name="Normal 7 20 3" xfId="5113" xr:uid="{00000000-0005-0000-0000-00008E9C0000}"/>
    <cellStyle name="Normal 7 20 3 2" xfId="8984" xr:uid="{00000000-0005-0000-0000-00008F9C0000}"/>
    <cellStyle name="Normal 7 20 3 2 2" xfId="16729" xr:uid="{00000000-0005-0000-0000-0000909C0000}"/>
    <cellStyle name="Normal 7 20 3 2 2 2" xfId="32321" xr:uid="{00000000-0005-0000-0000-0000919C0000}"/>
    <cellStyle name="Normal 7 20 3 2 2 3" xfId="47813" xr:uid="{00000000-0005-0000-0000-0000929C0000}"/>
    <cellStyle name="Normal 7 20 3 2 3" xfId="24581" xr:uid="{00000000-0005-0000-0000-0000939C0000}"/>
    <cellStyle name="Normal 7 20 3 2 4" xfId="40073" xr:uid="{00000000-0005-0000-0000-0000949C0000}"/>
    <cellStyle name="Normal 7 20 3 3" xfId="12859" xr:uid="{00000000-0005-0000-0000-0000959C0000}"/>
    <cellStyle name="Normal 7 20 3 3 2" xfId="28451" xr:uid="{00000000-0005-0000-0000-0000969C0000}"/>
    <cellStyle name="Normal 7 20 3 3 3" xfId="43943" xr:uid="{00000000-0005-0000-0000-0000979C0000}"/>
    <cellStyle name="Normal 7 20 3 4" xfId="20711" xr:uid="{00000000-0005-0000-0000-0000989C0000}"/>
    <cellStyle name="Normal 7 20 3 5" xfId="36203" xr:uid="{00000000-0005-0000-0000-0000999C0000}"/>
    <cellStyle name="Normal 7 20 4" xfId="7057" xr:uid="{00000000-0005-0000-0000-00009A9C0000}"/>
    <cellStyle name="Normal 7 20 4 2" xfId="14802" xr:uid="{00000000-0005-0000-0000-00009B9C0000}"/>
    <cellStyle name="Normal 7 20 4 2 2" xfId="30394" xr:uid="{00000000-0005-0000-0000-00009C9C0000}"/>
    <cellStyle name="Normal 7 20 4 2 3" xfId="45886" xr:uid="{00000000-0005-0000-0000-00009D9C0000}"/>
    <cellStyle name="Normal 7 20 4 3" xfId="22654" xr:uid="{00000000-0005-0000-0000-00009E9C0000}"/>
    <cellStyle name="Normal 7 20 4 4" xfId="38146" xr:uid="{00000000-0005-0000-0000-00009F9C0000}"/>
    <cellStyle name="Normal 7 20 5" xfId="10932" xr:uid="{00000000-0005-0000-0000-0000A09C0000}"/>
    <cellStyle name="Normal 7 20 5 2" xfId="26524" xr:uid="{00000000-0005-0000-0000-0000A19C0000}"/>
    <cellStyle name="Normal 7 20 5 3" xfId="42016" xr:uid="{00000000-0005-0000-0000-0000A29C0000}"/>
    <cellStyle name="Normal 7 20 6" xfId="18784" xr:uid="{00000000-0005-0000-0000-0000A39C0000}"/>
    <cellStyle name="Normal 7 20 7" xfId="34276" xr:uid="{00000000-0005-0000-0000-0000A49C0000}"/>
    <cellStyle name="Normal 7 21" xfId="3198" xr:uid="{00000000-0005-0000-0000-0000A59C0000}"/>
    <cellStyle name="Normal 7 21 2" xfId="5137" xr:uid="{00000000-0005-0000-0000-0000A69C0000}"/>
    <cellStyle name="Normal 7 21 2 2" xfId="9008" xr:uid="{00000000-0005-0000-0000-0000A79C0000}"/>
    <cellStyle name="Normal 7 21 2 2 2" xfId="16753" xr:uid="{00000000-0005-0000-0000-0000A89C0000}"/>
    <cellStyle name="Normal 7 21 2 2 2 2" xfId="32345" xr:uid="{00000000-0005-0000-0000-0000A99C0000}"/>
    <cellStyle name="Normal 7 21 2 2 2 3" xfId="47837" xr:uid="{00000000-0005-0000-0000-0000AA9C0000}"/>
    <cellStyle name="Normal 7 21 2 2 3" xfId="24605" xr:uid="{00000000-0005-0000-0000-0000AB9C0000}"/>
    <cellStyle name="Normal 7 21 2 2 4" xfId="40097" xr:uid="{00000000-0005-0000-0000-0000AC9C0000}"/>
    <cellStyle name="Normal 7 21 2 3" xfId="12883" xr:uid="{00000000-0005-0000-0000-0000AD9C0000}"/>
    <cellStyle name="Normal 7 21 2 3 2" xfId="28475" xr:uid="{00000000-0005-0000-0000-0000AE9C0000}"/>
    <cellStyle name="Normal 7 21 2 3 3" xfId="43967" xr:uid="{00000000-0005-0000-0000-0000AF9C0000}"/>
    <cellStyle name="Normal 7 21 2 4" xfId="20735" xr:uid="{00000000-0005-0000-0000-0000B09C0000}"/>
    <cellStyle name="Normal 7 21 2 5" xfId="36227" xr:uid="{00000000-0005-0000-0000-0000B19C0000}"/>
    <cellStyle name="Normal 7 21 3" xfId="7081" xr:uid="{00000000-0005-0000-0000-0000B29C0000}"/>
    <cellStyle name="Normal 7 21 3 2" xfId="14826" xr:uid="{00000000-0005-0000-0000-0000B39C0000}"/>
    <cellStyle name="Normal 7 21 3 2 2" xfId="30418" xr:uid="{00000000-0005-0000-0000-0000B49C0000}"/>
    <cellStyle name="Normal 7 21 3 2 3" xfId="45910" xr:uid="{00000000-0005-0000-0000-0000B59C0000}"/>
    <cellStyle name="Normal 7 21 3 3" xfId="22678" xr:uid="{00000000-0005-0000-0000-0000B69C0000}"/>
    <cellStyle name="Normal 7 21 3 4" xfId="38170" xr:uid="{00000000-0005-0000-0000-0000B79C0000}"/>
    <cellStyle name="Normal 7 21 4" xfId="10956" xr:uid="{00000000-0005-0000-0000-0000B89C0000}"/>
    <cellStyle name="Normal 7 21 4 2" xfId="26548" xr:uid="{00000000-0005-0000-0000-0000B99C0000}"/>
    <cellStyle name="Normal 7 21 4 3" xfId="42040" xr:uid="{00000000-0005-0000-0000-0000BA9C0000}"/>
    <cellStyle name="Normal 7 21 5" xfId="18808" xr:uid="{00000000-0005-0000-0000-0000BB9C0000}"/>
    <cellStyle name="Normal 7 21 6" xfId="34300" xr:uid="{00000000-0005-0000-0000-0000BC9C0000}"/>
    <cellStyle name="Normal 7 22" xfId="4143" xr:uid="{00000000-0005-0000-0000-0000BD9C0000}"/>
    <cellStyle name="Normal 7 22 2" xfId="6081" xr:uid="{00000000-0005-0000-0000-0000BE9C0000}"/>
    <cellStyle name="Normal 7 22 2 2" xfId="9952" xr:uid="{00000000-0005-0000-0000-0000BF9C0000}"/>
    <cellStyle name="Normal 7 22 2 2 2" xfId="17697" xr:uid="{00000000-0005-0000-0000-0000C09C0000}"/>
    <cellStyle name="Normal 7 22 2 2 2 2" xfId="33289" xr:uid="{00000000-0005-0000-0000-0000C19C0000}"/>
    <cellStyle name="Normal 7 22 2 2 2 3" xfId="48781" xr:uid="{00000000-0005-0000-0000-0000C29C0000}"/>
    <cellStyle name="Normal 7 22 2 2 3" xfId="25549" xr:uid="{00000000-0005-0000-0000-0000C39C0000}"/>
    <cellStyle name="Normal 7 22 2 2 4" xfId="41041" xr:uid="{00000000-0005-0000-0000-0000C49C0000}"/>
    <cellStyle name="Normal 7 22 2 3" xfId="13827" xr:uid="{00000000-0005-0000-0000-0000C59C0000}"/>
    <cellStyle name="Normal 7 22 2 3 2" xfId="29419" xr:uid="{00000000-0005-0000-0000-0000C69C0000}"/>
    <cellStyle name="Normal 7 22 2 3 3" xfId="44911" xr:uid="{00000000-0005-0000-0000-0000C79C0000}"/>
    <cellStyle name="Normal 7 22 2 4" xfId="21679" xr:uid="{00000000-0005-0000-0000-0000C89C0000}"/>
    <cellStyle name="Normal 7 22 2 5" xfId="37171" xr:uid="{00000000-0005-0000-0000-0000C99C0000}"/>
    <cellStyle name="Normal 7 22 3" xfId="8025" xr:uid="{00000000-0005-0000-0000-0000CA9C0000}"/>
    <cellStyle name="Normal 7 22 3 2" xfId="15770" xr:uid="{00000000-0005-0000-0000-0000CB9C0000}"/>
    <cellStyle name="Normal 7 22 3 2 2" xfId="31362" xr:uid="{00000000-0005-0000-0000-0000CC9C0000}"/>
    <cellStyle name="Normal 7 22 3 2 3" xfId="46854" xr:uid="{00000000-0005-0000-0000-0000CD9C0000}"/>
    <cellStyle name="Normal 7 22 3 3" xfId="23622" xr:uid="{00000000-0005-0000-0000-0000CE9C0000}"/>
    <cellStyle name="Normal 7 22 3 4" xfId="39114" xr:uid="{00000000-0005-0000-0000-0000CF9C0000}"/>
    <cellStyle name="Normal 7 22 4" xfId="11900" xr:uid="{00000000-0005-0000-0000-0000D09C0000}"/>
    <cellStyle name="Normal 7 22 4 2" xfId="27492" xr:uid="{00000000-0005-0000-0000-0000D19C0000}"/>
    <cellStyle name="Normal 7 22 4 3" xfId="42984" xr:uid="{00000000-0005-0000-0000-0000D29C0000}"/>
    <cellStyle name="Normal 7 22 5" xfId="19752" xr:uid="{00000000-0005-0000-0000-0000D39C0000}"/>
    <cellStyle name="Normal 7 22 6" xfId="35244" xr:uid="{00000000-0005-0000-0000-0000D49C0000}"/>
    <cellStyle name="Normal 7 23" xfId="4168" xr:uid="{00000000-0005-0000-0000-0000D59C0000}"/>
    <cellStyle name="Normal 7 23 2" xfId="6097" xr:uid="{00000000-0005-0000-0000-0000D69C0000}"/>
    <cellStyle name="Normal 7 23 2 2" xfId="9968" xr:uid="{00000000-0005-0000-0000-0000D79C0000}"/>
    <cellStyle name="Normal 7 23 2 2 2" xfId="17713" xr:uid="{00000000-0005-0000-0000-0000D89C0000}"/>
    <cellStyle name="Normal 7 23 2 2 2 2" xfId="33305" xr:uid="{00000000-0005-0000-0000-0000D99C0000}"/>
    <cellStyle name="Normal 7 23 2 2 2 3" xfId="48797" xr:uid="{00000000-0005-0000-0000-0000DA9C0000}"/>
    <cellStyle name="Normal 7 23 2 2 3" xfId="25565" xr:uid="{00000000-0005-0000-0000-0000DB9C0000}"/>
    <cellStyle name="Normal 7 23 2 2 4" xfId="41057" xr:uid="{00000000-0005-0000-0000-0000DC9C0000}"/>
    <cellStyle name="Normal 7 23 2 3" xfId="13843" xr:uid="{00000000-0005-0000-0000-0000DD9C0000}"/>
    <cellStyle name="Normal 7 23 2 3 2" xfId="29435" xr:uid="{00000000-0005-0000-0000-0000DE9C0000}"/>
    <cellStyle name="Normal 7 23 2 3 3" xfId="44927" xr:uid="{00000000-0005-0000-0000-0000DF9C0000}"/>
    <cellStyle name="Normal 7 23 2 4" xfId="21695" xr:uid="{00000000-0005-0000-0000-0000E09C0000}"/>
    <cellStyle name="Normal 7 23 2 5" xfId="37187" xr:uid="{00000000-0005-0000-0000-0000E19C0000}"/>
    <cellStyle name="Normal 7 23 3" xfId="8041" xr:uid="{00000000-0005-0000-0000-0000E29C0000}"/>
    <cellStyle name="Normal 7 23 3 2" xfId="15786" xr:uid="{00000000-0005-0000-0000-0000E39C0000}"/>
    <cellStyle name="Normal 7 23 3 2 2" xfId="31378" xr:uid="{00000000-0005-0000-0000-0000E49C0000}"/>
    <cellStyle name="Normal 7 23 3 2 3" xfId="46870" xr:uid="{00000000-0005-0000-0000-0000E59C0000}"/>
    <cellStyle name="Normal 7 23 3 3" xfId="23638" xr:uid="{00000000-0005-0000-0000-0000E69C0000}"/>
    <cellStyle name="Normal 7 23 3 4" xfId="39130" xr:uid="{00000000-0005-0000-0000-0000E79C0000}"/>
    <cellStyle name="Normal 7 23 4" xfId="11916" xr:uid="{00000000-0005-0000-0000-0000E89C0000}"/>
    <cellStyle name="Normal 7 23 4 2" xfId="27508" xr:uid="{00000000-0005-0000-0000-0000E99C0000}"/>
    <cellStyle name="Normal 7 23 4 3" xfId="43000" xr:uid="{00000000-0005-0000-0000-0000EA9C0000}"/>
    <cellStyle name="Normal 7 23 5" xfId="19768" xr:uid="{00000000-0005-0000-0000-0000EB9C0000}"/>
    <cellStyle name="Normal 7 23 6" xfId="35260" xr:uid="{00000000-0005-0000-0000-0000EC9C0000}"/>
    <cellStyle name="Normal 7 24" xfId="4189" xr:uid="{00000000-0005-0000-0000-0000ED9C0000}"/>
    <cellStyle name="Normal 7 24 2" xfId="8060" xr:uid="{00000000-0005-0000-0000-0000EE9C0000}"/>
    <cellStyle name="Normal 7 24 2 2" xfId="15805" xr:uid="{00000000-0005-0000-0000-0000EF9C0000}"/>
    <cellStyle name="Normal 7 24 2 2 2" xfId="31397" xr:uid="{00000000-0005-0000-0000-0000F09C0000}"/>
    <cellStyle name="Normal 7 24 2 2 3" xfId="46889" xr:uid="{00000000-0005-0000-0000-0000F19C0000}"/>
    <cellStyle name="Normal 7 24 2 3" xfId="23657" xr:uid="{00000000-0005-0000-0000-0000F29C0000}"/>
    <cellStyle name="Normal 7 24 2 4" xfId="39149" xr:uid="{00000000-0005-0000-0000-0000F39C0000}"/>
    <cellStyle name="Normal 7 24 3" xfId="11935" xr:uid="{00000000-0005-0000-0000-0000F49C0000}"/>
    <cellStyle name="Normal 7 24 3 2" xfId="27527" xr:uid="{00000000-0005-0000-0000-0000F59C0000}"/>
    <cellStyle name="Normal 7 24 3 3" xfId="43019" xr:uid="{00000000-0005-0000-0000-0000F69C0000}"/>
    <cellStyle name="Normal 7 24 4" xfId="19787" xr:uid="{00000000-0005-0000-0000-0000F79C0000}"/>
    <cellStyle name="Normal 7 24 5" xfId="35279" xr:uid="{00000000-0005-0000-0000-0000F89C0000}"/>
    <cellStyle name="Normal 7 25" xfId="6113" xr:uid="{00000000-0005-0000-0000-0000F99C0000}"/>
    <cellStyle name="Normal 7 25 2" xfId="9983" xr:uid="{00000000-0005-0000-0000-0000FA9C0000}"/>
    <cellStyle name="Normal 7 25 2 2" xfId="17728" xr:uid="{00000000-0005-0000-0000-0000FB9C0000}"/>
    <cellStyle name="Normal 7 25 2 2 2" xfId="33320" xr:uid="{00000000-0005-0000-0000-0000FC9C0000}"/>
    <cellStyle name="Normal 7 25 2 2 3" xfId="48812" xr:uid="{00000000-0005-0000-0000-0000FD9C0000}"/>
    <cellStyle name="Normal 7 25 2 3" xfId="25580" xr:uid="{00000000-0005-0000-0000-0000FE9C0000}"/>
    <cellStyle name="Normal 7 25 2 4" xfId="41072" xr:uid="{00000000-0005-0000-0000-0000FF9C0000}"/>
    <cellStyle name="Normal 7 25 3" xfId="13858" xr:uid="{00000000-0005-0000-0000-0000009D0000}"/>
    <cellStyle name="Normal 7 25 3 2" xfId="29450" xr:uid="{00000000-0005-0000-0000-0000019D0000}"/>
    <cellStyle name="Normal 7 25 3 3" xfId="44942" xr:uid="{00000000-0005-0000-0000-0000029D0000}"/>
    <cellStyle name="Normal 7 25 4" xfId="21710" xr:uid="{00000000-0005-0000-0000-0000039D0000}"/>
    <cellStyle name="Normal 7 25 5" xfId="37202" xr:uid="{00000000-0005-0000-0000-0000049D0000}"/>
    <cellStyle name="Normal 7 26" xfId="6133" xr:uid="{00000000-0005-0000-0000-0000059D0000}"/>
    <cellStyle name="Normal 7 26 2" xfId="13878" xr:uid="{00000000-0005-0000-0000-0000069D0000}"/>
    <cellStyle name="Normal 7 26 2 2" xfId="29470" xr:uid="{00000000-0005-0000-0000-0000079D0000}"/>
    <cellStyle name="Normal 7 26 2 3" xfId="44962" xr:uid="{00000000-0005-0000-0000-0000089D0000}"/>
    <cellStyle name="Normal 7 26 3" xfId="21730" xr:uid="{00000000-0005-0000-0000-0000099D0000}"/>
    <cellStyle name="Normal 7 26 4" xfId="37222" xr:uid="{00000000-0005-0000-0000-00000A9D0000}"/>
    <cellStyle name="Normal 7 27" xfId="10008" xr:uid="{00000000-0005-0000-0000-00000B9D0000}"/>
    <cellStyle name="Normal 7 27 2" xfId="25600" xr:uid="{00000000-0005-0000-0000-00000C9D0000}"/>
    <cellStyle name="Normal 7 27 3" xfId="41092" xr:uid="{00000000-0005-0000-0000-00000D9D0000}"/>
    <cellStyle name="Normal 7 28" xfId="17763" xr:uid="{00000000-0005-0000-0000-00000E9D0000}"/>
    <cellStyle name="Normal 7 29" xfId="17860" xr:uid="{00000000-0005-0000-0000-00000F9D0000}"/>
    <cellStyle name="Normal 7 3" xfId="2201" xr:uid="{00000000-0005-0000-0000-0000109D0000}"/>
    <cellStyle name="Normal 7 3 2" xfId="2534" xr:uid="{00000000-0005-0000-0000-0000119D0000}"/>
    <cellStyle name="Normal 7 3 2 2" xfId="3542" xr:uid="{00000000-0005-0000-0000-0000129D0000}"/>
    <cellStyle name="Normal 7 3 2 2 2" xfId="5481" xr:uid="{00000000-0005-0000-0000-0000139D0000}"/>
    <cellStyle name="Normal 7 3 2 2 2 2" xfId="9352" xr:uid="{00000000-0005-0000-0000-0000149D0000}"/>
    <cellStyle name="Normal 7 3 2 2 2 2 2" xfId="17097" xr:uid="{00000000-0005-0000-0000-0000159D0000}"/>
    <cellStyle name="Normal 7 3 2 2 2 2 2 2" xfId="32689" xr:uid="{00000000-0005-0000-0000-0000169D0000}"/>
    <cellStyle name="Normal 7 3 2 2 2 2 2 3" xfId="48181" xr:uid="{00000000-0005-0000-0000-0000179D0000}"/>
    <cellStyle name="Normal 7 3 2 2 2 2 3" xfId="24949" xr:uid="{00000000-0005-0000-0000-0000189D0000}"/>
    <cellStyle name="Normal 7 3 2 2 2 2 4" xfId="40441" xr:uid="{00000000-0005-0000-0000-0000199D0000}"/>
    <cellStyle name="Normal 7 3 2 2 2 3" xfId="13227" xr:uid="{00000000-0005-0000-0000-00001A9D0000}"/>
    <cellStyle name="Normal 7 3 2 2 2 3 2" xfId="28819" xr:uid="{00000000-0005-0000-0000-00001B9D0000}"/>
    <cellStyle name="Normal 7 3 2 2 2 3 3" xfId="44311" xr:uid="{00000000-0005-0000-0000-00001C9D0000}"/>
    <cellStyle name="Normal 7 3 2 2 2 4" xfId="21079" xr:uid="{00000000-0005-0000-0000-00001D9D0000}"/>
    <cellStyle name="Normal 7 3 2 2 2 5" xfId="36571" xr:uid="{00000000-0005-0000-0000-00001E9D0000}"/>
    <cellStyle name="Normal 7 3 2 2 3" xfId="7425" xr:uid="{00000000-0005-0000-0000-00001F9D0000}"/>
    <cellStyle name="Normal 7 3 2 2 3 2" xfId="15170" xr:uid="{00000000-0005-0000-0000-0000209D0000}"/>
    <cellStyle name="Normal 7 3 2 2 3 2 2" xfId="30762" xr:uid="{00000000-0005-0000-0000-0000219D0000}"/>
    <cellStyle name="Normal 7 3 2 2 3 2 3" xfId="46254" xr:uid="{00000000-0005-0000-0000-0000229D0000}"/>
    <cellStyle name="Normal 7 3 2 2 3 3" xfId="23022" xr:uid="{00000000-0005-0000-0000-0000239D0000}"/>
    <cellStyle name="Normal 7 3 2 2 3 4" xfId="38514" xr:uid="{00000000-0005-0000-0000-0000249D0000}"/>
    <cellStyle name="Normal 7 3 2 2 4" xfId="11300" xr:uid="{00000000-0005-0000-0000-0000259D0000}"/>
    <cellStyle name="Normal 7 3 2 2 4 2" xfId="26892" xr:uid="{00000000-0005-0000-0000-0000269D0000}"/>
    <cellStyle name="Normal 7 3 2 2 4 3" xfId="42384" xr:uid="{00000000-0005-0000-0000-0000279D0000}"/>
    <cellStyle name="Normal 7 3 2 2 5" xfId="19152" xr:uid="{00000000-0005-0000-0000-0000289D0000}"/>
    <cellStyle name="Normal 7 3 2 2 6" xfId="34644" xr:uid="{00000000-0005-0000-0000-0000299D0000}"/>
    <cellStyle name="Normal 7 3 2 3" xfId="4533" xr:uid="{00000000-0005-0000-0000-00002A9D0000}"/>
    <cellStyle name="Normal 7 3 2 3 2" xfId="8404" xr:uid="{00000000-0005-0000-0000-00002B9D0000}"/>
    <cellStyle name="Normal 7 3 2 3 2 2" xfId="16149" xr:uid="{00000000-0005-0000-0000-00002C9D0000}"/>
    <cellStyle name="Normal 7 3 2 3 2 2 2" xfId="31741" xr:uid="{00000000-0005-0000-0000-00002D9D0000}"/>
    <cellStyle name="Normal 7 3 2 3 2 2 3" xfId="47233" xr:uid="{00000000-0005-0000-0000-00002E9D0000}"/>
    <cellStyle name="Normal 7 3 2 3 2 3" xfId="24001" xr:uid="{00000000-0005-0000-0000-00002F9D0000}"/>
    <cellStyle name="Normal 7 3 2 3 2 4" xfId="39493" xr:uid="{00000000-0005-0000-0000-0000309D0000}"/>
    <cellStyle name="Normal 7 3 2 3 3" xfId="12279" xr:uid="{00000000-0005-0000-0000-0000319D0000}"/>
    <cellStyle name="Normal 7 3 2 3 3 2" xfId="27871" xr:uid="{00000000-0005-0000-0000-0000329D0000}"/>
    <cellStyle name="Normal 7 3 2 3 3 3" xfId="43363" xr:uid="{00000000-0005-0000-0000-0000339D0000}"/>
    <cellStyle name="Normal 7 3 2 3 4" xfId="20131" xr:uid="{00000000-0005-0000-0000-0000349D0000}"/>
    <cellStyle name="Normal 7 3 2 3 5" xfId="35623" xr:uid="{00000000-0005-0000-0000-0000359D0000}"/>
    <cellStyle name="Normal 7 3 2 4" xfId="6477" xr:uid="{00000000-0005-0000-0000-0000369D0000}"/>
    <cellStyle name="Normal 7 3 2 4 2" xfId="14222" xr:uid="{00000000-0005-0000-0000-0000379D0000}"/>
    <cellStyle name="Normal 7 3 2 4 2 2" xfId="29814" xr:uid="{00000000-0005-0000-0000-0000389D0000}"/>
    <cellStyle name="Normal 7 3 2 4 2 3" xfId="45306" xr:uid="{00000000-0005-0000-0000-0000399D0000}"/>
    <cellStyle name="Normal 7 3 2 4 3" xfId="22074" xr:uid="{00000000-0005-0000-0000-00003A9D0000}"/>
    <cellStyle name="Normal 7 3 2 4 4" xfId="37566" xr:uid="{00000000-0005-0000-0000-00003B9D0000}"/>
    <cellStyle name="Normal 7 3 2 5" xfId="10352" xr:uid="{00000000-0005-0000-0000-00003C9D0000}"/>
    <cellStyle name="Normal 7 3 2 5 2" xfId="25944" xr:uid="{00000000-0005-0000-0000-00003D9D0000}"/>
    <cellStyle name="Normal 7 3 2 5 3" xfId="41436" xr:uid="{00000000-0005-0000-0000-00003E9D0000}"/>
    <cellStyle name="Normal 7 3 2 6" xfId="18204" xr:uid="{00000000-0005-0000-0000-00003F9D0000}"/>
    <cellStyle name="Normal 7 3 2 7" xfId="33696" xr:uid="{00000000-0005-0000-0000-0000409D0000}"/>
    <cellStyle name="Normal 7 3 3" xfId="3233" xr:uid="{00000000-0005-0000-0000-0000419D0000}"/>
    <cellStyle name="Normal 7 3 3 2" xfId="5172" xr:uid="{00000000-0005-0000-0000-0000429D0000}"/>
    <cellStyle name="Normal 7 3 3 2 2" xfId="9043" xr:uid="{00000000-0005-0000-0000-0000439D0000}"/>
    <cellStyle name="Normal 7 3 3 2 2 2" xfId="16788" xr:uid="{00000000-0005-0000-0000-0000449D0000}"/>
    <cellStyle name="Normal 7 3 3 2 2 2 2" xfId="32380" xr:uid="{00000000-0005-0000-0000-0000459D0000}"/>
    <cellStyle name="Normal 7 3 3 2 2 2 3" xfId="47872" xr:uid="{00000000-0005-0000-0000-0000469D0000}"/>
    <cellStyle name="Normal 7 3 3 2 2 3" xfId="24640" xr:uid="{00000000-0005-0000-0000-0000479D0000}"/>
    <cellStyle name="Normal 7 3 3 2 2 4" xfId="40132" xr:uid="{00000000-0005-0000-0000-0000489D0000}"/>
    <cellStyle name="Normal 7 3 3 2 3" xfId="12918" xr:uid="{00000000-0005-0000-0000-0000499D0000}"/>
    <cellStyle name="Normal 7 3 3 2 3 2" xfId="28510" xr:uid="{00000000-0005-0000-0000-00004A9D0000}"/>
    <cellStyle name="Normal 7 3 3 2 3 3" xfId="44002" xr:uid="{00000000-0005-0000-0000-00004B9D0000}"/>
    <cellStyle name="Normal 7 3 3 2 4" xfId="20770" xr:uid="{00000000-0005-0000-0000-00004C9D0000}"/>
    <cellStyle name="Normal 7 3 3 2 5" xfId="36262" xr:uid="{00000000-0005-0000-0000-00004D9D0000}"/>
    <cellStyle name="Normal 7 3 3 3" xfId="7116" xr:uid="{00000000-0005-0000-0000-00004E9D0000}"/>
    <cellStyle name="Normal 7 3 3 3 2" xfId="14861" xr:uid="{00000000-0005-0000-0000-00004F9D0000}"/>
    <cellStyle name="Normal 7 3 3 3 2 2" xfId="30453" xr:uid="{00000000-0005-0000-0000-0000509D0000}"/>
    <cellStyle name="Normal 7 3 3 3 2 3" xfId="45945" xr:uid="{00000000-0005-0000-0000-0000519D0000}"/>
    <cellStyle name="Normal 7 3 3 3 3" xfId="22713" xr:uid="{00000000-0005-0000-0000-0000529D0000}"/>
    <cellStyle name="Normal 7 3 3 3 4" xfId="38205" xr:uid="{00000000-0005-0000-0000-0000539D0000}"/>
    <cellStyle name="Normal 7 3 3 4" xfId="10991" xr:uid="{00000000-0005-0000-0000-0000549D0000}"/>
    <cellStyle name="Normal 7 3 3 4 2" xfId="26583" xr:uid="{00000000-0005-0000-0000-0000559D0000}"/>
    <cellStyle name="Normal 7 3 3 4 3" xfId="42075" xr:uid="{00000000-0005-0000-0000-0000569D0000}"/>
    <cellStyle name="Normal 7 3 3 5" xfId="18843" xr:uid="{00000000-0005-0000-0000-0000579D0000}"/>
    <cellStyle name="Normal 7 3 3 6" xfId="34335" xr:uid="{00000000-0005-0000-0000-0000589D0000}"/>
    <cellStyle name="Normal 7 3 4" xfId="4224" xr:uid="{00000000-0005-0000-0000-0000599D0000}"/>
    <cellStyle name="Normal 7 3 4 2" xfId="8095" xr:uid="{00000000-0005-0000-0000-00005A9D0000}"/>
    <cellStyle name="Normal 7 3 4 2 2" xfId="15840" xr:uid="{00000000-0005-0000-0000-00005B9D0000}"/>
    <cellStyle name="Normal 7 3 4 2 2 2" xfId="31432" xr:uid="{00000000-0005-0000-0000-00005C9D0000}"/>
    <cellStyle name="Normal 7 3 4 2 2 3" xfId="46924" xr:uid="{00000000-0005-0000-0000-00005D9D0000}"/>
    <cellStyle name="Normal 7 3 4 2 3" xfId="23692" xr:uid="{00000000-0005-0000-0000-00005E9D0000}"/>
    <cellStyle name="Normal 7 3 4 2 4" xfId="39184" xr:uid="{00000000-0005-0000-0000-00005F9D0000}"/>
    <cellStyle name="Normal 7 3 4 3" xfId="11970" xr:uid="{00000000-0005-0000-0000-0000609D0000}"/>
    <cellStyle name="Normal 7 3 4 3 2" xfId="27562" xr:uid="{00000000-0005-0000-0000-0000619D0000}"/>
    <cellStyle name="Normal 7 3 4 3 3" xfId="43054" xr:uid="{00000000-0005-0000-0000-0000629D0000}"/>
    <cellStyle name="Normal 7 3 4 4" xfId="19822" xr:uid="{00000000-0005-0000-0000-0000639D0000}"/>
    <cellStyle name="Normal 7 3 4 5" xfId="35314" xr:uid="{00000000-0005-0000-0000-0000649D0000}"/>
    <cellStyle name="Normal 7 3 5" xfId="6168" xr:uid="{00000000-0005-0000-0000-0000659D0000}"/>
    <cellStyle name="Normal 7 3 5 2" xfId="13913" xr:uid="{00000000-0005-0000-0000-0000669D0000}"/>
    <cellStyle name="Normal 7 3 5 2 2" xfId="29505" xr:uid="{00000000-0005-0000-0000-0000679D0000}"/>
    <cellStyle name="Normal 7 3 5 2 3" xfId="44997" xr:uid="{00000000-0005-0000-0000-0000689D0000}"/>
    <cellStyle name="Normal 7 3 5 3" xfId="21765" xr:uid="{00000000-0005-0000-0000-0000699D0000}"/>
    <cellStyle name="Normal 7 3 5 4" xfId="37257" xr:uid="{00000000-0005-0000-0000-00006A9D0000}"/>
    <cellStyle name="Normal 7 3 6" xfId="10043" xr:uid="{00000000-0005-0000-0000-00006B9D0000}"/>
    <cellStyle name="Normal 7 3 6 2" xfId="25635" xr:uid="{00000000-0005-0000-0000-00006C9D0000}"/>
    <cellStyle name="Normal 7 3 6 3" xfId="41127" xr:uid="{00000000-0005-0000-0000-00006D9D0000}"/>
    <cellStyle name="Normal 7 3 7" xfId="17895" xr:uid="{00000000-0005-0000-0000-00006E9D0000}"/>
    <cellStyle name="Normal 7 3 8" xfId="33387" xr:uid="{00000000-0005-0000-0000-00006F9D0000}"/>
    <cellStyle name="Normal 7 30" xfId="33352" xr:uid="{00000000-0005-0000-0000-0000709D0000}"/>
    <cellStyle name="Normal 7 4" xfId="2255" xr:uid="{00000000-0005-0000-0000-0000719D0000}"/>
    <cellStyle name="Normal 7 4 2" xfId="2572" xr:uid="{00000000-0005-0000-0000-0000729D0000}"/>
    <cellStyle name="Normal 7 4 2 2" xfId="3580" xr:uid="{00000000-0005-0000-0000-0000739D0000}"/>
    <cellStyle name="Normal 7 4 2 2 2" xfId="5519" xr:uid="{00000000-0005-0000-0000-0000749D0000}"/>
    <cellStyle name="Normal 7 4 2 2 2 2" xfId="9390" xr:uid="{00000000-0005-0000-0000-0000759D0000}"/>
    <cellStyle name="Normal 7 4 2 2 2 2 2" xfId="17135" xr:uid="{00000000-0005-0000-0000-0000769D0000}"/>
    <cellStyle name="Normal 7 4 2 2 2 2 2 2" xfId="32727" xr:uid="{00000000-0005-0000-0000-0000779D0000}"/>
    <cellStyle name="Normal 7 4 2 2 2 2 2 3" xfId="48219" xr:uid="{00000000-0005-0000-0000-0000789D0000}"/>
    <cellStyle name="Normal 7 4 2 2 2 2 3" xfId="24987" xr:uid="{00000000-0005-0000-0000-0000799D0000}"/>
    <cellStyle name="Normal 7 4 2 2 2 2 4" xfId="40479" xr:uid="{00000000-0005-0000-0000-00007A9D0000}"/>
    <cellStyle name="Normal 7 4 2 2 2 3" xfId="13265" xr:uid="{00000000-0005-0000-0000-00007B9D0000}"/>
    <cellStyle name="Normal 7 4 2 2 2 3 2" xfId="28857" xr:uid="{00000000-0005-0000-0000-00007C9D0000}"/>
    <cellStyle name="Normal 7 4 2 2 2 3 3" xfId="44349" xr:uid="{00000000-0005-0000-0000-00007D9D0000}"/>
    <cellStyle name="Normal 7 4 2 2 2 4" xfId="21117" xr:uid="{00000000-0005-0000-0000-00007E9D0000}"/>
    <cellStyle name="Normal 7 4 2 2 2 5" xfId="36609" xr:uid="{00000000-0005-0000-0000-00007F9D0000}"/>
    <cellStyle name="Normal 7 4 2 2 3" xfId="7463" xr:uid="{00000000-0005-0000-0000-0000809D0000}"/>
    <cellStyle name="Normal 7 4 2 2 3 2" xfId="15208" xr:uid="{00000000-0005-0000-0000-0000819D0000}"/>
    <cellStyle name="Normal 7 4 2 2 3 2 2" xfId="30800" xr:uid="{00000000-0005-0000-0000-0000829D0000}"/>
    <cellStyle name="Normal 7 4 2 2 3 2 3" xfId="46292" xr:uid="{00000000-0005-0000-0000-0000839D0000}"/>
    <cellStyle name="Normal 7 4 2 2 3 3" xfId="23060" xr:uid="{00000000-0005-0000-0000-0000849D0000}"/>
    <cellStyle name="Normal 7 4 2 2 3 4" xfId="38552" xr:uid="{00000000-0005-0000-0000-0000859D0000}"/>
    <cellStyle name="Normal 7 4 2 2 4" xfId="11338" xr:uid="{00000000-0005-0000-0000-0000869D0000}"/>
    <cellStyle name="Normal 7 4 2 2 4 2" xfId="26930" xr:uid="{00000000-0005-0000-0000-0000879D0000}"/>
    <cellStyle name="Normal 7 4 2 2 4 3" xfId="42422" xr:uid="{00000000-0005-0000-0000-0000889D0000}"/>
    <cellStyle name="Normal 7 4 2 2 5" xfId="19190" xr:uid="{00000000-0005-0000-0000-0000899D0000}"/>
    <cellStyle name="Normal 7 4 2 2 6" xfId="34682" xr:uid="{00000000-0005-0000-0000-00008A9D0000}"/>
    <cellStyle name="Normal 7 4 2 3" xfId="4571" xr:uid="{00000000-0005-0000-0000-00008B9D0000}"/>
    <cellStyle name="Normal 7 4 2 3 2" xfId="8442" xr:uid="{00000000-0005-0000-0000-00008C9D0000}"/>
    <cellStyle name="Normal 7 4 2 3 2 2" xfId="16187" xr:uid="{00000000-0005-0000-0000-00008D9D0000}"/>
    <cellStyle name="Normal 7 4 2 3 2 2 2" xfId="31779" xr:uid="{00000000-0005-0000-0000-00008E9D0000}"/>
    <cellStyle name="Normal 7 4 2 3 2 2 3" xfId="47271" xr:uid="{00000000-0005-0000-0000-00008F9D0000}"/>
    <cellStyle name="Normal 7 4 2 3 2 3" xfId="24039" xr:uid="{00000000-0005-0000-0000-0000909D0000}"/>
    <cellStyle name="Normal 7 4 2 3 2 4" xfId="39531" xr:uid="{00000000-0005-0000-0000-0000919D0000}"/>
    <cellStyle name="Normal 7 4 2 3 3" xfId="12317" xr:uid="{00000000-0005-0000-0000-0000929D0000}"/>
    <cellStyle name="Normal 7 4 2 3 3 2" xfId="27909" xr:uid="{00000000-0005-0000-0000-0000939D0000}"/>
    <cellStyle name="Normal 7 4 2 3 3 3" xfId="43401" xr:uid="{00000000-0005-0000-0000-0000949D0000}"/>
    <cellStyle name="Normal 7 4 2 3 4" xfId="20169" xr:uid="{00000000-0005-0000-0000-0000959D0000}"/>
    <cellStyle name="Normal 7 4 2 3 5" xfId="35661" xr:uid="{00000000-0005-0000-0000-0000969D0000}"/>
    <cellStyle name="Normal 7 4 2 4" xfId="6515" xr:uid="{00000000-0005-0000-0000-0000979D0000}"/>
    <cellStyle name="Normal 7 4 2 4 2" xfId="14260" xr:uid="{00000000-0005-0000-0000-0000989D0000}"/>
    <cellStyle name="Normal 7 4 2 4 2 2" xfId="29852" xr:uid="{00000000-0005-0000-0000-0000999D0000}"/>
    <cellStyle name="Normal 7 4 2 4 2 3" xfId="45344" xr:uid="{00000000-0005-0000-0000-00009A9D0000}"/>
    <cellStyle name="Normal 7 4 2 4 3" xfId="22112" xr:uid="{00000000-0005-0000-0000-00009B9D0000}"/>
    <cellStyle name="Normal 7 4 2 4 4" xfId="37604" xr:uid="{00000000-0005-0000-0000-00009C9D0000}"/>
    <cellStyle name="Normal 7 4 2 5" xfId="10390" xr:uid="{00000000-0005-0000-0000-00009D9D0000}"/>
    <cellStyle name="Normal 7 4 2 5 2" xfId="25982" xr:uid="{00000000-0005-0000-0000-00009E9D0000}"/>
    <cellStyle name="Normal 7 4 2 5 3" xfId="41474" xr:uid="{00000000-0005-0000-0000-00009F9D0000}"/>
    <cellStyle name="Normal 7 4 2 6" xfId="18242" xr:uid="{00000000-0005-0000-0000-0000A09D0000}"/>
    <cellStyle name="Normal 7 4 2 7" xfId="33734" xr:uid="{00000000-0005-0000-0000-0000A19D0000}"/>
    <cellStyle name="Normal 7 4 3" xfId="3271" xr:uid="{00000000-0005-0000-0000-0000A29D0000}"/>
    <cellStyle name="Normal 7 4 3 2" xfId="5210" xr:uid="{00000000-0005-0000-0000-0000A39D0000}"/>
    <cellStyle name="Normal 7 4 3 2 2" xfId="9081" xr:uid="{00000000-0005-0000-0000-0000A49D0000}"/>
    <cellStyle name="Normal 7 4 3 2 2 2" xfId="16826" xr:uid="{00000000-0005-0000-0000-0000A59D0000}"/>
    <cellStyle name="Normal 7 4 3 2 2 2 2" xfId="32418" xr:uid="{00000000-0005-0000-0000-0000A69D0000}"/>
    <cellStyle name="Normal 7 4 3 2 2 2 3" xfId="47910" xr:uid="{00000000-0005-0000-0000-0000A79D0000}"/>
    <cellStyle name="Normal 7 4 3 2 2 3" xfId="24678" xr:uid="{00000000-0005-0000-0000-0000A89D0000}"/>
    <cellStyle name="Normal 7 4 3 2 2 4" xfId="40170" xr:uid="{00000000-0005-0000-0000-0000A99D0000}"/>
    <cellStyle name="Normal 7 4 3 2 3" xfId="12956" xr:uid="{00000000-0005-0000-0000-0000AA9D0000}"/>
    <cellStyle name="Normal 7 4 3 2 3 2" xfId="28548" xr:uid="{00000000-0005-0000-0000-0000AB9D0000}"/>
    <cellStyle name="Normal 7 4 3 2 3 3" xfId="44040" xr:uid="{00000000-0005-0000-0000-0000AC9D0000}"/>
    <cellStyle name="Normal 7 4 3 2 4" xfId="20808" xr:uid="{00000000-0005-0000-0000-0000AD9D0000}"/>
    <cellStyle name="Normal 7 4 3 2 5" xfId="36300" xr:uid="{00000000-0005-0000-0000-0000AE9D0000}"/>
    <cellStyle name="Normal 7 4 3 3" xfId="7154" xr:uid="{00000000-0005-0000-0000-0000AF9D0000}"/>
    <cellStyle name="Normal 7 4 3 3 2" xfId="14899" xr:uid="{00000000-0005-0000-0000-0000B09D0000}"/>
    <cellStyle name="Normal 7 4 3 3 2 2" xfId="30491" xr:uid="{00000000-0005-0000-0000-0000B19D0000}"/>
    <cellStyle name="Normal 7 4 3 3 2 3" xfId="45983" xr:uid="{00000000-0005-0000-0000-0000B29D0000}"/>
    <cellStyle name="Normal 7 4 3 3 3" xfId="22751" xr:uid="{00000000-0005-0000-0000-0000B39D0000}"/>
    <cellStyle name="Normal 7 4 3 3 4" xfId="38243" xr:uid="{00000000-0005-0000-0000-0000B49D0000}"/>
    <cellStyle name="Normal 7 4 3 4" xfId="11029" xr:uid="{00000000-0005-0000-0000-0000B59D0000}"/>
    <cellStyle name="Normal 7 4 3 4 2" xfId="26621" xr:uid="{00000000-0005-0000-0000-0000B69D0000}"/>
    <cellStyle name="Normal 7 4 3 4 3" xfId="42113" xr:uid="{00000000-0005-0000-0000-0000B79D0000}"/>
    <cellStyle name="Normal 7 4 3 5" xfId="18881" xr:uid="{00000000-0005-0000-0000-0000B89D0000}"/>
    <cellStyle name="Normal 7 4 3 6" xfId="34373" xr:uid="{00000000-0005-0000-0000-0000B99D0000}"/>
    <cellStyle name="Normal 7 4 4" xfId="4262" xr:uid="{00000000-0005-0000-0000-0000BA9D0000}"/>
    <cellStyle name="Normal 7 4 4 2" xfId="8133" xr:uid="{00000000-0005-0000-0000-0000BB9D0000}"/>
    <cellStyle name="Normal 7 4 4 2 2" xfId="15878" xr:uid="{00000000-0005-0000-0000-0000BC9D0000}"/>
    <cellStyle name="Normal 7 4 4 2 2 2" xfId="31470" xr:uid="{00000000-0005-0000-0000-0000BD9D0000}"/>
    <cellStyle name="Normal 7 4 4 2 2 3" xfId="46962" xr:uid="{00000000-0005-0000-0000-0000BE9D0000}"/>
    <cellStyle name="Normal 7 4 4 2 3" xfId="23730" xr:uid="{00000000-0005-0000-0000-0000BF9D0000}"/>
    <cellStyle name="Normal 7 4 4 2 4" xfId="39222" xr:uid="{00000000-0005-0000-0000-0000C09D0000}"/>
    <cellStyle name="Normal 7 4 4 3" xfId="12008" xr:uid="{00000000-0005-0000-0000-0000C19D0000}"/>
    <cellStyle name="Normal 7 4 4 3 2" xfId="27600" xr:uid="{00000000-0005-0000-0000-0000C29D0000}"/>
    <cellStyle name="Normal 7 4 4 3 3" xfId="43092" xr:uid="{00000000-0005-0000-0000-0000C39D0000}"/>
    <cellStyle name="Normal 7 4 4 4" xfId="19860" xr:uid="{00000000-0005-0000-0000-0000C49D0000}"/>
    <cellStyle name="Normal 7 4 4 5" xfId="35352" xr:uid="{00000000-0005-0000-0000-0000C59D0000}"/>
    <cellStyle name="Normal 7 4 5" xfId="6206" xr:uid="{00000000-0005-0000-0000-0000C69D0000}"/>
    <cellStyle name="Normal 7 4 5 2" xfId="13951" xr:uid="{00000000-0005-0000-0000-0000C79D0000}"/>
    <cellStyle name="Normal 7 4 5 2 2" xfId="29543" xr:uid="{00000000-0005-0000-0000-0000C89D0000}"/>
    <cellStyle name="Normal 7 4 5 2 3" xfId="45035" xr:uid="{00000000-0005-0000-0000-0000C99D0000}"/>
    <cellStyle name="Normal 7 4 5 3" xfId="21803" xr:uid="{00000000-0005-0000-0000-0000CA9D0000}"/>
    <cellStyle name="Normal 7 4 5 4" xfId="37295" xr:uid="{00000000-0005-0000-0000-0000CB9D0000}"/>
    <cellStyle name="Normal 7 4 6" xfId="10081" xr:uid="{00000000-0005-0000-0000-0000CC9D0000}"/>
    <cellStyle name="Normal 7 4 6 2" xfId="25673" xr:uid="{00000000-0005-0000-0000-0000CD9D0000}"/>
    <cellStyle name="Normal 7 4 6 3" xfId="41165" xr:uid="{00000000-0005-0000-0000-0000CE9D0000}"/>
    <cellStyle name="Normal 7 4 7" xfId="17933" xr:uid="{00000000-0005-0000-0000-0000CF9D0000}"/>
    <cellStyle name="Normal 7 4 8" xfId="33425" xr:uid="{00000000-0005-0000-0000-0000D09D0000}"/>
    <cellStyle name="Normal 7 5" xfId="2292" xr:uid="{00000000-0005-0000-0000-0000D19D0000}"/>
    <cellStyle name="Normal 7 5 2" xfId="2608" xr:uid="{00000000-0005-0000-0000-0000D29D0000}"/>
    <cellStyle name="Normal 7 5 2 2" xfId="3616" xr:uid="{00000000-0005-0000-0000-0000D39D0000}"/>
    <cellStyle name="Normal 7 5 2 2 2" xfId="5555" xr:uid="{00000000-0005-0000-0000-0000D49D0000}"/>
    <cellStyle name="Normal 7 5 2 2 2 2" xfId="9426" xr:uid="{00000000-0005-0000-0000-0000D59D0000}"/>
    <cellStyle name="Normal 7 5 2 2 2 2 2" xfId="17171" xr:uid="{00000000-0005-0000-0000-0000D69D0000}"/>
    <cellStyle name="Normal 7 5 2 2 2 2 2 2" xfId="32763" xr:uid="{00000000-0005-0000-0000-0000D79D0000}"/>
    <cellStyle name="Normal 7 5 2 2 2 2 2 3" xfId="48255" xr:uid="{00000000-0005-0000-0000-0000D89D0000}"/>
    <cellStyle name="Normal 7 5 2 2 2 2 3" xfId="25023" xr:uid="{00000000-0005-0000-0000-0000D99D0000}"/>
    <cellStyle name="Normal 7 5 2 2 2 2 4" xfId="40515" xr:uid="{00000000-0005-0000-0000-0000DA9D0000}"/>
    <cellStyle name="Normal 7 5 2 2 2 3" xfId="13301" xr:uid="{00000000-0005-0000-0000-0000DB9D0000}"/>
    <cellStyle name="Normal 7 5 2 2 2 3 2" xfId="28893" xr:uid="{00000000-0005-0000-0000-0000DC9D0000}"/>
    <cellStyle name="Normal 7 5 2 2 2 3 3" xfId="44385" xr:uid="{00000000-0005-0000-0000-0000DD9D0000}"/>
    <cellStyle name="Normal 7 5 2 2 2 4" xfId="21153" xr:uid="{00000000-0005-0000-0000-0000DE9D0000}"/>
    <cellStyle name="Normal 7 5 2 2 2 5" xfId="36645" xr:uid="{00000000-0005-0000-0000-0000DF9D0000}"/>
    <cellStyle name="Normal 7 5 2 2 3" xfId="7499" xr:uid="{00000000-0005-0000-0000-0000E09D0000}"/>
    <cellStyle name="Normal 7 5 2 2 3 2" xfId="15244" xr:uid="{00000000-0005-0000-0000-0000E19D0000}"/>
    <cellStyle name="Normal 7 5 2 2 3 2 2" xfId="30836" xr:uid="{00000000-0005-0000-0000-0000E29D0000}"/>
    <cellStyle name="Normal 7 5 2 2 3 2 3" xfId="46328" xr:uid="{00000000-0005-0000-0000-0000E39D0000}"/>
    <cellStyle name="Normal 7 5 2 2 3 3" xfId="23096" xr:uid="{00000000-0005-0000-0000-0000E49D0000}"/>
    <cellStyle name="Normal 7 5 2 2 3 4" xfId="38588" xr:uid="{00000000-0005-0000-0000-0000E59D0000}"/>
    <cellStyle name="Normal 7 5 2 2 4" xfId="11374" xr:uid="{00000000-0005-0000-0000-0000E69D0000}"/>
    <cellStyle name="Normal 7 5 2 2 4 2" xfId="26966" xr:uid="{00000000-0005-0000-0000-0000E79D0000}"/>
    <cellStyle name="Normal 7 5 2 2 4 3" xfId="42458" xr:uid="{00000000-0005-0000-0000-0000E89D0000}"/>
    <cellStyle name="Normal 7 5 2 2 5" xfId="19226" xr:uid="{00000000-0005-0000-0000-0000E99D0000}"/>
    <cellStyle name="Normal 7 5 2 2 6" xfId="34718" xr:uid="{00000000-0005-0000-0000-0000EA9D0000}"/>
    <cellStyle name="Normal 7 5 2 3" xfId="4607" xr:uid="{00000000-0005-0000-0000-0000EB9D0000}"/>
    <cellStyle name="Normal 7 5 2 3 2" xfId="8478" xr:uid="{00000000-0005-0000-0000-0000EC9D0000}"/>
    <cellStyle name="Normal 7 5 2 3 2 2" xfId="16223" xr:uid="{00000000-0005-0000-0000-0000ED9D0000}"/>
    <cellStyle name="Normal 7 5 2 3 2 2 2" xfId="31815" xr:uid="{00000000-0005-0000-0000-0000EE9D0000}"/>
    <cellStyle name="Normal 7 5 2 3 2 2 3" xfId="47307" xr:uid="{00000000-0005-0000-0000-0000EF9D0000}"/>
    <cellStyle name="Normal 7 5 2 3 2 3" xfId="24075" xr:uid="{00000000-0005-0000-0000-0000F09D0000}"/>
    <cellStyle name="Normal 7 5 2 3 2 4" xfId="39567" xr:uid="{00000000-0005-0000-0000-0000F19D0000}"/>
    <cellStyle name="Normal 7 5 2 3 3" xfId="12353" xr:uid="{00000000-0005-0000-0000-0000F29D0000}"/>
    <cellStyle name="Normal 7 5 2 3 3 2" xfId="27945" xr:uid="{00000000-0005-0000-0000-0000F39D0000}"/>
    <cellStyle name="Normal 7 5 2 3 3 3" xfId="43437" xr:uid="{00000000-0005-0000-0000-0000F49D0000}"/>
    <cellStyle name="Normal 7 5 2 3 4" xfId="20205" xr:uid="{00000000-0005-0000-0000-0000F59D0000}"/>
    <cellStyle name="Normal 7 5 2 3 5" xfId="35697" xr:uid="{00000000-0005-0000-0000-0000F69D0000}"/>
    <cellStyle name="Normal 7 5 2 4" xfId="6551" xr:uid="{00000000-0005-0000-0000-0000F79D0000}"/>
    <cellStyle name="Normal 7 5 2 4 2" xfId="14296" xr:uid="{00000000-0005-0000-0000-0000F89D0000}"/>
    <cellStyle name="Normal 7 5 2 4 2 2" xfId="29888" xr:uid="{00000000-0005-0000-0000-0000F99D0000}"/>
    <cellStyle name="Normal 7 5 2 4 2 3" xfId="45380" xr:uid="{00000000-0005-0000-0000-0000FA9D0000}"/>
    <cellStyle name="Normal 7 5 2 4 3" xfId="22148" xr:uid="{00000000-0005-0000-0000-0000FB9D0000}"/>
    <cellStyle name="Normal 7 5 2 4 4" xfId="37640" xr:uid="{00000000-0005-0000-0000-0000FC9D0000}"/>
    <cellStyle name="Normal 7 5 2 5" xfId="10426" xr:uid="{00000000-0005-0000-0000-0000FD9D0000}"/>
    <cellStyle name="Normal 7 5 2 5 2" xfId="26018" xr:uid="{00000000-0005-0000-0000-0000FE9D0000}"/>
    <cellStyle name="Normal 7 5 2 5 3" xfId="41510" xr:uid="{00000000-0005-0000-0000-0000FF9D0000}"/>
    <cellStyle name="Normal 7 5 2 6" xfId="18278" xr:uid="{00000000-0005-0000-0000-0000009E0000}"/>
    <cellStyle name="Normal 7 5 2 7" xfId="33770" xr:uid="{00000000-0005-0000-0000-0000019E0000}"/>
    <cellStyle name="Normal 7 5 3" xfId="3307" xr:uid="{00000000-0005-0000-0000-0000029E0000}"/>
    <cellStyle name="Normal 7 5 3 2" xfId="5246" xr:uid="{00000000-0005-0000-0000-0000039E0000}"/>
    <cellStyle name="Normal 7 5 3 2 2" xfId="9117" xr:uid="{00000000-0005-0000-0000-0000049E0000}"/>
    <cellStyle name="Normal 7 5 3 2 2 2" xfId="16862" xr:uid="{00000000-0005-0000-0000-0000059E0000}"/>
    <cellStyle name="Normal 7 5 3 2 2 2 2" xfId="32454" xr:uid="{00000000-0005-0000-0000-0000069E0000}"/>
    <cellStyle name="Normal 7 5 3 2 2 2 3" xfId="47946" xr:uid="{00000000-0005-0000-0000-0000079E0000}"/>
    <cellStyle name="Normal 7 5 3 2 2 3" xfId="24714" xr:uid="{00000000-0005-0000-0000-0000089E0000}"/>
    <cellStyle name="Normal 7 5 3 2 2 4" xfId="40206" xr:uid="{00000000-0005-0000-0000-0000099E0000}"/>
    <cellStyle name="Normal 7 5 3 2 3" xfId="12992" xr:uid="{00000000-0005-0000-0000-00000A9E0000}"/>
    <cellStyle name="Normal 7 5 3 2 3 2" xfId="28584" xr:uid="{00000000-0005-0000-0000-00000B9E0000}"/>
    <cellStyle name="Normal 7 5 3 2 3 3" xfId="44076" xr:uid="{00000000-0005-0000-0000-00000C9E0000}"/>
    <cellStyle name="Normal 7 5 3 2 4" xfId="20844" xr:uid="{00000000-0005-0000-0000-00000D9E0000}"/>
    <cellStyle name="Normal 7 5 3 2 5" xfId="36336" xr:uid="{00000000-0005-0000-0000-00000E9E0000}"/>
    <cellStyle name="Normal 7 5 3 3" xfId="7190" xr:uid="{00000000-0005-0000-0000-00000F9E0000}"/>
    <cellStyle name="Normal 7 5 3 3 2" xfId="14935" xr:uid="{00000000-0005-0000-0000-0000109E0000}"/>
    <cellStyle name="Normal 7 5 3 3 2 2" xfId="30527" xr:uid="{00000000-0005-0000-0000-0000119E0000}"/>
    <cellStyle name="Normal 7 5 3 3 2 3" xfId="46019" xr:uid="{00000000-0005-0000-0000-0000129E0000}"/>
    <cellStyle name="Normal 7 5 3 3 3" xfId="22787" xr:uid="{00000000-0005-0000-0000-0000139E0000}"/>
    <cellStyle name="Normal 7 5 3 3 4" xfId="38279" xr:uid="{00000000-0005-0000-0000-0000149E0000}"/>
    <cellStyle name="Normal 7 5 3 4" xfId="11065" xr:uid="{00000000-0005-0000-0000-0000159E0000}"/>
    <cellStyle name="Normal 7 5 3 4 2" xfId="26657" xr:uid="{00000000-0005-0000-0000-0000169E0000}"/>
    <cellStyle name="Normal 7 5 3 4 3" xfId="42149" xr:uid="{00000000-0005-0000-0000-0000179E0000}"/>
    <cellStyle name="Normal 7 5 3 5" xfId="18917" xr:uid="{00000000-0005-0000-0000-0000189E0000}"/>
    <cellStyle name="Normal 7 5 3 6" xfId="34409" xr:uid="{00000000-0005-0000-0000-0000199E0000}"/>
    <cellStyle name="Normal 7 5 4" xfId="4298" xr:uid="{00000000-0005-0000-0000-00001A9E0000}"/>
    <cellStyle name="Normal 7 5 4 2" xfId="8169" xr:uid="{00000000-0005-0000-0000-00001B9E0000}"/>
    <cellStyle name="Normal 7 5 4 2 2" xfId="15914" xr:uid="{00000000-0005-0000-0000-00001C9E0000}"/>
    <cellStyle name="Normal 7 5 4 2 2 2" xfId="31506" xr:uid="{00000000-0005-0000-0000-00001D9E0000}"/>
    <cellStyle name="Normal 7 5 4 2 2 3" xfId="46998" xr:uid="{00000000-0005-0000-0000-00001E9E0000}"/>
    <cellStyle name="Normal 7 5 4 2 3" xfId="23766" xr:uid="{00000000-0005-0000-0000-00001F9E0000}"/>
    <cellStyle name="Normal 7 5 4 2 4" xfId="39258" xr:uid="{00000000-0005-0000-0000-0000209E0000}"/>
    <cellStyle name="Normal 7 5 4 3" xfId="12044" xr:uid="{00000000-0005-0000-0000-0000219E0000}"/>
    <cellStyle name="Normal 7 5 4 3 2" xfId="27636" xr:uid="{00000000-0005-0000-0000-0000229E0000}"/>
    <cellStyle name="Normal 7 5 4 3 3" xfId="43128" xr:uid="{00000000-0005-0000-0000-0000239E0000}"/>
    <cellStyle name="Normal 7 5 4 4" xfId="19896" xr:uid="{00000000-0005-0000-0000-0000249E0000}"/>
    <cellStyle name="Normal 7 5 4 5" xfId="35388" xr:uid="{00000000-0005-0000-0000-0000259E0000}"/>
    <cellStyle name="Normal 7 5 5" xfId="6242" xr:uid="{00000000-0005-0000-0000-0000269E0000}"/>
    <cellStyle name="Normal 7 5 5 2" xfId="13987" xr:uid="{00000000-0005-0000-0000-0000279E0000}"/>
    <cellStyle name="Normal 7 5 5 2 2" xfId="29579" xr:uid="{00000000-0005-0000-0000-0000289E0000}"/>
    <cellStyle name="Normal 7 5 5 2 3" xfId="45071" xr:uid="{00000000-0005-0000-0000-0000299E0000}"/>
    <cellStyle name="Normal 7 5 5 3" xfId="21839" xr:uid="{00000000-0005-0000-0000-00002A9E0000}"/>
    <cellStyle name="Normal 7 5 5 4" xfId="37331" xr:uid="{00000000-0005-0000-0000-00002B9E0000}"/>
    <cellStyle name="Normal 7 5 6" xfId="10117" xr:uid="{00000000-0005-0000-0000-00002C9E0000}"/>
    <cellStyle name="Normal 7 5 6 2" xfId="25709" xr:uid="{00000000-0005-0000-0000-00002D9E0000}"/>
    <cellStyle name="Normal 7 5 6 3" xfId="41201" xr:uid="{00000000-0005-0000-0000-00002E9E0000}"/>
    <cellStyle name="Normal 7 5 7" xfId="17969" xr:uid="{00000000-0005-0000-0000-00002F9E0000}"/>
    <cellStyle name="Normal 7 5 8" xfId="33461" xr:uid="{00000000-0005-0000-0000-0000309E0000}"/>
    <cellStyle name="Normal 7 6" xfId="2330" xr:uid="{00000000-0005-0000-0000-0000319E0000}"/>
    <cellStyle name="Normal 7 6 2" xfId="2644" xr:uid="{00000000-0005-0000-0000-0000329E0000}"/>
    <cellStyle name="Normal 7 6 2 2" xfId="3652" xr:uid="{00000000-0005-0000-0000-0000339E0000}"/>
    <cellStyle name="Normal 7 6 2 2 2" xfId="5591" xr:uid="{00000000-0005-0000-0000-0000349E0000}"/>
    <cellStyle name="Normal 7 6 2 2 2 2" xfId="9462" xr:uid="{00000000-0005-0000-0000-0000359E0000}"/>
    <cellStyle name="Normal 7 6 2 2 2 2 2" xfId="17207" xr:uid="{00000000-0005-0000-0000-0000369E0000}"/>
    <cellStyle name="Normal 7 6 2 2 2 2 2 2" xfId="32799" xr:uid="{00000000-0005-0000-0000-0000379E0000}"/>
    <cellStyle name="Normal 7 6 2 2 2 2 2 3" xfId="48291" xr:uid="{00000000-0005-0000-0000-0000389E0000}"/>
    <cellStyle name="Normal 7 6 2 2 2 2 3" xfId="25059" xr:uid="{00000000-0005-0000-0000-0000399E0000}"/>
    <cellStyle name="Normal 7 6 2 2 2 2 4" xfId="40551" xr:uid="{00000000-0005-0000-0000-00003A9E0000}"/>
    <cellStyle name="Normal 7 6 2 2 2 3" xfId="13337" xr:uid="{00000000-0005-0000-0000-00003B9E0000}"/>
    <cellStyle name="Normal 7 6 2 2 2 3 2" xfId="28929" xr:uid="{00000000-0005-0000-0000-00003C9E0000}"/>
    <cellStyle name="Normal 7 6 2 2 2 3 3" xfId="44421" xr:uid="{00000000-0005-0000-0000-00003D9E0000}"/>
    <cellStyle name="Normal 7 6 2 2 2 4" xfId="21189" xr:uid="{00000000-0005-0000-0000-00003E9E0000}"/>
    <cellStyle name="Normal 7 6 2 2 2 5" xfId="36681" xr:uid="{00000000-0005-0000-0000-00003F9E0000}"/>
    <cellStyle name="Normal 7 6 2 2 3" xfId="7535" xr:uid="{00000000-0005-0000-0000-0000409E0000}"/>
    <cellStyle name="Normal 7 6 2 2 3 2" xfId="15280" xr:uid="{00000000-0005-0000-0000-0000419E0000}"/>
    <cellStyle name="Normal 7 6 2 2 3 2 2" xfId="30872" xr:uid="{00000000-0005-0000-0000-0000429E0000}"/>
    <cellStyle name="Normal 7 6 2 2 3 2 3" xfId="46364" xr:uid="{00000000-0005-0000-0000-0000439E0000}"/>
    <cellStyle name="Normal 7 6 2 2 3 3" xfId="23132" xr:uid="{00000000-0005-0000-0000-0000449E0000}"/>
    <cellStyle name="Normal 7 6 2 2 3 4" xfId="38624" xr:uid="{00000000-0005-0000-0000-0000459E0000}"/>
    <cellStyle name="Normal 7 6 2 2 4" xfId="11410" xr:uid="{00000000-0005-0000-0000-0000469E0000}"/>
    <cellStyle name="Normal 7 6 2 2 4 2" xfId="27002" xr:uid="{00000000-0005-0000-0000-0000479E0000}"/>
    <cellStyle name="Normal 7 6 2 2 4 3" xfId="42494" xr:uid="{00000000-0005-0000-0000-0000489E0000}"/>
    <cellStyle name="Normal 7 6 2 2 5" xfId="19262" xr:uid="{00000000-0005-0000-0000-0000499E0000}"/>
    <cellStyle name="Normal 7 6 2 2 6" xfId="34754" xr:uid="{00000000-0005-0000-0000-00004A9E0000}"/>
    <cellStyle name="Normal 7 6 2 3" xfId="4643" xr:uid="{00000000-0005-0000-0000-00004B9E0000}"/>
    <cellStyle name="Normal 7 6 2 3 2" xfId="8514" xr:uid="{00000000-0005-0000-0000-00004C9E0000}"/>
    <cellStyle name="Normal 7 6 2 3 2 2" xfId="16259" xr:uid="{00000000-0005-0000-0000-00004D9E0000}"/>
    <cellStyle name="Normal 7 6 2 3 2 2 2" xfId="31851" xr:uid="{00000000-0005-0000-0000-00004E9E0000}"/>
    <cellStyle name="Normal 7 6 2 3 2 2 3" xfId="47343" xr:uid="{00000000-0005-0000-0000-00004F9E0000}"/>
    <cellStyle name="Normal 7 6 2 3 2 3" xfId="24111" xr:uid="{00000000-0005-0000-0000-0000509E0000}"/>
    <cellStyle name="Normal 7 6 2 3 2 4" xfId="39603" xr:uid="{00000000-0005-0000-0000-0000519E0000}"/>
    <cellStyle name="Normal 7 6 2 3 3" xfId="12389" xr:uid="{00000000-0005-0000-0000-0000529E0000}"/>
    <cellStyle name="Normal 7 6 2 3 3 2" xfId="27981" xr:uid="{00000000-0005-0000-0000-0000539E0000}"/>
    <cellStyle name="Normal 7 6 2 3 3 3" xfId="43473" xr:uid="{00000000-0005-0000-0000-0000549E0000}"/>
    <cellStyle name="Normal 7 6 2 3 4" xfId="20241" xr:uid="{00000000-0005-0000-0000-0000559E0000}"/>
    <cellStyle name="Normal 7 6 2 3 5" xfId="35733" xr:uid="{00000000-0005-0000-0000-0000569E0000}"/>
    <cellStyle name="Normal 7 6 2 4" xfId="6587" xr:uid="{00000000-0005-0000-0000-0000579E0000}"/>
    <cellStyle name="Normal 7 6 2 4 2" xfId="14332" xr:uid="{00000000-0005-0000-0000-0000589E0000}"/>
    <cellStyle name="Normal 7 6 2 4 2 2" xfId="29924" xr:uid="{00000000-0005-0000-0000-0000599E0000}"/>
    <cellStyle name="Normal 7 6 2 4 2 3" xfId="45416" xr:uid="{00000000-0005-0000-0000-00005A9E0000}"/>
    <cellStyle name="Normal 7 6 2 4 3" xfId="22184" xr:uid="{00000000-0005-0000-0000-00005B9E0000}"/>
    <cellStyle name="Normal 7 6 2 4 4" xfId="37676" xr:uid="{00000000-0005-0000-0000-00005C9E0000}"/>
    <cellStyle name="Normal 7 6 2 5" xfId="10462" xr:uid="{00000000-0005-0000-0000-00005D9E0000}"/>
    <cellStyle name="Normal 7 6 2 5 2" xfId="26054" xr:uid="{00000000-0005-0000-0000-00005E9E0000}"/>
    <cellStyle name="Normal 7 6 2 5 3" xfId="41546" xr:uid="{00000000-0005-0000-0000-00005F9E0000}"/>
    <cellStyle name="Normal 7 6 2 6" xfId="18314" xr:uid="{00000000-0005-0000-0000-0000609E0000}"/>
    <cellStyle name="Normal 7 6 2 7" xfId="33806" xr:uid="{00000000-0005-0000-0000-0000619E0000}"/>
    <cellStyle name="Normal 7 6 3" xfId="3343" xr:uid="{00000000-0005-0000-0000-0000629E0000}"/>
    <cellStyle name="Normal 7 6 3 2" xfId="5282" xr:uid="{00000000-0005-0000-0000-0000639E0000}"/>
    <cellStyle name="Normal 7 6 3 2 2" xfId="9153" xr:uid="{00000000-0005-0000-0000-0000649E0000}"/>
    <cellStyle name="Normal 7 6 3 2 2 2" xfId="16898" xr:uid="{00000000-0005-0000-0000-0000659E0000}"/>
    <cellStyle name="Normal 7 6 3 2 2 2 2" xfId="32490" xr:uid="{00000000-0005-0000-0000-0000669E0000}"/>
    <cellStyle name="Normal 7 6 3 2 2 2 3" xfId="47982" xr:uid="{00000000-0005-0000-0000-0000679E0000}"/>
    <cellStyle name="Normal 7 6 3 2 2 3" xfId="24750" xr:uid="{00000000-0005-0000-0000-0000689E0000}"/>
    <cellStyle name="Normal 7 6 3 2 2 4" xfId="40242" xr:uid="{00000000-0005-0000-0000-0000699E0000}"/>
    <cellStyle name="Normal 7 6 3 2 3" xfId="13028" xr:uid="{00000000-0005-0000-0000-00006A9E0000}"/>
    <cellStyle name="Normal 7 6 3 2 3 2" xfId="28620" xr:uid="{00000000-0005-0000-0000-00006B9E0000}"/>
    <cellStyle name="Normal 7 6 3 2 3 3" xfId="44112" xr:uid="{00000000-0005-0000-0000-00006C9E0000}"/>
    <cellStyle name="Normal 7 6 3 2 4" xfId="20880" xr:uid="{00000000-0005-0000-0000-00006D9E0000}"/>
    <cellStyle name="Normal 7 6 3 2 5" xfId="36372" xr:uid="{00000000-0005-0000-0000-00006E9E0000}"/>
    <cellStyle name="Normal 7 6 3 3" xfId="7226" xr:uid="{00000000-0005-0000-0000-00006F9E0000}"/>
    <cellStyle name="Normal 7 6 3 3 2" xfId="14971" xr:uid="{00000000-0005-0000-0000-0000709E0000}"/>
    <cellStyle name="Normal 7 6 3 3 2 2" xfId="30563" xr:uid="{00000000-0005-0000-0000-0000719E0000}"/>
    <cellStyle name="Normal 7 6 3 3 2 3" xfId="46055" xr:uid="{00000000-0005-0000-0000-0000729E0000}"/>
    <cellStyle name="Normal 7 6 3 3 3" xfId="22823" xr:uid="{00000000-0005-0000-0000-0000739E0000}"/>
    <cellStyle name="Normal 7 6 3 3 4" xfId="38315" xr:uid="{00000000-0005-0000-0000-0000749E0000}"/>
    <cellStyle name="Normal 7 6 3 4" xfId="11101" xr:uid="{00000000-0005-0000-0000-0000759E0000}"/>
    <cellStyle name="Normal 7 6 3 4 2" xfId="26693" xr:uid="{00000000-0005-0000-0000-0000769E0000}"/>
    <cellStyle name="Normal 7 6 3 4 3" xfId="42185" xr:uid="{00000000-0005-0000-0000-0000779E0000}"/>
    <cellStyle name="Normal 7 6 3 5" xfId="18953" xr:uid="{00000000-0005-0000-0000-0000789E0000}"/>
    <cellStyle name="Normal 7 6 3 6" xfId="34445" xr:uid="{00000000-0005-0000-0000-0000799E0000}"/>
    <cellStyle name="Normal 7 6 4" xfId="4334" xr:uid="{00000000-0005-0000-0000-00007A9E0000}"/>
    <cellStyle name="Normal 7 6 4 2" xfId="8205" xr:uid="{00000000-0005-0000-0000-00007B9E0000}"/>
    <cellStyle name="Normal 7 6 4 2 2" xfId="15950" xr:uid="{00000000-0005-0000-0000-00007C9E0000}"/>
    <cellStyle name="Normal 7 6 4 2 2 2" xfId="31542" xr:uid="{00000000-0005-0000-0000-00007D9E0000}"/>
    <cellStyle name="Normal 7 6 4 2 2 3" xfId="47034" xr:uid="{00000000-0005-0000-0000-00007E9E0000}"/>
    <cellStyle name="Normal 7 6 4 2 3" xfId="23802" xr:uid="{00000000-0005-0000-0000-00007F9E0000}"/>
    <cellStyle name="Normal 7 6 4 2 4" xfId="39294" xr:uid="{00000000-0005-0000-0000-0000809E0000}"/>
    <cellStyle name="Normal 7 6 4 3" xfId="12080" xr:uid="{00000000-0005-0000-0000-0000819E0000}"/>
    <cellStyle name="Normal 7 6 4 3 2" xfId="27672" xr:uid="{00000000-0005-0000-0000-0000829E0000}"/>
    <cellStyle name="Normal 7 6 4 3 3" xfId="43164" xr:uid="{00000000-0005-0000-0000-0000839E0000}"/>
    <cellStyle name="Normal 7 6 4 4" xfId="19932" xr:uid="{00000000-0005-0000-0000-0000849E0000}"/>
    <cellStyle name="Normal 7 6 4 5" xfId="35424" xr:uid="{00000000-0005-0000-0000-0000859E0000}"/>
    <cellStyle name="Normal 7 6 5" xfId="6278" xr:uid="{00000000-0005-0000-0000-0000869E0000}"/>
    <cellStyle name="Normal 7 6 5 2" xfId="14023" xr:uid="{00000000-0005-0000-0000-0000879E0000}"/>
    <cellStyle name="Normal 7 6 5 2 2" xfId="29615" xr:uid="{00000000-0005-0000-0000-0000889E0000}"/>
    <cellStyle name="Normal 7 6 5 2 3" xfId="45107" xr:uid="{00000000-0005-0000-0000-0000899E0000}"/>
    <cellStyle name="Normal 7 6 5 3" xfId="21875" xr:uid="{00000000-0005-0000-0000-00008A9E0000}"/>
    <cellStyle name="Normal 7 6 5 4" xfId="37367" xr:uid="{00000000-0005-0000-0000-00008B9E0000}"/>
    <cellStyle name="Normal 7 6 6" xfId="10153" xr:uid="{00000000-0005-0000-0000-00008C9E0000}"/>
    <cellStyle name="Normal 7 6 6 2" xfId="25745" xr:uid="{00000000-0005-0000-0000-00008D9E0000}"/>
    <cellStyle name="Normal 7 6 6 3" xfId="41237" xr:uid="{00000000-0005-0000-0000-00008E9E0000}"/>
    <cellStyle name="Normal 7 6 7" xfId="18005" xr:uid="{00000000-0005-0000-0000-00008F9E0000}"/>
    <cellStyle name="Normal 7 6 8" xfId="33497" xr:uid="{00000000-0005-0000-0000-0000909E0000}"/>
    <cellStyle name="Normal 7 7" xfId="2367" xr:uid="{00000000-0005-0000-0000-0000919E0000}"/>
    <cellStyle name="Normal 7 7 2" xfId="2680" xr:uid="{00000000-0005-0000-0000-0000929E0000}"/>
    <cellStyle name="Normal 7 7 2 2" xfId="3688" xr:uid="{00000000-0005-0000-0000-0000939E0000}"/>
    <cellStyle name="Normal 7 7 2 2 2" xfId="5627" xr:uid="{00000000-0005-0000-0000-0000949E0000}"/>
    <cellStyle name="Normal 7 7 2 2 2 2" xfId="9498" xr:uid="{00000000-0005-0000-0000-0000959E0000}"/>
    <cellStyle name="Normal 7 7 2 2 2 2 2" xfId="17243" xr:uid="{00000000-0005-0000-0000-0000969E0000}"/>
    <cellStyle name="Normal 7 7 2 2 2 2 2 2" xfId="32835" xr:uid="{00000000-0005-0000-0000-0000979E0000}"/>
    <cellStyle name="Normal 7 7 2 2 2 2 2 3" xfId="48327" xr:uid="{00000000-0005-0000-0000-0000989E0000}"/>
    <cellStyle name="Normal 7 7 2 2 2 2 3" xfId="25095" xr:uid="{00000000-0005-0000-0000-0000999E0000}"/>
    <cellStyle name="Normal 7 7 2 2 2 2 4" xfId="40587" xr:uid="{00000000-0005-0000-0000-00009A9E0000}"/>
    <cellStyle name="Normal 7 7 2 2 2 3" xfId="13373" xr:uid="{00000000-0005-0000-0000-00009B9E0000}"/>
    <cellStyle name="Normal 7 7 2 2 2 3 2" xfId="28965" xr:uid="{00000000-0005-0000-0000-00009C9E0000}"/>
    <cellStyle name="Normal 7 7 2 2 2 3 3" xfId="44457" xr:uid="{00000000-0005-0000-0000-00009D9E0000}"/>
    <cellStyle name="Normal 7 7 2 2 2 4" xfId="21225" xr:uid="{00000000-0005-0000-0000-00009E9E0000}"/>
    <cellStyle name="Normal 7 7 2 2 2 5" xfId="36717" xr:uid="{00000000-0005-0000-0000-00009F9E0000}"/>
    <cellStyle name="Normal 7 7 2 2 3" xfId="7571" xr:uid="{00000000-0005-0000-0000-0000A09E0000}"/>
    <cellStyle name="Normal 7 7 2 2 3 2" xfId="15316" xr:uid="{00000000-0005-0000-0000-0000A19E0000}"/>
    <cellStyle name="Normal 7 7 2 2 3 2 2" xfId="30908" xr:uid="{00000000-0005-0000-0000-0000A29E0000}"/>
    <cellStyle name="Normal 7 7 2 2 3 2 3" xfId="46400" xr:uid="{00000000-0005-0000-0000-0000A39E0000}"/>
    <cellStyle name="Normal 7 7 2 2 3 3" xfId="23168" xr:uid="{00000000-0005-0000-0000-0000A49E0000}"/>
    <cellStyle name="Normal 7 7 2 2 3 4" xfId="38660" xr:uid="{00000000-0005-0000-0000-0000A59E0000}"/>
    <cellStyle name="Normal 7 7 2 2 4" xfId="11446" xr:uid="{00000000-0005-0000-0000-0000A69E0000}"/>
    <cellStyle name="Normal 7 7 2 2 4 2" xfId="27038" xr:uid="{00000000-0005-0000-0000-0000A79E0000}"/>
    <cellStyle name="Normal 7 7 2 2 4 3" xfId="42530" xr:uid="{00000000-0005-0000-0000-0000A89E0000}"/>
    <cellStyle name="Normal 7 7 2 2 5" xfId="19298" xr:uid="{00000000-0005-0000-0000-0000A99E0000}"/>
    <cellStyle name="Normal 7 7 2 2 6" xfId="34790" xr:uid="{00000000-0005-0000-0000-0000AA9E0000}"/>
    <cellStyle name="Normal 7 7 2 3" xfId="4679" xr:uid="{00000000-0005-0000-0000-0000AB9E0000}"/>
    <cellStyle name="Normal 7 7 2 3 2" xfId="8550" xr:uid="{00000000-0005-0000-0000-0000AC9E0000}"/>
    <cellStyle name="Normal 7 7 2 3 2 2" xfId="16295" xr:uid="{00000000-0005-0000-0000-0000AD9E0000}"/>
    <cellStyle name="Normal 7 7 2 3 2 2 2" xfId="31887" xr:uid="{00000000-0005-0000-0000-0000AE9E0000}"/>
    <cellStyle name="Normal 7 7 2 3 2 2 3" xfId="47379" xr:uid="{00000000-0005-0000-0000-0000AF9E0000}"/>
    <cellStyle name="Normal 7 7 2 3 2 3" xfId="24147" xr:uid="{00000000-0005-0000-0000-0000B09E0000}"/>
    <cellStyle name="Normal 7 7 2 3 2 4" xfId="39639" xr:uid="{00000000-0005-0000-0000-0000B19E0000}"/>
    <cellStyle name="Normal 7 7 2 3 3" xfId="12425" xr:uid="{00000000-0005-0000-0000-0000B29E0000}"/>
    <cellStyle name="Normal 7 7 2 3 3 2" xfId="28017" xr:uid="{00000000-0005-0000-0000-0000B39E0000}"/>
    <cellStyle name="Normal 7 7 2 3 3 3" xfId="43509" xr:uid="{00000000-0005-0000-0000-0000B49E0000}"/>
    <cellStyle name="Normal 7 7 2 3 4" xfId="20277" xr:uid="{00000000-0005-0000-0000-0000B59E0000}"/>
    <cellStyle name="Normal 7 7 2 3 5" xfId="35769" xr:uid="{00000000-0005-0000-0000-0000B69E0000}"/>
    <cellStyle name="Normal 7 7 2 4" xfId="6623" xr:uid="{00000000-0005-0000-0000-0000B79E0000}"/>
    <cellStyle name="Normal 7 7 2 4 2" xfId="14368" xr:uid="{00000000-0005-0000-0000-0000B89E0000}"/>
    <cellStyle name="Normal 7 7 2 4 2 2" xfId="29960" xr:uid="{00000000-0005-0000-0000-0000B99E0000}"/>
    <cellStyle name="Normal 7 7 2 4 2 3" xfId="45452" xr:uid="{00000000-0005-0000-0000-0000BA9E0000}"/>
    <cellStyle name="Normal 7 7 2 4 3" xfId="22220" xr:uid="{00000000-0005-0000-0000-0000BB9E0000}"/>
    <cellStyle name="Normal 7 7 2 4 4" xfId="37712" xr:uid="{00000000-0005-0000-0000-0000BC9E0000}"/>
    <cellStyle name="Normal 7 7 2 5" xfId="10498" xr:uid="{00000000-0005-0000-0000-0000BD9E0000}"/>
    <cellStyle name="Normal 7 7 2 5 2" xfId="26090" xr:uid="{00000000-0005-0000-0000-0000BE9E0000}"/>
    <cellStyle name="Normal 7 7 2 5 3" xfId="41582" xr:uid="{00000000-0005-0000-0000-0000BF9E0000}"/>
    <cellStyle name="Normal 7 7 2 6" xfId="18350" xr:uid="{00000000-0005-0000-0000-0000C09E0000}"/>
    <cellStyle name="Normal 7 7 2 7" xfId="33842" xr:uid="{00000000-0005-0000-0000-0000C19E0000}"/>
    <cellStyle name="Normal 7 7 3" xfId="3379" xr:uid="{00000000-0005-0000-0000-0000C29E0000}"/>
    <cellStyle name="Normal 7 7 3 2" xfId="5318" xr:uid="{00000000-0005-0000-0000-0000C39E0000}"/>
    <cellStyle name="Normal 7 7 3 2 2" xfId="9189" xr:uid="{00000000-0005-0000-0000-0000C49E0000}"/>
    <cellStyle name="Normal 7 7 3 2 2 2" xfId="16934" xr:uid="{00000000-0005-0000-0000-0000C59E0000}"/>
    <cellStyle name="Normal 7 7 3 2 2 2 2" xfId="32526" xr:uid="{00000000-0005-0000-0000-0000C69E0000}"/>
    <cellStyle name="Normal 7 7 3 2 2 2 3" xfId="48018" xr:uid="{00000000-0005-0000-0000-0000C79E0000}"/>
    <cellStyle name="Normal 7 7 3 2 2 3" xfId="24786" xr:uid="{00000000-0005-0000-0000-0000C89E0000}"/>
    <cellStyle name="Normal 7 7 3 2 2 4" xfId="40278" xr:uid="{00000000-0005-0000-0000-0000C99E0000}"/>
    <cellStyle name="Normal 7 7 3 2 3" xfId="13064" xr:uid="{00000000-0005-0000-0000-0000CA9E0000}"/>
    <cellStyle name="Normal 7 7 3 2 3 2" xfId="28656" xr:uid="{00000000-0005-0000-0000-0000CB9E0000}"/>
    <cellStyle name="Normal 7 7 3 2 3 3" xfId="44148" xr:uid="{00000000-0005-0000-0000-0000CC9E0000}"/>
    <cellStyle name="Normal 7 7 3 2 4" xfId="20916" xr:uid="{00000000-0005-0000-0000-0000CD9E0000}"/>
    <cellStyle name="Normal 7 7 3 2 5" xfId="36408" xr:uid="{00000000-0005-0000-0000-0000CE9E0000}"/>
    <cellStyle name="Normal 7 7 3 3" xfId="7262" xr:uid="{00000000-0005-0000-0000-0000CF9E0000}"/>
    <cellStyle name="Normal 7 7 3 3 2" xfId="15007" xr:uid="{00000000-0005-0000-0000-0000D09E0000}"/>
    <cellStyle name="Normal 7 7 3 3 2 2" xfId="30599" xr:uid="{00000000-0005-0000-0000-0000D19E0000}"/>
    <cellStyle name="Normal 7 7 3 3 2 3" xfId="46091" xr:uid="{00000000-0005-0000-0000-0000D29E0000}"/>
    <cellStyle name="Normal 7 7 3 3 3" xfId="22859" xr:uid="{00000000-0005-0000-0000-0000D39E0000}"/>
    <cellStyle name="Normal 7 7 3 3 4" xfId="38351" xr:uid="{00000000-0005-0000-0000-0000D49E0000}"/>
    <cellStyle name="Normal 7 7 3 4" xfId="11137" xr:uid="{00000000-0005-0000-0000-0000D59E0000}"/>
    <cellStyle name="Normal 7 7 3 4 2" xfId="26729" xr:uid="{00000000-0005-0000-0000-0000D69E0000}"/>
    <cellStyle name="Normal 7 7 3 4 3" xfId="42221" xr:uid="{00000000-0005-0000-0000-0000D79E0000}"/>
    <cellStyle name="Normal 7 7 3 5" xfId="18989" xr:uid="{00000000-0005-0000-0000-0000D89E0000}"/>
    <cellStyle name="Normal 7 7 3 6" xfId="34481" xr:uid="{00000000-0005-0000-0000-0000D99E0000}"/>
    <cellStyle name="Normal 7 7 4" xfId="4370" xr:uid="{00000000-0005-0000-0000-0000DA9E0000}"/>
    <cellStyle name="Normal 7 7 4 2" xfId="8241" xr:uid="{00000000-0005-0000-0000-0000DB9E0000}"/>
    <cellStyle name="Normal 7 7 4 2 2" xfId="15986" xr:uid="{00000000-0005-0000-0000-0000DC9E0000}"/>
    <cellStyle name="Normal 7 7 4 2 2 2" xfId="31578" xr:uid="{00000000-0005-0000-0000-0000DD9E0000}"/>
    <cellStyle name="Normal 7 7 4 2 2 3" xfId="47070" xr:uid="{00000000-0005-0000-0000-0000DE9E0000}"/>
    <cellStyle name="Normal 7 7 4 2 3" xfId="23838" xr:uid="{00000000-0005-0000-0000-0000DF9E0000}"/>
    <cellStyle name="Normal 7 7 4 2 4" xfId="39330" xr:uid="{00000000-0005-0000-0000-0000E09E0000}"/>
    <cellStyle name="Normal 7 7 4 3" xfId="12116" xr:uid="{00000000-0005-0000-0000-0000E19E0000}"/>
    <cellStyle name="Normal 7 7 4 3 2" xfId="27708" xr:uid="{00000000-0005-0000-0000-0000E29E0000}"/>
    <cellStyle name="Normal 7 7 4 3 3" xfId="43200" xr:uid="{00000000-0005-0000-0000-0000E39E0000}"/>
    <cellStyle name="Normal 7 7 4 4" xfId="19968" xr:uid="{00000000-0005-0000-0000-0000E49E0000}"/>
    <cellStyle name="Normal 7 7 4 5" xfId="35460" xr:uid="{00000000-0005-0000-0000-0000E59E0000}"/>
    <cellStyle name="Normal 7 7 5" xfId="6314" xr:uid="{00000000-0005-0000-0000-0000E69E0000}"/>
    <cellStyle name="Normal 7 7 5 2" xfId="14059" xr:uid="{00000000-0005-0000-0000-0000E79E0000}"/>
    <cellStyle name="Normal 7 7 5 2 2" xfId="29651" xr:uid="{00000000-0005-0000-0000-0000E89E0000}"/>
    <cellStyle name="Normal 7 7 5 2 3" xfId="45143" xr:uid="{00000000-0005-0000-0000-0000E99E0000}"/>
    <cellStyle name="Normal 7 7 5 3" xfId="21911" xr:uid="{00000000-0005-0000-0000-0000EA9E0000}"/>
    <cellStyle name="Normal 7 7 5 4" xfId="37403" xr:uid="{00000000-0005-0000-0000-0000EB9E0000}"/>
    <cellStyle name="Normal 7 7 6" xfId="10189" xr:uid="{00000000-0005-0000-0000-0000EC9E0000}"/>
    <cellStyle name="Normal 7 7 6 2" xfId="25781" xr:uid="{00000000-0005-0000-0000-0000ED9E0000}"/>
    <cellStyle name="Normal 7 7 6 3" xfId="41273" xr:uid="{00000000-0005-0000-0000-0000EE9E0000}"/>
    <cellStyle name="Normal 7 7 7" xfId="18041" xr:uid="{00000000-0005-0000-0000-0000EF9E0000}"/>
    <cellStyle name="Normal 7 7 8" xfId="33533" xr:uid="{00000000-0005-0000-0000-0000F09E0000}"/>
    <cellStyle name="Normal 7 8" xfId="2405" xr:uid="{00000000-0005-0000-0000-0000F19E0000}"/>
    <cellStyle name="Normal 7 8 2" xfId="2716" xr:uid="{00000000-0005-0000-0000-0000F29E0000}"/>
    <cellStyle name="Normal 7 8 2 2" xfId="3724" xr:uid="{00000000-0005-0000-0000-0000F39E0000}"/>
    <cellStyle name="Normal 7 8 2 2 2" xfId="5663" xr:uid="{00000000-0005-0000-0000-0000F49E0000}"/>
    <cellStyle name="Normal 7 8 2 2 2 2" xfId="9534" xr:uid="{00000000-0005-0000-0000-0000F59E0000}"/>
    <cellStyle name="Normal 7 8 2 2 2 2 2" xfId="17279" xr:uid="{00000000-0005-0000-0000-0000F69E0000}"/>
    <cellStyle name="Normal 7 8 2 2 2 2 2 2" xfId="32871" xr:uid="{00000000-0005-0000-0000-0000F79E0000}"/>
    <cellStyle name="Normal 7 8 2 2 2 2 2 3" xfId="48363" xr:uid="{00000000-0005-0000-0000-0000F89E0000}"/>
    <cellStyle name="Normal 7 8 2 2 2 2 3" xfId="25131" xr:uid="{00000000-0005-0000-0000-0000F99E0000}"/>
    <cellStyle name="Normal 7 8 2 2 2 2 4" xfId="40623" xr:uid="{00000000-0005-0000-0000-0000FA9E0000}"/>
    <cellStyle name="Normal 7 8 2 2 2 3" xfId="13409" xr:uid="{00000000-0005-0000-0000-0000FB9E0000}"/>
    <cellStyle name="Normal 7 8 2 2 2 3 2" xfId="29001" xr:uid="{00000000-0005-0000-0000-0000FC9E0000}"/>
    <cellStyle name="Normal 7 8 2 2 2 3 3" xfId="44493" xr:uid="{00000000-0005-0000-0000-0000FD9E0000}"/>
    <cellStyle name="Normal 7 8 2 2 2 4" xfId="21261" xr:uid="{00000000-0005-0000-0000-0000FE9E0000}"/>
    <cellStyle name="Normal 7 8 2 2 2 5" xfId="36753" xr:uid="{00000000-0005-0000-0000-0000FF9E0000}"/>
    <cellStyle name="Normal 7 8 2 2 3" xfId="7607" xr:uid="{00000000-0005-0000-0000-0000009F0000}"/>
    <cellStyle name="Normal 7 8 2 2 3 2" xfId="15352" xr:uid="{00000000-0005-0000-0000-0000019F0000}"/>
    <cellStyle name="Normal 7 8 2 2 3 2 2" xfId="30944" xr:uid="{00000000-0005-0000-0000-0000029F0000}"/>
    <cellStyle name="Normal 7 8 2 2 3 2 3" xfId="46436" xr:uid="{00000000-0005-0000-0000-0000039F0000}"/>
    <cellStyle name="Normal 7 8 2 2 3 3" xfId="23204" xr:uid="{00000000-0005-0000-0000-0000049F0000}"/>
    <cellStyle name="Normal 7 8 2 2 3 4" xfId="38696" xr:uid="{00000000-0005-0000-0000-0000059F0000}"/>
    <cellStyle name="Normal 7 8 2 2 4" xfId="11482" xr:uid="{00000000-0005-0000-0000-0000069F0000}"/>
    <cellStyle name="Normal 7 8 2 2 4 2" xfId="27074" xr:uid="{00000000-0005-0000-0000-0000079F0000}"/>
    <cellStyle name="Normal 7 8 2 2 4 3" xfId="42566" xr:uid="{00000000-0005-0000-0000-0000089F0000}"/>
    <cellStyle name="Normal 7 8 2 2 5" xfId="19334" xr:uid="{00000000-0005-0000-0000-0000099F0000}"/>
    <cellStyle name="Normal 7 8 2 2 6" xfId="34826" xr:uid="{00000000-0005-0000-0000-00000A9F0000}"/>
    <cellStyle name="Normal 7 8 2 3" xfId="4715" xr:uid="{00000000-0005-0000-0000-00000B9F0000}"/>
    <cellStyle name="Normal 7 8 2 3 2" xfId="8586" xr:uid="{00000000-0005-0000-0000-00000C9F0000}"/>
    <cellStyle name="Normal 7 8 2 3 2 2" xfId="16331" xr:uid="{00000000-0005-0000-0000-00000D9F0000}"/>
    <cellStyle name="Normal 7 8 2 3 2 2 2" xfId="31923" xr:uid="{00000000-0005-0000-0000-00000E9F0000}"/>
    <cellStyle name="Normal 7 8 2 3 2 2 3" xfId="47415" xr:uid="{00000000-0005-0000-0000-00000F9F0000}"/>
    <cellStyle name="Normal 7 8 2 3 2 3" xfId="24183" xr:uid="{00000000-0005-0000-0000-0000109F0000}"/>
    <cellStyle name="Normal 7 8 2 3 2 4" xfId="39675" xr:uid="{00000000-0005-0000-0000-0000119F0000}"/>
    <cellStyle name="Normal 7 8 2 3 3" xfId="12461" xr:uid="{00000000-0005-0000-0000-0000129F0000}"/>
    <cellStyle name="Normal 7 8 2 3 3 2" xfId="28053" xr:uid="{00000000-0005-0000-0000-0000139F0000}"/>
    <cellStyle name="Normal 7 8 2 3 3 3" xfId="43545" xr:uid="{00000000-0005-0000-0000-0000149F0000}"/>
    <cellStyle name="Normal 7 8 2 3 4" xfId="20313" xr:uid="{00000000-0005-0000-0000-0000159F0000}"/>
    <cellStyle name="Normal 7 8 2 3 5" xfId="35805" xr:uid="{00000000-0005-0000-0000-0000169F0000}"/>
    <cellStyle name="Normal 7 8 2 4" xfId="6659" xr:uid="{00000000-0005-0000-0000-0000179F0000}"/>
    <cellStyle name="Normal 7 8 2 4 2" xfId="14404" xr:uid="{00000000-0005-0000-0000-0000189F0000}"/>
    <cellStyle name="Normal 7 8 2 4 2 2" xfId="29996" xr:uid="{00000000-0005-0000-0000-0000199F0000}"/>
    <cellStyle name="Normal 7 8 2 4 2 3" xfId="45488" xr:uid="{00000000-0005-0000-0000-00001A9F0000}"/>
    <cellStyle name="Normal 7 8 2 4 3" xfId="22256" xr:uid="{00000000-0005-0000-0000-00001B9F0000}"/>
    <cellStyle name="Normal 7 8 2 4 4" xfId="37748" xr:uid="{00000000-0005-0000-0000-00001C9F0000}"/>
    <cellStyle name="Normal 7 8 2 5" xfId="10534" xr:uid="{00000000-0005-0000-0000-00001D9F0000}"/>
    <cellStyle name="Normal 7 8 2 5 2" xfId="26126" xr:uid="{00000000-0005-0000-0000-00001E9F0000}"/>
    <cellStyle name="Normal 7 8 2 5 3" xfId="41618" xr:uid="{00000000-0005-0000-0000-00001F9F0000}"/>
    <cellStyle name="Normal 7 8 2 6" xfId="18386" xr:uid="{00000000-0005-0000-0000-0000209F0000}"/>
    <cellStyle name="Normal 7 8 2 7" xfId="33878" xr:uid="{00000000-0005-0000-0000-0000219F0000}"/>
    <cellStyle name="Normal 7 8 3" xfId="3415" xr:uid="{00000000-0005-0000-0000-0000229F0000}"/>
    <cellStyle name="Normal 7 8 3 2" xfId="5354" xr:uid="{00000000-0005-0000-0000-0000239F0000}"/>
    <cellStyle name="Normal 7 8 3 2 2" xfId="9225" xr:uid="{00000000-0005-0000-0000-0000249F0000}"/>
    <cellStyle name="Normal 7 8 3 2 2 2" xfId="16970" xr:uid="{00000000-0005-0000-0000-0000259F0000}"/>
    <cellStyle name="Normal 7 8 3 2 2 2 2" xfId="32562" xr:uid="{00000000-0005-0000-0000-0000269F0000}"/>
    <cellStyle name="Normal 7 8 3 2 2 2 3" xfId="48054" xr:uid="{00000000-0005-0000-0000-0000279F0000}"/>
    <cellStyle name="Normal 7 8 3 2 2 3" xfId="24822" xr:uid="{00000000-0005-0000-0000-0000289F0000}"/>
    <cellStyle name="Normal 7 8 3 2 2 4" xfId="40314" xr:uid="{00000000-0005-0000-0000-0000299F0000}"/>
    <cellStyle name="Normal 7 8 3 2 3" xfId="13100" xr:uid="{00000000-0005-0000-0000-00002A9F0000}"/>
    <cellStyle name="Normal 7 8 3 2 3 2" xfId="28692" xr:uid="{00000000-0005-0000-0000-00002B9F0000}"/>
    <cellStyle name="Normal 7 8 3 2 3 3" xfId="44184" xr:uid="{00000000-0005-0000-0000-00002C9F0000}"/>
    <cellStyle name="Normal 7 8 3 2 4" xfId="20952" xr:uid="{00000000-0005-0000-0000-00002D9F0000}"/>
    <cellStyle name="Normal 7 8 3 2 5" xfId="36444" xr:uid="{00000000-0005-0000-0000-00002E9F0000}"/>
    <cellStyle name="Normal 7 8 3 3" xfId="7298" xr:uid="{00000000-0005-0000-0000-00002F9F0000}"/>
    <cellStyle name="Normal 7 8 3 3 2" xfId="15043" xr:uid="{00000000-0005-0000-0000-0000309F0000}"/>
    <cellStyle name="Normal 7 8 3 3 2 2" xfId="30635" xr:uid="{00000000-0005-0000-0000-0000319F0000}"/>
    <cellStyle name="Normal 7 8 3 3 2 3" xfId="46127" xr:uid="{00000000-0005-0000-0000-0000329F0000}"/>
    <cellStyle name="Normal 7 8 3 3 3" xfId="22895" xr:uid="{00000000-0005-0000-0000-0000339F0000}"/>
    <cellStyle name="Normal 7 8 3 3 4" xfId="38387" xr:uid="{00000000-0005-0000-0000-0000349F0000}"/>
    <cellStyle name="Normal 7 8 3 4" xfId="11173" xr:uid="{00000000-0005-0000-0000-0000359F0000}"/>
    <cellStyle name="Normal 7 8 3 4 2" xfId="26765" xr:uid="{00000000-0005-0000-0000-0000369F0000}"/>
    <cellStyle name="Normal 7 8 3 4 3" xfId="42257" xr:uid="{00000000-0005-0000-0000-0000379F0000}"/>
    <cellStyle name="Normal 7 8 3 5" xfId="19025" xr:uid="{00000000-0005-0000-0000-0000389F0000}"/>
    <cellStyle name="Normal 7 8 3 6" xfId="34517" xr:uid="{00000000-0005-0000-0000-0000399F0000}"/>
    <cellStyle name="Normal 7 8 4" xfId="4406" xr:uid="{00000000-0005-0000-0000-00003A9F0000}"/>
    <cellStyle name="Normal 7 8 4 2" xfId="8277" xr:uid="{00000000-0005-0000-0000-00003B9F0000}"/>
    <cellStyle name="Normal 7 8 4 2 2" xfId="16022" xr:uid="{00000000-0005-0000-0000-00003C9F0000}"/>
    <cellStyle name="Normal 7 8 4 2 2 2" xfId="31614" xr:uid="{00000000-0005-0000-0000-00003D9F0000}"/>
    <cellStyle name="Normal 7 8 4 2 2 3" xfId="47106" xr:uid="{00000000-0005-0000-0000-00003E9F0000}"/>
    <cellStyle name="Normal 7 8 4 2 3" xfId="23874" xr:uid="{00000000-0005-0000-0000-00003F9F0000}"/>
    <cellStyle name="Normal 7 8 4 2 4" xfId="39366" xr:uid="{00000000-0005-0000-0000-0000409F0000}"/>
    <cellStyle name="Normal 7 8 4 3" xfId="12152" xr:uid="{00000000-0005-0000-0000-0000419F0000}"/>
    <cellStyle name="Normal 7 8 4 3 2" xfId="27744" xr:uid="{00000000-0005-0000-0000-0000429F0000}"/>
    <cellStyle name="Normal 7 8 4 3 3" xfId="43236" xr:uid="{00000000-0005-0000-0000-0000439F0000}"/>
    <cellStyle name="Normal 7 8 4 4" xfId="20004" xr:uid="{00000000-0005-0000-0000-0000449F0000}"/>
    <cellStyle name="Normal 7 8 4 5" xfId="35496" xr:uid="{00000000-0005-0000-0000-0000459F0000}"/>
    <cellStyle name="Normal 7 8 5" xfId="6350" xr:uid="{00000000-0005-0000-0000-0000469F0000}"/>
    <cellStyle name="Normal 7 8 5 2" xfId="14095" xr:uid="{00000000-0005-0000-0000-0000479F0000}"/>
    <cellStyle name="Normal 7 8 5 2 2" xfId="29687" xr:uid="{00000000-0005-0000-0000-0000489F0000}"/>
    <cellStyle name="Normal 7 8 5 2 3" xfId="45179" xr:uid="{00000000-0005-0000-0000-0000499F0000}"/>
    <cellStyle name="Normal 7 8 5 3" xfId="21947" xr:uid="{00000000-0005-0000-0000-00004A9F0000}"/>
    <cellStyle name="Normal 7 8 5 4" xfId="37439" xr:uid="{00000000-0005-0000-0000-00004B9F0000}"/>
    <cellStyle name="Normal 7 8 6" xfId="10225" xr:uid="{00000000-0005-0000-0000-00004C9F0000}"/>
    <cellStyle name="Normal 7 8 6 2" xfId="25817" xr:uid="{00000000-0005-0000-0000-00004D9F0000}"/>
    <cellStyle name="Normal 7 8 6 3" xfId="41309" xr:uid="{00000000-0005-0000-0000-00004E9F0000}"/>
    <cellStyle name="Normal 7 8 7" xfId="18077" xr:uid="{00000000-0005-0000-0000-00004F9F0000}"/>
    <cellStyle name="Normal 7 8 8" xfId="33569" xr:uid="{00000000-0005-0000-0000-0000509F0000}"/>
    <cellStyle name="Normal 7 9" xfId="2442" xr:uid="{00000000-0005-0000-0000-0000519F0000}"/>
    <cellStyle name="Normal 7 9 2" xfId="2752" xr:uid="{00000000-0005-0000-0000-0000529F0000}"/>
    <cellStyle name="Normal 7 9 2 2" xfId="3760" xr:uid="{00000000-0005-0000-0000-0000539F0000}"/>
    <cellStyle name="Normal 7 9 2 2 2" xfId="5699" xr:uid="{00000000-0005-0000-0000-0000549F0000}"/>
    <cellStyle name="Normal 7 9 2 2 2 2" xfId="9570" xr:uid="{00000000-0005-0000-0000-0000559F0000}"/>
    <cellStyle name="Normal 7 9 2 2 2 2 2" xfId="17315" xr:uid="{00000000-0005-0000-0000-0000569F0000}"/>
    <cellStyle name="Normal 7 9 2 2 2 2 2 2" xfId="32907" xr:uid="{00000000-0005-0000-0000-0000579F0000}"/>
    <cellStyle name="Normal 7 9 2 2 2 2 2 3" xfId="48399" xr:uid="{00000000-0005-0000-0000-0000589F0000}"/>
    <cellStyle name="Normal 7 9 2 2 2 2 3" xfId="25167" xr:uid="{00000000-0005-0000-0000-0000599F0000}"/>
    <cellStyle name="Normal 7 9 2 2 2 2 4" xfId="40659" xr:uid="{00000000-0005-0000-0000-00005A9F0000}"/>
    <cellStyle name="Normal 7 9 2 2 2 3" xfId="13445" xr:uid="{00000000-0005-0000-0000-00005B9F0000}"/>
    <cellStyle name="Normal 7 9 2 2 2 3 2" xfId="29037" xr:uid="{00000000-0005-0000-0000-00005C9F0000}"/>
    <cellStyle name="Normal 7 9 2 2 2 3 3" xfId="44529" xr:uid="{00000000-0005-0000-0000-00005D9F0000}"/>
    <cellStyle name="Normal 7 9 2 2 2 4" xfId="21297" xr:uid="{00000000-0005-0000-0000-00005E9F0000}"/>
    <cellStyle name="Normal 7 9 2 2 2 5" xfId="36789" xr:uid="{00000000-0005-0000-0000-00005F9F0000}"/>
    <cellStyle name="Normal 7 9 2 2 3" xfId="7643" xr:uid="{00000000-0005-0000-0000-0000609F0000}"/>
    <cellStyle name="Normal 7 9 2 2 3 2" xfId="15388" xr:uid="{00000000-0005-0000-0000-0000619F0000}"/>
    <cellStyle name="Normal 7 9 2 2 3 2 2" xfId="30980" xr:uid="{00000000-0005-0000-0000-0000629F0000}"/>
    <cellStyle name="Normal 7 9 2 2 3 2 3" xfId="46472" xr:uid="{00000000-0005-0000-0000-0000639F0000}"/>
    <cellStyle name="Normal 7 9 2 2 3 3" xfId="23240" xr:uid="{00000000-0005-0000-0000-0000649F0000}"/>
    <cellStyle name="Normal 7 9 2 2 3 4" xfId="38732" xr:uid="{00000000-0005-0000-0000-0000659F0000}"/>
    <cellStyle name="Normal 7 9 2 2 4" xfId="11518" xr:uid="{00000000-0005-0000-0000-0000669F0000}"/>
    <cellStyle name="Normal 7 9 2 2 4 2" xfId="27110" xr:uid="{00000000-0005-0000-0000-0000679F0000}"/>
    <cellStyle name="Normal 7 9 2 2 4 3" xfId="42602" xr:uid="{00000000-0005-0000-0000-0000689F0000}"/>
    <cellStyle name="Normal 7 9 2 2 5" xfId="19370" xr:uid="{00000000-0005-0000-0000-0000699F0000}"/>
    <cellStyle name="Normal 7 9 2 2 6" xfId="34862" xr:uid="{00000000-0005-0000-0000-00006A9F0000}"/>
    <cellStyle name="Normal 7 9 2 3" xfId="4751" xr:uid="{00000000-0005-0000-0000-00006B9F0000}"/>
    <cellStyle name="Normal 7 9 2 3 2" xfId="8622" xr:uid="{00000000-0005-0000-0000-00006C9F0000}"/>
    <cellStyle name="Normal 7 9 2 3 2 2" xfId="16367" xr:uid="{00000000-0005-0000-0000-00006D9F0000}"/>
    <cellStyle name="Normal 7 9 2 3 2 2 2" xfId="31959" xr:uid="{00000000-0005-0000-0000-00006E9F0000}"/>
    <cellStyle name="Normal 7 9 2 3 2 2 3" xfId="47451" xr:uid="{00000000-0005-0000-0000-00006F9F0000}"/>
    <cellStyle name="Normal 7 9 2 3 2 3" xfId="24219" xr:uid="{00000000-0005-0000-0000-0000709F0000}"/>
    <cellStyle name="Normal 7 9 2 3 2 4" xfId="39711" xr:uid="{00000000-0005-0000-0000-0000719F0000}"/>
    <cellStyle name="Normal 7 9 2 3 3" xfId="12497" xr:uid="{00000000-0005-0000-0000-0000729F0000}"/>
    <cellStyle name="Normal 7 9 2 3 3 2" xfId="28089" xr:uid="{00000000-0005-0000-0000-0000739F0000}"/>
    <cellStyle name="Normal 7 9 2 3 3 3" xfId="43581" xr:uid="{00000000-0005-0000-0000-0000749F0000}"/>
    <cellStyle name="Normal 7 9 2 3 4" xfId="20349" xr:uid="{00000000-0005-0000-0000-0000759F0000}"/>
    <cellStyle name="Normal 7 9 2 3 5" xfId="35841" xr:uid="{00000000-0005-0000-0000-0000769F0000}"/>
    <cellStyle name="Normal 7 9 2 4" xfId="6695" xr:uid="{00000000-0005-0000-0000-0000779F0000}"/>
    <cellStyle name="Normal 7 9 2 4 2" xfId="14440" xr:uid="{00000000-0005-0000-0000-0000789F0000}"/>
    <cellStyle name="Normal 7 9 2 4 2 2" xfId="30032" xr:uid="{00000000-0005-0000-0000-0000799F0000}"/>
    <cellStyle name="Normal 7 9 2 4 2 3" xfId="45524" xr:uid="{00000000-0005-0000-0000-00007A9F0000}"/>
    <cellStyle name="Normal 7 9 2 4 3" xfId="22292" xr:uid="{00000000-0005-0000-0000-00007B9F0000}"/>
    <cellStyle name="Normal 7 9 2 4 4" xfId="37784" xr:uid="{00000000-0005-0000-0000-00007C9F0000}"/>
    <cellStyle name="Normal 7 9 2 5" xfId="10570" xr:uid="{00000000-0005-0000-0000-00007D9F0000}"/>
    <cellStyle name="Normal 7 9 2 5 2" xfId="26162" xr:uid="{00000000-0005-0000-0000-00007E9F0000}"/>
    <cellStyle name="Normal 7 9 2 5 3" xfId="41654" xr:uid="{00000000-0005-0000-0000-00007F9F0000}"/>
    <cellStyle name="Normal 7 9 2 6" xfId="18422" xr:uid="{00000000-0005-0000-0000-0000809F0000}"/>
    <cellStyle name="Normal 7 9 2 7" xfId="33914" xr:uid="{00000000-0005-0000-0000-0000819F0000}"/>
    <cellStyle name="Normal 7 9 3" xfId="3451" xr:uid="{00000000-0005-0000-0000-0000829F0000}"/>
    <cellStyle name="Normal 7 9 3 2" xfId="5390" xr:uid="{00000000-0005-0000-0000-0000839F0000}"/>
    <cellStyle name="Normal 7 9 3 2 2" xfId="9261" xr:uid="{00000000-0005-0000-0000-0000849F0000}"/>
    <cellStyle name="Normal 7 9 3 2 2 2" xfId="17006" xr:uid="{00000000-0005-0000-0000-0000859F0000}"/>
    <cellStyle name="Normal 7 9 3 2 2 2 2" xfId="32598" xr:uid="{00000000-0005-0000-0000-0000869F0000}"/>
    <cellStyle name="Normal 7 9 3 2 2 2 3" xfId="48090" xr:uid="{00000000-0005-0000-0000-0000879F0000}"/>
    <cellStyle name="Normal 7 9 3 2 2 3" xfId="24858" xr:uid="{00000000-0005-0000-0000-0000889F0000}"/>
    <cellStyle name="Normal 7 9 3 2 2 4" xfId="40350" xr:uid="{00000000-0005-0000-0000-0000899F0000}"/>
    <cellStyle name="Normal 7 9 3 2 3" xfId="13136" xr:uid="{00000000-0005-0000-0000-00008A9F0000}"/>
    <cellStyle name="Normal 7 9 3 2 3 2" xfId="28728" xr:uid="{00000000-0005-0000-0000-00008B9F0000}"/>
    <cellStyle name="Normal 7 9 3 2 3 3" xfId="44220" xr:uid="{00000000-0005-0000-0000-00008C9F0000}"/>
    <cellStyle name="Normal 7 9 3 2 4" xfId="20988" xr:uid="{00000000-0005-0000-0000-00008D9F0000}"/>
    <cellStyle name="Normal 7 9 3 2 5" xfId="36480" xr:uid="{00000000-0005-0000-0000-00008E9F0000}"/>
    <cellStyle name="Normal 7 9 3 3" xfId="7334" xr:uid="{00000000-0005-0000-0000-00008F9F0000}"/>
    <cellStyle name="Normal 7 9 3 3 2" xfId="15079" xr:uid="{00000000-0005-0000-0000-0000909F0000}"/>
    <cellStyle name="Normal 7 9 3 3 2 2" xfId="30671" xr:uid="{00000000-0005-0000-0000-0000919F0000}"/>
    <cellStyle name="Normal 7 9 3 3 2 3" xfId="46163" xr:uid="{00000000-0005-0000-0000-0000929F0000}"/>
    <cellStyle name="Normal 7 9 3 3 3" xfId="22931" xr:uid="{00000000-0005-0000-0000-0000939F0000}"/>
    <cellStyle name="Normal 7 9 3 3 4" xfId="38423" xr:uid="{00000000-0005-0000-0000-0000949F0000}"/>
    <cellStyle name="Normal 7 9 3 4" xfId="11209" xr:uid="{00000000-0005-0000-0000-0000959F0000}"/>
    <cellStyle name="Normal 7 9 3 4 2" xfId="26801" xr:uid="{00000000-0005-0000-0000-0000969F0000}"/>
    <cellStyle name="Normal 7 9 3 4 3" xfId="42293" xr:uid="{00000000-0005-0000-0000-0000979F0000}"/>
    <cellStyle name="Normal 7 9 3 5" xfId="19061" xr:uid="{00000000-0005-0000-0000-0000989F0000}"/>
    <cellStyle name="Normal 7 9 3 6" xfId="34553" xr:uid="{00000000-0005-0000-0000-0000999F0000}"/>
    <cellStyle name="Normal 7 9 4" xfId="4442" xr:uid="{00000000-0005-0000-0000-00009A9F0000}"/>
    <cellStyle name="Normal 7 9 4 2" xfId="8313" xr:uid="{00000000-0005-0000-0000-00009B9F0000}"/>
    <cellStyle name="Normal 7 9 4 2 2" xfId="16058" xr:uid="{00000000-0005-0000-0000-00009C9F0000}"/>
    <cellStyle name="Normal 7 9 4 2 2 2" xfId="31650" xr:uid="{00000000-0005-0000-0000-00009D9F0000}"/>
    <cellStyle name="Normal 7 9 4 2 2 3" xfId="47142" xr:uid="{00000000-0005-0000-0000-00009E9F0000}"/>
    <cellStyle name="Normal 7 9 4 2 3" xfId="23910" xr:uid="{00000000-0005-0000-0000-00009F9F0000}"/>
    <cellStyle name="Normal 7 9 4 2 4" xfId="39402" xr:uid="{00000000-0005-0000-0000-0000A09F0000}"/>
    <cellStyle name="Normal 7 9 4 3" xfId="12188" xr:uid="{00000000-0005-0000-0000-0000A19F0000}"/>
    <cellStyle name="Normal 7 9 4 3 2" xfId="27780" xr:uid="{00000000-0005-0000-0000-0000A29F0000}"/>
    <cellStyle name="Normal 7 9 4 3 3" xfId="43272" xr:uid="{00000000-0005-0000-0000-0000A39F0000}"/>
    <cellStyle name="Normal 7 9 4 4" xfId="20040" xr:uid="{00000000-0005-0000-0000-0000A49F0000}"/>
    <cellStyle name="Normal 7 9 4 5" xfId="35532" xr:uid="{00000000-0005-0000-0000-0000A59F0000}"/>
    <cellStyle name="Normal 7 9 5" xfId="6386" xr:uid="{00000000-0005-0000-0000-0000A69F0000}"/>
    <cellStyle name="Normal 7 9 5 2" xfId="14131" xr:uid="{00000000-0005-0000-0000-0000A79F0000}"/>
    <cellStyle name="Normal 7 9 5 2 2" xfId="29723" xr:uid="{00000000-0005-0000-0000-0000A89F0000}"/>
    <cellStyle name="Normal 7 9 5 2 3" xfId="45215" xr:uid="{00000000-0005-0000-0000-0000A99F0000}"/>
    <cellStyle name="Normal 7 9 5 3" xfId="21983" xr:uid="{00000000-0005-0000-0000-0000AA9F0000}"/>
    <cellStyle name="Normal 7 9 5 4" xfId="37475" xr:uid="{00000000-0005-0000-0000-0000AB9F0000}"/>
    <cellStyle name="Normal 7 9 6" xfId="10261" xr:uid="{00000000-0005-0000-0000-0000AC9F0000}"/>
    <cellStyle name="Normal 7 9 6 2" xfId="25853" xr:uid="{00000000-0005-0000-0000-0000AD9F0000}"/>
    <cellStyle name="Normal 7 9 6 3" xfId="41345" xr:uid="{00000000-0005-0000-0000-0000AE9F0000}"/>
    <cellStyle name="Normal 7 9 7" xfId="18113" xr:uid="{00000000-0005-0000-0000-0000AF9F0000}"/>
    <cellStyle name="Normal 7 9 8" xfId="33605" xr:uid="{00000000-0005-0000-0000-0000B09F0000}"/>
    <cellStyle name="Normal 8" xfId="2076" xr:uid="{00000000-0005-0000-0000-0000B19F0000}"/>
    <cellStyle name="Normal 8 2" xfId="2077" xr:uid="{00000000-0005-0000-0000-0000B29F0000}"/>
    <cellStyle name="Normal 8 3" xfId="2078" xr:uid="{00000000-0005-0000-0000-0000B39F0000}"/>
    <cellStyle name="Normal 8 3 10" xfId="2500" xr:uid="{00000000-0005-0000-0000-0000B49F0000}"/>
    <cellStyle name="Normal 8 3 10 2" xfId="3508" xr:uid="{00000000-0005-0000-0000-0000B59F0000}"/>
    <cellStyle name="Normal 8 3 10 2 2" xfId="5447" xr:uid="{00000000-0005-0000-0000-0000B69F0000}"/>
    <cellStyle name="Normal 8 3 10 2 2 2" xfId="9318" xr:uid="{00000000-0005-0000-0000-0000B79F0000}"/>
    <cellStyle name="Normal 8 3 10 2 2 2 2" xfId="17063" xr:uid="{00000000-0005-0000-0000-0000B89F0000}"/>
    <cellStyle name="Normal 8 3 10 2 2 2 2 2" xfId="32655" xr:uid="{00000000-0005-0000-0000-0000B99F0000}"/>
    <cellStyle name="Normal 8 3 10 2 2 2 2 3" xfId="48147" xr:uid="{00000000-0005-0000-0000-0000BA9F0000}"/>
    <cellStyle name="Normal 8 3 10 2 2 2 3" xfId="24915" xr:uid="{00000000-0005-0000-0000-0000BB9F0000}"/>
    <cellStyle name="Normal 8 3 10 2 2 2 4" xfId="40407" xr:uid="{00000000-0005-0000-0000-0000BC9F0000}"/>
    <cellStyle name="Normal 8 3 10 2 2 3" xfId="13193" xr:uid="{00000000-0005-0000-0000-0000BD9F0000}"/>
    <cellStyle name="Normal 8 3 10 2 2 3 2" xfId="28785" xr:uid="{00000000-0005-0000-0000-0000BE9F0000}"/>
    <cellStyle name="Normal 8 3 10 2 2 3 3" xfId="44277" xr:uid="{00000000-0005-0000-0000-0000BF9F0000}"/>
    <cellStyle name="Normal 8 3 10 2 2 4" xfId="21045" xr:uid="{00000000-0005-0000-0000-0000C09F0000}"/>
    <cellStyle name="Normal 8 3 10 2 2 5" xfId="36537" xr:uid="{00000000-0005-0000-0000-0000C19F0000}"/>
    <cellStyle name="Normal 8 3 10 2 3" xfId="7391" xr:uid="{00000000-0005-0000-0000-0000C29F0000}"/>
    <cellStyle name="Normal 8 3 10 2 3 2" xfId="15136" xr:uid="{00000000-0005-0000-0000-0000C39F0000}"/>
    <cellStyle name="Normal 8 3 10 2 3 2 2" xfId="30728" xr:uid="{00000000-0005-0000-0000-0000C49F0000}"/>
    <cellStyle name="Normal 8 3 10 2 3 2 3" xfId="46220" xr:uid="{00000000-0005-0000-0000-0000C59F0000}"/>
    <cellStyle name="Normal 8 3 10 2 3 3" xfId="22988" xr:uid="{00000000-0005-0000-0000-0000C69F0000}"/>
    <cellStyle name="Normal 8 3 10 2 3 4" xfId="38480" xr:uid="{00000000-0005-0000-0000-0000C79F0000}"/>
    <cellStyle name="Normal 8 3 10 2 4" xfId="11266" xr:uid="{00000000-0005-0000-0000-0000C89F0000}"/>
    <cellStyle name="Normal 8 3 10 2 4 2" xfId="26858" xr:uid="{00000000-0005-0000-0000-0000C99F0000}"/>
    <cellStyle name="Normal 8 3 10 2 4 3" xfId="42350" xr:uid="{00000000-0005-0000-0000-0000CA9F0000}"/>
    <cellStyle name="Normal 8 3 10 2 5" xfId="19118" xr:uid="{00000000-0005-0000-0000-0000CB9F0000}"/>
    <cellStyle name="Normal 8 3 10 2 6" xfId="34610" xr:uid="{00000000-0005-0000-0000-0000CC9F0000}"/>
    <cellStyle name="Normal 8 3 10 3" xfId="4499" xr:uid="{00000000-0005-0000-0000-0000CD9F0000}"/>
    <cellStyle name="Normal 8 3 10 3 2" xfId="8370" xr:uid="{00000000-0005-0000-0000-0000CE9F0000}"/>
    <cellStyle name="Normal 8 3 10 3 2 2" xfId="16115" xr:uid="{00000000-0005-0000-0000-0000CF9F0000}"/>
    <cellStyle name="Normal 8 3 10 3 2 2 2" xfId="31707" xr:uid="{00000000-0005-0000-0000-0000D09F0000}"/>
    <cellStyle name="Normal 8 3 10 3 2 2 3" xfId="47199" xr:uid="{00000000-0005-0000-0000-0000D19F0000}"/>
    <cellStyle name="Normal 8 3 10 3 2 3" xfId="23967" xr:uid="{00000000-0005-0000-0000-0000D29F0000}"/>
    <cellStyle name="Normal 8 3 10 3 2 4" xfId="39459" xr:uid="{00000000-0005-0000-0000-0000D39F0000}"/>
    <cellStyle name="Normal 8 3 10 3 3" xfId="12245" xr:uid="{00000000-0005-0000-0000-0000D49F0000}"/>
    <cellStyle name="Normal 8 3 10 3 3 2" xfId="27837" xr:uid="{00000000-0005-0000-0000-0000D59F0000}"/>
    <cellStyle name="Normal 8 3 10 3 3 3" xfId="43329" xr:uid="{00000000-0005-0000-0000-0000D69F0000}"/>
    <cellStyle name="Normal 8 3 10 3 4" xfId="20097" xr:uid="{00000000-0005-0000-0000-0000D79F0000}"/>
    <cellStyle name="Normal 8 3 10 3 5" xfId="35589" xr:uid="{00000000-0005-0000-0000-0000D89F0000}"/>
    <cellStyle name="Normal 8 3 10 4" xfId="6443" xr:uid="{00000000-0005-0000-0000-0000D99F0000}"/>
    <cellStyle name="Normal 8 3 10 4 2" xfId="14188" xr:uid="{00000000-0005-0000-0000-0000DA9F0000}"/>
    <cellStyle name="Normal 8 3 10 4 2 2" xfId="29780" xr:uid="{00000000-0005-0000-0000-0000DB9F0000}"/>
    <cellStyle name="Normal 8 3 10 4 2 3" xfId="45272" xr:uid="{00000000-0005-0000-0000-0000DC9F0000}"/>
    <cellStyle name="Normal 8 3 10 4 3" xfId="22040" xr:uid="{00000000-0005-0000-0000-0000DD9F0000}"/>
    <cellStyle name="Normal 8 3 10 4 4" xfId="37532" xr:uid="{00000000-0005-0000-0000-0000DE9F0000}"/>
    <cellStyle name="Normal 8 3 10 5" xfId="10318" xr:uid="{00000000-0005-0000-0000-0000DF9F0000}"/>
    <cellStyle name="Normal 8 3 10 5 2" xfId="25910" xr:uid="{00000000-0005-0000-0000-0000E09F0000}"/>
    <cellStyle name="Normal 8 3 10 5 3" xfId="41402" xr:uid="{00000000-0005-0000-0000-0000E19F0000}"/>
    <cellStyle name="Normal 8 3 10 6" xfId="18170" xr:uid="{00000000-0005-0000-0000-0000E29F0000}"/>
    <cellStyle name="Normal 8 3 10 7" xfId="33662" xr:uid="{00000000-0005-0000-0000-0000E39F0000}"/>
    <cellStyle name="Normal 8 3 11" xfId="2826" xr:uid="{00000000-0005-0000-0000-0000E49F0000}"/>
    <cellStyle name="Normal 8 3 11 2" xfId="3833" xr:uid="{00000000-0005-0000-0000-0000E59F0000}"/>
    <cellStyle name="Normal 8 3 11 2 2" xfId="5772" xr:uid="{00000000-0005-0000-0000-0000E69F0000}"/>
    <cellStyle name="Normal 8 3 11 2 2 2" xfId="9643" xr:uid="{00000000-0005-0000-0000-0000E79F0000}"/>
    <cellStyle name="Normal 8 3 11 2 2 2 2" xfId="17388" xr:uid="{00000000-0005-0000-0000-0000E89F0000}"/>
    <cellStyle name="Normal 8 3 11 2 2 2 2 2" xfId="32980" xr:uid="{00000000-0005-0000-0000-0000E99F0000}"/>
    <cellStyle name="Normal 8 3 11 2 2 2 2 3" xfId="48472" xr:uid="{00000000-0005-0000-0000-0000EA9F0000}"/>
    <cellStyle name="Normal 8 3 11 2 2 2 3" xfId="25240" xr:uid="{00000000-0005-0000-0000-0000EB9F0000}"/>
    <cellStyle name="Normal 8 3 11 2 2 2 4" xfId="40732" xr:uid="{00000000-0005-0000-0000-0000EC9F0000}"/>
    <cellStyle name="Normal 8 3 11 2 2 3" xfId="13518" xr:uid="{00000000-0005-0000-0000-0000ED9F0000}"/>
    <cellStyle name="Normal 8 3 11 2 2 3 2" xfId="29110" xr:uid="{00000000-0005-0000-0000-0000EE9F0000}"/>
    <cellStyle name="Normal 8 3 11 2 2 3 3" xfId="44602" xr:uid="{00000000-0005-0000-0000-0000EF9F0000}"/>
    <cellStyle name="Normal 8 3 11 2 2 4" xfId="21370" xr:uid="{00000000-0005-0000-0000-0000F09F0000}"/>
    <cellStyle name="Normal 8 3 11 2 2 5" xfId="36862" xr:uid="{00000000-0005-0000-0000-0000F19F0000}"/>
    <cellStyle name="Normal 8 3 11 2 3" xfId="7716" xr:uid="{00000000-0005-0000-0000-0000F29F0000}"/>
    <cellStyle name="Normal 8 3 11 2 3 2" xfId="15461" xr:uid="{00000000-0005-0000-0000-0000F39F0000}"/>
    <cellStyle name="Normal 8 3 11 2 3 2 2" xfId="31053" xr:uid="{00000000-0005-0000-0000-0000F49F0000}"/>
    <cellStyle name="Normal 8 3 11 2 3 2 3" xfId="46545" xr:uid="{00000000-0005-0000-0000-0000F59F0000}"/>
    <cellStyle name="Normal 8 3 11 2 3 3" xfId="23313" xr:uid="{00000000-0005-0000-0000-0000F69F0000}"/>
    <cellStyle name="Normal 8 3 11 2 3 4" xfId="38805" xr:uid="{00000000-0005-0000-0000-0000F79F0000}"/>
    <cellStyle name="Normal 8 3 11 2 4" xfId="11591" xr:uid="{00000000-0005-0000-0000-0000F89F0000}"/>
    <cellStyle name="Normal 8 3 11 2 4 2" xfId="27183" xr:uid="{00000000-0005-0000-0000-0000F99F0000}"/>
    <cellStyle name="Normal 8 3 11 2 4 3" xfId="42675" xr:uid="{00000000-0005-0000-0000-0000FA9F0000}"/>
    <cellStyle name="Normal 8 3 11 2 5" xfId="19443" xr:uid="{00000000-0005-0000-0000-0000FB9F0000}"/>
    <cellStyle name="Normal 8 3 11 2 6" xfId="34935" xr:uid="{00000000-0005-0000-0000-0000FC9F0000}"/>
    <cellStyle name="Normal 8 3 11 3" xfId="4824" xr:uid="{00000000-0005-0000-0000-0000FD9F0000}"/>
    <cellStyle name="Normal 8 3 11 3 2" xfId="8695" xr:uid="{00000000-0005-0000-0000-0000FE9F0000}"/>
    <cellStyle name="Normal 8 3 11 3 2 2" xfId="16440" xr:uid="{00000000-0005-0000-0000-0000FF9F0000}"/>
    <cellStyle name="Normal 8 3 11 3 2 2 2" xfId="32032" xr:uid="{00000000-0005-0000-0000-000000A00000}"/>
    <cellStyle name="Normal 8 3 11 3 2 2 3" xfId="47524" xr:uid="{00000000-0005-0000-0000-000001A00000}"/>
    <cellStyle name="Normal 8 3 11 3 2 3" xfId="24292" xr:uid="{00000000-0005-0000-0000-000002A00000}"/>
    <cellStyle name="Normal 8 3 11 3 2 4" xfId="39784" xr:uid="{00000000-0005-0000-0000-000003A00000}"/>
    <cellStyle name="Normal 8 3 11 3 3" xfId="12570" xr:uid="{00000000-0005-0000-0000-000004A00000}"/>
    <cellStyle name="Normal 8 3 11 3 3 2" xfId="28162" xr:uid="{00000000-0005-0000-0000-000005A00000}"/>
    <cellStyle name="Normal 8 3 11 3 3 3" xfId="43654" xr:uid="{00000000-0005-0000-0000-000006A00000}"/>
    <cellStyle name="Normal 8 3 11 3 4" xfId="20422" xr:uid="{00000000-0005-0000-0000-000007A00000}"/>
    <cellStyle name="Normal 8 3 11 3 5" xfId="35914" xr:uid="{00000000-0005-0000-0000-000008A00000}"/>
    <cellStyle name="Normal 8 3 11 4" xfId="6768" xr:uid="{00000000-0005-0000-0000-000009A00000}"/>
    <cellStyle name="Normal 8 3 11 4 2" xfId="14513" xr:uid="{00000000-0005-0000-0000-00000AA00000}"/>
    <cellStyle name="Normal 8 3 11 4 2 2" xfId="30105" xr:uid="{00000000-0005-0000-0000-00000BA00000}"/>
    <cellStyle name="Normal 8 3 11 4 2 3" xfId="45597" xr:uid="{00000000-0005-0000-0000-00000CA00000}"/>
    <cellStyle name="Normal 8 3 11 4 3" xfId="22365" xr:uid="{00000000-0005-0000-0000-00000DA00000}"/>
    <cellStyle name="Normal 8 3 11 4 4" xfId="37857" xr:uid="{00000000-0005-0000-0000-00000EA00000}"/>
    <cellStyle name="Normal 8 3 11 5" xfId="10643" xr:uid="{00000000-0005-0000-0000-00000FA00000}"/>
    <cellStyle name="Normal 8 3 11 5 2" xfId="26235" xr:uid="{00000000-0005-0000-0000-000010A00000}"/>
    <cellStyle name="Normal 8 3 11 5 3" xfId="41727" xr:uid="{00000000-0005-0000-0000-000011A00000}"/>
    <cellStyle name="Normal 8 3 11 6" xfId="18495" xr:uid="{00000000-0005-0000-0000-000012A00000}"/>
    <cellStyle name="Normal 8 3 11 7" xfId="33987" xr:uid="{00000000-0005-0000-0000-000013A00000}"/>
    <cellStyle name="Normal 8 3 12" xfId="2865" xr:uid="{00000000-0005-0000-0000-000014A00000}"/>
    <cellStyle name="Normal 8 3 12 2" xfId="3871" xr:uid="{00000000-0005-0000-0000-000015A00000}"/>
    <cellStyle name="Normal 8 3 12 2 2" xfId="5810" xr:uid="{00000000-0005-0000-0000-000016A00000}"/>
    <cellStyle name="Normal 8 3 12 2 2 2" xfId="9681" xr:uid="{00000000-0005-0000-0000-000017A00000}"/>
    <cellStyle name="Normal 8 3 12 2 2 2 2" xfId="17426" xr:uid="{00000000-0005-0000-0000-000018A00000}"/>
    <cellStyle name="Normal 8 3 12 2 2 2 2 2" xfId="33018" xr:uid="{00000000-0005-0000-0000-000019A00000}"/>
    <cellStyle name="Normal 8 3 12 2 2 2 2 3" xfId="48510" xr:uid="{00000000-0005-0000-0000-00001AA00000}"/>
    <cellStyle name="Normal 8 3 12 2 2 2 3" xfId="25278" xr:uid="{00000000-0005-0000-0000-00001BA00000}"/>
    <cellStyle name="Normal 8 3 12 2 2 2 4" xfId="40770" xr:uid="{00000000-0005-0000-0000-00001CA00000}"/>
    <cellStyle name="Normal 8 3 12 2 2 3" xfId="13556" xr:uid="{00000000-0005-0000-0000-00001DA00000}"/>
    <cellStyle name="Normal 8 3 12 2 2 3 2" xfId="29148" xr:uid="{00000000-0005-0000-0000-00001EA00000}"/>
    <cellStyle name="Normal 8 3 12 2 2 3 3" xfId="44640" xr:uid="{00000000-0005-0000-0000-00001FA00000}"/>
    <cellStyle name="Normal 8 3 12 2 2 4" xfId="21408" xr:uid="{00000000-0005-0000-0000-000020A00000}"/>
    <cellStyle name="Normal 8 3 12 2 2 5" xfId="36900" xr:uid="{00000000-0005-0000-0000-000021A00000}"/>
    <cellStyle name="Normal 8 3 12 2 3" xfId="7754" xr:uid="{00000000-0005-0000-0000-000022A00000}"/>
    <cellStyle name="Normal 8 3 12 2 3 2" xfId="15499" xr:uid="{00000000-0005-0000-0000-000023A00000}"/>
    <cellStyle name="Normal 8 3 12 2 3 2 2" xfId="31091" xr:uid="{00000000-0005-0000-0000-000024A00000}"/>
    <cellStyle name="Normal 8 3 12 2 3 2 3" xfId="46583" xr:uid="{00000000-0005-0000-0000-000025A00000}"/>
    <cellStyle name="Normal 8 3 12 2 3 3" xfId="23351" xr:uid="{00000000-0005-0000-0000-000026A00000}"/>
    <cellStyle name="Normal 8 3 12 2 3 4" xfId="38843" xr:uid="{00000000-0005-0000-0000-000027A00000}"/>
    <cellStyle name="Normal 8 3 12 2 4" xfId="11629" xr:uid="{00000000-0005-0000-0000-000028A00000}"/>
    <cellStyle name="Normal 8 3 12 2 4 2" xfId="27221" xr:uid="{00000000-0005-0000-0000-000029A00000}"/>
    <cellStyle name="Normal 8 3 12 2 4 3" xfId="42713" xr:uid="{00000000-0005-0000-0000-00002AA00000}"/>
    <cellStyle name="Normal 8 3 12 2 5" xfId="19481" xr:uid="{00000000-0005-0000-0000-00002BA00000}"/>
    <cellStyle name="Normal 8 3 12 2 6" xfId="34973" xr:uid="{00000000-0005-0000-0000-00002CA00000}"/>
    <cellStyle name="Normal 8 3 12 3" xfId="4862" xr:uid="{00000000-0005-0000-0000-00002DA00000}"/>
    <cellStyle name="Normal 8 3 12 3 2" xfId="8733" xr:uid="{00000000-0005-0000-0000-00002EA00000}"/>
    <cellStyle name="Normal 8 3 12 3 2 2" xfId="16478" xr:uid="{00000000-0005-0000-0000-00002FA00000}"/>
    <cellStyle name="Normal 8 3 12 3 2 2 2" xfId="32070" xr:uid="{00000000-0005-0000-0000-000030A00000}"/>
    <cellStyle name="Normal 8 3 12 3 2 2 3" xfId="47562" xr:uid="{00000000-0005-0000-0000-000031A00000}"/>
    <cellStyle name="Normal 8 3 12 3 2 3" xfId="24330" xr:uid="{00000000-0005-0000-0000-000032A00000}"/>
    <cellStyle name="Normal 8 3 12 3 2 4" xfId="39822" xr:uid="{00000000-0005-0000-0000-000033A00000}"/>
    <cellStyle name="Normal 8 3 12 3 3" xfId="12608" xr:uid="{00000000-0005-0000-0000-000034A00000}"/>
    <cellStyle name="Normal 8 3 12 3 3 2" xfId="28200" xr:uid="{00000000-0005-0000-0000-000035A00000}"/>
    <cellStyle name="Normal 8 3 12 3 3 3" xfId="43692" xr:uid="{00000000-0005-0000-0000-000036A00000}"/>
    <cellStyle name="Normal 8 3 12 3 4" xfId="20460" xr:uid="{00000000-0005-0000-0000-000037A00000}"/>
    <cellStyle name="Normal 8 3 12 3 5" xfId="35952" xr:uid="{00000000-0005-0000-0000-000038A00000}"/>
    <cellStyle name="Normal 8 3 12 4" xfId="6806" xr:uid="{00000000-0005-0000-0000-000039A00000}"/>
    <cellStyle name="Normal 8 3 12 4 2" xfId="14551" xr:uid="{00000000-0005-0000-0000-00003AA00000}"/>
    <cellStyle name="Normal 8 3 12 4 2 2" xfId="30143" xr:uid="{00000000-0005-0000-0000-00003BA00000}"/>
    <cellStyle name="Normal 8 3 12 4 2 3" xfId="45635" xr:uid="{00000000-0005-0000-0000-00003CA00000}"/>
    <cellStyle name="Normal 8 3 12 4 3" xfId="22403" xr:uid="{00000000-0005-0000-0000-00003DA00000}"/>
    <cellStyle name="Normal 8 3 12 4 4" xfId="37895" xr:uid="{00000000-0005-0000-0000-00003EA00000}"/>
    <cellStyle name="Normal 8 3 12 5" xfId="10681" xr:uid="{00000000-0005-0000-0000-00003FA00000}"/>
    <cellStyle name="Normal 8 3 12 5 2" xfId="26273" xr:uid="{00000000-0005-0000-0000-000040A00000}"/>
    <cellStyle name="Normal 8 3 12 5 3" xfId="41765" xr:uid="{00000000-0005-0000-0000-000041A00000}"/>
    <cellStyle name="Normal 8 3 12 6" xfId="18533" xr:uid="{00000000-0005-0000-0000-000042A00000}"/>
    <cellStyle name="Normal 8 3 12 7" xfId="34025" xr:uid="{00000000-0005-0000-0000-000043A00000}"/>
    <cellStyle name="Normal 8 3 13" xfId="2902" xr:uid="{00000000-0005-0000-0000-000044A00000}"/>
    <cellStyle name="Normal 8 3 13 2" xfId="3907" xr:uid="{00000000-0005-0000-0000-000045A00000}"/>
    <cellStyle name="Normal 8 3 13 2 2" xfId="5846" xr:uid="{00000000-0005-0000-0000-000046A00000}"/>
    <cellStyle name="Normal 8 3 13 2 2 2" xfId="9717" xr:uid="{00000000-0005-0000-0000-000047A00000}"/>
    <cellStyle name="Normal 8 3 13 2 2 2 2" xfId="17462" xr:uid="{00000000-0005-0000-0000-000048A00000}"/>
    <cellStyle name="Normal 8 3 13 2 2 2 2 2" xfId="33054" xr:uid="{00000000-0005-0000-0000-000049A00000}"/>
    <cellStyle name="Normal 8 3 13 2 2 2 2 3" xfId="48546" xr:uid="{00000000-0005-0000-0000-00004AA00000}"/>
    <cellStyle name="Normal 8 3 13 2 2 2 3" xfId="25314" xr:uid="{00000000-0005-0000-0000-00004BA00000}"/>
    <cellStyle name="Normal 8 3 13 2 2 2 4" xfId="40806" xr:uid="{00000000-0005-0000-0000-00004CA00000}"/>
    <cellStyle name="Normal 8 3 13 2 2 3" xfId="13592" xr:uid="{00000000-0005-0000-0000-00004DA00000}"/>
    <cellStyle name="Normal 8 3 13 2 2 3 2" xfId="29184" xr:uid="{00000000-0005-0000-0000-00004EA00000}"/>
    <cellStyle name="Normal 8 3 13 2 2 3 3" xfId="44676" xr:uid="{00000000-0005-0000-0000-00004FA00000}"/>
    <cellStyle name="Normal 8 3 13 2 2 4" xfId="21444" xr:uid="{00000000-0005-0000-0000-000050A00000}"/>
    <cellStyle name="Normal 8 3 13 2 2 5" xfId="36936" xr:uid="{00000000-0005-0000-0000-000051A00000}"/>
    <cellStyle name="Normal 8 3 13 2 3" xfId="7790" xr:uid="{00000000-0005-0000-0000-000052A00000}"/>
    <cellStyle name="Normal 8 3 13 2 3 2" xfId="15535" xr:uid="{00000000-0005-0000-0000-000053A00000}"/>
    <cellStyle name="Normal 8 3 13 2 3 2 2" xfId="31127" xr:uid="{00000000-0005-0000-0000-000054A00000}"/>
    <cellStyle name="Normal 8 3 13 2 3 2 3" xfId="46619" xr:uid="{00000000-0005-0000-0000-000055A00000}"/>
    <cellStyle name="Normal 8 3 13 2 3 3" xfId="23387" xr:uid="{00000000-0005-0000-0000-000056A00000}"/>
    <cellStyle name="Normal 8 3 13 2 3 4" xfId="38879" xr:uid="{00000000-0005-0000-0000-000057A00000}"/>
    <cellStyle name="Normal 8 3 13 2 4" xfId="11665" xr:uid="{00000000-0005-0000-0000-000058A00000}"/>
    <cellStyle name="Normal 8 3 13 2 4 2" xfId="27257" xr:uid="{00000000-0005-0000-0000-000059A00000}"/>
    <cellStyle name="Normal 8 3 13 2 4 3" xfId="42749" xr:uid="{00000000-0005-0000-0000-00005AA00000}"/>
    <cellStyle name="Normal 8 3 13 2 5" xfId="19517" xr:uid="{00000000-0005-0000-0000-00005BA00000}"/>
    <cellStyle name="Normal 8 3 13 2 6" xfId="35009" xr:uid="{00000000-0005-0000-0000-00005CA00000}"/>
    <cellStyle name="Normal 8 3 13 3" xfId="4898" xr:uid="{00000000-0005-0000-0000-00005DA00000}"/>
    <cellStyle name="Normal 8 3 13 3 2" xfId="8769" xr:uid="{00000000-0005-0000-0000-00005EA00000}"/>
    <cellStyle name="Normal 8 3 13 3 2 2" xfId="16514" xr:uid="{00000000-0005-0000-0000-00005FA00000}"/>
    <cellStyle name="Normal 8 3 13 3 2 2 2" xfId="32106" xr:uid="{00000000-0005-0000-0000-000060A00000}"/>
    <cellStyle name="Normal 8 3 13 3 2 2 3" xfId="47598" xr:uid="{00000000-0005-0000-0000-000061A00000}"/>
    <cellStyle name="Normal 8 3 13 3 2 3" xfId="24366" xr:uid="{00000000-0005-0000-0000-000062A00000}"/>
    <cellStyle name="Normal 8 3 13 3 2 4" xfId="39858" xr:uid="{00000000-0005-0000-0000-000063A00000}"/>
    <cellStyle name="Normal 8 3 13 3 3" xfId="12644" xr:uid="{00000000-0005-0000-0000-000064A00000}"/>
    <cellStyle name="Normal 8 3 13 3 3 2" xfId="28236" xr:uid="{00000000-0005-0000-0000-000065A00000}"/>
    <cellStyle name="Normal 8 3 13 3 3 3" xfId="43728" xr:uid="{00000000-0005-0000-0000-000066A00000}"/>
    <cellStyle name="Normal 8 3 13 3 4" xfId="20496" xr:uid="{00000000-0005-0000-0000-000067A00000}"/>
    <cellStyle name="Normal 8 3 13 3 5" xfId="35988" xr:uid="{00000000-0005-0000-0000-000068A00000}"/>
    <cellStyle name="Normal 8 3 13 4" xfId="6842" xr:uid="{00000000-0005-0000-0000-000069A00000}"/>
    <cellStyle name="Normal 8 3 13 4 2" xfId="14587" xr:uid="{00000000-0005-0000-0000-00006AA00000}"/>
    <cellStyle name="Normal 8 3 13 4 2 2" xfId="30179" xr:uid="{00000000-0005-0000-0000-00006BA00000}"/>
    <cellStyle name="Normal 8 3 13 4 2 3" xfId="45671" xr:uid="{00000000-0005-0000-0000-00006CA00000}"/>
    <cellStyle name="Normal 8 3 13 4 3" xfId="22439" xr:uid="{00000000-0005-0000-0000-00006DA00000}"/>
    <cellStyle name="Normal 8 3 13 4 4" xfId="37931" xr:uid="{00000000-0005-0000-0000-00006EA00000}"/>
    <cellStyle name="Normal 8 3 13 5" xfId="10717" xr:uid="{00000000-0005-0000-0000-00006FA00000}"/>
    <cellStyle name="Normal 8 3 13 5 2" xfId="26309" xr:uid="{00000000-0005-0000-0000-000070A00000}"/>
    <cellStyle name="Normal 8 3 13 5 3" xfId="41801" xr:uid="{00000000-0005-0000-0000-000071A00000}"/>
    <cellStyle name="Normal 8 3 13 6" xfId="18569" xr:uid="{00000000-0005-0000-0000-000072A00000}"/>
    <cellStyle name="Normal 8 3 13 7" xfId="34061" xr:uid="{00000000-0005-0000-0000-000073A00000}"/>
    <cellStyle name="Normal 8 3 14" xfId="2939" xr:uid="{00000000-0005-0000-0000-000074A00000}"/>
    <cellStyle name="Normal 8 3 14 2" xfId="3943" xr:uid="{00000000-0005-0000-0000-000075A00000}"/>
    <cellStyle name="Normal 8 3 14 2 2" xfId="5882" xr:uid="{00000000-0005-0000-0000-000076A00000}"/>
    <cellStyle name="Normal 8 3 14 2 2 2" xfId="9753" xr:uid="{00000000-0005-0000-0000-000077A00000}"/>
    <cellStyle name="Normal 8 3 14 2 2 2 2" xfId="17498" xr:uid="{00000000-0005-0000-0000-000078A00000}"/>
    <cellStyle name="Normal 8 3 14 2 2 2 2 2" xfId="33090" xr:uid="{00000000-0005-0000-0000-000079A00000}"/>
    <cellStyle name="Normal 8 3 14 2 2 2 2 3" xfId="48582" xr:uid="{00000000-0005-0000-0000-00007AA00000}"/>
    <cellStyle name="Normal 8 3 14 2 2 2 3" xfId="25350" xr:uid="{00000000-0005-0000-0000-00007BA00000}"/>
    <cellStyle name="Normal 8 3 14 2 2 2 4" xfId="40842" xr:uid="{00000000-0005-0000-0000-00007CA00000}"/>
    <cellStyle name="Normal 8 3 14 2 2 3" xfId="13628" xr:uid="{00000000-0005-0000-0000-00007DA00000}"/>
    <cellStyle name="Normal 8 3 14 2 2 3 2" xfId="29220" xr:uid="{00000000-0005-0000-0000-00007EA00000}"/>
    <cellStyle name="Normal 8 3 14 2 2 3 3" xfId="44712" xr:uid="{00000000-0005-0000-0000-00007FA00000}"/>
    <cellStyle name="Normal 8 3 14 2 2 4" xfId="21480" xr:uid="{00000000-0005-0000-0000-000080A00000}"/>
    <cellStyle name="Normal 8 3 14 2 2 5" xfId="36972" xr:uid="{00000000-0005-0000-0000-000081A00000}"/>
    <cellStyle name="Normal 8 3 14 2 3" xfId="7826" xr:uid="{00000000-0005-0000-0000-000082A00000}"/>
    <cellStyle name="Normal 8 3 14 2 3 2" xfId="15571" xr:uid="{00000000-0005-0000-0000-000083A00000}"/>
    <cellStyle name="Normal 8 3 14 2 3 2 2" xfId="31163" xr:uid="{00000000-0005-0000-0000-000084A00000}"/>
    <cellStyle name="Normal 8 3 14 2 3 2 3" xfId="46655" xr:uid="{00000000-0005-0000-0000-000085A00000}"/>
    <cellStyle name="Normal 8 3 14 2 3 3" xfId="23423" xr:uid="{00000000-0005-0000-0000-000086A00000}"/>
    <cellStyle name="Normal 8 3 14 2 3 4" xfId="38915" xr:uid="{00000000-0005-0000-0000-000087A00000}"/>
    <cellStyle name="Normal 8 3 14 2 4" xfId="11701" xr:uid="{00000000-0005-0000-0000-000088A00000}"/>
    <cellStyle name="Normal 8 3 14 2 4 2" xfId="27293" xr:uid="{00000000-0005-0000-0000-000089A00000}"/>
    <cellStyle name="Normal 8 3 14 2 4 3" xfId="42785" xr:uid="{00000000-0005-0000-0000-00008AA00000}"/>
    <cellStyle name="Normal 8 3 14 2 5" xfId="19553" xr:uid="{00000000-0005-0000-0000-00008BA00000}"/>
    <cellStyle name="Normal 8 3 14 2 6" xfId="35045" xr:uid="{00000000-0005-0000-0000-00008CA00000}"/>
    <cellStyle name="Normal 8 3 14 3" xfId="4934" xr:uid="{00000000-0005-0000-0000-00008DA00000}"/>
    <cellStyle name="Normal 8 3 14 3 2" xfId="8805" xr:uid="{00000000-0005-0000-0000-00008EA00000}"/>
    <cellStyle name="Normal 8 3 14 3 2 2" xfId="16550" xr:uid="{00000000-0005-0000-0000-00008FA00000}"/>
    <cellStyle name="Normal 8 3 14 3 2 2 2" xfId="32142" xr:uid="{00000000-0005-0000-0000-000090A00000}"/>
    <cellStyle name="Normal 8 3 14 3 2 2 3" xfId="47634" xr:uid="{00000000-0005-0000-0000-000091A00000}"/>
    <cellStyle name="Normal 8 3 14 3 2 3" xfId="24402" xr:uid="{00000000-0005-0000-0000-000092A00000}"/>
    <cellStyle name="Normal 8 3 14 3 2 4" xfId="39894" xr:uid="{00000000-0005-0000-0000-000093A00000}"/>
    <cellStyle name="Normal 8 3 14 3 3" xfId="12680" xr:uid="{00000000-0005-0000-0000-000094A00000}"/>
    <cellStyle name="Normal 8 3 14 3 3 2" xfId="28272" xr:uid="{00000000-0005-0000-0000-000095A00000}"/>
    <cellStyle name="Normal 8 3 14 3 3 3" xfId="43764" xr:uid="{00000000-0005-0000-0000-000096A00000}"/>
    <cellStyle name="Normal 8 3 14 3 4" xfId="20532" xr:uid="{00000000-0005-0000-0000-000097A00000}"/>
    <cellStyle name="Normal 8 3 14 3 5" xfId="36024" xr:uid="{00000000-0005-0000-0000-000098A00000}"/>
    <cellStyle name="Normal 8 3 14 4" xfId="6878" xr:uid="{00000000-0005-0000-0000-000099A00000}"/>
    <cellStyle name="Normal 8 3 14 4 2" xfId="14623" xr:uid="{00000000-0005-0000-0000-00009AA00000}"/>
    <cellStyle name="Normal 8 3 14 4 2 2" xfId="30215" xr:uid="{00000000-0005-0000-0000-00009BA00000}"/>
    <cellStyle name="Normal 8 3 14 4 2 3" xfId="45707" xr:uid="{00000000-0005-0000-0000-00009CA00000}"/>
    <cellStyle name="Normal 8 3 14 4 3" xfId="22475" xr:uid="{00000000-0005-0000-0000-00009DA00000}"/>
    <cellStyle name="Normal 8 3 14 4 4" xfId="37967" xr:uid="{00000000-0005-0000-0000-00009EA00000}"/>
    <cellStyle name="Normal 8 3 14 5" xfId="10753" xr:uid="{00000000-0005-0000-0000-00009FA00000}"/>
    <cellStyle name="Normal 8 3 14 5 2" xfId="26345" xr:uid="{00000000-0005-0000-0000-0000A0A00000}"/>
    <cellStyle name="Normal 8 3 14 5 3" xfId="41837" xr:uid="{00000000-0005-0000-0000-0000A1A00000}"/>
    <cellStyle name="Normal 8 3 14 6" xfId="18605" xr:uid="{00000000-0005-0000-0000-0000A2A00000}"/>
    <cellStyle name="Normal 8 3 14 7" xfId="34097" xr:uid="{00000000-0005-0000-0000-0000A3A00000}"/>
    <cellStyle name="Normal 8 3 15" xfId="2978" xr:uid="{00000000-0005-0000-0000-0000A4A00000}"/>
    <cellStyle name="Normal 8 3 15 2" xfId="3979" xr:uid="{00000000-0005-0000-0000-0000A5A00000}"/>
    <cellStyle name="Normal 8 3 15 2 2" xfId="5918" xr:uid="{00000000-0005-0000-0000-0000A6A00000}"/>
    <cellStyle name="Normal 8 3 15 2 2 2" xfId="9789" xr:uid="{00000000-0005-0000-0000-0000A7A00000}"/>
    <cellStyle name="Normal 8 3 15 2 2 2 2" xfId="17534" xr:uid="{00000000-0005-0000-0000-0000A8A00000}"/>
    <cellStyle name="Normal 8 3 15 2 2 2 2 2" xfId="33126" xr:uid="{00000000-0005-0000-0000-0000A9A00000}"/>
    <cellStyle name="Normal 8 3 15 2 2 2 2 3" xfId="48618" xr:uid="{00000000-0005-0000-0000-0000AAA00000}"/>
    <cellStyle name="Normal 8 3 15 2 2 2 3" xfId="25386" xr:uid="{00000000-0005-0000-0000-0000ABA00000}"/>
    <cellStyle name="Normal 8 3 15 2 2 2 4" xfId="40878" xr:uid="{00000000-0005-0000-0000-0000ACA00000}"/>
    <cellStyle name="Normal 8 3 15 2 2 3" xfId="13664" xr:uid="{00000000-0005-0000-0000-0000ADA00000}"/>
    <cellStyle name="Normal 8 3 15 2 2 3 2" xfId="29256" xr:uid="{00000000-0005-0000-0000-0000AEA00000}"/>
    <cellStyle name="Normal 8 3 15 2 2 3 3" xfId="44748" xr:uid="{00000000-0005-0000-0000-0000AFA00000}"/>
    <cellStyle name="Normal 8 3 15 2 2 4" xfId="21516" xr:uid="{00000000-0005-0000-0000-0000B0A00000}"/>
    <cellStyle name="Normal 8 3 15 2 2 5" xfId="37008" xr:uid="{00000000-0005-0000-0000-0000B1A00000}"/>
    <cellStyle name="Normal 8 3 15 2 3" xfId="7862" xr:uid="{00000000-0005-0000-0000-0000B2A00000}"/>
    <cellStyle name="Normal 8 3 15 2 3 2" xfId="15607" xr:uid="{00000000-0005-0000-0000-0000B3A00000}"/>
    <cellStyle name="Normal 8 3 15 2 3 2 2" xfId="31199" xr:uid="{00000000-0005-0000-0000-0000B4A00000}"/>
    <cellStyle name="Normal 8 3 15 2 3 2 3" xfId="46691" xr:uid="{00000000-0005-0000-0000-0000B5A00000}"/>
    <cellStyle name="Normal 8 3 15 2 3 3" xfId="23459" xr:uid="{00000000-0005-0000-0000-0000B6A00000}"/>
    <cellStyle name="Normal 8 3 15 2 3 4" xfId="38951" xr:uid="{00000000-0005-0000-0000-0000B7A00000}"/>
    <cellStyle name="Normal 8 3 15 2 4" xfId="11737" xr:uid="{00000000-0005-0000-0000-0000B8A00000}"/>
    <cellStyle name="Normal 8 3 15 2 4 2" xfId="27329" xr:uid="{00000000-0005-0000-0000-0000B9A00000}"/>
    <cellStyle name="Normal 8 3 15 2 4 3" xfId="42821" xr:uid="{00000000-0005-0000-0000-0000BAA00000}"/>
    <cellStyle name="Normal 8 3 15 2 5" xfId="19589" xr:uid="{00000000-0005-0000-0000-0000BBA00000}"/>
    <cellStyle name="Normal 8 3 15 2 6" xfId="35081" xr:uid="{00000000-0005-0000-0000-0000BCA00000}"/>
    <cellStyle name="Normal 8 3 15 3" xfId="4970" xr:uid="{00000000-0005-0000-0000-0000BDA00000}"/>
    <cellStyle name="Normal 8 3 15 3 2" xfId="8841" xr:uid="{00000000-0005-0000-0000-0000BEA00000}"/>
    <cellStyle name="Normal 8 3 15 3 2 2" xfId="16586" xr:uid="{00000000-0005-0000-0000-0000BFA00000}"/>
    <cellStyle name="Normal 8 3 15 3 2 2 2" xfId="32178" xr:uid="{00000000-0005-0000-0000-0000C0A00000}"/>
    <cellStyle name="Normal 8 3 15 3 2 2 3" xfId="47670" xr:uid="{00000000-0005-0000-0000-0000C1A00000}"/>
    <cellStyle name="Normal 8 3 15 3 2 3" xfId="24438" xr:uid="{00000000-0005-0000-0000-0000C2A00000}"/>
    <cellStyle name="Normal 8 3 15 3 2 4" xfId="39930" xr:uid="{00000000-0005-0000-0000-0000C3A00000}"/>
    <cellStyle name="Normal 8 3 15 3 3" xfId="12716" xr:uid="{00000000-0005-0000-0000-0000C4A00000}"/>
    <cellStyle name="Normal 8 3 15 3 3 2" xfId="28308" xr:uid="{00000000-0005-0000-0000-0000C5A00000}"/>
    <cellStyle name="Normal 8 3 15 3 3 3" xfId="43800" xr:uid="{00000000-0005-0000-0000-0000C6A00000}"/>
    <cellStyle name="Normal 8 3 15 3 4" xfId="20568" xr:uid="{00000000-0005-0000-0000-0000C7A00000}"/>
    <cellStyle name="Normal 8 3 15 3 5" xfId="36060" xr:uid="{00000000-0005-0000-0000-0000C8A00000}"/>
    <cellStyle name="Normal 8 3 15 4" xfId="6914" xr:uid="{00000000-0005-0000-0000-0000C9A00000}"/>
    <cellStyle name="Normal 8 3 15 4 2" xfId="14659" xr:uid="{00000000-0005-0000-0000-0000CAA00000}"/>
    <cellStyle name="Normal 8 3 15 4 2 2" xfId="30251" xr:uid="{00000000-0005-0000-0000-0000CBA00000}"/>
    <cellStyle name="Normal 8 3 15 4 2 3" xfId="45743" xr:uid="{00000000-0005-0000-0000-0000CCA00000}"/>
    <cellStyle name="Normal 8 3 15 4 3" xfId="22511" xr:uid="{00000000-0005-0000-0000-0000CDA00000}"/>
    <cellStyle name="Normal 8 3 15 4 4" xfId="38003" xr:uid="{00000000-0005-0000-0000-0000CEA00000}"/>
    <cellStyle name="Normal 8 3 15 5" xfId="10789" xr:uid="{00000000-0005-0000-0000-0000CFA00000}"/>
    <cellStyle name="Normal 8 3 15 5 2" xfId="26381" xr:uid="{00000000-0005-0000-0000-0000D0A00000}"/>
    <cellStyle name="Normal 8 3 15 5 3" xfId="41873" xr:uid="{00000000-0005-0000-0000-0000D1A00000}"/>
    <cellStyle name="Normal 8 3 15 6" xfId="18641" xr:uid="{00000000-0005-0000-0000-0000D2A00000}"/>
    <cellStyle name="Normal 8 3 15 7" xfId="34133" xr:uid="{00000000-0005-0000-0000-0000D3A00000}"/>
    <cellStyle name="Normal 8 3 16" xfId="3018" xr:uid="{00000000-0005-0000-0000-0000D4A00000}"/>
    <cellStyle name="Normal 8 3 16 2" xfId="4015" xr:uid="{00000000-0005-0000-0000-0000D5A00000}"/>
    <cellStyle name="Normal 8 3 16 2 2" xfId="5954" xr:uid="{00000000-0005-0000-0000-0000D6A00000}"/>
    <cellStyle name="Normal 8 3 16 2 2 2" xfId="9825" xr:uid="{00000000-0005-0000-0000-0000D7A00000}"/>
    <cellStyle name="Normal 8 3 16 2 2 2 2" xfId="17570" xr:uid="{00000000-0005-0000-0000-0000D8A00000}"/>
    <cellStyle name="Normal 8 3 16 2 2 2 2 2" xfId="33162" xr:uid="{00000000-0005-0000-0000-0000D9A00000}"/>
    <cellStyle name="Normal 8 3 16 2 2 2 2 3" xfId="48654" xr:uid="{00000000-0005-0000-0000-0000DAA00000}"/>
    <cellStyle name="Normal 8 3 16 2 2 2 3" xfId="25422" xr:uid="{00000000-0005-0000-0000-0000DBA00000}"/>
    <cellStyle name="Normal 8 3 16 2 2 2 4" xfId="40914" xr:uid="{00000000-0005-0000-0000-0000DCA00000}"/>
    <cellStyle name="Normal 8 3 16 2 2 3" xfId="13700" xr:uid="{00000000-0005-0000-0000-0000DDA00000}"/>
    <cellStyle name="Normal 8 3 16 2 2 3 2" xfId="29292" xr:uid="{00000000-0005-0000-0000-0000DEA00000}"/>
    <cellStyle name="Normal 8 3 16 2 2 3 3" xfId="44784" xr:uid="{00000000-0005-0000-0000-0000DFA00000}"/>
    <cellStyle name="Normal 8 3 16 2 2 4" xfId="21552" xr:uid="{00000000-0005-0000-0000-0000E0A00000}"/>
    <cellStyle name="Normal 8 3 16 2 2 5" xfId="37044" xr:uid="{00000000-0005-0000-0000-0000E1A00000}"/>
    <cellStyle name="Normal 8 3 16 2 3" xfId="7898" xr:uid="{00000000-0005-0000-0000-0000E2A00000}"/>
    <cellStyle name="Normal 8 3 16 2 3 2" xfId="15643" xr:uid="{00000000-0005-0000-0000-0000E3A00000}"/>
    <cellStyle name="Normal 8 3 16 2 3 2 2" xfId="31235" xr:uid="{00000000-0005-0000-0000-0000E4A00000}"/>
    <cellStyle name="Normal 8 3 16 2 3 2 3" xfId="46727" xr:uid="{00000000-0005-0000-0000-0000E5A00000}"/>
    <cellStyle name="Normal 8 3 16 2 3 3" xfId="23495" xr:uid="{00000000-0005-0000-0000-0000E6A00000}"/>
    <cellStyle name="Normal 8 3 16 2 3 4" xfId="38987" xr:uid="{00000000-0005-0000-0000-0000E7A00000}"/>
    <cellStyle name="Normal 8 3 16 2 4" xfId="11773" xr:uid="{00000000-0005-0000-0000-0000E8A00000}"/>
    <cellStyle name="Normal 8 3 16 2 4 2" xfId="27365" xr:uid="{00000000-0005-0000-0000-0000E9A00000}"/>
    <cellStyle name="Normal 8 3 16 2 4 3" xfId="42857" xr:uid="{00000000-0005-0000-0000-0000EAA00000}"/>
    <cellStyle name="Normal 8 3 16 2 5" xfId="19625" xr:uid="{00000000-0005-0000-0000-0000EBA00000}"/>
    <cellStyle name="Normal 8 3 16 2 6" xfId="35117" xr:uid="{00000000-0005-0000-0000-0000ECA00000}"/>
    <cellStyle name="Normal 8 3 16 3" xfId="5006" xr:uid="{00000000-0005-0000-0000-0000EDA00000}"/>
    <cellStyle name="Normal 8 3 16 3 2" xfId="8877" xr:uid="{00000000-0005-0000-0000-0000EEA00000}"/>
    <cellStyle name="Normal 8 3 16 3 2 2" xfId="16622" xr:uid="{00000000-0005-0000-0000-0000EFA00000}"/>
    <cellStyle name="Normal 8 3 16 3 2 2 2" xfId="32214" xr:uid="{00000000-0005-0000-0000-0000F0A00000}"/>
    <cellStyle name="Normal 8 3 16 3 2 2 3" xfId="47706" xr:uid="{00000000-0005-0000-0000-0000F1A00000}"/>
    <cellStyle name="Normal 8 3 16 3 2 3" xfId="24474" xr:uid="{00000000-0005-0000-0000-0000F2A00000}"/>
    <cellStyle name="Normal 8 3 16 3 2 4" xfId="39966" xr:uid="{00000000-0005-0000-0000-0000F3A00000}"/>
    <cellStyle name="Normal 8 3 16 3 3" xfId="12752" xr:uid="{00000000-0005-0000-0000-0000F4A00000}"/>
    <cellStyle name="Normal 8 3 16 3 3 2" xfId="28344" xr:uid="{00000000-0005-0000-0000-0000F5A00000}"/>
    <cellStyle name="Normal 8 3 16 3 3 3" xfId="43836" xr:uid="{00000000-0005-0000-0000-0000F6A00000}"/>
    <cellStyle name="Normal 8 3 16 3 4" xfId="20604" xr:uid="{00000000-0005-0000-0000-0000F7A00000}"/>
    <cellStyle name="Normal 8 3 16 3 5" xfId="36096" xr:uid="{00000000-0005-0000-0000-0000F8A00000}"/>
    <cellStyle name="Normal 8 3 16 4" xfId="6950" xr:uid="{00000000-0005-0000-0000-0000F9A00000}"/>
    <cellStyle name="Normal 8 3 16 4 2" xfId="14695" xr:uid="{00000000-0005-0000-0000-0000FAA00000}"/>
    <cellStyle name="Normal 8 3 16 4 2 2" xfId="30287" xr:uid="{00000000-0005-0000-0000-0000FBA00000}"/>
    <cellStyle name="Normal 8 3 16 4 2 3" xfId="45779" xr:uid="{00000000-0005-0000-0000-0000FCA00000}"/>
    <cellStyle name="Normal 8 3 16 4 3" xfId="22547" xr:uid="{00000000-0005-0000-0000-0000FDA00000}"/>
    <cellStyle name="Normal 8 3 16 4 4" xfId="38039" xr:uid="{00000000-0005-0000-0000-0000FEA00000}"/>
    <cellStyle name="Normal 8 3 16 5" xfId="10825" xr:uid="{00000000-0005-0000-0000-0000FFA00000}"/>
    <cellStyle name="Normal 8 3 16 5 2" xfId="26417" xr:uid="{00000000-0005-0000-0000-000000A10000}"/>
    <cellStyle name="Normal 8 3 16 5 3" xfId="41909" xr:uid="{00000000-0005-0000-0000-000001A10000}"/>
    <cellStyle name="Normal 8 3 16 6" xfId="18677" xr:uid="{00000000-0005-0000-0000-000002A10000}"/>
    <cellStyle name="Normal 8 3 16 7" xfId="34169" xr:uid="{00000000-0005-0000-0000-000003A10000}"/>
    <cellStyle name="Normal 8 3 17" xfId="3056" xr:uid="{00000000-0005-0000-0000-000004A10000}"/>
    <cellStyle name="Normal 8 3 17 2" xfId="4051" xr:uid="{00000000-0005-0000-0000-000005A10000}"/>
    <cellStyle name="Normal 8 3 17 2 2" xfId="5990" xr:uid="{00000000-0005-0000-0000-000006A10000}"/>
    <cellStyle name="Normal 8 3 17 2 2 2" xfId="9861" xr:uid="{00000000-0005-0000-0000-000007A10000}"/>
    <cellStyle name="Normal 8 3 17 2 2 2 2" xfId="17606" xr:uid="{00000000-0005-0000-0000-000008A10000}"/>
    <cellStyle name="Normal 8 3 17 2 2 2 2 2" xfId="33198" xr:uid="{00000000-0005-0000-0000-000009A10000}"/>
    <cellStyle name="Normal 8 3 17 2 2 2 2 3" xfId="48690" xr:uid="{00000000-0005-0000-0000-00000AA10000}"/>
    <cellStyle name="Normal 8 3 17 2 2 2 3" xfId="25458" xr:uid="{00000000-0005-0000-0000-00000BA10000}"/>
    <cellStyle name="Normal 8 3 17 2 2 2 4" xfId="40950" xr:uid="{00000000-0005-0000-0000-00000CA10000}"/>
    <cellStyle name="Normal 8 3 17 2 2 3" xfId="13736" xr:uid="{00000000-0005-0000-0000-00000DA10000}"/>
    <cellStyle name="Normal 8 3 17 2 2 3 2" xfId="29328" xr:uid="{00000000-0005-0000-0000-00000EA10000}"/>
    <cellStyle name="Normal 8 3 17 2 2 3 3" xfId="44820" xr:uid="{00000000-0005-0000-0000-00000FA10000}"/>
    <cellStyle name="Normal 8 3 17 2 2 4" xfId="21588" xr:uid="{00000000-0005-0000-0000-000010A10000}"/>
    <cellStyle name="Normal 8 3 17 2 2 5" xfId="37080" xr:uid="{00000000-0005-0000-0000-000011A10000}"/>
    <cellStyle name="Normal 8 3 17 2 3" xfId="7934" xr:uid="{00000000-0005-0000-0000-000012A10000}"/>
    <cellStyle name="Normal 8 3 17 2 3 2" xfId="15679" xr:uid="{00000000-0005-0000-0000-000013A10000}"/>
    <cellStyle name="Normal 8 3 17 2 3 2 2" xfId="31271" xr:uid="{00000000-0005-0000-0000-000014A10000}"/>
    <cellStyle name="Normal 8 3 17 2 3 2 3" xfId="46763" xr:uid="{00000000-0005-0000-0000-000015A10000}"/>
    <cellStyle name="Normal 8 3 17 2 3 3" xfId="23531" xr:uid="{00000000-0005-0000-0000-000016A10000}"/>
    <cellStyle name="Normal 8 3 17 2 3 4" xfId="39023" xr:uid="{00000000-0005-0000-0000-000017A10000}"/>
    <cellStyle name="Normal 8 3 17 2 4" xfId="11809" xr:uid="{00000000-0005-0000-0000-000018A10000}"/>
    <cellStyle name="Normal 8 3 17 2 4 2" xfId="27401" xr:uid="{00000000-0005-0000-0000-000019A10000}"/>
    <cellStyle name="Normal 8 3 17 2 4 3" xfId="42893" xr:uid="{00000000-0005-0000-0000-00001AA10000}"/>
    <cellStyle name="Normal 8 3 17 2 5" xfId="19661" xr:uid="{00000000-0005-0000-0000-00001BA10000}"/>
    <cellStyle name="Normal 8 3 17 2 6" xfId="35153" xr:uid="{00000000-0005-0000-0000-00001CA10000}"/>
    <cellStyle name="Normal 8 3 17 3" xfId="5042" xr:uid="{00000000-0005-0000-0000-00001DA10000}"/>
    <cellStyle name="Normal 8 3 17 3 2" xfId="8913" xr:uid="{00000000-0005-0000-0000-00001EA10000}"/>
    <cellStyle name="Normal 8 3 17 3 2 2" xfId="16658" xr:uid="{00000000-0005-0000-0000-00001FA10000}"/>
    <cellStyle name="Normal 8 3 17 3 2 2 2" xfId="32250" xr:uid="{00000000-0005-0000-0000-000020A10000}"/>
    <cellStyle name="Normal 8 3 17 3 2 2 3" xfId="47742" xr:uid="{00000000-0005-0000-0000-000021A10000}"/>
    <cellStyle name="Normal 8 3 17 3 2 3" xfId="24510" xr:uid="{00000000-0005-0000-0000-000022A10000}"/>
    <cellStyle name="Normal 8 3 17 3 2 4" xfId="40002" xr:uid="{00000000-0005-0000-0000-000023A10000}"/>
    <cellStyle name="Normal 8 3 17 3 3" xfId="12788" xr:uid="{00000000-0005-0000-0000-000024A10000}"/>
    <cellStyle name="Normal 8 3 17 3 3 2" xfId="28380" xr:uid="{00000000-0005-0000-0000-000025A10000}"/>
    <cellStyle name="Normal 8 3 17 3 3 3" xfId="43872" xr:uid="{00000000-0005-0000-0000-000026A10000}"/>
    <cellStyle name="Normal 8 3 17 3 4" xfId="20640" xr:uid="{00000000-0005-0000-0000-000027A10000}"/>
    <cellStyle name="Normal 8 3 17 3 5" xfId="36132" xr:uid="{00000000-0005-0000-0000-000028A10000}"/>
    <cellStyle name="Normal 8 3 17 4" xfId="6986" xr:uid="{00000000-0005-0000-0000-000029A10000}"/>
    <cellStyle name="Normal 8 3 17 4 2" xfId="14731" xr:uid="{00000000-0005-0000-0000-00002AA10000}"/>
    <cellStyle name="Normal 8 3 17 4 2 2" xfId="30323" xr:uid="{00000000-0005-0000-0000-00002BA10000}"/>
    <cellStyle name="Normal 8 3 17 4 2 3" xfId="45815" xr:uid="{00000000-0005-0000-0000-00002CA10000}"/>
    <cellStyle name="Normal 8 3 17 4 3" xfId="22583" xr:uid="{00000000-0005-0000-0000-00002DA10000}"/>
    <cellStyle name="Normal 8 3 17 4 4" xfId="38075" xr:uid="{00000000-0005-0000-0000-00002EA10000}"/>
    <cellStyle name="Normal 8 3 17 5" xfId="10861" xr:uid="{00000000-0005-0000-0000-00002FA10000}"/>
    <cellStyle name="Normal 8 3 17 5 2" xfId="26453" xr:uid="{00000000-0005-0000-0000-000030A10000}"/>
    <cellStyle name="Normal 8 3 17 5 3" xfId="41945" xr:uid="{00000000-0005-0000-0000-000031A10000}"/>
    <cellStyle name="Normal 8 3 17 6" xfId="18713" xr:uid="{00000000-0005-0000-0000-000032A10000}"/>
    <cellStyle name="Normal 8 3 17 7" xfId="34205" xr:uid="{00000000-0005-0000-0000-000033A10000}"/>
    <cellStyle name="Normal 8 3 18" xfId="3093" xr:uid="{00000000-0005-0000-0000-000034A10000}"/>
    <cellStyle name="Normal 8 3 18 2" xfId="4087" xr:uid="{00000000-0005-0000-0000-000035A10000}"/>
    <cellStyle name="Normal 8 3 18 2 2" xfId="6026" xr:uid="{00000000-0005-0000-0000-000036A10000}"/>
    <cellStyle name="Normal 8 3 18 2 2 2" xfId="9897" xr:uid="{00000000-0005-0000-0000-000037A10000}"/>
    <cellStyle name="Normal 8 3 18 2 2 2 2" xfId="17642" xr:uid="{00000000-0005-0000-0000-000038A10000}"/>
    <cellStyle name="Normal 8 3 18 2 2 2 2 2" xfId="33234" xr:uid="{00000000-0005-0000-0000-000039A10000}"/>
    <cellStyle name="Normal 8 3 18 2 2 2 2 3" xfId="48726" xr:uid="{00000000-0005-0000-0000-00003AA10000}"/>
    <cellStyle name="Normal 8 3 18 2 2 2 3" xfId="25494" xr:uid="{00000000-0005-0000-0000-00003BA10000}"/>
    <cellStyle name="Normal 8 3 18 2 2 2 4" xfId="40986" xr:uid="{00000000-0005-0000-0000-00003CA10000}"/>
    <cellStyle name="Normal 8 3 18 2 2 3" xfId="13772" xr:uid="{00000000-0005-0000-0000-00003DA10000}"/>
    <cellStyle name="Normal 8 3 18 2 2 3 2" xfId="29364" xr:uid="{00000000-0005-0000-0000-00003EA10000}"/>
    <cellStyle name="Normal 8 3 18 2 2 3 3" xfId="44856" xr:uid="{00000000-0005-0000-0000-00003FA10000}"/>
    <cellStyle name="Normal 8 3 18 2 2 4" xfId="21624" xr:uid="{00000000-0005-0000-0000-000040A10000}"/>
    <cellStyle name="Normal 8 3 18 2 2 5" xfId="37116" xr:uid="{00000000-0005-0000-0000-000041A10000}"/>
    <cellStyle name="Normal 8 3 18 2 3" xfId="7970" xr:uid="{00000000-0005-0000-0000-000042A10000}"/>
    <cellStyle name="Normal 8 3 18 2 3 2" xfId="15715" xr:uid="{00000000-0005-0000-0000-000043A10000}"/>
    <cellStyle name="Normal 8 3 18 2 3 2 2" xfId="31307" xr:uid="{00000000-0005-0000-0000-000044A10000}"/>
    <cellStyle name="Normal 8 3 18 2 3 2 3" xfId="46799" xr:uid="{00000000-0005-0000-0000-000045A10000}"/>
    <cellStyle name="Normal 8 3 18 2 3 3" xfId="23567" xr:uid="{00000000-0005-0000-0000-000046A10000}"/>
    <cellStyle name="Normal 8 3 18 2 3 4" xfId="39059" xr:uid="{00000000-0005-0000-0000-000047A10000}"/>
    <cellStyle name="Normal 8 3 18 2 4" xfId="11845" xr:uid="{00000000-0005-0000-0000-000048A10000}"/>
    <cellStyle name="Normal 8 3 18 2 4 2" xfId="27437" xr:uid="{00000000-0005-0000-0000-000049A10000}"/>
    <cellStyle name="Normal 8 3 18 2 4 3" xfId="42929" xr:uid="{00000000-0005-0000-0000-00004AA10000}"/>
    <cellStyle name="Normal 8 3 18 2 5" xfId="19697" xr:uid="{00000000-0005-0000-0000-00004BA10000}"/>
    <cellStyle name="Normal 8 3 18 2 6" xfId="35189" xr:uid="{00000000-0005-0000-0000-00004CA10000}"/>
    <cellStyle name="Normal 8 3 18 3" xfId="5078" xr:uid="{00000000-0005-0000-0000-00004DA10000}"/>
    <cellStyle name="Normal 8 3 18 3 2" xfId="8949" xr:uid="{00000000-0005-0000-0000-00004EA10000}"/>
    <cellStyle name="Normal 8 3 18 3 2 2" xfId="16694" xr:uid="{00000000-0005-0000-0000-00004FA10000}"/>
    <cellStyle name="Normal 8 3 18 3 2 2 2" xfId="32286" xr:uid="{00000000-0005-0000-0000-000050A10000}"/>
    <cellStyle name="Normal 8 3 18 3 2 2 3" xfId="47778" xr:uid="{00000000-0005-0000-0000-000051A10000}"/>
    <cellStyle name="Normal 8 3 18 3 2 3" xfId="24546" xr:uid="{00000000-0005-0000-0000-000052A10000}"/>
    <cellStyle name="Normal 8 3 18 3 2 4" xfId="40038" xr:uid="{00000000-0005-0000-0000-000053A10000}"/>
    <cellStyle name="Normal 8 3 18 3 3" xfId="12824" xr:uid="{00000000-0005-0000-0000-000054A10000}"/>
    <cellStyle name="Normal 8 3 18 3 3 2" xfId="28416" xr:uid="{00000000-0005-0000-0000-000055A10000}"/>
    <cellStyle name="Normal 8 3 18 3 3 3" xfId="43908" xr:uid="{00000000-0005-0000-0000-000056A10000}"/>
    <cellStyle name="Normal 8 3 18 3 4" xfId="20676" xr:uid="{00000000-0005-0000-0000-000057A10000}"/>
    <cellStyle name="Normal 8 3 18 3 5" xfId="36168" xr:uid="{00000000-0005-0000-0000-000058A10000}"/>
    <cellStyle name="Normal 8 3 18 4" xfId="7022" xr:uid="{00000000-0005-0000-0000-000059A10000}"/>
    <cellStyle name="Normal 8 3 18 4 2" xfId="14767" xr:uid="{00000000-0005-0000-0000-00005AA10000}"/>
    <cellStyle name="Normal 8 3 18 4 2 2" xfId="30359" xr:uid="{00000000-0005-0000-0000-00005BA10000}"/>
    <cellStyle name="Normal 8 3 18 4 2 3" xfId="45851" xr:uid="{00000000-0005-0000-0000-00005CA10000}"/>
    <cellStyle name="Normal 8 3 18 4 3" xfId="22619" xr:uid="{00000000-0005-0000-0000-00005DA10000}"/>
    <cellStyle name="Normal 8 3 18 4 4" xfId="38111" xr:uid="{00000000-0005-0000-0000-00005EA10000}"/>
    <cellStyle name="Normal 8 3 18 5" xfId="10897" xr:uid="{00000000-0005-0000-0000-00005FA10000}"/>
    <cellStyle name="Normal 8 3 18 5 2" xfId="26489" xr:uid="{00000000-0005-0000-0000-000060A10000}"/>
    <cellStyle name="Normal 8 3 18 5 3" xfId="41981" xr:uid="{00000000-0005-0000-0000-000061A10000}"/>
    <cellStyle name="Normal 8 3 18 6" xfId="18749" xr:uid="{00000000-0005-0000-0000-000062A10000}"/>
    <cellStyle name="Normal 8 3 18 7" xfId="34241" xr:uid="{00000000-0005-0000-0000-000063A10000}"/>
    <cellStyle name="Normal 8 3 19" xfId="3140" xr:uid="{00000000-0005-0000-0000-000064A10000}"/>
    <cellStyle name="Normal 8 3 19 2" xfId="4123" xr:uid="{00000000-0005-0000-0000-000065A10000}"/>
    <cellStyle name="Normal 8 3 19 2 2" xfId="6062" xr:uid="{00000000-0005-0000-0000-000066A10000}"/>
    <cellStyle name="Normal 8 3 19 2 2 2" xfId="9933" xr:uid="{00000000-0005-0000-0000-000067A10000}"/>
    <cellStyle name="Normal 8 3 19 2 2 2 2" xfId="17678" xr:uid="{00000000-0005-0000-0000-000068A10000}"/>
    <cellStyle name="Normal 8 3 19 2 2 2 2 2" xfId="33270" xr:uid="{00000000-0005-0000-0000-000069A10000}"/>
    <cellStyle name="Normal 8 3 19 2 2 2 2 3" xfId="48762" xr:uid="{00000000-0005-0000-0000-00006AA10000}"/>
    <cellStyle name="Normal 8 3 19 2 2 2 3" xfId="25530" xr:uid="{00000000-0005-0000-0000-00006BA10000}"/>
    <cellStyle name="Normal 8 3 19 2 2 2 4" xfId="41022" xr:uid="{00000000-0005-0000-0000-00006CA10000}"/>
    <cellStyle name="Normal 8 3 19 2 2 3" xfId="13808" xr:uid="{00000000-0005-0000-0000-00006DA10000}"/>
    <cellStyle name="Normal 8 3 19 2 2 3 2" xfId="29400" xr:uid="{00000000-0005-0000-0000-00006EA10000}"/>
    <cellStyle name="Normal 8 3 19 2 2 3 3" xfId="44892" xr:uid="{00000000-0005-0000-0000-00006FA10000}"/>
    <cellStyle name="Normal 8 3 19 2 2 4" xfId="21660" xr:uid="{00000000-0005-0000-0000-000070A10000}"/>
    <cellStyle name="Normal 8 3 19 2 2 5" xfId="37152" xr:uid="{00000000-0005-0000-0000-000071A10000}"/>
    <cellStyle name="Normal 8 3 19 2 3" xfId="8006" xr:uid="{00000000-0005-0000-0000-000072A10000}"/>
    <cellStyle name="Normal 8 3 19 2 3 2" xfId="15751" xr:uid="{00000000-0005-0000-0000-000073A10000}"/>
    <cellStyle name="Normal 8 3 19 2 3 2 2" xfId="31343" xr:uid="{00000000-0005-0000-0000-000074A10000}"/>
    <cellStyle name="Normal 8 3 19 2 3 2 3" xfId="46835" xr:uid="{00000000-0005-0000-0000-000075A10000}"/>
    <cellStyle name="Normal 8 3 19 2 3 3" xfId="23603" xr:uid="{00000000-0005-0000-0000-000076A10000}"/>
    <cellStyle name="Normal 8 3 19 2 3 4" xfId="39095" xr:uid="{00000000-0005-0000-0000-000077A10000}"/>
    <cellStyle name="Normal 8 3 19 2 4" xfId="11881" xr:uid="{00000000-0005-0000-0000-000078A10000}"/>
    <cellStyle name="Normal 8 3 19 2 4 2" xfId="27473" xr:uid="{00000000-0005-0000-0000-000079A10000}"/>
    <cellStyle name="Normal 8 3 19 2 4 3" xfId="42965" xr:uid="{00000000-0005-0000-0000-00007AA10000}"/>
    <cellStyle name="Normal 8 3 19 2 5" xfId="19733" xr:uid="{00000000-0005-0000-0000-00007BA10000}"/>
    <cellStyle name="Normal 8 3 19 2 6" xfId="35225" xr:uid="{00000000-0005-0000-0000-00007CA10000}"/>
    <cellStyle name="Normal 8 3 19 3" xfId="5114" xr:uid="{00000000-0005-0000-0000-00007DA10000}"/>
    <cellStyle name="Normal 8 3 19 3 2" xfId="8985" xr:uid="{00000000-0005-0000-0000-00007EA10000}"/>
    <cellStyle name="Normal 8 3 19 3 2 2" xfId="16730" xr:uid="{00000000-0005-0000-0000-00007FA10000}"/>
    <cellStyle name="Normal 8 3 19 3 2 2 2" xfId="32322" xr:uid="{00000000-0005-0000-0000-000080A10000}"/>
    <cellStyle name="Normal 8 3 19 3 2 2 3" xfId="47814" xr:uid="{00000000-0005-0000-0000-000081A10000}"/>
    <cellStyle name="Normal 8 3 19 3 2 3" xfId="24582" xr:uid="{00000000-0005-0000-0000-000082A10000}"/>
    <cellStyle name="Normal 8 3 19 3 2 4" xfId="40074" xr:uid="{00000000-0005-0000-0000-000083A10000}"/>
    <cellStyle name="Normal 8 3 19 3 3" xfId="12860" xr:uid="{00000000-0005-0000-0000-000084A10000}"/>
    <cellStyle name="Normal 8 3 19 3 3 2" xfId="28452" xr:uid="{00000000-0005-0000-0000-000085A10000}"/>
    <cellStyle name="Normal 8 3 19 3 3 3" xfId="43944" xr:uid="{00000000-0005-0000-0000-000086A10000}"/>
    <cellStyle name="Normal 8 3 19 3 4" xfId="20712" xr:uid="{00000000-0005-0000-0000-000087A10000}"/>
    <cellStyle name="Normal 8 3 19 3 5" xfId="36204" xr:uid="{00000000-0005-0000-0000-000088A10000}"/>
    <cellStyle name="Normal 8 3 19 4" xfId="7058" xr:uid="{00000000-0005-0000-0000-000089A10000}"/>
    <cellStyle name="Normal 8 3 19 4 2" xfId="14803" xr:uid="{00000000-0005-0000-0000-00008AA10000}"/>
    <cellStyle name="Normal 8 3 19 4 2 2" xfId="30395" xr:uid="{00000000-0005-0000-0000-00008BA10000}"/>
    <cellStyle name="Normal 8 3 19 4 2 3" xfId="45887" xr:uid="{00000000-0005-0000-0000-00008CA10000}"/>
    <cellStyle name="Normal 8 3 19 4 3" xfId="22655" xr:uid="{00000000-0005-0000-0000-00008DA10000}"/>
    <cellStyle name="Normal 8 3 19 4 4" xfId="38147" xr:uid="{00000000-0005-0000-0000-00008EA10000}"/>
    <cellStyle name="Normal 8 3 19 5" xfId="10933" xr:uid="{00000000-0005-0000-0000-00008FA10000}"/>
    <cellStyle name="Normal 8 3 19 5 2" xfId="26525" xr:uid="{00000000-0005-0000-0000-000090A10000}"/>
    <cellStyle name="Normal 8 3 19 5 3" xfId="42017" xr:uid="{00000000-0005-0000-0000-000091A10000}"/>
    <cellStyle name="Normal 8 3 19 6" xfId="18785" xr:uid="{00000000-0005-0000-0000-000092A10000}"/>
    <cellStyle name="Normal 8 3 19 7" xfId="34277" xr:uid="{00000000-0005-0000-0000-000093A10000}"/>
    <cellStyle name="Normal 8 3 2" xfId="2203" xr:uid="{00000000-0005-0000-0000-000094A10000}"/>
    <cellStyle name="Normal 8 3 2 2" xfId="2535" xr:uid="{00000000-0005-0000-0000-000095A10000}"/>
    <cellStyle name="Normal 8 3 2 2 2" xfId="3543" xr:uid="{00000000-0005-0000-0000-000096A10000}"/>
    <cellStyle name="Normal 8 3 2 2 2 2" xfId="5482" xr:uid="{00000000-0005-0000-0000-000097A10000}"/>
    <cellStyle name="Normal 8 3 2 2 2 2 2" xfId="9353" xr:uid="{00000000-0005-0000-0000-000098A10000}"/>
    <cellStyle name="Normal 8 3 2 2 2 2 2 2" xfId="17098" xr:uid="{00000000-0005-0000-0000-000099A10000}"/>
    <cellStyle name="Normal 8 3 2 2 2 2 2 2 2" xfId="32690" xr:uid="{00000000-0005-0000-0000-00009AA10000}"/>
    <cellStyle name="Normal 8 3 2 2 2 2 2 2 3" xfId="48182" xr:uid="{00000000-0005-0000-0000-00009BA10000}"/>
    <cellStyle name="Normal 8 3 2 2 2 2 2 3" xfId="24950" xr:uid="{00000000-0005-0000-0000-00009CA10000}"/>
    <cellStyle name="Normal 8 3 2 2 2 2 2 4" xfId="40442" xr:uid="{00000000-0005-0000-0000-00009DA10000}"/>
    <cellStyle name="Normal 8 3 2 2 2 2 3" xfId="13228" xr:uid="{00000000-0005-0000-0000-00009EA10000}"/>
    <cellStyle name="Normal 8 3 2 2 2 2 3 2" xfId="28820" xr:uid="{00000000-0005-0000-0000-00009FA10000}"/>
    <cellStyle name="Normal 8 3 2 2 2 2 3 3" xfId="44312" xr:uid="{00000000-0005-0000-0000-0000A0A10000}"/>
    <cellStyle name="Normal 8 3 2 2 2 2 4" xfId="21080" xr:uid="{00000000-0005-0000-0000-0000A1A10000}"/>
    <cellStyle name="Normal 8 3 2 2 2 2 5" xfId="36572" xr:uid="{00000000-0005-0000-0000-0000A2A10000}"/>
    <cellStyle name="Normal 8 3 2 2 2 3" xfId="7426" xr:uid="{00000000-0005-0000-0000-0000A3A10000}"/>
    <cellStyle name="Normal 8 3 2 2 2 3 2" xfId="15171" xr:uid="{00000000-0005-0000-0000-0000A4A10000}"/>
    <cellStyle name="Normal 8 3 2 2 2 3 2 2" xfId="30763" xr:uid="{00000000-0005-0000-0000-0000A5A10000}"/>
    <cellStyle name="Normal 8 3 2 2 2 3 2 3" xfId="46255" xr:uid="{00000000-0005-0000-0000-0000A6A10000}"/>
    <cellStyle name="Normal 8 3 2 2 2 3 3" xfId="23023" xr:uid="{00000000-0005-0000-0000-0000A7A10000}"/>
    <cellStyle name="Normal 8 3 2 2 2 3 4" xfId="38515" xr:uid="{00000000-0005-0000-0000-0000A8A10000}"/>
    <cellStyle name="Normal 8 3 2 2 2 4" xfId="11301" xr:uid="{00000000-0005-0000-0000-0000A9A10000}"/>
    <cellStyle name="Normal 8 3 2 2 2 4 2" xfId="26893" xr:uid="{00000000-0005-0000-0000-0000AAA10000}"/>
    <cellStyle name="Normal 8 3 2 2 2 4 3" xfId="42385" xr:uid="{00000000-0005-0000-0000-0000ABA10000}"/>
    <cellStyle name="Normal 8 3 2 2 2 5" xfId="19153" xr:uid="{00000000-0005-0000-0000-0000ACA10000}"/>
    <cellStyle name="Normal 8 3 2 2 2 6" xfId="34645" xr:uid="{00000000-0005-0000-0000-0000ADA10000}"/>
    <cellStyle name="Normal 8 3 2 2 3" xfId="4534" xr:uid="{00000000-0005-0000-0000-0000AEA10000}"/>
    <cellStyle name="Normal 8 3 2 2 3 2" xfId="8405" xr:uid="{00000000-0005-0000-0000-0000AFA10000}"/>
    <cellStyle name="Normal 8 3 2 2 3 2 2" xfId="16150" xr:uid="{00000000-0005-0000-0000-0000B0A10000}"/>
    <cellStyle name="Normal 8 3 2 2 3 2 2 2" xfId="31742" xr:uid="{00000000-0005-0000-0000-0000B1A10000}"/>
    <cellStyle name="Normal 8 3 2 2 3 2 2 3" xfId="47234" xr:uid="{00000000-0005-0000-0000-0000B2A10000}"/>
    <cellStyle name="Normal 8 3 2 2 3 2 3" xfId="24002" xr:uid="{00000000-0005-0000-0000-0000B3A10000}"/>
    <cellStyle name="Normal 8 3 2 2 3 2 4" xfId="39494" xr:uid="{00000000-0005-0000-0000-0000B4A10000}"/>
    <cellStyle name="Normal 8 3 2 2 3 3" xfId="12280" xr:uid="{00000000-0005-0000-0000-0000B5A10000}"/>
    <cellStyle name="Normal 8 3 2 2 3 3 2" xfId="27872" xr:uid="{00000000-0005-0000-0000-0000B6A10000}"/>
    <cellStyle name="Normal 8 3 2 2 3 3 3" xfId="43364" xr:uid="{00000000-0005-0000-0000-0000B7A10000}"/>
    <cellStyle name="Normal 8 3 2 2 3 4" xfId="20132" xr:uid="{00000000-0005-0000-0000-0000B8A10000}"/>
    <cellStyle name="Normal 8 3 2 2 3 5" xfId="35624" xr:uid="{00000000-0005-0000-0000-0000B9A10000}"/>
    <cellStyle name="Normal 8 3 2 2 4" xfId="6478" xr:uid="{00000000-0005-0000-0000-0000BAA10000}"/>
    <cellStyle name="Normal 8 3 2 2 4 2" xfId="14223" xr:uid="{00000000-0005-0000-0000-0000BBA10000}"/>
    <cellStyle name="Normal 8 3 2 2 4 2 2" xfId="29815" xr:uid="{00000000-0005-0000-0000-0000BCA10000}"/>
    <cellStyle name="Normal 8 3 2 2 4 2 3" xfId="45307" xr:uid="{00000000-0005-0000-0000-0000BDA10000}"/>
    <cellStyle name="Normal 8 3 2 2 4 3" xfId="22075" xr:uid="{00000000-0005-0000-0000-0000BEA10000}"/>
    <cellStyle name="Normal 8 3 2 2 4 4" xfId="37567" xr:uid="{00000000-0005-0000-0000-0000BFA10000}"/>
    <cellStyle name="Normal 8 3 2 2 5" xfId="10353" xr:uid="{00000000-0005-0000-0000-0000C0A10000}"/>
    <cellStyle name="Normal 8 3 2 2 5 2" xfId="25945" xr:uid="{00000000-0005-0000-0000-0000C1A10000}"/>
    <cellStyle name="Normal 8 3 2 2 5 3" xfId="41437" xr:uid="{00000000-0005-0000-0000-0000C2A10000}"/>
    <cellStyle name="Normal 8 3 2 2 6" xfId="18205" xr:uid="{00000000-0005-0000-0000-0000C3A10000}"/>
    <cellStyle name="Normal 8 3 2 2 7" xfId="33697" xr:uid="{00000000-0005-0000-0000-0000C4A10000}"/>
    <cellStyle name="Normal 8 3 2 3" xfId="3234" xr:uid="{00000000-0005-0000-0000-0000C5A10000}"/>
    <cellStyle name="Normal 8 3 2 3 2" xfId="5173" xr:uid="{00000000-0005-0000-0000-0000C6A10000}"/>
    <cellStyle name="Normal 8 3 2 3 2 2" xfId="9044" xr:uid="{00000000-0005-0000-0000-0000C7A10000}"/>
    <cellStyle name="Normal 8 3 2 3 2 2 2" xfId="16789" xr:uid="{00000000-0005-0000-0000-0000C8A10000}"/>
    <cellStyle name="Normal 8 3 2 3 2 2 2 2" xfId="32381" xr:uid="{00000000-0005-0000-0000-0000C9A10000}"/>
    <cellStyle name="Normal 8 3 2 3 2 2 2 3" xfId="47873" xr:uid="{00000000-0005-0000-0000-0000CAA10000}"/>
    <cellStyle name="Normal 8 3 2 3 2 2 3" xfId="24641" xr:uid="{00000000-0005-0000-0000-0000CBA10000}"/>
    <cellStyle name="Normal 8 3 2 3 2 2 4" xfId="40133" xr:uid="{00000000-0005-0000-0000-0000CCA10000}"/>
    <cellStyle name="Normal 8 3 2 3 2 3" xfId="12919" xr:uid="{00000000-0005-0000-0000-0000CDA10000}"/>
    <cellStyle name="Normal 8 3 2 3 2 3 2" xfId="28511" xr:uid="{00000000-0005-0000-0000-0000CEA10000}"/>
    <cellStyle name="Normal 8 3 2 3 2 3 3" xfId="44003" xr:uid="{00000000-0005-0000-0000-0000CFA10000}"/>
    <cellStyle name="Normal 8 3 2 3 2 4" xfId="20771" xr:uid="{00000000-0005-0000-0000-0000D0A10000}"/>
    <cellStyle name="Normal 8 3 2 3 2 5" xfId="36263" xr:uid="{00000000-0005-0000-0000-0000D1A10000}"/>
    <cellStyle name="Normal 8 3 2 3 3" xfId="7117" xr:uid="{00000000-0005-0000-0000-0000D2A10000}"/>
    <cellStyle name="Normal 8 3 2 3 3 2" xfId="14862" xr:uid="{00000000-0005-0000-0000-0000D3A10000}"/>
    <cellStyle name="Normal 8 3 2 3 3 2 2" xfId="30454" xr:uid="{00000000-0005-0000-0000-0000D4A10000}"/>
    <cellStyle name="Normal 8 3 2 3 3 2 3" xfId="45946" xr:uid="{00000000-0005-0000-0000-0000D5A10000}"/>
    <cellStyle name="Normal 8 3 2 3 3 3" xfId="22714" xr:uid="{00000000-0005-0000-0000-0000D6A10000}"/>
    <cellStyle name="Normal 8 3 2 3 3 4" xfId="38206" xr:uid="{00000000-0005-0000-0000-0000D7A10000}"/>
    <cellStyle name="Normal 8 3 2 3 4" xfId="10992" xr:uid="{00000000-0005-0000-0000-0000D8A10000}"/>
    <cellStyle name="Normal 8 3 2 3 4 2" xfId="26584" xr:uid="{00000000-0005-0000-0000-0000D9A10000}"/>
    <cellStyle name="Normal 8 3 2 3 4 3" xfId="42076" xr:uid="{00000000-0005-0000-0000-0000DAA10000}"/>
    <cellStyle name="Normal 8 3 2 3 5" xfId="18844" xr:uid="{00000000-0005-0000-0000-0000DBA10000}"/>
    <cellStyle name="Normal 8 3 2 3 6" xfId="34336" xr:uid="{00000000-0005-0000-0000-0000DCA10000}"/>
    <cellStyle name="Normal 8 3 2 4" xfId="4225" xr:uid="{00000000-0005-0000-0000-0000DDA10000}"/>
    <cellStyle name="Normal 8 3 2 4 2" xfId="8096" xr:uid="{00000000-0005-0000-0000-0000DEA10000}"/>
    <cellStyle name="Normal 8 3 2 4 2 2" xfId="15841" xr:uid="{00000000-0005-0000-0000-0000DFA10000}"/>
    <cellStyle name="Normal 8 3 2 4 2 2 2" xfId="31433" xr:uid="{00000000-0005-0000-0000-0000E0A10000}"/>
    <cellStyle name="Normal 8 3 2 4 2 2 3" xfId="46925" xr:uid="{00000000-0005-0000-0000-0000E1A10000}"/>
    <cellStyle name="Normal 8 3 2 4 2 3" xfId="23693" xr:uid="{00000000-0005-0000-0000-0000E2A10000}"/>
    <cellStyle name="Normal 8 3 2 4 2 4" xfId="39185" xr:uid="{00000000-0005-0000-0000-0000E3A10000}"/>
    <cellStyle name="Normal 8 3 2 4 3" xfId="11971" xr:uid="{00000000-0005-0000-0000-0000E4A10000}"/>
    <cellStyle name="Normal 8 3 2 4 3 2" xfId="27563" xr:uid="{00000000-0005-0000-0000-0000E5A10000}"/>
    <cellStyle name="Normal 8 3 2 4 3 3" xfId="43055" xr:uid="{00000000-0005-0000-0000-0000E6A10000}"/>
    <cellStyle name="Normal 8 3 2 4 4" xfId="19823" xr:uid="{00000000-0005-0000-0000-0000E7A10000}"/>
    <cellStyle name="Normal 8 3 2 4 5" xfId="35315" xr:uid="{00000000-0005-0000-0000-0000E8A10000}"/>
    <cellStyle name="Normal 8 3 2 5" xfId="6169" xr:uid="{00000000-0005-0000-0000-0000E9A10000}"/>
    <cellStyle name="Normal 8 3 2 5 2" xfId="13914" xr:uid="{00000000-0005-0000-0000-0000EAA10000}"/>
    <cellStyle name="Normal 8 3 2 5 2 2" xfId="29506" xr:uid="{00000000-0005-0000-0000-0000EBA10000}"/>
    <cellStyle name="Normal 8 3 2 5 2 3" xfId="44998" xr:uid="{00000000-0005-0000-0000-0000ECA10000}"/>
    <cellStyle name="Normal 8 3 2 5 3" xfId="21766" xr:uid="{00000000-0005-0000-0000-0000EDA10000}"/>
    <cellStyle name="Normal 8 3 2 5 4" xfId="37258" xr:uid="{00000000-0005-0000-0000-0000EEA10000}"/>
    <cellStyle name="Normal 8 3 2 6" xfId="10044" xr:uid="{00000000-0005-0000-0000-0000EFA10000}"/>
    <cellStyle name="Normal 8 3 2 6 2" xfId="25636" xr:uid="{00000000-0005-0000-0000-0000F0A10000}"/>
    <cellStyle name="Normal 8 3 2 6 3" xfId="41128" xr:uid="{00000000-0005-0000-0000-0000F1A10000}"/>
    <cellStyle name="Normal 8 3 2 7" xfId="17896" xr:uid="{00000000-0005-0000-0000-0000F2A10000}"/>
    <cellStyle name="Normal 8 3 2 8" xfId="33388" xr:uid="{00000000-0005-0000-0000-0000F3A10000}"/>
    <cellStyle name="Normal 8 3 20" xfId="3199" xr:uid="{00000000-0005-0000-0000-0000F4A10000}"/>
    <cellStyle name="Normal 8 3 20 2" xfId="5138" xr:uid="{00000000-0005-0000-0000-0000F5A10000}"/>
    <cellStyle name="Normal 8 3 20 2 2" xfId="9009" xr:uid="{00000000-0005-0000-0000-0000F6A10000}"/>
    <cellStyle name="Normal 8 3 20 2 2 2" xfId="16754" xr:uid="{00000000-0005-0000-0000-0000F7A10000}"/>
    <cellStyle name="Normal 8 3 20 2 2 2 2" xfId="32346" xr:uid="{00000000-0005-0000-0000-0000F8A10000}"/>
    <cellStyle name="Normal 8 3 20 2 2 2 3" xfId="47838" xr:uid="{00000000-0005-0000-0000-0000F9A10000}"/>
    <cellStyle name="Normal 8 3 20 2 2 3" xfId="24606" xr:uid="{00000000-0005-0000-0000-0000FAA10000}"/>
    <cellStyle name="Normal 8 3 20 2 2 4" xfId="40098" xr:uid="{00000000-0005-0000-0000-0000FBA10000}"/>
    <cellStyle name="Normal 8 3 20 2 3" xfId="12884" xr:uid="{00000000-0005-0000-0000-0000FCA10000}"/>
    <cellStyle name="Normal 8 3 20 2 3 2" xfId="28476" xr:uid="{00000000-0005-0000-0000-0000FDA10000}"/>
    <cellStyle name="Normal 8 3 20 2 3 3" xfId="43968" xr:uid="{00000000-0005-0000-0000-0000FEA10000}"/>
    <cellStyle name="Normal 8 3 20 2 4" xfId="20736" xr:uid="{00000000-0005-0000-0000-0000FFA10000}"/>
    <cellStyle name="Normal 8 3 20 2 5" xfId="36228" xr:uid="{00000000-0005-0000-0000-000000A20000}"/>
    <cellStyle name="Normal 8 3 20 3" xfId="7082" xr:uid="{00000000-0005-0000-0000-000001A20000}"/>
    <cellStyle name="Normal 8 3 20 3 2" xfId="14827" xr:uid="{00000000-0005-0000-0000-000002A20000}"/>
    <cellStyle name="Normal 8 3 20 3 2 2" xfId="30419" xr:uid="{00000000-0005-0000-0000-000003A20000}"/>
    <cellStyle name="Normal 8 3 20 3 2 3" xfId="45911" xr:uid="{00000000-0005-0000-0000-000004A20000}"/>
    <cellStyle name="Normal 8 3 20 3 3" xfId="22679" xr:uid="{00000000-0005-0000-0000-000005A20000}"/>
    <cellStyle name="Normal 8 3 20 3 4" xfId="38171" xr:uid="{00000000-0005-0000-0000-000006A20000}"/>
    <cellStyle name="Normal 8 3 20 4" xfId="10957" xr:uid="{00000000-0005-0000-0000-000007A20000}"/>
    <cellStyle name="Normal 8 3 20 4 2" xfId="26549" xr:uid="{00000000-0005-0000-0000-000008A20000}"/>
    <cellStyle name="Normal 8 3 20 4 3" xfId="42041" xr:uid="{00000000-0005-0000-0000-000009A20000}"/>
    <cellStyle name="Normal 8 3 20 5" xfId="18809" xr:uid="{00000000-0005-0000-0000-00000AA20000}"/>
    <cellStyle name="Normal 8 3 20 6" xfId="34301" xr:uid="{00000000-0005-0000-0000-00000BA20000}"/>
    <cellStyle name="Normal 8 3 21" xfId="4144" xr:uid="{00000000-0005-0000-0000-00000CA20000}"/>
    <cellStyle name="Normal 8 3 21 2" xfId="6082" xr:uid="{00000000-0005-0000-0000-00000DA20000}"/>
    <cellStyle name="Normal 8 3 21 2 2" xfId="9953" xr:uid="{00000000-0005-0000-0000-00000EA20000}"/>
    <cellStyle name="Normal 8 3 21 2 2 2" xfId="17698" xr:uid="{00000000-0005-0000-0000-00000FA20000}"/>
    <cellStyle name="Normal 8 3 21 2 2 2 2" xfId="33290" xr:uid="{00000000-0005-0000-0000-000010A20000}"/>
    <cellStyle name="Normal 8 3 21 2 2 2 3" xfId="48782" xr:uid="{00000000-0005-0000-0000-000011A20000}"/>
    <cellStyle name="Normal 8 3 21 2 2 3" xfId="25550" xr:uid="{00000000-0005-0000-0000-000012A20000}"/>
    <cellStyle name="Normal 8 3 21 2 2 4" xfId="41042" xr:uid="{00000000-0005-0000-0000-000013A20000}"/>
    <cellStyle name="Normal 8 3 21 2 3" xfId="13828" xr:uid="{00000000-0005-0000-0000-000014A20000}"/>
    <cellStyle name="Normal 8 3 21 2 3 2" xfId="29420" xr:uid="{00000000-0005-0000-0000-000015A20000}"/>
    <cellStyle name="Normal 8 3 21 2 3 3" xfId="44912" xr:uid="{00000000-0005-0000-0000-000016A20000}"/>
    <cellStyle name="Normal 8 3 21 2 4" xfId="21680" xr:uid="{00000000-0005-0000-0000-000017A20000}"/>
    <cellStyle name="Normal 8 3 21 2 5" xfId="37172" xr:uid="{00000000-0005-0000-0000-000018A20000}"/>
    <cellStyle name="Normal 8 3 21 3" xfId="8026" xr:uid="{00000000-0005-0000-0000-000019A20000}"/>
    <cellStyle name="Normal 8 3 21 3 2" xfId="15771" xr:uid="{00000000-0005-0000-0000-00001AA20000}"/>
    <cellStyle name="Normal 8 3 21 3 2 2" xfId="31363" xr:uid="{00000000-0005-0000-0000-00001BA20000}"/>
    <cellStyle name="Normal 8 3 21 3 2 3" xfId="46855" xr:uid="{00000000-0005-0000-0000-00001CA20000}"/>
    <cellStyle name="Normal 8 3 21 3 3" xfId="23623" xr:uid="{00000000-0005-0000-0000-00001DA20000}"/>
    <cellStyle name="Normal 8 3 21 3 4" xfId="39115" xr:uid="{00000000-0005-0000-0000-00001EA20000}"/>
    <cellStyle name="Normal 8 3 21 4" xfId="11901" xr:uid="{00000000-0005-0000-0000-00001FA20000}"/>
    <cellStyle name="Normal 8 3 21 4 2" xfId="27493" xr:uid="{00000000-0005-0000-0000-000020A20000}"/>
    <cellStyle name="Normal 8 3 21 4 3" xfId="42985" xr:uid="{00000000-0005-0000-0000-000021A20000}"/>
    <cellStyle name="Normal 8 3 21 5" xfId="19753" xr:uid="{00000000-0005-0000-0000-000022A20000}"/>
    <cellStyle name="Normal 8 3 21 6" xfId="35245" xr:uid="{00000000-0005-0000-0000-000023A20000}"/>
    <cellStyle name="Normal 8 3 22" xfId="4169" xr:uid="{00000000-0005-0000-0000-000024A20000}"/>
    <cellStyle name="Normal 8 3 22 2" xfId="6098" xr:uid="{00000000-0005-0000-0000-000025A20000}"/>
    <cellStyle name="Normal 8 3 22 2 2" xfId="9969" xr:uid="{00000000-0005-0000-0000-000026A20000}"/>
    <cellStyle name="Normal 8 3 22 2 2 2" xfId="17714" xr:uid="{00000000-0005-0000-0000-000027A20000}"/>
    <cellStyle name="Normal 8 3 22 2 2 2 2" xfId="33306" xr:uid="{00000000-0005-0000-0000-000028A20000}"/>
    <cellStyle name="Normal 8 3 22 2 2 2 3" xfId="48798" xr:uid="{00000000-0005-0000-0000-000029A20000}"/>
    <cellStyle name="Normal 8 3 22 2 2 3" xfId="25566" xr:uid="{00000000-0005-0000-0000-00002AA20000}"/>
    <cellStyle name="Normal 8 3 22 2 2 4" xfId="41058" xr:uid="{00000000-0005-0000-0000-00002BA20000}"/>
    <cellStyle name="Normal 8 3 22 2 3" xfId="13844" xr:uid="{00000000-0005-0000-0000-00002CA20000}"/>
    <cellStyle name="Normal 8 3 22 2 3 2" xfId="29436" xr:uid="{00000000-0005-0000-0000-00002DA20000}"/>
    <cellStyle name="Normal 8 3 22 2 3 3" xfId="44928" xr:uid="{00000000-0005-0000-0000-00002EA20000}"/>
    <cellStyle name="Normal 8 3 22 2 4" xfId="21696" xr:uid="{00000000-0005-0000-0000-00002FA20000}"/>
    <cellStyle name="Normal 8 3 22 2 5" xfId="37188" xr:uid="{00000000-0005-0000-0000-000030A20000}"/>
    <cellStyle name="Normal 8 3 22 3" xfId="8042" xr:uid="{00000000-0005-0000-0000-000031A20000}"/>
    <cellStyle name="Normal 8 3 22 3 2" xfId="15787" xr:uid="{00000000-0005-0000-0000-000032A20000}"/>
    <cellStyle name="Normal 8 3 22 3 2 2" xfId="31379" xr:uid="{00000000-0005-0000-0000-000033A20000}"/>
    <cellStyle name="Normal 8 3 22 3 2 3" xfId="46871" xr:uid="{00000000-0005-0000-0000-000034A20000}"/>
    <cellStyle name="Normal 8 3 22 3 3" xfId="23639" xr:uid="{00000000-0005-0000-0000-000035A20000}"/>
    <cellStyle name="Normal 8 3 22 3 4" xfId="39131" xr:uid="{00000000-0005-0000-0000-000036A20000}"/>
    <cellStyle name="Normal 8 3 22 4" xfId="11917" xr:uid="{00000000-0005-0000-0000-000037A20000}"/>
    <cellStyle name="Normal 8 3 22 4 2" xfId="27509" xr:uid="{00000000-0005-0000-0000-000038A20000}"/>
    <cellStyle name="Normal 8 3 22 4 3" xfId="43001" xr:uid="{00000000-0005-0000-0000-000039A20000}"/>
    <cellStyle name="Normal 8 3 22 5" xfId="19769" xr:uid="{00000000-0005-0000-0000-00003AA20000}"/>
    <cellStyle name="Normal 8 3 22 6" xfId="35261" xr:uid="{00000000-0005-0000-0000-00003BA20000}"/>
    <cellStyle name="Normal 8 3 23" xfId="4190" xr:uid="{00000000-0005-0000-0000-00003CA20000}"/>
    <cellStyle name="Normal 8 3 23 2" xfId="8061" xr:uid="{00000000-0005-0000-0000-00003DA20000}"/>
    <cellStyle name="Normal 8 3 23 2 2" xfId="15806" xr:uid="{00000000-0005-0000-0000-00003EA20000}"/>
    <cellStyle name="Normal 8 3 23 2 2 2" xfId="31398" xr:uid="{00000000-0005-0000-0000-00003FA20000}"/>
    <cellStyle name="Normal 8 3 23 2 2 3" xfId="46890" xr:uid="{00000000-0005-0000-0000-000040A20000}"/>
    <cellStyle name="Normal 8 3 23 2 3" xfId="23658" xr:uid="{00000000-0005-0000-0000-000041A20000}"/>
    <cellStyle name="Normal 8 3 23 2 4" xfId="39150" xr:uid="{00000000-0005-0000-0000-000042A20000}"/>
    <cellStyle name="Normal 8 3 23 3" xfId="11936" xr:uid="{00000000-0005-0000-0000-000043A20000}"/>
    <cellStyle name="Normal 8 3 23 3 2" xfId="27528" xr:uid="{00000000-0005-0000-0000-000044A20000}"/>
    <cellStyle name="Normal 8 3 23 3 3" xfId="43020" xr:uid="{00000000-0005-0000-0000-000045A20000}"/>
    <cellStyle name="Normal 8 3 23 4" xfId="19788" xr:uid="{00000000-0005-0000-0000-000046A20000}"/>
    <cellStyle name="Normal 8 3 23 5" xfId="35280" xr:uid="{00000000-0005-0000-0000-000047A20000}"/>
    <cellStyle name="Normal 8 3 24" xfId="6114" xr:uid="{00000000-0005-0000-0000-000048A20000}"/>
    <cellStyle name="Normal 8 3 24 2" xfId="9984" xr:uid="{00000000-0005-0000-0000-000049A20000}"/>
    <cellStyle name="Normal 8 3 24 2 2" xfId="17729" xr:uid="{00000000-0005-0000-0000-00004AA20000}"/>
    <cellStyle name="Normal 8 3 24 2 2 2" xfId="33321" xr:uid="{00000000-0005-0000-0000-00004BA20000}"/>
    <cellStyle name="Normal 8 3 24 2 2 3" xfId="48813" xr:uid="{00000000-0005-0000-0000-00004CA20000}"/>
    <cellStyle name="Normal 8 3 24 2 3" xfId="25581" xr:uid="{00000000-0005-0000-0000-00004DA20000}"/>
    <cellStyle name="Normal 8 3 24 2 4" xfId="41073" xr:uid="{00000000-0005-0000-0000-00004EA20000}"/>
    <cellStyle name="Normal 8 3 24 3" xfId="13859" xr:uid="{00000000-0005-0000-0000-00004FA20000}"/>
    <cellStyle name="Normal 8 3 24 3 2" xfId="29451" xr:uid="{00000000-0005-0000-0000-000050A20000}"/>
    <cellStyle name="Normal 8 3 24 3 3" xfId="44943" xr:uid="{00000000-0005-0000-0000-000051A20000}"/>
    <cellStyle name="Normal 8 3 24 4" xfId="21711" xr:uid="{00000000-0005-0000-0000-000052A20000}"/>
    <cellStyle name="Normal 8 3 24 5" xfId="37203" xr:uid="{00000000-0005-0000-0000-000053A20000}"/>
    <cellStyle name="Normal 8 3 25" xfId="6134" xr:uid="{00000000-0005-0000-0000-000054A20000}"/>
    <cellStyle name="Normal 8 3 25 2" xfId="13879" xr:uid="{00000000-0005-0000-0000-000055A20000}"/>
    <cellStyle name="Normal 8 3 25 2 2" xfId="29471" xr:uid="{00000000-0005-0000-0000-000056A20000}"/>
    <cellStyle name="Normal 8 3 25 2 3" xfId="44963" xr:uid="{00000000-0005-0000-0000-000057A20000}"/>
    <cellStyle name="Normal 8 3 25 3" xfId="21731" xr:uid="{00000000-0005-0000-0000-000058A20000}"/>
    <cellStyle name="Normal 8 3 25 4" xfId="37223" xr:uid="{00000000-0005-0000-0000-000059A20000}"/>
    <cellStyle name="Normal 8 3 26" xfId="10009" xr:uid="{00000000-0005-0000-0000-00005AA20000}"/>
    <cellStyle name="Normal 8 3 26 2" xfId="25601" xr:uid="{00000000-0005-0000-0000-00005BA20000}"/>
    <cellStyle name="Normal 8 3 26 3" xfId="41093" xr:uid="{00000000-0005-0000-0000-00005CA20000}"/>
    <cellStyle name="Normal 8 3 27" xfId="17861" xr:uid="{00000000-0005-0000-0000-00005DA20000}"/>
    <cellStyle name="Normal 8 3 28" xfId="33353" xr:uid="{00000000-0005-0000-0000-00005EA20000}"/>
    <cellStyle name="Normal 8 3 29" xfId="48858" xr:uid="{00000000-0005-0000-0000-00005FA20000}"/>
    <cellStyle name="Normal 8 3 3" xfId="2256" xr:uid="{00000000-0005-0000-0000-000060A20000}"/>
    <cellStyle name="Normal 8 3 3 2" xfId="2573" xr:uid="{00000000-0005-0000-0000-000061A20000}"/>
    <cellStyle name="Normal 8 3 3 2 2" xfId="3581" xr:uid="{00000000-0005-0000-0000-000062A20000}"/>
    <cellStyle name="Normal 8 3 3 2 2 2" xfId="5520" xr:uid="{00000000-0005-0000-0000-000063A20000}"/>
    <cellStyle name="Normal 8 3 3 2 2 2 2" xfId="9391" xr:uid="{00000000-0005-0000-0000-000064A20000}"/>
    <cellStyle name="Normal 8 3 3 2 2 2 2 2" xfId="17136" xr:uid="{00000000-0005-0000-0000-000065A20000}"/>
    <cellStyle name="Normal 8 3 3 2 2 2 2 2 2" xfId="32728" xr:uid="{00000000-0005-0000-0000-000066A20000}"/>
    <cellStyle name="Normal 8 3 3 2 2 2 2 2 3" xfId="48220" xr:uid="{00000000-0005-0000-0000-000067A20000}"/>
    <cellStyle name="Normal 8 3 3 2 2 2 2 3" xfId="24988" xr:uid="{00000000-0005-0000-0000-000068A20000}"/>
    <cellStyle name="Normal 8 3 3 2 2 2 2 4" xfId="40480" xr:uid="{00000000-0005-0000-0000-000069A20000}"/>
    <cellStyle name="Normal 8 3 3 2 2 2 3" xfId="13266" xr:uid="{00000000-0005-0000-0000-00006AA20000}"/>
    <cellStyle name="Normal 8 3 3 2 2 2 3 2" xfId="28858" xr:uid="{00000000-0005-0000-0000-00006BA20000}"/>
    <cellStyle name="Normal 8 3 3 2 2 2 3 3" xfId="44350" xr:uid="{00000000-0005-0000-0000-00006CA20000}"/>
    <cellStyle name="Normal 8 3 3 2 2 2 4" xfId="21118" xr:uid="{00000000-0005-0000-0000-00006DA20000}"/>
    <cellStyle name="Normal 8 3 3 2 2 2 5" xfId="36610" xr:uid="{00000000-0005-0000-0000-00006EA20000}"/>
    <cellStyle name="Normal 8 3 3 2 2 3" xfId="7464" xr:uid="{00000000-0005-0000-0000-00006FA20000}"/>
    <cellStyle name="Normal 8 3 3 2 2 3 2" xfId="15209" xr:uid="{00000000-0005-0000-0000-000070A20000}"/>
    <cellStyle name="Normal 8 3 3 2 2 3 2 2" xfId="30801" xr:uid="{00000000-0005-0000-0000-000071A20000}"/>
    <cellStyle name="Normal 8 3 3 2 2 3 2 3" xfId="46293" xr:uid="{00000000-0005-0000-0000-000072A20000}"/>
    <cellStyle name="Normal 8 3 3 2 2 3 3" xfId="23061" xr:uid="{00000000-0005-0000-0000-000073A20000}"/>
    <cellStyle name="Normal 8 3 3 2 2 3 4" xfId="38553" xr:uid="{00000000-0005-0000-0000-000074A20000}"/>
    <cellStyle name="Normal 8 3 3 2 2 4" xfId="11339" xr:uid="{00000000-0005-0000-0000-000075A20000}"/>
    <cellStyle name="Normal 8 3 3 2 2 4 2" xfId="26931" xr:uid="{00000000-0005-0000-0000-000076A20000}"/>
    <cellStyle name="Normal 8 3 3 2 2 4 3" xfId="42423" xr:uid="{00000000-0005-0000-0000-000077A20000}"/>
    <cellStyle name="Normal 8 3 3 2 2 5" xfId="19191" xr:uid="{00000000-0005-0000-0000-000078A20000}"/>
    <cellStyle name="Normal 8 3 3 2 2 6" xfId="34683" xr:uid="{00000000-0005-0000-0000-000079A20000}"/>
    <cellStyle name="Normal 8 3 3 2 3" xfId="4572" xr:uid="{00000000-0005-0000-0000-00007AA20000}"/>
    <cellStyle name="Normal 8 3 3 2 3 2" xfId="8443" xr:uid="{00000000-0005-0000-0000-00007BA20000}"/>
    <cellStyle name="Normal 8 3 3 2 3 2 2" xfId="16188" xr:uid="{00000000-0005-0000-0000-00007CA20000}"/>
    <cellStyle name="Normal 8 3 3 2 3 2 2 2" xfId="31780" xr:uid="{00000000-0005-0000-0000-00007DA20000}"/>
    <cellStyle name="Normal 8 3 3 2 3 2 2 3" xfId="47272" xr:uid="{00000000-0005-0000-0000-00007EA20000}"/>
    <cellStyle name="Normal 8 3 3 2 3 2 3" xfId="24040" xr:uid="{00000000-0005-0000-0000-00007FA20000}"/>
    <cellStyle name="Normal 8 3 3 2 3 2 4" xfId="39532" xr:uid="{00000000-0005-0000-0000-000080A20000}"/>
    <cellStyle name="Normal 8 3 3 2 3 3" xfId="12318" xr:uid="{00000000-0005-0000-0000-000081A20000}"/>
    <cellStyle name="Normal 8 3 3 2 3 3 2" xfId="27910" xr:uid="{00000000-0005-0000-0000-000082A20000}"/>
    <cellStyle name="Normal 8 3 3 2 3 3 3" xfId="43402" xr:uid="{00000000-0005-0000-0000-000083A20000}"/>
    <cellStyle name="Normal 8 3 3 2 3 4" xfId="20170" xr:uid="{00000000-0005-0000-0000-000084A20000}"/>
    <cellStyle name="Normal 8 3 3 2 3 5" xfId="35662" xr:uid="{00000000-0005-0000-0000-000085A20000}"/>
    <cellStyle name="Normal 8 3 3 2 4" xfId="6516" xr:uid="{00000000-0005-0000-0000-000086A20000}"/>
    <cellStyle name="Normal 8 3 3 2 4 2" xfId="14261" xr:uid="{00000000-0005-0000-0000-000087A20000}"/>
    <cellStyle name="Normal 8 3 3 2 4 2 2" xfId="29853" xr:uid="{00000000-0005-0000-0000-000088A20000}"/>
    <cellStyle name="Normal 8 3 3 2 4 2 3" xfId="45345" xr:uid="{00000000-0005-0000-0000-000089A20000}"/>
    <cellStyle name="Normal 8 3 3 2 4 3" xfId="22113" xr:uid="{00000000-0005-0000-0000-00008AA20000}"/>
    <cellStyle name="Normal 8 3 3 2 4 4" xfId="37605" xr:uid="{00000000-0005-0000-0000-00008BA20000}"/>
    <cellStyle name="Normal 8 3 3 2 5" xfId="10391" xr:uid="{00000000-0005-0000-0000-00008CA20000}"/>
    <cellStyle name="Normal 8 3 3 2 5 2" xfId="25983" xr:uid="{00000000-0005-0000-0000-00008DA20000}"/>
    <cellStyle name="Normal 8 3 3 2 5 3" xfId="41475" xr:uid="{00000000-0005-0000-0000-00008EA20000}"/>
    <cellStyle name="Normal 8 3 3 2 6" xfId="18243" xr:uid="{00000000-0005-0000-0000-00008FA20000}"/>
    <cellStyle name="Normal 8 3 3 2 7" xfId="33735" xr:uid="{00000000-0005-0000-0000-000090A20000}"/>
    <cellStyle name="Normal 8 3 3 3" xfId="3272" xr:uid="{00000000-0005-0000-0000-000091A20000}"/>
    <cellStyle name="Normal 8 3 3 3 2" xfId="5211" xr:uid="{00000000-0005-0000-0000-000092A20000}"/>
    <cellStyle name="Normal 8 3 3 3 2 2" xfId="9082" xr:uid="{00000000-0005-0000-0000-000093A20000}"/>
    <cellStyle name="Normal 8 3 3 3 2 2 2" xfId="16827" xr:uid="{00000000-0005-0000-0000-000094A20000}"/>
    <cellStyle name="Normal 8 3 3 3 2 2 2 2" xfId="32419" xr:uid="{00000000-0005-0000-0000-000095A20000}"/>
    <cellStyle name="Normal 8 3 3 3 2 2 2 3" xfId="47911" xr:uid="{00000000-0005-0000-0000-000096A20000}"/>
    <cellStyle name="Normal 8 3 3 3 2 2 3" xfId="24679" xr:uid="{00000000-0005-0000-0000-000097A20000}"/>
    <cellStyle name="Normal 8 3 3 3 2 2 4" xfId="40171" xr:uid="{00000000-0005-0000-0000-000098A20000}"/>
    <cellStyle name="Normal 8 3 3 3 2 3" xfId="12957" xr:uid="{00000000-0005-0000-0000-000099A20000}"/>
    <cellStyle name="Normal 8 3 3 3 2 3 2" xfId="28549" xr:uid="{00000000-0005-0000-0000-00009AA20000}"/>
    <cellStyle name="Normal 8 3 3 3 2 3 3" xfId="44041" xr:uid="{00000000-0005-0000-0000-00009BA20000}"/>
    <cellStyle name="Normal 8 3 3 3 2 4" xfId="20809" xr:uid="{00000000-0005-0000-0000-00009CA20000}"/>
    <cellStyle name="Normal 8 3 3 3 2 5" xfId="36301" xr:uid="{00000000-0005-0000-0000-00009DA20000}"/>
    <cellStyle name="Normal 8 3 3 3 3" xfId="7155" xr:uid="{00000000-0005-0000-0000-00009EA20000}"/>
    <cellStyle name="Normal 8 3 3 3 3 2" xfId="14900" xr:uid="{00000000-0005-0000-0000-00009FA20000}"/>
    <cellStyle name="Normal 8 3 3 3 3 2 2" xfId="30492" xr:uid="{00000000-0005-0000-0000-0000A0A20000}"/>
    <cellStyle name="Normal 8 3 3 3 3 2 3" xfId="45984" xr:uid="{00000000-0005-0000-0000-0000A1A20000}"/>
    <cellStyle name="Normal 8 3 3 3 3 3" xfId="22752" xr:uid="{00000000-0005-0000-0000-0000A2A20000}"/>
    <cellStyle name="Normal 8 3 3 3 3 4" xfId="38244" xr:uid="{00000000-0005-0000-0000-0000A3A20000}"/>
    <cellStyle name="Normal 8 3 3 3 4" xfId="11030" xr:uid="{00000000-0005-0000-0000-0000A4A20000}"/>
    <cellStyle name="Normal 8 3 3 3 4 2" xfId="26622" xr:uid="{00000000-0005-0000-0000-0000A5A20000}"/>
    <cellStyle name="Normal 8 3 3 3 4 3" xfId="42114" xr:uid="{00000000-0005-0000-0000-0000A6A20000}"/>
    <cellStyle name="Normal 8 3 3 3 5" xfId="18882" xr:uid="{00000000-0005-0000-0000-0000A7A20000}"/>
    <cellStyle name="Normal 8 3 3 3 6" xfId="34374" xr:uid="{00000000-0005-0000-0000-0000A8A20000}"/>
    <cellStyle name="Normal 8 3 3 4" xfId="4263" xr:uid="{00000000-0005-0000-0000-0000A9A20000}"/>
    <cellStyle name="Normal 8 3 3 4 2" xfId="8134" xr:uid="{00000000-0005-0000-0000-0000AAA20000}"/>
    <cellStyle name="Normal 8 3 3 4 2 2" xfId="15879" xr:uid="{00000000-0005-0000-0000-0000ABA20000}"/>
    <cellStyle name="Normal 8 3 3 4 2 2 2" xfId="31471" xr:uid="{00000000-0005-0000-0000-0000ACA20000}"/>
    <cellStyle name="Normal 8 3 3 4 2 2 3" xfId="46963" xr:uid="{00000000-0005-0000-0000-0000ADA20000}"/>
    <cellStyle name="Normal 8 3 3 4 2 3" xfId="23731" xr:uid="{00000000-0005-0000-0000-0000AEA20000}"/>
    <cellStyle name="Normal 8 3 3 4 2 4" xfId="39223" xr:uid="{00000000-0005-0000-0000-0000AFA20000}"/>
    <cellStyle name="Normal 8 3 3 4 3" xfId="12009" xr:uid="{00000000-0005-0000-0000-0000B0A20000}"/>
    <cellStyle name="Normal 8 3 3 4 3 2" xfId="27601" xr:uid="{00000000-0005-0000-0000-0000B1A20000}"/>
    <cellStyle name="Normal 8 3 3 4 3 3" xfId="43093" xr:uid="{00000000-0005-0000-0000-0000B2A20000}"/>
    <cellStyle name="Normal 8 3 3 4 4" xfId="19861" xr:uid="{00000000-0005-0000-0000-0000B3A20000}"/>
    <cellStyle name="Normal 8 3 3 4 5" xfId="35353" xr:uid="{00000000-0005-0000-0000-0000B4A20000}"/>
    <cellStyle name="Normal 8 3 3 5" xfId="6207" xr:uid="{00000000-0005-0000-0000-0000B5A20000}"/>
    <cellStyle name="Normal 8 3 3 5 2" xfId="13952" xr:uid="{00000000-0005-0000-0000-0000B6A20000}"/>
    <cellStyle name="Normal 8 3 3 5 2 2" xfId="29544" xr:uid="{00000000-0005-0000-0000-0000B7A20000}"/>
    <cellStyle name="Normal 8 3 3 5 2 3" xfId="45036" xr:uid="{00000000-0005-0000-0000-0000B8A20000}"/>
    <cellStyle name="Normal 8 3 3 5 3" xfId="21804" xr:uid="{00000000-0005-0000-0000-0000B9A20000}"/>
    <cellStyle name="Normal 8 3 3 5 4" xfId="37296" xr:uid="{00000000-0005-0000-0000-0000BAA20000}"/>
    <cellStyle name="Normal 8 3 3 6" xfId="10082" xr:uid="{00000000-0005-0000-0000-0000BBA20000}"/>
    <cellStyle name="Normal 8 3 3 6 2" xfId="25674" xr:uid="{00000000-0005-0000-0000-0000BCA20000}"/>
    <cellStyle name="Normal 8 3 3 6 3" xfId="41166" xr:uid="{00000000-0005-0000-0000-0000BDA20000}"/>
    <cellStyle name="Normal 8 3 3 7" xfId="17934" xr:uid="{00000000-0005-0000-0000-0000BEA20000}"/>
    <cellStyle name="Normal 8 3 3 8" xfId="33426" xr:uid="{00000000-0005-0000-0000-0000BFA20000}"/>
    <cellStyle name="Normal 8 3 4" xfId="2293" xr:uid="{00000000-0005-0000-0000-0000C0A20000}"/>
    <cellStyle name="Normal 8 3 4 2" xfId="2609" xr:uid="{00000000-0005-0000-0000-0000C1A20000}"/>
    <cellStyle name="Normal 8 3 4 2 2" xfId="3617" xr:uid="{00000000-0005-0000-0000-0000C2A20000}"/>
    <cellStyle name="Normal 8 3 4 2 2 2" xfId="5556" xr:uid="{00000000-0005-0000-0000-0000C3A20000}"/>
    <cellStyle name="Normal 8 3 4 2 2 2 2" xfId="9427" xr:uid="{00000000-0005-0000-0000-0000C4A20000}"/>
    <cellStyle name="Normal 8 3 4 2 2 2 2 2" xfId="17172" xr:uid="{00000000-0005-0000-0000-0000C5A20000}"/>
    <cellStyle name="Normal 8 3 4 2 2 2 2 2 2" xfId="32764" xr:uid="{00000000-0005-0000-0000-0000C6A20000}"/>
    <cellStyle name="Normal 8 3 4 2 2 2 2 2 3" xfId="48256" xr:uid="{00000000-0005-0000-0000-0000C7A20000}"/>
    <cellStyle name="Normal 8 3 4 2 2 2 2 3" xfId="25024" xr:uid="{00000000-0005-0000-0000-0000C8A20000}"/>
    <cellStyle name="Normal 8 3 4 2 2 2 2 4" xfId="40516" xr:uid="{00000000-0005-0000-0000-0000C9A20000}"/>
    <cellStyle name="Normal 8 3 4 2 2 2 3" xfId="13302" xr:uid="{00000000-0005-0000-0000-0000CAA20000}"/>
    <cellStyle name="Normal 8 3 4 2 2 2 3 2" xfId="28894" xr:uid="{00000000-0005-0000-0000-0000CBA20000}"/>
    <cellStyle name="Normal 8 3 4 2 2 2 3 3" xfId="44386" xr:uid="{00000000-0005-0000-0000-0000CCA20000}"/>
    <cellStyle name="Normal 8 3 4 2 2 2 4" xfId="21154" xr:uid="{00000000-0005-0000-0000-0000CDA20000}"/>
    <cellStyle name="Normal 8 3 4 2 2 2 5" xfId="36646" xr:uid="{00000000-0005-0000-0000-0000CEA20000}"/>
    <cellStyle name="Normal 8 3 4 2 2 3" xfId="7500" xr:uid="{00000000-0005-0000-0000-0000CFA20000}"/>
    <cellStyle name="Normal 8 3 4 2 2 3 2" xfId="15245" xr:uid="{00000000-0005-0000-0000-0000D0A20000}"/>
    <cellStyle name="Normal 8 3 4 2 2 3 2 2" xfId="30837" xr:uid="{00000000-0005-0000-0000-0000D1A20000}"/>
    <cellStyle name="Normal 8 3 4 2 2 3 2 3" xfId="46329" xr:uid="{00000000-0005-0000-0000-0000D2A20000}"/>
    <cellStyle name="Normal 8 3 4 2 2 3 3" xfId="23097" xr:uid="{00000000-0005-0000-0000-0000D3A20000}"/>
    <cellStyle name="Normal 8 3 4 2 2 3 4" xfId="38589" xr:uid="{00000000-0005-0000-0000-0000D4A20000}"/>
    <cellStyle name="Normal 8 3 4 2 2 4" xfId="11375" xr:uid="{00000000-0005-0000-0000-0000D5A20000}"/>
    <cellStyle name="Normal 8 3 4 2 2 4 2" xfId="26967" xr:uid="{00000000-0005-0000-0000-0000D6A20000}"/>
    <cellStyle name="Normal 8 3 4 2 2 4 3" xfId="42459" xr:uid="{00000000-0005-0000-0000-0000D7A20000}"/>
    <cellStyle name="Normal 8 3 4 2 2 5" xfId="19227" xr:uid="{00000000-0005-0000-0000-0000D8A20000}"/>
    <cellStyle name="Normal 8 3 4 2 2 6" xfId="34719" xr:uid="{00000000-0005-0000-0000-0000D9A20000}"/>
    <cellStyle name="Normal 8 3 4 2 3" xfId="4608" xr:uid="{00000000-0005-0000-0000-0000DAA20000}"/>
    <cellStyle name="Normal 8 3 4 2 3 2" xfId="8479" xr:uid="{00000000-0005-0000-0000-0000DBA20000}"/>
    <cellStyle name="Normal 8 3 4 2 3 2 2" xfId="16224" xr:uid="{00000000-0005-0000-0000-0000DCA20000}"/>
    <cellStyle name="Normal 8 3 4 2 3 2 2 2" xfId="31816" xr:uid="{00000000-0005-0000-0000-0000DDA20000}"/>
    <cellStyle name="Normal 8 3 4 2 3 2 2 3" xfId="47308" xr:uid="{00000000-0005-0000-0000-0000DEA20000}"/>
    <cellStyle name="Normal 8 3 4 2 3 2 3" xfId="24076" xr:uid="{00000000-0005-0000-0000-0000DFA20000}"/>
    <cellStyle name="Normal 8 3 4 2 3 2 4" xfId="39568" xr:uid="{00000000-0005-0000-0000-0000E0A20000}"/>
    <cellStyle name="Normal 8 3 4 2 3 3" xfId="12354" xr:uid="{00000000-0005-0000-0000-0000E1A20000}"/>
    <cellStyle name="Normal 8 3 4 2 3 3 2" xfId="27946" xr:uid="{00000000-0005-0000-0000-0000E2A20000}"/>
    <cellStyle name="Normal 8 3 4 2 3 3 3" xfId="43438" xr:uid="{00000000-0005-0000-0000-0000E3A20000}"/>
    <cellStyle name="Normal 8 3 4 2 3 4" xfId="20206" xr:uid="{00000000-0005-0000-0000-0000E4A20000}"/>
    <cellStyle name="Normal 8 3 4 2 3 5" xfId="35698" xr:uid="{00000000-0005-0000-0000-0000E5A20000}"/>
    <cellStyle name="Normal 8 3 4 2 4" xfId="6552" xr:uid="{00000000-0005-0000-0000-0000E6A20000}"/>
    <cellStyle name="Normal 8 3 4 2 4 2" xfId="14297" xr:uid="{00000000-0005-0000-0000-0000E7A20000}"/>
    <cellStyle name="Normal 8 3 4 2 4 2 2" xfId="29889" xr:uid="{00000000-0005-0000-0000-0000E8A20000}"/>
    <cellStyle name="Normal 8 3 4 2 4 2 3" xfId="45381" xr:uid="{00000000-0005-0000-0000-0000E9A20000}"/>
    <cellStyle name="Normal 8 3 4 2 4 3" xfId="22149" xr:uid="{00000000-0005-0000-0000-0000EAA20000}"/>
    <cellStyle name="Normal 8 3 4 2 4 4" xfId="37641" xr:uid="{00000000-0005-0000-0000-0000EBA20000}"/>
    <cellStyle name="Normal 8 3 4 2 5" xfId="10427" xr:uid="{00000000-0005-0000-0000-0000ECA20000}"/>
    <cellStyle name="Normal 8 3 4 2 5 2" xfId="26019" xr:uid="{00000000-0005-0000-0000-0000EDA20000}"/>
    <cellStyle name="Normal 8 3 4 2 5 3" xfId="41511" xr:uid="{00000000-0005-0000-0000-0000EEA20000}"/>
    <cellStyle name="Normal 8 3 4 2 6" xfId="18279" xr:uid="{00000000-0005-0000-0000-0000EFA20000}"/>
    <cellStyle name="Normal 8 3 4 2 7" xfId="33771" xr:uid="{00000000-0005-0000-0000-0000F0A20000}"/>
    <cellStyle name="Normal 8 3 4 3" xfId="3308" xr:uid="{00000000-0005-0000-0000-0000F1A20000}"/>
    <cellStyle name="Normal 8 3 4 3 2" xfId="5247" xr:uid="{00000000-0005-0000-0000-0000F2A20000}"/>
    <cellStyle name="Normal 8 3 4 3 2 2" xfId="9118" xr:uid="{00000000-0005-0000-0000-0000F3A20000}"/>
    <cellStyle name="Normal 8 3 4 3 2 2 2" xfId="16863" xr:uid="{00000000-0005-0000-0000-0000F4A20000}"/>
    <cellStyle name="Normal 8 3 4 3 2 2 2 2" xfId="32455" xr:uid="{00000000-0005-0000-0000-0000F5A20000}"/>
    <cellStyle name="Normal 8 3 4 3 2 2 2 3" xfId="47947" xr:uid="{00000000-0005-0000-0000-0000F6A20000}"/>
    <cellStyle name="Normal 8 3 4 3 2 2 3" xfId="24715" xr:uid="{00000000-0005-0000-0000-0000F7A20000}"/>
    <cellStyle name="Normal 8 3 4 3 2 2 4" xfId="40207" xr:uid="{00000000-0005-0000-0000-0000F8A20000}"/>
    <cellStyle name="Normal 8 3 4 3 2 3" xfId="12993" xr:uid="{00000000-0005-0000-0000-0000F9A20000}"/>
    <cellStyle name="Normal 8 3 4 3 2 3 2" xfId="28585" xr:uid="{00000000-0005-0000-0000-0000FAA20000}"/>
    <cellStyle name="Normal 8 3 4 3 2 3 3" xfId="44077" xr:uid="{00000000-0005-0000-0000-0000FBA20000}"/>
    <cellStyle name="Normal 8 3 4 3 2 4" xfId="20845" xr:uid="{00000000-0005-0000-0000-0000FCA20000}"/>
    <cellStyle name="Normal 8 3 4 3 2 5" xfId="36337" xr:uid="{00000000-0005-0000-0000-0000FDA20000}"/>
    <cellStyle name="Normal 8 3 4 3 3" xfId="7191" xr:uid="{00000000-0005-0000-0000-0000FEA20000}"/>
    <cellStyle name="Normal 8 3 4 3 3 2" xfId="14936" xr:uid="{00000000-0005-0000-0000-0000FFA20000}"/>
    <cellStyle name="Normal 8 3 4 3 3 2 2" xfId="30528" xr:uid="{00000000-0005-0000-0000-000000A30000}"/>
    <cellStyle name="Normal 8 3 4 3 3 2 3" xfId="46020" xr:uid="{00000000-0005-0000-0000-000001A30000}"/>
    <cellStyle name="Normal 8 3 4 3 3 3" xfId="22788" xr:uid="{00000000-0005-0000-0000-000002A30000}"/>
    <cellStyle name="Normal 8 3 4 3 3 4" xfId="38280" xr:uid="{00000000-0005-0000-0000-000003A30000}"/>
    <cellStyle name="Normal 8 3 4 3 4" xfId="11066" xr:uid="{00000000-0005-0000-0000-000004A30000}"/>
    <cellStyle name="Normal 8 3 4 3 4 2" xfId="26658" xr:uid="{00000000-0005-0000-0000-000005A30000}"/>
    <cellStyle name="Normal 8 3 4 3 4 3" xfId="42150" xr:uid="{00000000-0005-0000-0000-000006A30000}"/>
    <cellStyle name="Normal 8 3 4 3 5" xfId="18918" xr:uid="{00000000-0005-0000-0000-000007A30000}"/>
    <cellStyle name="Normal 8 3 4 3 6" xfId="34410" xr:uid="{00000000-0005-0000-0000-000008A30000}"/>
    <cellStyle name="Normal 8 3 4 4" xfId="4299" xr:uid="{00000000-0005-0000-0000-000009A30000}"/>
    <cellStyle name="Normal 8 3 4 4 2" xfId="8170" xr:uid="{00000000-0005-0000-0000-00000AA30000}"/>
    <cellStyle name="Normal 8 3 4 4 2 2" xfId="15915" xr:uid="{00000000-0005-0000-0000-00000BA30000}"/>
    <cellStyle name="Normal 8 3 4 4 2 2 2" xfId="31507" xr:uid="{00000000-0005-0000-0000-00000CA30000}"/>
    <cellStyle name="Normal 8 3 4 4 2 2 3" xfId="46999" xr:uid="{00000000-0005-0000-0000-00000DA30000}"/>
    <cellStyle name="Normal 8 3 4 4 2 3" xfId="23767" xr:uid="{00000000-0005-0000-0000-00000EA30000}"/>
    <cellStyle name="Normal 8 3 4 4 2 4" xfId="39259" xr:uid="{00000000-0005-0000-0000-00000FA30000}"/>
    <cellStyle name="Normal 8 3 4 4 3" xfId="12045" xr:uid="{00000000-0005-0000-0000-000010A30000}"/>
    <cellStyle name="Normal 8 3 4 4 3 2" xfId="27637" xr:uid="{00000000-0005-0000-0000-000011A30000}"/>
    <cellStyle name="Normal 8 3 4 4 3 3" xfId="43129" xr:uid="{00000000-0005-0000-0000-000012A30000}"/>
    <cellStyle name="Normal 8 3 4 4 4" xfId="19897" xr:uid="{00000000-0005-0000-0000-000013A30000}"/>
    <cellStyle name="Normal 8 3 4 4 5" xfId="35389" xr:uid="{00000000-0005-0000-0000-000014A30000}"/>
    <cellStyle name="Normal 8 3 4 5" xfId="6243" xr:uid="{00000000-0005-0000-0000-000015A30000}"/>
    <cellStyle name="Normal 8 3 4 5 2" xfId="13988" xr:uid="{00000000-0005-0000-0000-000016A30000}"/>
    <cellStyle name="Normal 8 3 4 5 2 2" xfId="29580" xr:uid="{00000000-0005-0000-0000-000017A30000}"/>
    <cellStyle name="Normal 8 3 4 5 2 3" xfId="45072" xr:uid="{00000000-0005-0000-0000-000018A30000}"/>
    <cellStyle name="Normal 8 3 4 5 3" xfId="21840" xr:uid="{00000000-0005-0000-0000-000019A30000}"/>
    <cellStyle name="Normal 8 3 4 5 4" xfId="37332" xr:uid="{00000000-0005-0000-0000-00001AA30000}"/>
    <cellStyle name="Normal 8 3 4 6" xfId="10118" xr:uid="{00000000-0005-0000-0000-00001BA30000}"/>
    <cellStyle name="Normal 8 3 4 6 2" xfId="25710" xr:uid="{00000000-0005-0000-0000-00001CA30000}"/>
    <cellStyle name="Normal 8 3 4 6 3" xfId="41202" xr:uid="{00000000-0005-0000-0000-00001DA30000}"/>
    <cellStyle name="Normal 8 3 4 7" xfId="17970" xr:uid="{00000000-0005-0000-0000-00001EA30000}"/>
    <cellStyle name="Normal 8 3 4 8" xfId="33462" xr:uid="{00000000-0005-0000-0000-00001FA30000}"/>
    <cellStyle name="Normal 8 3 5" xfId="2331" xr:uid="{00000000-0005-0000-0000-000020A30000}"/>
    <cellStyle name="Normal 8 3 5 2" xfId="2645" xr:uid="{00000000-0005-0000-0000-000021A30000}"/>
    <cellStyle name="Normal 8 3 5 2 2" xfId="3653" xr:uid="{00000000-0005-0000-0000-000022A30000}"/>
    <cellStyle name="Normal 8 3 5 2 2 2" xfId="5592" xr:uid="{00000000-0005-0000-0000-000023A30000}"/>
    <cellStyle name="Normal 8 3 5 2 2 2 2" xfId="9463" xr:uid="{00000000-0005-0000-0000-000024A30000}"/>
    <cellStyle name="Normal 8 3 5 2 2 2 2 2" xfId="17208" xr:uid="{00000000-0005-0000-0000-000025A30000}"/>
    <cellStyle name="Normal 8 3 5 2 2 2 2 2 2" xfId="32800" xr:uid="{00000000-0005-0000-0000-000026A30000}"/>
    <cellStyle name="Normal 8 3 5 2 2 2 2 2 3" xfId="48292" xr:uid="{00000000-0005-0000-0000-000027A30000}"/>
    <cellStyle name="Normal 8 3 5 2 2 2 2 3" xfId="25060" xr:uid="{00000000-0005-0000-0000-000028A30000}"/>
    <cellStyle name="Normal 8 3 5 2 2 2 2 4" xfId="40552" xr:uid="{00000000-0005-0000-0000-000029A30000}"/>
    <cellStyle name="Normal 8 3 5 2 2 2 3" xfId="13338" xr:uid="{00000000-0005-0000-0000-00002AA30000}"/>
    <cellStyle name="Normal 8 3 5 2 2 2 3 2" xfId="28930" xr:uid="{00000000-0005-0000-0000-00002BA30000}"/>
    <cellStyle name="Normal 8 3 5 2 2 2 3 3" xfId="44422" xr:uid="{00000000-0005-0000-0000-00002CA30000}"/>
    <cellStyle name="Normal 8 3 5 2 2 2 4" xfId="21190" xr:uid="{00000000-0005-0000-0000-00002DA30000}"/>
    <cellStyle name="Normal 8 3 5 2 2 2 5" xfId="36682" xr:uid="{00000000-0005-0000-0000-00002EA30000}"/>
    <cellStyle name="Normal 8 3 5 2 2 3" xfId="7536" xr:uid="{00000000-0005-0000-0000-00002FA30000}"/>
    <cellStyle name="Normal 8 3 5 2 2 3 2" xfId="15281" xr:uid="{00000000-0005-0000-0000-000030A30000}"/>
    <cellStyle name="Normal 8 3 5 2 2 3 2 2" xfId="30873" xr:uid="{00000000-0005-0000-0000-000031A30000}"/>
    <cellStyle name="Normal 8 3 5 2 2 3 2 3" xfId="46365" xr:uid="{00000000-0005-0000-0000-000032A30000}"/>
    <cellStyle name="Normal 8 3 5 2 2 3 3" xfId="23133" xr:uid="{00000000-0005-0000-0000-000033A30000}"/>
    <cellStyle name="Normal 8 3 5 2 2 3 4" xfId="38625" xr:uid="{00000000-0005-0000-0000-000034A30000}"/>
    <cellStyle name="Normal 8 3 5 2 2 4" xfId="11411" xr:uid="{00000000-0005-0000-0000-000035A30000}"/>
    <cellStyle name="Normal 8 3 5 2 2 4 2" xfId="27003" xr:uid="{00000000-0005-0000-0000-000036A30000}"/>
    <cellStyle name="Normal 8 3 5 2 2 4 3" xfId="42495" xr:uid="{00000000-0005-0000-0000-000037A30000}"/>
    <cellStyle name="Normal 8 3 5 2 2 5" xfId="19263" xr:uid="{00000000-0005-0000-0000-000038A30000}"/>
    <cellStyle name="Normal 8 3 5 2 2 6" xfId="34755" xr:uid="{00000000-0005-0000-0000-000039A30000}"/>
    <cellStyle name="Normal 8 3 5 2 3" xfId="4644" xr:uid="{00000000-0005-0000-0000-00003AA30000}"/>
    <cellStyle name="Normal 8 3 5 2 3 2" xfId="8515" xr:uid="{00000000-0005-0000-0000-00003BA30000}"/>
    <cellStyle name="Normal 8 3 5 2 3 2 2" xfId="16260" xr:uid="{00000000-0005-0000-0000-00003CA30000}"/>
    <cellStyle name="Normal 8 3 5 2 3 2 2 2" xfId="31852" xr:uid="{00000000-0005-0000-0000-00003DA30000}"/>
    <cellStyle name="Normal 8 3 5 2 3 2 2 3" xfId="47344" xr:uid="{00000000-0005-0000-0000-00003EA30000}"/>
    <cellStyle name="Normal 8 3 5 2 3 2 3" xfId="24112" xr:uid="{00000000-0005-0000-0000-00003FA30000}"/>
    <cellStyle name="Normal 8 3 5 2 3 2 4" xfId="39604" xr:uid="{00000000-0005-0000-0000-000040A30000}"/>
    <cellStyle name="Normal 8 3 5 2 3 3" xfId="12390" xr:uid="{00000000-0005-0000-0000-000041A30000}"/>
    <cellStyle name="Normal 8 3 5 2 3 3 2" xfId="27982" xr:uid="{00000000-0005-0000-0000-000042A30000}"/>
    <cellStyle name="Normal 8 3 5 2 3 3 3" xfId="43474" xr:uid="{00000000-0005-0000-0000-000043A30000}"/>
    <cellStyle name="Normal 8 3 5 2 3 4" xfId="20242" xr:uid="{00000000-0005-0000-0000-000044A30000}"/>
    <cellStyle name="Normal 8 3 5 2 3 5" xfId="35734" xr:uid="{00000000-0005-0000-0000-000045A30000}"/>
    <cellStyle name="Normal 8 3 5 2 4" xfId="6588" xr:uid="{00000000-0005-0000-0000-000046A30000}"/>
    <cellStyle name="Normal 8 3 5 2 4 2" xfId="14333" xr:uid="{00000000-0005-0000-0000-000047A30000}"/>
    <cellStyle name="Normal 8 3 5 2 4 2 2" xfId="29925" xr:uid="{00000000-0005-0000-0000-000048A30000}"/>
    <cellStyle name="Normal 8 3 5 2 4 2 3" xfId="45417" xr:uid="{00000000-0005-0000-0000-000049A30000}"/>
    <cellStyle name="Normal 8 3 5 2 4 3" xfId="22185" xr:uid="{00000000-0005-0000-0000-00004AA30000}"/>
    <cellStyle name="Normal 8 3 5 2 4 4" xfId="37677" xr:uid="{00000000-0005-0000-0000-00004BA30000}"/>
    <cellStyle name="Normal 8 3 5 2 5" xfId="10463" xr:uid="{00000000-0005-0000-0000-00004CA30000}"/>
    <cellStyle name="Normal 8 3 5 2 5 2" xfId="26055" xr:uid="{00000000-0005-0000-0000-00004DA30000}"/>
    <cellStyle name="Normal 8 3 5 2 5 3" xfId="41547" xr:uid="{00000000-0005-0000-0000-00004EA30000}"/>
    <cellStyle name="Normal 8 3 5 2 6" xfId="18315" xr:uid="{00000000-0005-0000-0000-00004FA30000}"/>
    <cellStyle name="Normal 8 3 5 2 7" xfId="33807" xr:uid="{00000000-0005-0000-0000-000050A30000}"/>
    <cellStyle name="Normal 8 3 5 3" xfId="3344" xr:uid="{00000000-0005-0000-0000-000051A30000}"/>
    <cellStyle name="Normal 8 3 5 3 2" xfId="5283" xr:uid="{00000000-0005-0000-0000-000052A30000}"/>
    <cellStyle name="Normal 8 3 5 3 2 2" xfId="9154" xr:uid="{00000000-0005-0000-0000-000053A30000}"/>
    <cellStyle name="Normal 8 3 5 3 2 2 2" xfId="16899" xr:uid="{00000000-0005-0000-0000-000054A30000}"/>
    <cellStyle name="Normal 8 3 5 3 2 2 2 2" xfId="32491" xr:uid="{00000000-0005-0000-0000-000055A30000}"/>
    <cellStyle name="Normal 8 3 5 3 2 2 2 3" xfId="47983" xr:uid="{00000000-0005-0000-0000-000056A30000}"/>
    <cellStyle name="Normal 8 3 5 3 2 2 3" xfId="24751" xr:uid="{00000000-0005-0000-0000-000057A30000}"/>
    <cellStyle name="Normal 8 3 5 3 2 2 4" xfId="40243" xr:uid="{00000000-0005-0000-0000-000058A30000}"/>
    <cellStyle name="Normal 8 3 5 3 2 3" xfId="13029" xr:uid="{00000000-0005-0000-0000-000059A30000}"/>
    <cellStyle name="Normal 8 3 5 3 2 3 2" xfId="28621" xr:uid="{00000000-0005-0000-0000-00005AA30000}"/>
    <cellStyle name="Normal 8 3 5 3 2 3 3" xfId="44113" xr:uid="{00000000-0005-0000-0000-00005BA30000}"/>
    <cellStyle name="Normal 8 3 5 3 2 4" xfId="20881" xr:uid="{00000000-0005-0000-0000-00005CA30000}"/>
    <cellStyle name="Normal 8 3 5 3 2 5" xfId="36373" xr:uid="{00000000-0005-0000-0000-00005DA30000}"/>
    <cellStyle name="Normal 8 3 5 3 3" xfId="7227" xr:uid="{00000000-0005-0000-0000-00005EA30000}"/>
    <cellStyle name="Normal 8 3 5 3 3 2" xfId="14972" xr:uid="{00000000-0005-0000-0000-00005FA30000}"/>
    <cellStyle name="Normal 8 3 5 3 3 2 2" xfId="30564" xr:uid="{00000000-0005-0000-0000-000060A30000}"/>
    <cellStyle name="Normal 8 3 5 3 3 2 3" xfId="46056" xr:uid="{00000000-0005-0000-0000-000061A30000}"/>
    <cellStyle name="Normal 8 3 5 3 3 3" xfId="22824" xr:uid="{00000000-0005-0000-0000-000062A30000}"/>
    <cellStyle name="Normal 8 3 5 3 3 4" xfId="38316" xr:uid="{00000000-0005-0000-0000-000063A30000}"/>
    <cellStyle name="Normal 8 3 5 3 4" xfId="11102" xr:uid="{00000000-0005-0000-0000-000064A30000}"/>
    <cellStyle name="Normal 8 3 5 3 4 2" xfId="26694" xr:uid="{00000000-0005-0000-0000-000065A30000}"/>
    <cellStyle name="Normal 8 3 5 3 4 3" xfId="42186" xr:uid="{00000000-0005-0000-0000-000066A30000}"/>
    <cellStyle name="Normal 8 3 5 3 5" xfId="18954" xr:uid="{00000000-0005-0000-0000-000067A30000}"/>
    <cellStyle name="Normal 8 3 5 3 6" xfId="34446" xr:uid="{00000000-0005-0000-0000-000068A30000}"/>
    <cellStyle name="Normal 8 3 5 4" xfId="4335" xr:uid="{00000000-0005-0000-0000-000069A30000}"/>
    <cellStyle name="Normal 8 3 5 4 2" xfId="8206" xr:uid="{00000000-0005-0000-0000-00006AA30000}"/>
    <cellStyle name="Normal 8 3 5 4 2 2" xfId="15951" xr:uid="{00000000-0005-0000-0000-00006BA30000}"/>
    <cellStyle name="Normal 8 3 5 4 2 2 2" xfId="31543" xr:uid="{00000000-0005-0000-0000-00006CA30000}"/>
    <cellStyle name="Normal 8 3 5 4 2 2 3" xfId="47035" xr:uid="{00000000-0005-0000-0000-00006DA30000}"/>
    <cellStyle name="Normal 8 3 5 4 2 3" xfId="23803" xr:uid="{00000000-0005-0000-0000-00006EA30000}"/>
    <cellStyle name="Normal 8 3 5 4 2 4" xfId="39295" xr:uid="{00000000-0005-0000-0000-00006FA30000}"/>
    <cellStyle name="Normal 8 3 5 4 3" xfId="12081" xr:uid="{00000000-0005-0000-0000-000070A30000}"/>
    <cellStyle name="Normal 8 3 5 4 3 2" xfId="27673" xr:uid="{00000000-0005-0000-0000-000071A30000}"/>
    <cellStyle name="Normal 8 3 5 4 3 3" xfId="43165" xr:uid="{00000000-0005-0000-0000-000072A30000}"/>
    <cellStyle name="Normal 8 3 5 4 4" xfId="19933" xr:uid="{00000000-0005-0000-0000-000073A30000}"/>
    <cellStyle name="Normal 8 3 5 4 5" xfId="35425" xr:uid="{00000000-0005-0000-0000-000074A30000}"/>
    <cellStyle name="Normal 8 3 5 5" xfId="6279" xr:uid="{00000000-0005-0000-0000-000075A30000}"/>
    <cellStyle name="Normal 8 3 5 5 2" xfId="14024" xr:uid="{00000000-0005-0000-0000-000076A30000}"/>
    <cellStyle name="Normal 8 3 5 5 2 2" xfId="29616" xr:uid="{00000000-0005-0000-0000-000077A30000}"/>
    <cellStyle name="Normal 8 3 5 5 2 3" xfId="45108" xr:uid="{00000000-0005-0000-0000-000078A30000}"/>
    <cellStyle name="Normal 8 3 5 5 3" xfId="21876" xr:uid="{00000000-0005-0000-0000-000079A30000}"/>
    <cellStyle name="Normal 8 3 5 5 4" xfId="37368" xr:uid="{00000000-0005-0000-0000-00007AA30000}"/>
    <cellStyle name="Normal 8 3 5 6" xfId="10154" xr:uid="{00000000-0005-0000-0000-00007BA30000}"/>
    <cellStyle name="Normal 8 3 5 6 2" xfId="25746" xr:uid="{00000000-0005-0000-0000-00007CA30000}"/>
    <cellStyle name="Normal 8 3 5 6 3" xfId="41238" xr:uid="{00000000-0005-0000-0000-00007DA30000}"/>
    <cellStyle name="Normal 8 3 5 7" xfId="18006" xr:uid="{00000000-0005-0000-0000-00007EA30000}"/>
    <cellStyle name="Normal 8 3 5 8" xfId="33498" xr:uid="{00000000-0005-0000-0000-00007FA30000}"/>
    <cellStyle name="Normal 8 3 6" xfId="2368" xr:uid="{00000000-0005-0000-0000-000080A30000}"/>
    <cellStyle name="Normal 8 3 6 2" xfId="2681" xr:uid="{00000000-0005-0000-0000-000081A30000}"/>
    <cellStyle name="Normal 8 3 6 2 2" xfId="3689" xr:uid="{00000000-0005-0000-0000-000082A30000}"/>
    <cellStyle name="Normal 8 3 6 2 2 2" xfId="5628" xr:uid="{00000000-0005-0000-0000-000083A30000}"/>
    <cellStyle name="Normal 8 3 6 2 2 2 2" xfId="9499" xr:uid="{00000000-0005-0000-0000-000084A30000}"/>
    <cellStyle name="Normal 8 3 6 2 2 2 2 2" xfId="17244" xr:uid="{00000000-0005-0000-0000-000085A30000}"/>
    <cellStyle name="Normal 8 3 6 2 2 2 2 2 2" xfId="32836" xr:uid="{00000000-0005-0000-0000-000086A30000}"/>
    <cellStyle name="Normal 8 3 6 2 2 2 2 2 3" xfId="48328" xr:uid="{00000000-0005-0000-0000-000087A30000}"/>
    <cellStyle name="Normal 8 3 6 2 2 2 2 3" xfId="25096" xr:uid="{00000000-0005-0000-0000-000088A30000}"/>
    <cellStyle name="Normal 8 3 6 2 2 2 2 4" xfId="40588" xr:uid="{00000000-0005-0000-0000-000089A30000}"/>
    <cellStyle name="Normal 8 3 6 2 2 2 3" xfId="13374" xr:uid="{00000000-0005-0000-0000-00008AA30000}"/>
    <cellStyle name="Normal 8 3 6 2 2 2 3 2" xfId="28966" xr:uid="{00000000-0005-0000-0000-00008BA30000}"/>
    <cellStyle name="Normal 8 3 6 2 2 2 3 3" xfId="44458" xr:uid="{00000000-0005-0000-0000-00008CA30000}"/>
    <cellStyle name="Normal 8 3 6 2 2 2 4" xfId="21226" xr:uid="{00000000-0005-0000-0000-00008DA30000}"/>
    <cellStyle name="Normal 8 3 6 2 2 2 5" xfId="36718" xr:uid="{00000000-0005-0000-0000-00008EA30000}"/>
    <cellStyle name="Normal 8 3 6 2 2 3" xfId="7572" xr:uid="{00000000-0005-0000-0000-00008FA30000}"/>
    <cellStyle name="Normal 8 3 6 2 2 3 2" xfId="15317" xr:uid="{00000000-0005-0000-0000-000090A30000}"/>
    <cellStyle name="Normal 8 3 6 2 2 3 2 2" xfId="30909" xr:uid="{00000000-0005-0000-0000-000091A30000}"/>
    <cellStyle name="Normal 8 3 6 2 2 3 2 3" xfId="46401" xr:uid="{00000000-0005-0000-0000-000092A30000}"/>
    <cellStyle name="Normal 8 3 6 2 2 3 3" xfId="23169" xr:uid="{00000000-0005-0000-0000-000093A30000}"/>
    <cellStyle name="Normal 8 3 6 2 2 3 4" xfId="38661" xr:uid="{00000000-0005-0000-0000-000094A30000}"/>
    <cellStyle name="Normal 8 3 6 2 2 4" xfId="11447" xr:uid="{00000000-0005-0000-0000-000095A30000}"/>
    <cellStyle name="Normal 8 3 6 2 2 4 2" xfId="27039" xr:uid="{00000000-0005-0000-0000-000096A30000}"/>
    <cellStyle name="Normal 8 3 6 2 2 4 3" xfId="42531" xr:uid="{00000000-0005-0000-0000-000097A30000}"/>
    <cellStyle name="Normal 8 3 6 2 2 5" xfId="19299" xr:uid="{00000000-0005-0000-0000-000098A30000}"/>
    <cellStyle name="Normal 8 3 6 2 2 6" xfId="34791" xr:uid="{00000000-0005-0000-0000-000099A30000}"/>
    <cellStyle name="Normal 8 3 6 2 3" xfId="4680" xr:uid="{00000000-0005-0000-0000-00009AA30000}"/>
    <cellStyle name="Normal 8 3 6 2 3 2" xfId="8551" xr:uid="{00000000-0005-0000-0000-00009BA30000}"/>
    <cellStyle name="Normal 8 3 6 2 3 2 2" xfId="16296" xr:uid="{00000000-0005-0000-0000-00009CA30000}"/>
    <cellStyle name="Normal 8 3 6 2 3 2 2 2" xfId="31888" xr:uid="{00000000-0005-0000-0000-00009DA30000}"/>
    <cellStyle name="Normal 8 3 6 2 3 2 2 3" xfId="47380" xr:uid="{00000000-0005-0000-0000-00009EA30000}"/>
    <cellStyle name="Normal 8 3 6 2 3 2 3" xfId="24148" xr:uid="{00000000-0005-0000-0000-00009FA30000}"/>
    <cellStyle name="Normal 8 3 6 2 3 2 4" xfId="39640" xr:uid="{00000000-0005-0000-0000-0000A0A30000}"/>
    <cellStyle name="Normal 8 3 6 2 3 3" xfId="12426" xr:uid="{00000000-0005-0000-0000-0000A1A30000}"/>
    <cellStyle name="Normal 8 3 6 2 3 3 2" xfId="28018" xr:uid="{00000000-0005-0000-0000-0000A2A30000}"/>
    <cellStyle name="Normal 8 3 6 2 3 3 3" xfId="43510" xr:uid="{00000000-0005-0000-0000-0000A3A30000}"/>
    <cellStyle name="Normal 8 3 6 2 3 4" xfId="20278" xr:uid="{00000000-0005-0000-0000-0000A4A30000}"/>
    <cellStyle name="Normal 8 3 6 2 3 5" xfId="35770" xr:uid="{00000000-0005-0000-0000-0000A5A30000}"/>
    <cellStyle name="Normal 8 3 6 2 4" xfId="6624" xr:uid="{00000000-0005-0000-0000-0000A6A30000}"/>
    <cellStyle name="Normal 8 3 6 2 4 2" xfId="14369" xr:uid="{00000000-0005-0000-0000-0000A7A30000}"/>
    <cellStyle name="Normal 8 3 6 2 4 2 2" xfId="29961" xr:uid="{00000000-0005-0000-0000-0000A8A30000}"/>
    <cellStyle name="Normal 8 3 6 2 4 2 3" xfId="45453" xr:uid="{00000000-0005-0000-0000-0000A9A30000}"/>
    <cellStyle name="Normal 8 3 6 2 4 3" xfId="22221" xr:uid="{00000000-0005-0000-0000-0000AAA30000}"/>
    <cellStyle name="Normal 8 3 6 2 4 4" xfId="37713" xr:uid="{00000000-0005-0000-0000-0000ABA30000}"/>
    <cellStyle name="Normal 8 3 6 2 5" xfId="10499" xr:uid="{00000000-0005-0000-0000-0000ACA30000}"/>
    <cellStyle name="Normal 8 3 6 2 5 2" xfId="26091" xr:uid="{00000000-0005-0000-0000-0000ADA30000}"/>
    <cellStyle name="Normal 8 3 6 2 5 3" xfId="41583" xr:uid="{00000000-0005-0000-0000-0000AEA30000}"/>
    <cellStyle name="Normal 8 3 6 2 6" xfId="18351" xr:uid="{00000000-0005-0000-0000-0000AFA30000}"/>
    <cellStyle name="Normal 8 3 6 2 7" xfId="33843" xr:uid="{00000000-0005-0000-0000-0000B0A30000}"/>
    <cellStyle name="Normal 8 3 6 3" xfId="3380" xr:uid="{00000000-0005-0000-0000-0000B1A30000}"/>
    <cellStyle name="Normal 8 3 6 3 2" xfId="5319" xr:uid="{00000000-0005-0000-0000-0000B2A30000}"/>
    <cellStyle name="Normal 8 3 6 3 2 2" xfId="9190" xr:uid="{00000000-0005-0000-0000-0000B3A30000}"/>
    <cellStyle name="Normal 8 3 6 3 2 2 2" xfId="16935" xr:uid="{00000000-0005-0000-0000-0000B4A30000}"/>
    <cellStyle name="Normal 8 3 6 3 2 2 2 2" xfId="32527" xr:uid="{00000000-0005-0000-0000-0000B5A30000}"/>
    <cellStyle name="Normal 8 3 6 3 2 2 2 3" xfId="48019" xr:uid="{00000000-0005-0000-0000-0000B6A30000}"/>
    <cellStyle name="Normal 8 3 6 3 2 2 3" xfId="24787" xr:uid="{00000000-0005-0000-0000-0000B7A30000}"/>
    <cellStyle name="Normal 8 3 6 3 2 2 4" xfId="40279" xr:uid="{00000000-0005-0000-0000-0000B8A30000}"/>
    <cellStyle name="Normal 8 3 6 3 2 3" xfId="13065" xr:uid="{00000000-0005-0000-0000-0000B9A30000}"/>
    <cellStyle name="Normal 8 3 6 3 2 3 2" xfId="28657" xr:uid="{00000000-0005-0000-0000-0000BAA30000}"/>
    <cellStyle name="Normal 8 3 6 3 2 3 3" xfId="44149" xr:uid="{00000000-0005-0000-0000-0000BBA30000}"/>
    <cellStyle name="Normal 8 3 6 3 2 4" xfId="20917" xr:uid="{00000000-0005-0000-0000-0000BCA30000}"/>
    <cellStyle name="Normal 8 3 6 3 2 5" xfId="36409" xr:uid="{00000000-0005-0000-0000-0000BDA30000}"/>
    <cellStyle name="Normal 8 3 6 3 3" xfId="7263" xr:uid="{00000000-0005-0000-0000-0000BEA30000}"/>
    <cellStyle name="Normal 8 3 6 3 3 2" xfId="15008" xr:uid="{00000000-0005-0000-0000-0000BFA30000}"/>
    <cellStyle name="Normal 8 3 6 3 3 2 2" xfId="30600" xr:uid="{00000000-0005-0000-0000-0000C0A30000}"/>
    <cellStyle name="Normal 8 3 6 3 3 2 3" xfId="46092" xr:uid="{00000000-0005-0000-0000-0000C1A30000}"/>
    <cellStyle name="Normal 8 3 6 3 3 3" xfId="22860" xr:uid="{00000000-0005-0000-0000-0000C2A30000}"/>
    <cellStyle name="Normal 8 3 6 3 3 4" xfId="38352" xr:uid="{00000000-0005-0000-0000-0000C3A30000}"/>
    <cellStyle name="Normal 8 3 6 3 4" xfId="11138" xr:uid="{00000000-0005-0000-0000-0000C4A30000}"/>
    <cellStyle name="Normal 8 3 6 3 4 2" xfId="26730" xr:uid="{00000000-0005-0000-0000-0000C5A30000}"/>
    <cellStyle name="Normal 8 3 6 3 4 3" xfId="42222" xr:uid="{00000000-0005-0000-0000-0000C6A30000}"/>
    <cellStyle name="Normal 8 3 6 3 5" xfId="18990" xr:uid="{00000000-0005-0000-0000-0000C7A30000}"/>
    <cellStyle name="Normal 8 3 6 3 6" xfId="34482" xr:uid="{00000000-0005-0000-0000-0000C8A30000}"/>
    <cellStyle name="Normal 8 3 6 4" xfId="4371" xr:uid="{00000000-0005-0000-0000-0000C9A30000}"/>
    <cellStyle name="Normal 8 3 6 4 2" xfId="8242" xr:uid="{00000000-0005-0000-0000-0000CAA30000}"/>
    <cellStyle name="Normal 8 3 6 4 2 2" xfId="15987" xr:uid="{00000000-0005-0000-0000-0000CBA30000}"/>
    <cellStyle name="Normal 8 3 6 4 2 2 2" xfId="31579" xr:uid="{00000000-0005-0000-0000-0000CCA30000}"/>
    <cellStyle name="Normal 8 3 6 4 2 2 3" xfId="47071" xr:uid="{00000000-0005-0000-0000-0000CDA30000}"/>
    <cellStyle name="Normal 8 3 6 4 2 3" xfId="23839" xr:uid="{00000000-0005-0000-0000-0000CEA30000}"/>
    <cellStyle name="Normal 8 3 6 4 2 4" xfId="39331" xr:uid="{00000000-0005-0000-0000-0000CFA30000}"/>
    <cellStyle name="Normal 8 3 6 4 3" xfId="12117" xr:uid="{00000000-0005-0000-0000-0000D0A30000}"/>
    <cellStyle name="Normal 8 3 6 4 3 2" xfId="27709" xr:uid="{00000000-0005-0000-0000-0000D1A30000}"/>
    <cellStyle name="Normal 8 3 6 4 3 3" xfId="43201" xr:uid="{00000000-0005-0000-0000-0000D2A30000}"/>
    <cellStyle name="Normal 8 3 6 4 4" xfId="19969" xr:uid="{00000000-0005-0000-0000-0000D3A30000}"/>
    <cellStyle name="Normal 8 3 6 4 5" xfId="35461" xr:uid="{00000000-0005-0000-0000-0000D4A30000}"/>
    <cellStyle name="Normal 8 3 6 5" xfId="6315" xr:uid="{00000000-0005-0000-0000-0000D5A30000}"/>
    <cellStyle name="Normal 8 3 6 5 2" xfId="14060" xr:uid="{00000000-0005-0000-0000-0000D6A30000}"/>
    <cellStyle name="Normal 8 3 6 5 2 2" xfId="29652" xr:uid="{00000000-0005-0000-0000-0000D7A30000}"/>
    <cellStyle name="Normal 8 3 6 5 2 3" xfId="45144" xr:uid="{00000000-0005-0000-0000-0000D8A30000}"/>
    <cellStyle name="Normal 8 3 6 5 3" xfId="21912" xr:uid="{00000000-0005-0000-0000-0000D9A30000}"/>
    <cellStyle name="Normal 8 3 6 5 4" xfId="37404" xr:uid="{00000000-0005-0000-0000-0000DAA30000}"/>
    <cellStyle name="Normal 8 3 6 6" xfId="10190" xr:uid="{00000000-0005-0000-0000-0000DBA30000}"/>
    <cellStyle name="Normal 8 3 6 6 2" xfId="25782" xr:uid="{00000000-0005-0000-0000-0000DCA30000}"/>
    <cellStyle name="Normal 8 3 6 6 3" xfId="41274" xr:uid="{00000000-0005-0000-0000-0000DDA30000}"/>
    <cellStyle name="Normal 8 3 6 7" xfId="18042" xr:uid="{00000000-0005-0000-0000-0000DEA30000}"/>
    <cellStyle name="Normal 8 3 6 8" xfId="33534" xr:uid="{00000000-0005-0000-0000-0000DFA30000}"/>
    <cellStyle name="Normal 8 3 7" xfId="2406" xr:uid="{00000000-0005-0000-0000-0000E0A30000}"/>
    <cellStyle name="Normal 8 3 7 2" xfId="2717" xr:uid="{00000000-0005-0000-0000-0000E1A30000}"/>
    <cellStyle name="Normal 8 3 7 2 2" xfId="3725" xr:uid="{00000000-0005-0000-0000-0000E2A30000}"/>
    <cellStyle name="Normal 8 3 7 2 2 2" xfId="5664" xr:uid="{00000000-0005-0000-0000-0000E3A30000}"/>
    <cellStyle name="Normal 8 3 7 2 2 2 2" xfId="9535" xr:uid="{00000000-0005-0000-0000-0000E4A30000}"/>
    <cellStyle name="Normal 8 3 7 2 2 2 2 2" xfId="17280" xr:uid="{00000000-0005-0000-0000-0000E5A30000}"/>
    <cellStyle name="Normal 8 3 7 2 2 2 2 2 2" xfId="32872" xr:uid="{00000000-0005-0000-0000-0000E6A30000}"/>
    <cellStyle name="Normal 8 3 7 2 2 2 2 2 3" xfId="48364" xr:uid="{00000000-0005-0000-0000-0000E7A30000}"/>
    <cellStyle name="Normal 8 3 7 2 2 2 2 3" xfId="25132" xr:uid="{00000000-0005-0000-0000-0000E8A30000}"/>
    <cellStyle name="Normal 8 3 7 2 2 2 2 4" xfId="40624" xr:uid="{00000000-0005-0000-0000-0000E9A30000}"/>
    <cellStyle name="Normal 8 3 7 2 2 2 3" xfId="13410" xr:uid="{00000000-0005-0000-0000-0000EAA30000}"/>
    <cellStyle name="Normal 8 3 7 2 2 2 3 2" xfId="29002" xr:uid="{00000000-0005-0000-0000-0000EBA30000}"/>
    <cellStyle name="Normal 8 3 7 2 2 2 3 3" xfId="44494" xr:uid="{00000000-0005-0000-0000-0000ECA30000}"/>
    <cellStyle name="Normal 8 3 7 2 2 2 4" xfId="21262" xr:uid="{00000000-0005-0000-0000-0000EDA30000}"/>
    <cellStyle name="Normal 8 3 7 2 2 2 5" xfId="36754" xr:uid="{00000000-0005-0000-0000-0000EEA30000}"/>
    <cellStyle name="Normal 8 3 7 2 2 3" xfId="7608" xr:uid="{00000000-0005-0000-0000-0000EFA30000}"/>
    <cellStyle name="Normal 8 3 7 2 2 3 2" xfId="15353" xr:uid="{00000000-0005-0000-0000-0000F0A30000}"/>
    <cellStyle name="Normal 8 3 7 2 2 3 2 2" xfId="30945" xr:uid="{00000000-0005-0000-0000-0000F1A30000}"/>
    <cellStyle name="Normal 8 3 7 2 2 3 2 3" xfId="46437" xr:uid="{00000000-0005-0000-0000-0000F2A30000}"/>
    <cellStyle name="Normal 8 3 7 2 2 3 3" xfId="23205" xr:uid="{00000000-0005-0000-0000-0000F3A30000}"/>
    <cellStyle name="Normal 8 3 7 2 2 3 4" xfId="38697" xr:uid="{00000000-0005-0000-0000-0000F4A30000}"/>
    <cellStyle name="Normal 8 3 7 2 2 4" xfId="11483" xr:uid="{00000000-0005-0000-0000-0000F5A30000}"/>
    <cellStyle name="Normal 8 3 7 2 2 4 2" xfId="27075" xr:uid="{00000000-0005-0000-0000-0000F6A30000}"/>
    <cellStyle name="Normal 8 3 7 2 2 4 3" xfId="42567" xr:uid="{00000000-0005-0000-0000-0000F7A30000}"/>
    <cellStyle name="Normal 8 3 7 2 2 5" xfId="19335" xr:uid="{00000000-0005-0000-0000-0000F8A30000}"/>
    <cellStyle name="Normal 8 3 7 2 2 6" xfId="34827" xr:uid="{00000000-0005-0000-0000-0000F9A30000}"/>
    <cellStyle name="Normal 8 3 7 2 3" xfId="4716" xr:uid="{00000000-0005-0000-0000-0000FAA30000}"/>
    <cellStyle name="Normal 8 3 7 2 3 2" xfId="8587" xr:uid="{00000000-0005-0000-0000-0000FBA30000}"/>
    <cellStyle name="Normal 8 3 7 2 3 2 2" xfId="16332" xr:uid="{00000000-0005-0000-0000-0000FCA30000}"/>
    <cellStyle name="Normal 8 3 7 2 3 2 2 2" xfId="31924" xr:uid="{00000000-0005-0000-0000-0000FDA30000}"/>
    <cellStyle name="Normal 8 3 7 2 3 2 2 3" xfId="47416" xr:uid="{00000000-0005-0000-0000-0000FEA30000}"/>
    <cellStyle name="Normal 8 3 7 2 3 2 3" xfId="24184" xr:uid="{00000000-0005-0000-0000-0000FFA30000}"/>
    <cellStyle name="Normal 8 3 7 2 3 2 4" xfId="39676" xr:uid="{00000000-0005-0000-0000-000000A40000}"/>
    <cellStyle name="Normal 8 3 7 2 3 3" xfId="12462" xr:uid="{00000000-0005-0000-0000-000001A40000}"/>
    <cellStyle name="Normal 8 3 7 2 3 3 2" xfId="28054" xr:uid="{00000000-0005-0000-0000-000002A40000}"/>
    <cellStyle name="Normal 8 3 7 2 3 3 3" xfId="43546" xr:uid="{00000000-0005-0000-0000-000003A40000}"/>
    <cellStyle name="Normal 8 3 7 2 3 4" xfId="20314" xr:uid="{00000000-0005-0000-0000-000004A40000}"/>
    <cellStyle name="Normal 8 3 7 2 3 5" xfId="35806" xr:uid="{00000000-0005-0000-0000-000005A40000}"/>
    <cellStyle name="Normal 8 3 7 2 4" xfId="6660" xr:uid="{00000000-0005-0000-0000-000006A40000}"/>
    <cellStyle name="Normal 8 3 7 2 4 2" xfId="14405" xr:uid="{00000000-0005-0000-0000-000007A40000}"/>
    <cellStyle name="Normal 8 3 7 2 4 2 2" xfId="29997" xr:uid="{00000000-0005-0000-0000-000008A40000}"/>
    <cellStyle name="Normal 8 3 7 2 4 2 3" xfId="45489" xr:uid="{00000000-0005-0000-0000-000009A40000}"/>
    <cellStyle name="Normal 8 3 7 2 4 3" xfId="22257" xr:uid="{00000000-0005-0000-0000-00000AA40000}"/>
    <cellStyle name="Normal 8 3 7 2 4 4" xfId="37749" xr:uid="{00000000-0005-0000-0000-00000BA40000}"/>
    <cellStyle name="Normal 8 3 7 2 5" xfId="10535" xr:uid="{00000000-0005-0000-0000-00000CA40000}"/>
    <cellStyle name="Normal 8 3 7 2 5 2" xfId="26127" xr:uid="{00000000-0005-0000-0000-00000DA40000}"/>
    <cellStyle name="Normal 8 3 7 2 5 3" xfId="41619" xr:uid="{00000000-0005-0000-0000-00000EA40000}"/>
    <cellStyle name="Normal 8 3 7 2 6" xfId="18387" xr:uid="{00000000-0005-0000-0000-00000FA40000}"/>
    <cellStyle name="Normal 8 3 7 2 7" xfId="33879" xr:uid="{00000000-0005-0000-0000-000010A40000}"/>
    <cellStyle name="Normal 8 3 7 3" xfId="3416" xr:uid="{00000000-0005-0000-0000-000011A40000}"/>
    <cellStyle name="Normal 8 3 7 3 2" xfId="5355" xr:uid="{00000000-0005-0000-0000-000012A40000}"/>
    <cellStyle name="Normal 8 3 7 3 2 2" xfId="9226" xr:uid="{00000000-0005-0000-0000-000013A40000}"/>
    <cellStyle name="Normal 8 3 7 3 2 2 2" xfId="16971" xr:uid="{00000000-0005-0000-0000-000014A40000}"/>
    <cellStyle name="Normal 8 3 7 3 2 2 2 2" xfId="32563" xr:uid="{00000000-0005-0000-0000-000015A40000}"/>
    <cellStyle name="Normal 8 3 7 3 2 2 2 3" xfId="48055" xr:uid="{00000000-0005-0000-0000-000016A40000}"/>
    <cellStyle name="Normal 8 3 7 3 2 2 3" xfId="24823" xr:uid="{00000000-0005-0000-0000-000017A40000}"/>
    <cellStyle name="Normal 8 3 7 3 2 2 4" xfId="40315" xr:uid="{00000000-0005-0000-0000-000018A40000}"/>
    <cellStyle name="Normal 8 3 7 3 2 3" xfId="13101" xr:uid="{00000000-0005-0000-0000-000019A40000}"/>
    <cellStyle name="Normal 8 3 7 3 2 3 2" xfId="28693" xr:uid="{00000000-0005-0000-0000-00001AA40000}"/>
    <cellStyle name="Normal 8 3 7 3 2 3 3" xfId="44185" xr:uid="{00000000-0005-0000-0000-00001BA40000}"/>
    <cellStyle name="Normal 8 3 7 3 2 4" xfId="20953" xr:uid="{00000000-0005-0000-0000-00001CA40000}"/>
    <cellStyle name="Normal 8 3 7 3 2 5" xfId="36445" xr:uid="{00000000-0005-0000-0000-00001DA40000}"/>
    <cellStyle name="Normal 8 3 7 3 3" xfId="7299" xr:uid="{00000000-0005-0000-0000-00001EA40000}"/>
    <cellStyle name="Normal 8 3 7 3 3 2" xfId="15044" xr:uid="{00000000-0005-0000-0000-00001FA40000}"/>
    <cellStyle name="Normal 8 3 7 3 3 2 2" xfId="30636" xr:uid="{00000000-0005-0000-0000-000020A40000}"/>
    <cellStyle name="Normal 8 3 7 3 3 2 3" xfId="46128" xr:uid="{00000000-0005-0000-0000-000021A40000}"/>
    <cellStyle name="Normal 8 3 7 3 3 3" xfId="22896" xr:uid="{00000000-0005-0000-0000-000022A40000}"/>
    <cellStyle name="Normal 8 3 7 3 3 4" xfId="38388" xr:uid="{00000000-0005-0000-0000-000023A40000}"/>
    <cellStyle name="Normal 8 3 7 3 4" xfId="11174" xr:uid="{00000000-0005-0000-0000-000024A40000}"/>
    <cellStyle name="Normal 8 3 7 3 4 2" xfId="26766" xr:uid="{00000000-0005-0000-0000-000025A40000}"/>
    <cellStyle name="Normal 8 3 7 3 4 3" xfId="42258" xr:uid="{00000000-0005-0000-0000-000026A40000}"/>
    <cellStyle name="Normal 8 3 7 3 5" xfId="19026" xr:uid="{00000000-0005-0000-0000-000027A40000}"/>
    <cellStyle name="Normal 8 3 7 3 6" xfId="34518" xr:uid="{00000000-0005-0000-0000-000028A40000}"/>
    <cellStyle name="Normal 8 3 7 4" xfId="4407" xr:uid="{00000000-0005-0000-0000-000029A40000}"/>
    <cellStyle name="Normal 8 3 7 4 2" xfId="8278" xr:uid="{00000000-0005-0000-0000-00002AA40000}"/>
    <cellStyle name="Normal 8 3 7 4 2 2" xfId="16023" xr:uid="{00000000-0005-0000-0000-00002BA40000}"/>
    <cellStyle name="Normal 8 3 7 4 2 2 2" xfId="31615" xr:uid="{00000000-0005-0000-0000-00002CA40000}"/>
    <cellStyle name="Normal 8 3 7 4 2 2 3" xfId="47107" xr:uid="{00000000-0005-0000-0000-00002DA40000}"/>
    <cellStyle name="Normal 8 3 7 4 2 3" xfId="23875" xr:uid="{00000000-0005-0000-0000-00002EA40000}"/>
    <cellStyle name="Normal 8 3 7 4 2 4" xfId="39367" xr:uid="{00000000-0005-0000-0000-00002FA40000}"/>
    <cellStyle name="Normal 8 3 7 4 3" xfId="12153" xr:uid="{00000000-0005-0000-0000-000030A40000}"/>
    <cellStyle name="Normal 8 3 7 4 3 2" xfId="27745" xr:uid="{00000000-0005-0000-0000-000031A40000}"/>
    <cellStyle name="Normal 8 3 7 4 3 3" xfId="43237" xr:uid="{00000000-0005-0000-0000-000032A40000}"/>
    <cellStyle name="Normal 8 3 7 4 4" xfId="20005" xr:uid="{00000000-0005-0000-0000-000033A40000}"/>
    <cellStyle name="Normal 8 3 7 4 5" xfId="35497" xr:uid="{00000000-0005-0000-0000-000034A40000}"/>
    <cellStyle name="Normal 8 3 7 5" xfId="6351" xr:uid="{00000000-0005-0000-0000-000035A40000}"/>
    <cellStyle name="Normal 8 3 7 5 2" xfId="14096" xr:uid="{00000000-0005-0000-0000-000036A40000}"/>
    <cellStyle name="Normal 8 3 7 5 2 2" xfId="29688" xr:uid="{00000000-0005-0000-0000-000037A40000}"/>
    <cellStyle name="Normal 8 3 7 5 2 3" xfId="45180" xr:uid="{00000000-0005-0000-0000-000038A40000}"/>
    <cellStyle name="Normal 8 3 7 5 3" xfId="21948" xr:uid="{00000000-0005-0000-0000-000039A40000}"/>
    <cellStyle name="Normal 8 3 7 5 4" xfId="37440" xr:uid="{00000000-0005-0000-0000-00003AA40000}"/>
    <cellStyle name="Normal 8 3 7 6" xfId="10226" xr:uid="{00000000-0005-0000-0000-00003BA40000}"/>
    <cellStyle name="Normal 8 3 7 6 2" xfId="25818" xr:uid="{00000000-0005-0000-0000-00003CA40000}"/>
    <cellStyle name="Normal 8 3 7 6 3" xfId="41310" xr:uid="{00000000-0005-0000-0000-00003DA40000}"/>
    <cellStyle name="Normal 8 3 7 7" xfId="18078" xr:uid="{00000000-0005-0000-0000-00003EA40000}"/>
    <cellStyle name="Normal 8 3 7 8" xfId="33570" xr:uid="{00000000-0005-0000-0000-00003FA40000}"/>
    <cellStyle name="Normal 8 3 8" xfId="2443" xr:uid="{00000000-0005-0000-0000-000040A40000}"/>
    <cellStyle name="Normal 8 3 8 2" xfId="2753" xr:uid="{00000000-0005-0000-0000-000041A40000}"/>
    <cellStyle name="Normal 8 3 8 2 2" xfId="3761" xr:uid="{00000000-0005-0000-0000-000042A40000}"/>
    <cellStyle name="Normal 8 3 8 2 2 2" xfId="5700" xr:uid="{00000000-0005-0000-0000-000043A40000}"/>
    <cellStyle name="Normal 8 3 8 2 2 2 2" xfId="9571" xr:uid="{00000000-0005-0000-0000-000044A40000}"/>
    <cellStyle name="Normal 8 3 8 2 2 2 2 2" xfId="17316" xr:uid="{00000000-0005-0000-0000-000045A40000}"/>
    <cellStyle name="Normal 8 3 8 2 2 2 2 2 2" xfId="32908" xr:uid="{00000000-0005-0000-0000-000046A40000}"/>
    <cellStyle name="Normal 8 3 8 2 2 2 2 2 3" xfId="48400" xr:uid="{00000000-0005-0000-0000-000047A40000}"/>
    <cellStyle name="Normal 8 3 8 2 2 2 2 3" xfId="25168" xr:uid="{00000000-0005-0000-0000-000048A40000}"/>
    <cellStyle name="Normal 8 3 8 2 2 2 2 4" xfId="40660" xr:uid="{00000000-0005-0000-0000-000049A40000}"/>
    <cellStyle name="Normal 8 3 8 2 2 2 3" xfId="13446" xr:uid="{00000000-0005-0000-0000-00004AA40000}"/>
    <cellStyle name="Normal 8 3 8 2 2 2 3 2" xfId="29038" xr:uid="{00000000-0005-0000-0000-00004BA40000}"/>
    <cellStyle name="Normal 8 3 8 2 2 2 3 3" xfId="44530" xr:uid="{00000000-0005-0000-0000-00004CA40000}"/>
    <cellStyle name="Normal 8 3 8 2 2 2 4" xfId="21298" xr:uid="{00000000-0005-0000-0000-00004DA40000}"/>
    <cellStyle name="Normal 8 3 8 2 2 2 5" xfId="36790" xr:uid="{00000000-0005-0000-0000-00004EA40000}"/>
    <cellStyle name="Normal 8 3 8 2 2 3" xfId="7644" xr:uid="{00000000-0005-0000-0000-00004FA40000}"/>
    <cellStyle name="Normal 8 3 8 2 2 3 2" xfId="15389" xr:uid="{00000000-0005-0000-0000-000050A40000}"/>
    <cellStyle name="Normal 8 3 8 2 2 3 2 2" xfId="30981" xr:uid="{00000000-0005-0000-0000-000051A40000}"/>
    <cellStyle name="Normal 8 3 8 2 2 3 2 3" xfId="46473" xr:uid="{00000000-0005-0000-0000-000052A40000}"/>
    <cellStyle name="Normal 8 3 8 2 2 3 3" xfId="23241" xr:uid="{00000000-0005-0000-0000-000053A40000}"/>
    <cellStyle name="Normal 8 3 8 2 2 3 4" xfId="38733" xr:uid="{00000000-0005-0000-0000-000054A40000}"/>
    <cellStyle name="Normal 8 3 8 2 2 4" xfId="11519" xr:uid="{00000000-0005-0000-0000-000055A40000}"/>
    <cellStyle name="Normal 8 3 8 2 2 4 2" xfId="27111" xr:uid="{00000000-0005-0000-0000-000056A40000}"/>
    <cellStyle name="Normal 8 3 8 2 2 4 3" xfId="42603" xr:uid="{00000000-0005-0000-0000-000057A40000}"/>
    <cellStyle name="Normal 8 3 8 2 2 5" xfId="19371" xr:uid="{00000000-0005-0000-0000-000058A40000}"/>
    <cellStyle name="Normal 8 3 8 2 2 6" xfId="34863" xr:uid="{00000000-0005-0000-0000-000059A40000}"/>
    <cellStyle name="Normal 8 3 8 2 3" xfId="4752" xr:uid="{00000000-0005-0000-0000-00005AA40000}"/>
    <cellStyle name="Normal 8 3 8 2 3 2" xfId="8623" xr:uid="{00000000-0005-0000-0000-00005BA40000}"/>
    <cellStyle name="Normal 8 3 8 2 3 2 2" xfId="16368" xr:uid="{00000000-0005-0000-0000-00005CA40000}"/>
    <cellStyle name="Normal 8 3 8 2 3 2 2 2" xfId="31960" xr:uid="{00000000-0005-0000-0000-00005DA40000}"/>
    <cellStyle name="Normal 8 3 8 2 3 2 2 3" xfId="47452" xr:uid="{00000000-0005-0000-0000-00005EA40000}"/>
    <cellStyle name="Normal 8 3 8 2 3 2 3" xfId="24220" xr:uid="{00000000-0005-0000-0000-00005FA40000}"/>
    <cellStyle name="Normal 8 3 8 2 3 2 4" xfId="39712" xr:uid="{00000000-0005-0000-0000-000060A40000}"/>
    <cellStyle name="Normal 8 3 8 2 3 3" xfId="12498" xr:uid="{00000000-0005-0000-0000-000061A40000}"/>
    <cellStyle name="Normal 8 3 8 2 3 3 2" xfId="28090" xr:uid="{00000000-0005-0000-0000-000062A40000}"/>
    <cellStyle name="Normal 8 3 8 2 3 3 3" xfId="43582" xr:uid="{00000000-0005-0000-0000-000063A40000}"/>
    <cellStyle name="Normal 8 3 8 2 3 4" xfId="20350" xr:uid="{00000000-0005-0000-0000-000064A40000}"/>
    <cellStyle name="Normal 8 3 8 2 3 5" xfId="35842" xr:uid="{00000000-0005-0000-0000-000065A40000}"/>
    <cellStyle name="Normal 8 3 8 2 4" xfId="6696" xr:uid="{00000000-0005-0000-0000-000066A40000}"/>
    <cellStyle name="Normal 8 3 8 2 4 2" xfId="14441" xr:uid="{00000000-0005-0000-0000-000067A40000}"/>
    <cellStyle name="Normal 8 3 8 2 4 2 2" xfId="30033" xr:uid="{00000000-0005-0000-0000-000068A40000}"/>
    <cellStyle name="Normal 8 3 8 2 4 2 3" xfId="45525" xr:uid="{00000000-0005-0000-0000-000069A40000}"/>
    <cellStyle name="Normal 8 3 8 2 4 3" xfId="22293" xr:uid="{00000000-0005-0000-0000-00006AA40000}"/>
    <cellStyle name="Normal 8 3 8 2 4 4" xfId="37785" xr:uid="{00000000-0005-0000-0000-00006BA40000}"/>
    <cellStyle name="Normal 8 3 8 2 5" xfId="10571" xr:uid="{00000000-0005-0000-0000-00006CA40000}"/>
    <cellStyle name="Normal 8 3 8 2 5 2" xfId="26163" xr:uid="{00000000-0005-0000-0000-00006DA40000}"/>
    <cellStyle name="Normal 8 3 8 2 5 3" xfId="41655" xr:uid="{00000000-0005-0000-0000-00006EA40000}"/>
    <cellStyle name="Normal 8 3 8 2 6" xfId="18423" xr:uid="{00000000-0005-0000-0000-00006FA40000}"/>
    <cellStyle name="Normal 8 3 8 2 7" xfId="33915" xr:uid="{00000000-0005-0000-0000-000070A40000}"/>
    <cellStyle name="Normal 8 3 8 3" xfId="3452" xr:uid="{00000000-0005-0000-0000-000071A40000}"/>
    <cellStyle name="Normal 8 3 8 3 2" xfId="5391" xr:uid="{00000000-0005-0000-0000-000072A40000}"/>
    <cellStyle name="Normal 8 3 8 3 2 2" xfId="9262" xr:uid="{00000000-0005-0000-0000-000073A40000}"/>
    <cellStyle name="Normal 8 3 8 3 2 2 2" xfId="17007" xr:uid="{00000000-0005-0000-0000-000074A40000}"/>
    <cellStyle name="Normal 8 3 8 3 2 2 2 2" xfId="32599" xr:uid="{00000000-0005-0000-0000-000075A40000}"/>
    <cellStyle name="Normal 8 3 8 3 2 2 2 3" xfId="48091" xr:uid="{00000000-0005-0000-0000-000076A40000}"/>
    <cellStyle name="Normal 8 3 8 3 2 2 3" xfId="24859" xr:uid="{00000000-0005-0000-0000-000077A40000}"/>
    <cellStyle name="Normal 8 3 8 3 2 2 4" xfId="40351" xr:uid="{00000000-0005-0000-0000-000078A40000}"/>
    <cellStyle name="Normal 8 3 8 3 2 3" xfId="13137" xr:uid="{00000000-0005-0000-0000-000079A40000}"/>
    <cellStyle name="Normal 8 3 8 3 2 3 2" xfId="28729" xr:uid="{00000000-0005-0000-0000-00007AA40000}"/>
    <cellStyle name="Normal 8 3 8 3 2 3 3" xfId="44221" xr:uid="{00000000-0005-0000-0000-00007BA40000}"/>
    <cellStyle name="Normal 8 3 8 3 2 4" xfId="20989" xr:uid="{00000000-0005-0000-0000-00007CA40000}"/>
    <cellStyle name="Normal 8 3 8 3 2 5" xfId="36481" xr:uid="{00000000-0005-0000-0000-00007DA40000}"/>
    <cellStyle name="Normal 8 3 8 3 3" xfId="7335" xr:uid="{00000000-0005-0000-0000-00007EA40000}"/>
    <cellStyle name="Normal 8 3 8 3 3 2" xfId="15080" xr:uid="{00000000-0005-0000-0000-00007FA40000}"/>
    <cellStyle name="Normal 8 3 8 3 3 2 2" xfId="30672" xr:uid="{00000000-0005-0000-0000-000080A40000}"/>
    <cellStyle name="Normal 8 3 8 3 3 2 3" xfId="46164" xr:uid="{00000000-0005-0000-0000-000081A40000}"/>
    <cellStyle name="Normal 8 3 8 3 3 3" xfId="22932" xr:uid="{00000000-0005-0000-0000-000082A40000}"/>
    <cellStyle name="Normal 8 3 8 3 3 4" xfId="38424" xr:uid="{00000000-0005-0000-0000-000083A40000}"/>
    <cellStyle name="Normal 8 3 8 3 4" xfId="11210" xr:uid="{00000000-0005-0000-0000-000084A40000}"/>
    <cellStyle name="Normal 8 3 8 3 4 2" xfId="26802" xr:uid="{00000000-0005-0000-0000-000085A40000}"/>
    <cellStyle name="Normal 8 3 8 3 4 3" xfId="42294" xr:uid="{00000000-0005-0000-0000-000086A40000}"/>
    <cellStyle name="Normal 8 3 8 3 5" xfId="19062" xr:uid="{00000000-0005-0000-0000-000087A40000}"/>
    <cellStyle name="Normal 8 3 8 3 6" xfId="34554" xr:uid="{00000000-0005-0000-0000-000088A40000}"/>
    <cellStyle name="Normal 8 3 8 4" xfId="4443" xr:uid="{00000000-0005-0000-0000-000089A40000}"/>
    <cellStyle name="Normal 8 3 8 4 2" xfId="8314" xr:uid="{00000000-0005-0000-0000-00008AA40000}"/>
    <cellStyle name="Normal 8 3 8 4 2 2" xfId="16059" xr:uid="{00000000-0005-0000-0000-00008BA40000}"/>
    <cellStyle name="Normal 8 3 8 4 2 2 2" xfId="31651" xr:uid="{00000000-0005-0000-0000-00008CA40000}"/>
    <cellStyle name="Normal 8 3 8 4 2 2 3" xfId="47143" xr:uid="{00000000-0005-0000-0000-00008DA40000}"/>
    <cellStyle name="Normal 8 3 8 4 2 3" xfId="23911" xr:uid="{00000000-0005-0000-0000-00008EA40000}"/>
    <cellStyle name="Normal 8 3 8 4 2 4" xfId="39403" xr:uid="{00000000-0005-0000-0000-00008FA40000}"/>
    <cellStyle name="Normal 8 3 8 4 3" xfId="12189" xr:uid="{00000000-0005-0000-0000-000090A40000}"/>
    <cellStyle name="Normal 8 3 8 4 3 2" xfId="27781" xr:uid="{00000000-0005-0000-0000-000091A40000}"/>
    <cellStyle name="Normal 8 3 8 4 3 3" xfId="43273" xr:uid="{00000000-0005-0000-0000-000092A40000}"/>
    <cellStyle name="Normal 8 3 8 4 4" xfId="20041" xr:uid="{00000000-0005-0000-0000-000093A40000}"/>
    <cellStyle name="Normal 8 3 8 4 5" xfId="35533" xr:uid="{00000000-0005-0000-0000-000094A40000}"/>
    <cellStyle name="Normal 8 3 8 5" xfId="6387" xr:uid="{00000000-0005-0000-0000-000095A40000}"/>
    <cellStyle name="Normal 8 3 8 5 2" xfId="14132" xr:uid="{00000000-0005-0000-0000-000096A40000}"/>
    <cellStyle name="Normal 8 3 8 5 2 2" xfId="29724" xr:uid="{00000000-0005-0000-0000-000097A40000}"/>
    <cellStyle name="Normal 8 3 8 5 2 3" xfId="45216" xr:uid="{00000000-0005-0000-0000-000098A40000}"/>
    <cellStyle name="Normal 8 3 8 5 3" xfId="21984" xr:uid="{00000000-0005-0000-0000-000099A40000}"/>
    <cellStyle name="Normal 8 3 8 5 4" xfId="37476" xr:uid="{00000000-0005-0000-0000-00009AA40000}"/>
    <cellStyle name="Normal 8 3 8 6" xfId="10262" xr:uid="{00000000-0005-0000-0000-00009BA40000}"/>
    <cellStyle name="Normal 8 3 8 6 2" xfId="25854" xr:uid="{00000000-0005-0000-0000-00009CA40000}"/>
    <cellStyle name="Normal 8 3 8 6 3" xfId="41346" xr:uid="{00000000-0005-0000-0000-00009DA40000}"/>
    <cellStyle name="Normal 8 3 8 7" xfId="18114" xr:uid="{00000000-0005-0000-0000-00009EA40000}"/>
    <cellStyle name="Normal 8 3 8 8" xfId="33606" xr:uid="{00000000-0005-0000-0000-00009FA40000}"/>
    <cellStyle name="Normal 8 3 9" xfId="2480" xr:uid="{00000000-0005-0000-0000-0000A0A40000}"/>
    <cellStyle name="Normal 8 3 9 2" xfId="2789" xr:uid="{00000000-0005-0000-0000-0000A1A40000}"/>
    <cellStyle name="Normal 8 3 9 2 2" xfId="3797" xr:uid="{00000000-0005-0000-0000-0000A2A40000}"/>
    <cellStyle name="Normal 8 3 9 2 2 2" xfId="5736" xr:uid="{00000000-0005-0000-0000-0000A3A40000}"/>
    <cellStyle name="Normal 8 3 9 2 2 2 2" xfId="9607" xr:uid="{00000000-0005-0000-0000-0000A4A40000}"/>
    <cellStyle name="Normal 8 3 9 2 2 2 2 2" xfId="17352" xr:uid="{00000000-0005-0000-0000-0000A5A40000}"/>
    <cellStyle name="Normal 8 3 9 2 2 2 2 2 2" xfId="32944" xr:uid="{00000000-0005-0000-0000-0000A6A40000}"/>
    <cellStyle name="Normal 8 3 9 2 2 2 2 2 3" xfId="48436" xr:uid="{00000000-0005-0000-0000-0000A7A40000}"/>
    <cellStyle name="Normal 8 3 9 2 2 2 2 3" xfId="25204" xr:uid="{00000000-0005-0000-0000-0000A8A40000}"/>
    <cellStyle name="Normal 8 3 9 2 2 2 2 4" xfId="40696" xr:uid="{00000000-0005-0000-0000-0000A9A40000}"/>
    <cellStyle name="Normal 8 3 9 2 2 2 3" xfId="13482" xr:uid="{00000000-0005-0000-0000-0000AAA40000}"/>
    <cellStyle name="Normal 8 3 9 2 2 2 3 2" xfId="29074" xr:uid="{00000000-0005-0000-0000-0000ABA40000}"/>
    <cellStyle name="Normal 8 3 9 2 2 2 3 3" xfId="44566" xr:uid="{00000000-0005-0000-0000-0000ACA40000}"/>
    <cellStyle name="Normal 8 3 9 2 2 2 4" xfId="21334" xr:uid="{00000000-0005-0000-0000-0000ADA40000}"/>
    <cellStyle name="Normal 8 3 9 2 2 2 5" xfId="36826" xr:uid="{00000000-0005-0000-0000-0000AEA40000}"/>
    <cellStyle name="Normal 8 3 9 2 2 3" xfId="7680" xr:uid="{00000000-0005-0000-0000-0000AFA40000}"/>
    <cellStyle name="Normal 8 3 9 2 2 3 2" xfId="15425" xr:uid="{00000000-0005-0000-0000-0000B0A40000}"/>
    <cellStyle name="Normal 8 3 9 2 2 3 2 2" xfId="31017" xr:uid="{00000000-0005-0000-0000-0000B1A40000}"/>
    <cellStyle name="Normal 8 3 9 2 2 3 2 3" xfId="46509" xr:uid="{00000000-0005-0000-0000-0000B2A40000}"/>
    <cellStyle name="Normal 8 3 9 2 2 3 3" xfId="23277" xr:uid="{00000000-0005-0000-0000-0000B3A40000}"/>
    <cellStyle name="Normal 8 3 9 2 2 3 4" xfId="38769" xr:uid="{00000000-0005-0000-0000-0000B4A40000}"/>
    <cellStyle name="Normal 8 3 9 2 2 4" xfId="11555" xr:uid="{00000000-0005-0000-0000-0000B5A40000}"/>
    <cellStyle name="Normal 8 3 9 2 2 4 2" xfId="27147" xr:uid="{00000000-0005-0000-0000-0000B6A40000}"/>
    <cellStyle name="Normal 8 3 9 2 2 4 3" xfId="42639" xr:uid="{00000000-0005-0000-0000-0000B7A40000}"/>
    <cellStyle name="Normal 8 3 9 2 2 5" xfId="19407" xr:uid="{00000000-0005-0000-0000-0000B8A40000}"/>
    <cellStyle name="Normal 8 3 9 2 2 6" xfId="34899" xr:uid="{00000000-0005-0000-0000-0000B9A40000}"/>
    <cellStyle name="Normal 8 3 9 2 3" xfId="4788" xr:uid="{00000000-0005-0000-0000-0000BAA40000}"/>
    <cellStyle name="Normal 8 3 9 2 3 2" xfId="8659" xr:uid="{00000000-0005-0000-0000-0000BBA40000}"/>
    <cellStyle name="Normal 8 3 9 2 3 2 2" xfId="16404" xr:uid="{00000000-0005-0000-0000-0000BCA40000}"/>
    <cellStyle name="Normal 8 3 9 2 3 2 2 2" xfId="31996" xr:uid="{00000000-0005-0000-0000-0000BDA40000}"/>
    <cellStyle name="Normal 8 3 9 2 3 2 2 3" xfId="47488" xr:uid="{00000000-0005-0000-0000-0000BEA40000}"/>
    <cellStyle name="Normal 8 3 9 2 3 2 3" xfId="24256" xr:uid="{00000000-0005-0000-0000-0000BFA40000}"/>
    <cellStyle name="Normal 8 3 9 2 3 2 4" xfId="39748" xr:uid="{00000000-0005-0000-0000-0000C0A40000}"/>
    <cellStyle name="Normal 8 3 9 2 3 3" xfId="12534" xr:uid="{00000000-0005-0000-0000-0000C1A40000}"/>
    <cellStyle name="Normal 8 3 9 2 3 3 2" xfId="28126" xr:uid="{00000000-0005-0000-0000-0000C2A40000}"/>
    <cellStyle name="Normal 8 3 9 2 3 3 3" xfId="43618" xr:uid="{00000000-0005-0000-0000-0000C3A40000}"/>
    <cellStyle name="Normal 8 3 9 2 3 4" xfId="20386" xr:uid="{00000000-0005-0000-0000-0000C4A40000}"/>
    <cellStyle name="Normal 8 3 9 2 3 5" xfId="35878" xr:uid="{00000000-0005-0000-0000-0000C5A40000}"/>
    <cellStyle name="Normal 8 3 9 2 4" xfId="6732" xr:uid="{00000000-0005-0000-0000-0000C6A40000}"/>
    <cellStyle name="Normal 8 3 9 2 4 2" xfId="14477" xr:uid="{00000000-0005-0000-0000-0000C7A40000}"/>
    <cellStyle name="Normal 8 3 9 2 4 2 2" xfId="30069" xr:uid="{00000000-0005-0000-0000-0000C8A40000}"/>
    <cellStyle name="Normal 8 3 9 2 4 2 3" xfId="45561" xr:uid="{00000000-0005-0000-0000-0000C9A40000}"/>
    <cellStyle name="Normal 8 3 9 2 4 3" xfId="22329" xr:uid="{00000000-0005-0000-0000-0000CAA40000}"/>
    <cellStyle name="Normal 8 3 9 2 4 4" xfId="37821" xr:uid="{00000000-0005-0000-0000-0000CBA40000}"/>
    <cellStyle name="Normal 8 3 9 2 5" xfId="10607" xr:uid="{00000000-0005-0000-0000-0000CCA40000}"/>
    <cellStyle name="Normal 8 3 9 2 5 2" xfId="26199" xr:uid="{00000000-0005-0000-0000-0000CDA40000}"/>
    <cellStyle name="Normal 8 3 9 2 5 3" xfId="41691" xr:uid="{00000000-0005-0000-0000-0000CEA40000}"/>
    <cellStyle name="Normal 8 3 9 2 6" xfId="18459" xr:uid="{00000000-0005-0000-0000-0000CFA40000}"/>
    <cellStyle name="Normal 8 3 9 2 7" xfId="33951" xr:uid="{00000000-0005-0000-0000-0000D0A40000}"/>
    <cellStyle name="Normal 8 3 9 3" xfId="3488" xr:uid="{00000000-0005-0000-0000-0000D1A40000}"/>
    <cellStyle name="Normal 8 3 9 3 2" xfId="5427" xr:uid="{00000000-0005-0000-0000-0000D2A40000}"/>
    <cellStyle name="Normal 8 3 9 3 2 2" xfId="9298" xr:uid="{00000000-0005-0000-0000-0000D3A40000}"/>
    <cellStyle name="Normal 8 3 9 3 2 2 2" xfId="17043" xr:uid="{00000000-0005-0000-0000-0000D4A40000}"/>
    <cellStyle name="Normal 8 3 9 3 2 2 2 2" xfId="32635" xr:uid="{00000000-0005-0000-0000-0000D5A40000}"/>
    <cellStyle name="Normal 8 3 9 3 2 2 2 3" xfId="48127" xr:uid="{00000000-0005-0000-0000-0000D6A40000}"/>
    <cellStyle name="Normal 8 3 9 3 2 2 3" xfId="24895" xr:uid="{00000000-0005-0000-0000-0000D7A40000}"/>
    <cellStyle name="Normal 8 3 9 3 2 2 4" xfId="40387" xr:uid="{00000000-0005-0000-0000-0000D8A40000}"/>
    <cellStyle name="Normal 8 3 9 3 2 3" xfId="13173" xr:uid="{00000000-0005-0000-0000-0000D9A40000}"/>
    <cellStyle name="Normal 8 3 9 3 2 3 2" xfId="28765" xr:uid="{00000000-0005-0000-0000-0000DAA40000}"/>
    <cellStyle name="Normal 8 3 9 3 2 3 3" xfId="44257" xr:uid="{00000000-0005-0000-0000-0000DBA40000}"/>
    <cellStyle name="Normal 8 3 9 3 2 4" xfId="21025" xr:uid="{00000000-0005-0000-0000-0000DCA40000}"/>
    <cellStyle name="Normal 8 3 9 3 2 5" xfId="36517" xr:uid="{00000000-0005-0000-0000-0000DDA40000}"/>
    <cellStyle name="Normal 8 3 9 3 3" xfId="7371" xr:uid="{00000000-0005-0000-0000-0000DEA40000}"/>
    <cellStyle name="Normal 8 3 9 3 3 2" xfId="15116" xr:uid="{00000000-0005-0000-0000-0000DFA40000}"/>
    <cellStyle name="Normal 8 3 9 3 3 2 2" xfId="30708" xr:uid="{00000000-0005-0000-0000-0000E0A40000}"/>
    <cellStyle name="Normal 8 3 9 3 3 2 3" xfId="46200" xr:uid="{00000000-0005-0000-0000-0000E1A40000}"/>
    <cellStyle name="Normal 8 3 9 3 3 3" xfId="22968" xr:uid="{00000000-0005-0000-0000-0000E2A40000}"/>
    <cellStyle name="Normal 8 3 9 3 3 4" xfId="38460" xr:uid="{00000000-0005-0000-0000-0000E3A40000}"/>
    <cellStyle name="Normal 8 3 9 3 4" xfId="11246" xr:uid="{00000000-0005-0000-0000-0000E4A40000}"/>
    <cellStyle name="Normal 8 3 9 3 4 2" xfId="26838" xr:uid="{00000000-0005-0000-0000-0000E5A40000}"/>
    <cellStyle name="Normal 8 3 9 3 4 3" xfId="42330" xr:uid="{00000000-0005-0000-0000-0000E6A40000}"/>
    <cellStyle name="Normal 8 3 9 3 5" xfId="19098" xr:uid="{00000000-0005-0000-0000-0000E7A40000}"/>
    <cellStyle name="Normal 8 3 9 3 6" xfId="34590" xr:uid="{00000000-0005-0000-0000-0000E8A40000}"/>
    <cellStyle name="Normal 8 3 9 4" xfId="4479" xr:uid="{00000000-0005-0000-0000-0000E9A40000}"/>
    <cellStyle name="Normal 8 3 9 4 2" xfId="8350" xr:uid="{00000000-0005-0000-0000-0000EAA40000}"/>
    <cellStyle name="Normal 8 3 9 4 2 2" xfId="16095" xr:uid="{00000000-0005-0000-0000-0000EBA40000}"/>
    <cellStyle name="Normal 8 3 9 4 2 2 2" xfId="31687" xr:uid="{00000000-0005-0000-0000-0000ECA40000}"/>
    <cellStyle name="Normal 8 3 9 4 2 2 3" xfId="47179" xr:uid="{00000000-0005-0000-0000-0000EDA40000}"/>
    <cellStyle name="Normal 8 3 9 4 2 3" xfId="23947" xr:uid="{00000000-0005-0000-0000-0000EEA40000}"/>
    <cellStyle name="Normal 8 3 9 4 2 4" xfId="39439" xr:uid="{00000000-0005-0000-0000-0000EFA40000}"/>
    <cellStyle name="Normal 8 3 9 4 3" xfId="12225" xr:uid="{00000000-0005-0000-0000-0000F0A40000}"/>
    <cellStyle name="Normal 8 3 9 4 3 2" xfId="27817" xr:uid="{00000000-0005-0000-0000-0000F1A40000}"/>
    <cellStyle name="Normal 8 3 9 4 3 3" xfId="43309" xr:uid="{00000000-0005-0000-0000-0000F2A40000}"/>
    <cellStyle name="Normal 8 3 9 4 4" xfId="20077" xr:uid="{00000000-0005-0000-0000-0000F3A40000}"/>
    <cellStyle name="Normal 8 3 9 4 5" xfId="35569" xr:uid="{00000000-0005-0000-0000-0000F4A40000}"/>
    <cellStyle name="Normal 8 3 9 5" xfId="6423" xr:uid="{00000000-0005-0000-0000-0000F5A40000}"/>
    <cellStyle name="Normal 8 3 9 5 2" xfId="14168" xr:uid="{00000000-0005-0000-0000-0000F6A40000}"/>
    <cellStyle name="Normal 8 3 9 5 2 2" xfId="29760" xr:uid="{00000000-0005-0000-0000-0000F7A40000}"/>
    <cellStyle name="Normal 8 3 9 5 2 3" xfId="45252" xr:uid="{00000000-0005-0000-0000-0000F8A40000}"/>
    <cellStyle name="Normal 8 3 9 5 3" xfId="22020" xr:uid="{00000000-0005-0000-0000-0000F9A40000}"/>
    <cellStyle name="Normal 8 3 9 5 4" xfId="37512" xr:uid="{00000000-0005-0000-0000-0000FAA40000}"/>
    <cellStyle name="Normal 8 3 9 6" xfId="10298" xr:uid="{00000000-0005-0000-0000-0000FBA40000}"/>
    <cellStyle name="Normal 8 3 9 6 2" xfId="25890" xr:uid="{00000000-0005-0000-0000-0000FCA40000}"/>
    <cellStyle name="Normal 8 3 9 6 3" xfId="41382" xr:uid="{00000000-0005-0000-0000-0000FDA40000}"/>
    <cellStyle name="Normal 8 3 9 7" xfId="18150" xr:uid="{00000000-0005-0000-0000-0000FEA40000}"/>
    <cellStyle name="Normal 8 3 9 8" xfId="33642" xr:uid="{00000000-0005-0000-0000-0000FFA40000}"/>
    <cellStyle name="Normal 8 4" xfId="2079" xr:uid="{00000000-0005-0000-0000-000000A50000}"/>
    <cellStyle name="Normal 8 4 10" xfId="2501" xr:uid="{00000000-0005-0000-0000-000001A50000}"/>
    <cellStyle name="Normal 8 4 10 2" xfId="3509" xr:uid="{00000000-0005-0000-0000-000002A50000}"/>
    <cellStyle name="Normal 8 4 10 2 2" xfId="5448" xr:uid="{00000000-0005-0000-0000-000003A50000}"/>
    <cellStyle name="Normal 8 4 10 2 2 2" xfId="9319" xr:uid="{00000000-0005-0000-0000-000004A50000}"/>
    <cellStyle name="Normal 8 4 10 2 2 2 2" xfId="17064" xr:uid="{00000000-0005-0000-0000-000005A50000}"/>
    <cellStyle name="Normal 8 4 10 2 2 2 2 2" xfId="32656" xr:uid="{00000000-0005-0000-0000-000006A50000}"/>
    <cellStyle name="Normal 8 4 10 2 2 2 2 3" xfId="48148" xr:uid="{00000000-0005-0000-0000-000007A50000}"/>
    <cellStyle name="Normal 8 4 10 2 2 2 3" xfId="24916" xr:uid="{00000000-0005-0000-0000-000008A50000}"/>
    <cellStyle name="Normal 8 4 10 2 2 2 4" xfId="40408" xr:uid="{00000000-0005-0000-0000-000009A50000}"/>
    <cellStyle name="Normal 8 4 10 2 2 3" xfId="13194" xr:uid="{00000000-0005-0000-0000-00000AA50000}"/>
    <cellStyle name="Normal 8 4 10 2 2 3 2" xfId="28786" xr:uid="{00000000-0005-0000-0000-00000BA50000}"/>
    <cellStyle name="Normal 8 4 10 2 2 3 3" xfId="44278" xr:uid="{00000000-0005-0000-0000-00000CA50000}"/>
    <cellStyle name="Normal 8 4 10 2 2 4" xfId="21046" xr:uid="{00000000-0005-0000-0000-00000DA50000}"/>
    <cellStyle name="Normal 8 4 10 2 2 5" xfId="36538" xr:uid="{00000000-0005-0000-0000-00000EA50000}"/>
    <cellStyle name="Normal 8 4 10 2 3" xfId="7392" xr:uid="{00000000-0005-0000-0000-00000FA50000}"/>
    <cellStyle name="Normal 8 4 10 2 3 2" xfId="15137" xr:uid="{00000000-0005-0000-0000-000010A50000}"/>
    <cellStyle name="Normal 8 4 10 2 3 2 2" xfId="30729" xr:uid="{00000000-0005-0000-0000-000011A50000}"/>
    <cellStyle name="Normal 8 4 10 2 3 2 3" xfId="46221" xr:uid="{00000000-0005-0000-0000-000012A50000}"/>
    <cellStyle name="Normal 8 4 10 2 3 3" xfId="22989" xr:uid="{00000000-0005-0000-0000-000013A50000}"/>
    <cellStyle name="Normal 8 4 10 2 3 4" xfId="38481" xr:uid="{00000000-0005-0000-0000-000014A50000}"/>
    <cellStyle name="Normal 8 4 10 2 4" xfId="11267" xr:uid="{00000000-0005-0000-0000-000015A50000}"/>
    <cellStyle name="Normal 8 4 10 2 4 2" xfId="26859" xr:uid="{00000000-0005-0000-0000-000016A50000}"/>
    <cellStyle name="Normal 8 4 10 2 4 3" xfId="42351" xr:uid="{00000000-0005-0000-0000-000017A50000}"/>
    <cellStyle name="Normal 8 4 10 2 5" xfId="19119" xr:uid="{00000000-0005-0000-0000-000018A50000}"/>
    <cellStyle name="Normal 8 4 10 2 6" xfId="34611" xr:uid="{00000000-0005-0000-0000-000019A50000}"/>
    <cellStyle name="Normal 8 4 10 3" xfId="4500" xr:uid="{00000000-0005-0000-0000-00001AA50000}"/>
    <cellStyle name="Normal 8 4 10 3 2" xfId="8371" xr:uid="{00000000-0005-0000-0000-00001BA50000}"/>
    <cellStyle name="Normal 8 4 10 3 2 2" xfId="16116" xr:uid="{00000000-0005-0000-0000-00001CA50000}"/>
    <cellStyle name="Normal 8 4 10 3 2 2 2" xfId="31708" xr:uid="{00000000-0005-0000-0000-00001DA50000}"/>
    <cellStyle name="Normal 8 4 10 3 2 2 3" xfId="47200" xr:uid="{00000000-0005-0000-0000-00001EA50000}"/>
    <cellStyle name="Normal 8 4 10 3 2 3" xfId="23968" xr:uid="{00000000-0005-0000-0000-00001FA50000}"/>
    <cellStyle name="Normal 8 4 10 3 2 4" xfId="39460" xr:uid="{00000000-0005-0000-0000-000020A50000}"/>
    <cellStyle name="Normal 8 4 10 3 3" xfId="12246" xr:uid="{00000000-0005-0000-0000-000021A50000}"/>
    <cellStyle name="Normal 8 4 10 3 3 2" xfId="27838" xr:uid="{00000000-0005-0000-0000-000022A50000}"/>
    <cellStyle name="Normal 8 4 10 3 3 3" xfId="43330" xr:uid="{00000000-0005-0000-0000-000023A50000}"/>
    <cellStyle name="Normal 8 4 10 3 4" xfId="20098" xr:uid="{00000000-0005-0000-0000-000024A50000}"/>
    <cellStyle name="Normal 8 4 10 3 5" xfId="35590" xr:uid="{00000000-0005-0000-0000-000025A50000}"/>
    <cellStyle name="Normal 8 4 10 4" xfId="6444" xr:uid="{00000000-0005-0000-0000-000026A50000}"/>
    <cellStyle name="Normal 8 4 10 4 2" xfId="14189" xr:uid="{00000000-0005-0000-0000-000027A50000}"/>
    <cellStyle name="Normal 8 4 10 4 2 2" xfId="29781" xr:uid="{00000000-0005-0000-0000-000028A50000}"/>
    <cellStyle name="Normal 8 4 10 4 2 3" xfId="45273" xr:uid="{00000000-0005-0000-0000-000029A50000}"/>
    <cellStyle name="Normal 8 4 10 4 3" xfId="22041" xr:uid="{00000000-0005-0000-0000-00002AA50000}"/>
    <cellStyle name="Normal 8 4 10 4 4" xfId="37533" xr:uid="{00000000-0005-0000-0000-00002BA50000}"/>
    <cellStyle name="Normal 8 4 10 5" xfId="10319" xr:uid="{00000000-0005-0000-0000-00002CA50000}"/>
    <cellStyle name="Normal 8 4 10 5 2" xfId="25911" xr:uid="{00000000-0005-0000-0000-00002DA50000}"/>
    <cellStyle name="Normal 8 4 10 5 3" xfId="41403" xr:uid="{00000000-0005-0000-0000-00002EA50000}"/>
    <cellStyle name="Normal 8 4 10 6" xfId="18171" xr:uid="{00000000-0005-0000-0000-00002FA50000}"/>
    <cellStyle name="Normal 8 4 10 7" xfId="33663" xr:uid="{00000000-0005-0000-0000-000030A50000}"/>
    <cellStyle name="Normal 8 4 11" xfId="2827" xr:uid="{00000000-0005-0000-0000-000031A50000}"/>
    <cellStyle name="Normal 8 4 11 2" xfId="3834" xr:uid="{00000000-0005-0000-0000-000032A50000}"/>
    <cellStyle name="Normal 8 4 11 2 2" xfId="5773" xr:uid="{00000000-0005-0000-0000-000033A50000}"/>
    <cellStyle name="Normal 8 4 11 2 2 2" xfId="9644" xr:uid="{00000000-0005-0000-0000-000034A50000}"/>
    <cellStyle name="Normal 8 4 11 2 2 2 2" xfId="17389" xr:uid="{00000000-0005-0000-0000-000035A50000}"/>
    <cellStyle name="Normal 8 4 11 2 2 2 2 2" xfId="32981" xr:uid="{00000000-0005-0000-0000-000036A50000}"/>
    <cellStyle name="Normal 8 4 11 2 2 2 2 3" xfId="48473" xr:uid="{00000000-0005-0000-0000-000037A50000}"/>
    <cellStyle name="Normal 8 4 11 2 2 2 3" xfId="25241" xr:uid="{00000000-0005-0000-0000-000038A50000}"/>
    <cellStyle name="Normal 8 4 11 2 2 2 4" xfId="40733" xr:uid="{00000000-0005-0000-0000-000039A50000}"/>
    <cellStyle name="Normal 8 4 11 2 2 3" xfId="13519" xr:uid="{00000000-0005-0000-0000-00003AA50000}"/>
    <cellStyle name="Normal 8 4 11 2 2 3 2" xfId="29111" xr:uid="{00000000-0005-0000-0000-00003BA50000}"/>
    <cellStyle name="Normal 8 4 11 2 2 3 3" xfId="44603" xr:uid="{00000000-0005-0000-0000-00003CA50000}"/>
    <cellStyle name="Normal 8 4 11 2 2 4" xfId="21371" xr:uid="{00000000-0005-0000-0000-00003DA50000}"/>
    <cellStyle name="Normal 8 4 11 2 2 5" xfId="36863" xr:uid="{00000000-0005-0000-0000-00003EA50000}"/>
    <cellStyle name="Normal 8 4 11 2 3" xfId="7717" xr:uid="{00000000-0005-0000-0000-00003FA50000}"/>
    <cellStyle name="Normal 8 4 11 2 3 2" xfId="15462" xr:uid="{00000000-0005-0000-0000-000040A50000}"/>
    <cellStyle name="Normal 8 4 11 2 3 2 2" xfId="31054" xr:uid="{00000000-0005-0000-0000-000041A50000}"/>
    <cellStyle name="Normal 8 4 11 2 3 2 3" xfId="46546" xr:uid="{00000000-0005-0000-0000-000042A50000}"/>
    <cellStyle name="Normal 8 4 11 2 3 3" xfId="23314" xr:uid="{00000000-0005-0000-0000-000043A50000}"/>
    <cellStyle name="Normal 8 4 11 2 3 4" xfId="38806" xr:uid="{00000000-0005-0000-0000-000044A50000}"/>
    <cellStyle name="Normal 8 4 11 2 4" xfId="11592" xr:uid="{00000000-0005-0000-0000-000045A50000}"/>
    <cellStyle name="Normal 8 4 11 2 4 2" xfId="27184" xr:uid="{00000000-0005-0000-0000-000046A50000}"/>
    <cellStyle name="Normal 8 4 11 2 4 3" xfId="42676" xr:uid="{00000000-0005-0000-0000-000047A50000}"/>
    <cellStyle name="Normal 8 4 11 2 5" xfId="19444" xr:uid="{00000000-0005-0000-0000-000048A50000}"/>
    <cellStyle name="Normal 8 4 11 2 6" xfId="34936" xr:uid="{00000000-0005-0000-0000-000049A50000}"/>
    <cellStyle name="Normal 8 4 11 3" xfId="4825" xr:uid="{00000000-0005-0000-0000-00004AA50000}"/>
    <cellStyle name="Normal 8 4 11 3 2" xfId="8696" xr:uid="{00000000-0005-0000-0000-00004BA50000}"/>
    <cellStyle name="Normal 8 4 11 3 2 2" xfId="16441" xr:uid="{00000000-0005-0000-0000-00004CA50000}"/>
    <cellStyle name="Normal 8 4 11 3 2 2 2" xfId="32033" xr:uid="{00000000-0005-0000-0000-00004DA50000}"/>
    <cellStyle name="Normal 8 4 11 3 2 2 3" xfId="47525" xr:uid="{00000000-0005-0000-0000-00004EA50000}"/>
    <cellStyle name="Normal 8 4 11 3 2 3" xfId="24293" xr:uid="{00000000-0005-0000-0000-00004FA50000}"/>
    <cellStyle name="Normal 8 4 11 3 2 4" xfId="39785" xr:uid="{00000000-0005-0000-0000-000050A50000}"/>
    <cellStyle name="Normal 8 4 11 3 3" xfId="12571" xr:uid="{00000000-0005-0000-0000-000051A50000}"/>
    <cellStyle name="Normal 8 4 11 3 3 2" xfId="28163" xr:uid="{00000000-0005-0000-0000-000052A50000}"/>
    <cellStyle name="Normal 8 4 11 3 3 3" xfId="43655" xr:uid="{00000000-0005-0000-0000-000053A50000}"/>
    <cellStyle name="Normal 8 4 11 3 4" xfId="20423" xr:uid="{00000000-0005-0000-0000-000054A50000}"/>
    <cellStyle name="Normal 8 4 11 3 5" xfId="35915" xr:uid="{00000000-0005-0000-0000-000055A50000}"/>
    <cellStyle name="Normal 8 4 11 4" xfId="6769" xr:uid="{00000000-0005-0000-0000-000056A50000}"/>
    <cellStyle name="Normal 8 4 11 4 2" xfId="14514" xr:uid="{00000000-0005-0000-0000-000057A50000}"/>
    <cellStyle name="Normal 8 4 11 4 2 2" xfId="30106" xr:uid="{00000000-0005-0000-0000-000058A50000}"/>
    <cellStyle name="Normal 8 4 11 4 2 3" xfId="45598" xr:uid="{00000000-0005-0000-0000-000059A50000}"/>
    <cellStyle name="Normal 8 4 11 4 3" xfId="22366" xr:uid="{00000000-0005-0000-0000-00005AA50000}"/>
    <cellStyle name="Normal 8 4 11 4 4" xfId="37858" xr:uid="{00000000-0005-0000-0000-00005BA50000}"/>
    <cellStyle name="Normal 8 4 11 5" xfId="10644" xr:uid="{00000000-0005-0000-0000-00005CA50000}"/>
    <cellStyle name="Normal 8 4 11 5 2" xfId="26236" xr:uid="{00000000-0005-0000-0000-00005DA50000}"/>
    <cellStyle name="Normal 8 4 11 5 3" xfId="41728" xr:uid="{00000000-0005-0000-0000-00005EA50000}"/>
    <cellStyle name="Normal 8 4 11 6" xfId="18496" xr:uid="{00000000-0005-0000-0000-00005FA50000}"/>
    <cellStyle name="Normal 8 4 11 7" xfId="33988" xr:uid="{00000000-0005-0000-0000-000060A50000}"/>
    <cellStyle name="Normal 8 4 12" xfId="2866" xr:uid="{00000000-0005-0000-0000-000061A50000}"/>
    <cellStyle name="Normal 8 4 12 2" xfId="3872" xr:uid="{00000000-0005-0000-0000-000062A50000}"/>
    <cellStyle name="Normal 8 4 12 2 2" xfId="5811" xr:uid="{00000000-0005-0000-0000-000063A50000}"/>
    <cellStyle name="Normal 8 4 12 2 2 2" xfId="9682" xr:uid="{00000000-0005-0000-0000-000064A50000}"/>
    <cellStyle name="Normal 8 4 12 2 2 2 2" xfId="17427" xr:uid="{00000000-0005-0000-0000-000065A50000}"/>
    <cellStyle name="Normal 8 4 12 2 2 2 2 2" xfId="33019" xr:uid="{00000000-0005-0000-0000-000066A50000}"/>
    <cellStyle name="Normal 8 4 12 2 2 2 2 3" xfId="48511" xr:uid="{00000000-0005-0000-0000-000067A50000}"/>
    <cellStyle name="Normal 8 4 12 2 2 2 3" xfId="25279" xr:uid="{00000000-0005-0000-0000-000068A50000}"/>
    <cellStyle name="Normal 8 4 12 2 2 2 4" xfId="40771" xr:uid="{00000000-0005-0000-0000-000069A50000}"/>
    <cellStyle name="Normal 8 4 12 2 2 3" xfId="13557" xr:uid="{00000000-0005-0000-0000-00006AA50000}"/>
    <cellStyle name="Normal 8 4 12 2 2 3 2" xfId="29149" xr:uid="{00000000-0005-0000-0000-00006BA50000}"/>
    <cellStyle name="Normal 8 4 12 2 2 3 3" xfId="44641" xr:uid="{00000000-0005-0000-0000-00006CA50000}"/>
    <cellStyle name="Normal 8 4 12 2 2 4" xfId="21409" xr:uid="{00000000-0005-0000-0000-00006DA50000}"/>
    <cellStyle name="Normal 8 4 12 2 2 5" xfId="36901" xr:uid="{00000000-0005-0000-0000-00006EA50000}"/>
    <cellStyle name="Normal 8 4 12 2 3" xfId="7755" xr:uid="{00000000-0005-0000-0000-00006FA50000}"/>
    <cellStyle name="Normal 8 4 12 2 3 2" xfId="15500" xr:uid="{00000000-0005-0000-0000-000070A50000}"/>
    <cellStyle name="Normal 8 4 12 2 3 2 2" xfId="31092" xr:uid="{00000000-0005-0000-0000-000071A50000}"/>
    <cellStyle name="Normal 8 4 12 2 3 2 3" xfId="46584" xr:uid="{00000000-0005-0000-0000-000072A50000}"/>
    <cellStyle name="Normal 8 4 12 2 3 3" xfId="23352" xr:uid="{00000000-0005-0000-0000-000073A50000}"/>
    <cellStyle name="Normal 8 4 12 2 3 4" xfId="38844" xr:uid="{00000000-0005-0000-0000-000074A50000}"/>
    <cellStyle name="Normal 8 4 12 2 4" xfId="11630" xr:uid="{00000000-0005-0000-0000-000075A50000}"/>
    <cellStyle name="Normal 8 4 12 2 4 2" xfId="27222" xr:uid="{00000000-0005-0000-0000-000076A50000}"/>
    <cellStyle name="Normal 8 4 12 2 4 3" xfId="42714" xr:uid="{00000000-0005-0000-0000-000077A50000}"/>
    <cellStyle name="Normal 8 4 12 2 5" xfId="19482" xr:uid="{00000000-0005-0000-0000-000078A50000}"/>
    <cellStyle name="Normal 8 4 12 2 6" xfId="34974" xr:uid="{00000000-0005-0000-0000-000079A50000}"/>
    <cellStyle name="Normal 8 4 12 3" xfId="4863" xr:uid="{00000000-0005-0000-0000-00007AA50000}"/>
    <cellStyle name="Normal 8 4 12 3 2" xfId="8734" xr:uid="{00000000-0005-0000-0000-00007BA50000}"/>
    <cellStyle name="Normal 8 4 12 3 2 2" xfId="16479" xr:uid="{00000000-0005-0000-0000-00007CA50000}"/>
    <cellStyle name="Normal 8 4 12 3 2 2 2" xfId="32071" xr:uid="{00000000-0005-0000-0000-00007DA50000}"/>
    <cellStyle name="Normal 8 4 12 3 2 2 3" xfId="47563" xr:uid="{00000000-0005-0000-0000-00007EA50000}"/>
    <cellStyle name="Normal 8 4 12 3 2 3" xfId="24331" xr:uid="{00000000-0005-0000-0000-00007FA50000}"/>
    <cellStyle name="Normal 8 4 12 3 2 4" xfId="39823" xr:uid="{00000000-0005-0000-0000-000080A50000}"/>
    <cellStyle name="Normal 8 4 12 3 3" xfId="12609" xr:uid="{00000000-0005-0000-0000-000081A50000}"/>
    <cellStyle name="Normal 8 4 12 3 3 2" xfId="28201" xr:uid="{00000000-0005-0000-0000-000082A50000}"/>
    <cellStyle name="Normal 8 4 12 3 3 3" xfId="43693" xr:uid="{00000000-0005-0000-0000-000083A50000}"/>
    <cellStyle name="Normal 8 4 12 3 4" xfId="20461" xr:uid="{00000000-0005-0000-0000-000084A50000}"/>
    <cellStyle name="Normal 8 4 12 3 5" xfId="35953" xr:uid="{00000000-0005-0000-0000-000085A50000}"/>
    <cellStyle name="Normal 8 4 12 4" xfId="6807" xr:uid="{00000000-0005-0000-0000-000086A50000}"/>
    <cellStyle name="Normal 8 4 12 4 2" xfId="14552" xr:uid="{00000000-0005-0000-0000-000087A50000}"/>
    <cellStyle name="Normal 8 4 12 4 2 2" xfId="30144" xr:uid="{00000000-0005-0000-0000-000088A50000}"/>
    <cellStyle name="Normal 8 4 12 4 2 3" xfId="45636" xr:uid="{00000000-0005-0000-0000-000089A50000}"/>
    <cellStyle name="Normal 8 4 12 4 3" xfId="22404" xr:uid="{00000000-0005-0000-0000-00008AA50000}"/>
    <cellStyle name="Normal 8 4 12 4 4" xfId="37896" xr:uid="{00000000-0005-0000-0000-00008BA50000}"/>
    <cellStyle name="Normal 8 4 12 5" xfId="10682" xr:uid="{00000000-0005-0000-0000-00008CA50000}"/>
    <cellStyle name="Normal 8 4 12 5 2" xfId="26274" xr:uid="{00000000-0005-0000-0000-00008DA50000}"/>
    <cellStyle name="Normal 8 4 12 5 3" xfId="41766" xr:uid="{00000000-0005-0000-0000-00008EA50000}"/>
    <cellStyle name="Normal 8 4 12 6" xfId="18534" xr:uid="{00000000-0005-0000-0000-00008FA50000}"/>
    <cellStyle name="Normal 8 4 12 7" xfId="34026" xr:uid="{00000000-0005-0000-0000-000090A50000}"/>
    <cellStyle name="Normal 8 4 13" xfId="2903" xr:uid="{00000000-0005-0000-0000-000091A50000}"/>
    <cellStyle name="Normal 8 4 13 2" xfId="3908" xr:uid="{00000000-0005-0000-0000-000092A50000}"/>
    <cellStyle name="Normal 8 4 13 2 2" xfId="5847" xr:uid="{00000000-0005-0000-0000-000093A50000}"/>
    <cellStyle name="Normal 8 4 13 2 2 2" xfId="9718" xr:uid="{00000000-0005-0000-0000-000094A50000}"/>
    <cellStyle name="Normal 8 4 13 2 2 2 2" xfId="17463" xr:uid="{00000000-0005-0000-0000-000095A50000}"/>
    <cellStyle name="Normal 8 4 13 2 2 2 2 2" xfId="33055" xr:uid="{00000000-0005-0000-0000-000096A50000}"/>
    <cellStyle name="Normal 8 4 13 2 2 2 2 3" xfId="48547" xr:uid="{00000000-0005-0000-0000-000097A50000}"/>
    <cellStyle name="Normal 8 4 13 2 2 2 3" xfId="25315" xr:uid="{00000000-0005-0000-0000-000098A50000}"/>
    <cellStyle name="Normal 8 4 13 2 2 2 4" xfId="40807" xr:uid="{00000000-0005-0000-0000-000099A50000}"/>
    <cellStyle name="Normal 8 4 13 2 2 3" xfId="13593" xr:uid="{00000000-0005-0000-0000-00009AA50000}"/>
    <cellStyle name="Normal 8 4 13 2 2 3 2" xfId="29185" xr:uid="{00000000-0005-0000-0000-00009BA50000}"/>
    <cellStyle name="Normal 8 4 13 2 2 3 3" xfId="44677" xr:uid="{00000000-0005-0000-0000-00009CA50000}"/>
    <cellStyle name="Normal 8 4 13 2 2 4" xfId="21445" xr:uid="{00000000-0005-0000-0000-00009DA50000}"/>
    <cellStyle name="Normal 8 4 13 2 2 5" xfId="36937" xr:uid="{00000000-0005-0000-0000-00009EA50000}"/>
    <cellStyle name="Normal 8 4 13 2 3" xfId="7791" xr:uid="{00000000-0005-0000-0000-00009FA50000}"/>
    <cellStyle name="Normal 8 4 13 2 3 2" xfId="15536" xr:uid="{00000000-0005-0000-0000-0000A0A50000}"/>
    <cellStyle name="Normal 8 4 13 2 3 2 2" xfId="31128" xr:uid="{00000000-0005-0000-0000-0000A1A50000}"/>
    <cellStyle name="Normal 8 4 13 2 3 2 3" xfId="46620" xr:uid="{00000000-0005-0000-0000-0000A2A50000}"/>
    <cellStyle name="Normal 8 4 13 2 3 3" xfId="23388" xr:uid="{00000000-0005-0000-0000-0000A3A50000}"/>
    <cellStyle name="Normal 8 4 13 2 3 4" xfId="38880" xr:uid="{00000000-0005-0000-0000-0000A4A50000}"/>
    <cellStyle name="Normal 8 4 13 2 4" xfId="11666" xr:uid="{00000000-0005-0000-0000-0000A5A50000}"/>
    <cellStyle name="Normal 8 4 13 2 4 2" xfId="27258" xr:uid="{00000000-0005-0000-0000-0000A6A50000}"/>
    <cellStyle name="Normal 8 4 13 2 4 3" xfId="42750" xr:uid="{00000000-0005-0000-0000-0000A7A50000}"/>
    <cellStyle name="Normal 8 4 13 2 5" xfId="19518" xr:uid="{00000000-0005-0000-0000-0000A8A50000}"/>
    <cellStyle name="Normal 8 4 13 2 6" xfId="35010" xr:uid="{00000000-0005-0000-0000-0000A9A50000}"/>
    <cellStyle name="Normal 8 4 13 3" xfId="4899" xr:uid="{00000000-0005-0000-0000-0000AAA50000}"/>
    <cellStyle name="Normal 8 4 13 3 2" xfId="8770" xr:uid="{00000000-0005-0000-0000-0000ABA50000}"/>
    <cellStyle name="Normal 8 4 13 3 2 2" xfId="16515" xr:uid="{00000000-0005-0000-0000-0000ACA50000}"/>
    <cellStyle name="Normal 8 4 13 3 2 2 2" xfId="32107" xr:uid="{00000000-0005-0000-0000-0000ADA50000}"/>
    <cellStyle name="Normal 8 4 13 3 2 2 3" xfId="47599" xr:uid="{00000000-0005-0000-0000-0000AEA50000}"/>
    <cellStyle name="Normal 8 4 13 3 2 3" xfId="24367" xr:uid="{00000000-0005-0000-0000-0000AFA50000}"/>
    <cellStyle name="Normal 8 4 13 3 2 4" xfId="39859" xr:uid="{00000000-0005-0000-0000-0000B0A50000}"/>
    <cellStyle name="Normal 8 4 13 3 3" xfId="12645" xr:uid="{00000000-0005-0000-0000-0000B1A50000}"/>
    <cellStyle name="Normal 8 4 13 3 3 2" xfId="28237" xr:uid="{00000000-0005-0000-0000-0000B2A50000}"/>
    <cellStyle name="Normal 8 4 13 3 3 3" xfId="43729" xr:uid="{00000000-0005-0000-0000-0000B3A50000}"/>
    <cellStyle name="Normal 8 4 13 3 4" xfId="20497" xr:uid="{00000000-0005-0000-0000-0000B4A50000}"/>
    <cellStyle name="Normal 8 4 13 3 5" xfId="35989" xr:uid="{00000000-0005-0000-0000-0000B5A50000}"/>
    <cellStyle name="Normal 8 4 13 4" xfId="6843" xr:uid="{00000000-0005-0000-0000-0000B6A50000}"/>
    <cellStyle name="Normal 8 4 13 4 2" xfId="14588" xr:uid="{00000000-0005-0000-0000-0000B7A50000}"/>
    <cellStyle name="Normal 8 4 13 4 2 2" xfId="30180" xr:uid="{00000000-0005-0000-0000-0000B8A50000}"/>
    <cellStyle name="Normal 8 4 13 4 2 3" xfId="45672" xr:uid="{00000000-0005-0000-0000-0000B9A50000}"/>
    <cellStyle name="Normal 8 4 13 4 3" xfId="22440" xr:uid="{00000000-0005-0000-0000-0000BAA50000}"/>
    <cellStyle name="Normal 8 4 13 4 4" xfId="37932" xr:uid="{00000000-0005-0000-0000-0000BBA50000}"/>
    <cellStyle name="Normal 8 4 13 5" xfId="10718" xr:uid="{00000000-0005-0000-0000-0000BCA50000}"/>
    <cellStyle name="Normal 8 4 13 5 2" xfId="26310" xr:uid="{00000000-0005-0000-0000-0000BDA50000}"/>
    <cellStyle name="Normal 8 4 13 5 3" xfId="41802" xr:uid="{00000000-0005-0000-0000-0000BEA50000}"/>
    <cellStyle name="Normal 8 4 13 6" xfId="18570" xr:uid="{00000000-0005-0000-0000-0000BFA50000}"/>
    <cellStyle name="Normal 8 4 13 7" xfId="34062" xr:uid="{00000000-0005-0000-0000-0000C0A50000}"/>
    <cellStyle name="Normal 8 4 14" xfId="2940" xr:uid="{00000000-0005-0000-0000-0000C1A50000}"/>
    <cellStyle name="Normal 8 4 14 2" xfId="3944" xr:uid="{00000000-0005-0000-0000-0000C2A50000}"/>
    <cellStyle name="Normal 8 4 14 2 2" xfId="5883" xr:uid="{00000000-0005-0000-0000-0000C3A50000}"/>
    <cellStyle name="Normal 8 4 14 2 2 2" xfId="9754" xr:uid="{00000000-0005-0000-0000-0000C4A50000}"/>
    <cellStyle name="Normal 8 4 14 2 2 2 2" xfId="17499" xr:uid="{00000000-0005-0000-0000-0000C5A50000}"/>
    <cellStyle name="Normal 8 4 14 2 2 2 2 2" xfId="33091" xr:uid="{00000000-0005-0000-0000-0000C6A50000}"/>
    <cellStyle name="Normal 8 4 14 2 2 2 2 3" xfId="48583" xr:uid="{00000000-0005-0000-0000-0000C7A50000}"/>
    <cellStyle name="Normal 8 4 14 2 2 2 3" xfId="25351" xr:uid="{00000000-0005-0000-0000-0000C8A50000}"/>
    <cellStyle name="Normal 8 4 14 2 2 2 4" xfId="40843" xr:uid="{00000000-0005-0000-0000-0000C9A50000}"/>
    <cellStyle name="Normal 8 4 14 2 2 3" xfId="13629" xr:uid="{00000000-0005-0000-0000-0000CAA50000}"/>
    <cellStyle name="Normal 8 4 14 2 2 3 2" xfId="29221" xr:uid="{00000000-0005-0000-0000-0000CBA50000}"/>
    <cellStyle name="Normal 8 4 14 2 2 3 3" xfId="44713" xr:uid="{00000000-0005-0000-0000-0000CCA50000}"/>
    <cellStyle name="Normal 8 4 14 2 2 4" xfId="21481" xr:uid="{00000000-0005-0000-0000-0000CDA50000}"/>
    <cellStyle name="Normal 8 4 14 2 2 5" xfId="36973" xr:uid="{00000000-0005-0000-0000-0000CEA50000}"/>
    <cellStyle name="Normal 8 4 14 2 3" xfId="7827" xr:uid="{00000000-0005-0000-0000-0000CFA50000}"/>
    <cellStyle name="Normal 8 4 14 2 3 2" xfId="15572" xr:uid="{00000000-0005-0000-0000-0000D0A50000}"/>
    <cellStyle name="Normal 8 4 14 2 3 2 2" xfId="31164" xr:uid="{00000000-0005-0000-0000-0000D1A50000}"/>
    <cellStyle name="Normal 8 4 14 2 3 2 3" xfId="46656" xr:uid="{00000000-0005-0000-0000-0000D2A50000}"/>
    <cellStyle name="Normal 8 4 14 2 3 3" xfId="23424" xr:uid="{00000000-0005-0000-0000-0000D3A50000}"/>
    <cellStyle name="Normal 8 4 14 2 3 4" xfId="38916" xr:uid="{00000000-0005-0000-0000-0000D4A50000}"/>
    <cellStyle name="Normal 8 4 14 2 4" xfId="11702" xr:uid="{00000000-0005-0000-0000-0000D5A50000}"/>
    <cellStyle name="Normal 8 4 14 2 4 2" xfId="27294" xr:uid="{00000000-0005-0000-0000-0000D6A50000}"/>
    <cellStyle name="Normal 8 4 14 2 4 3" xfId="42786" xr:uid="{00000000-0005-0000-0000-0000D7A50000}"/>
    <cellStyle name="Normal 8 4 14 2 5" xfId="19554" xr:uid="{00000000-0005-0000-0000-0000D8A50000}"/>
    <cellStyle name="Normal 8 4 14 2 6" xfId="35046" xr:uid="{00000000-0005-0000-0000-0000D9A50000}"/>
    <cellStyle name="Normal 8 4 14 3" xfId="4935" xr:uid="{00000000-0005-0000-0000-0000DAA50000}"/>
    <cellStyle name="Normal 8 4 14 3 2" xfId="8806" xr:uid="{00000000-0005-0000-0000-0000DBA50000}"/>
    <cellStyle name="Normal 8 4 14 3 2 2" xfId="16551" xr:uid="{00000000-0005-0000-0000-0000DCA50000}"/>
    <cellStyle name="Normal 8 4 14 3 2 2 2" xfId="32143" xr:uid="{00000000-0005-0000-0000-0000DDA50000}"/>
    <cellStyle name="Normal 8 4 14 3 2 2 3" xfId="47635" xr:uid="{00000000-0005-0000-0000-0000DEA50000}"/>
    <cellStyle name="Normal 8 4 14 3 2 3" xfId="24403" xr:uid="{00000000-0005-0000-0000-0000DFA50000}"/>
    <cellStyle name="Normal 8 4 14 3 2 4" xfId="39895" xr:uid="{00000000-0005-0000-0000-0000E0A50000}"/>
    <cellStyle name="Normal 8 4 14 3 3" xfId="12681" xr:uid="{00000000-0005-0000-0000-0000E1A50000}"/>
    <cellStyle name="Normal 8 4 14 3 3 2" xfId="28273" xr:uid="{00000000-0005-0000-0000-0000E2A50000}"/>
    <cellStyle name="Normal 8 4 14 3 3 3" xfId="43765" xr:uid="{00000000-0005-0000-0000-0000E3A50000}"/>
    <cellStyle name="Normal 8 4 14 3 4" xfId="20533" xr:uid="{00000000-0005-0000-0000-0000E4A50000}"/>
    <cellStyle name="Normal 8 4 14 3 5" xfId="36025" xr:uid="{00000000-0005-0000-0000-0000E5A50000}"/>
    <cellStyle name="Normal 8 4 14 4" xfId="6879" xr:uid="{00000000-0005-0000-0000-0000E6A50000}"/>
    <cellStyle name="Normal 8 4 14 4 2" xfId="14624" xr:uid="{00000000-0005-0000-0000-0000E7A50000}"/>
    <cellStyle name="Normal 8 4 14 4 2 2" xfId="30216" xr:uid="{00000000-0005-0000-0000-0000E8A50000}"/>
    <cellStyle name="Normal 8 4 14 4 2 3" xfId="45708" xr:uid="{00000000-0005-0000-0000-0000E9A50000}"/>
    <cellStyle name="Normal 8 4 14 4 3" xfId="22476" xr:uid="{00000000-0005-0000-0000-0000EAA50000}"/>
    <cellStyle name="Normal 8 4 14 4 4" xfId="37968" xr:uid="{00000000-0005-0000-0000-0000EBA50000}"/>
    <cellStyle name="Normal 8 4 14 5" xfId="10754" xr:uid="{00000000-0005-0000-0000-0000ECA50000}"/>
    <cellStyle name="Normal 8 4 14 5 2" xfId="26346" xr:uid="{00000000-0005-0000-0000-0000EDA50000}"/>
    <cellStyle name="Normal 8 4 14 5 3" xfId="41838" xr:uid="{00000000-0005-0000-0000-0000EEA50000}"/>
    <cellStyle name="Normal 8 4 14 6" xfId="18606" xr:uid="{00000000-0005-0000-0000-0000EFA50000}"/>
    <cellStyle name="Normal 8 4 14 7" xfId="34098" xr:uid="{00000000-0005-0000-0000-0000F0A50000}"/>
    <cellStyle name="Normal 8 4 15" xfId="2979" xr:uid="{00000000-0005-0000-0000-0000F1A50000}"/>
    <cellStyle name="Normal 8 4 15 2" xfId="3980" xr:uid="{00000000-0005-0000-0000-0000F2A50000}"/>
    <cellStyle name="Normal 8 4 15 2 2" xfId="5919" xr:uid="{00000000-0005-0000-0000-0000F3A50000}"/>
    <cellStyle name="Normal 8 4 15 2 2 2" xfId="9790" xr:uid="{00000000-0005-0000-0000-0000F4A50000}"/>
    <cellStyle name="Normal 8 4 15 2 2 2 2" xfId="17535" xr:uid="{00000000-0005-0000-0000-0000F5A50000}"/>
    <cellStyle name="Normal 8 4 15 2 2 2 2 2" xfId="33127" xr:uid="{00000000-0005-0000-0000-0000F6A50000}"/>
    <cellStyle name="Normal 8 4 15 2 2 2 2 3" xfId="48619" xr:uid="{00000000-0005-0000-0000-0000F7A50000}"/>
    <cellStyle name="Normal 8 4 15 2 2 2 3" xfId="25387" xr:uid="{00000000-0005-0000-0000-0000F8A50000}"/>
    <cellStyle name="Normal 8 4 15 2 2 2 4" xfId="40879" xr:uid="{00000000-0005-0000-0000-0000F9A50000}"/>
    <cellStyle name="Normal 8 4 15 2 2 3" xfId="13665" xr:uid="{00000000-0005-0000-0000-0000FAA50000}"/>
    <cellStyle name="Normal 8 4 15 2 2 3 2" xfId="29257" xr:uid="{00000000-0005-0000-0000-0000FBA50000}"/>
    <cellStyle name="Normal 8 4 15 2 2 3 3" xfId="44749" xr:uid="{00000000-0005-0000-0000-0000FCA50000}"/>
    <cellStyle name="Normal 8 4 15 2 2 4" xfId="21517" xr:uid="{00000000-0005-0000-0000-0000FDA50000}"/>
    <cellStyle name="Normal 8 4 15 2 2 5" xfId="37009" xr:uid="{00000000-0005-0000-0000-0000FEA50000}"/>
    <cellStyle name="Normal 8 4 15 2 3" xfId="7863" xr:uid="{00000000-0005-0000-0000-0000FFA50000}"/>
    <cellStyle name="Normal 8 4 15 2 3 2" xfId="15608" xr:uid="{00000000-0005-0000-0000-000000A60000}"/>
    <cellStyle name="Normal 8 4 15 2 3 2 2" xfId="31200" xr:uid="{00000000-0005-0000-0000-000001A60000}"/>
    <cellStyle name="Normal 8 4 15 2 3 2 3" xfId="46692" xr:uid="{00000000-0005-0000-0000-000002A60000}"/>
    <cellStyle name="Normal 8 4 15 2 3 3" xfId="23460" xr:uid="{00000000-0005-0000-0000-000003A60000}"/>
    <cellStyle name="Normal 8 4 15 2 3 4" xfId="38952" xr:uid="{00000000-0005-0000-0000-000004A60000}"/>
    <cellStyle name="Normal 8 4 15 2 4" xfId="11738" xr:uid="{00000000-0005-0000-0000-000005A60000}"/>
    <cellStyle name="Normal 8 4 15 2 4 2" xfId="27330" xr:uid="{00000000-0005-0000-0000-000006A60000}"/>
    <cellStyle name="Normal 8 4 15 2 4 3" xfId="42822" xr:uid="{00000000-0005-0000-0000-000007A60000}"/>
    <cellStyle name="Normal 8 4 15 2 5" xfId="19590" xr:uid="{00000000-0005-0000-0000-000008A60000}"/>
    <cellStyle name="Normal 8 4 15 2 6" xfId="35082" xr:uid="{00000000-0005-0000-0000-000009A60000}"/>
    <cellStyle name="Normal 8 4 15 3" xfId="4971" xr:uid="{00000000-0005-0000-0000-00000AA60000}"/>
    <cellStyle name="Normal 8 4 15 3 2" xfId="8842" xr:uid="{00000000-0005-0000-0000-00000BA60000}"/>
    <cellStyle name="Normal 8 4 15 3 2 2" xfId="16587" xr:uid="{00000000-0005-0000-0000-00000CA60000}"/>
    <cellStyle name="Normal 8 4 15 3 2 2 2" xfId="32179" xr:uid="{00000000-0005-0000-0000-00000DA60000}"/>
    <cellStyle name="Normal 8 4 15 3 2 2 3" xfId="47671" xr:uid="{00000000-0005-0000-0000-00000EA60000}"/>
    <cellStyle name="Normal 8 4 15 3 2 3" xfId="24439" xr:uid="{00000000-0005-0000-0000-00000FA60000}"/>
    <cellStyle name="Normal 8 4 15 3 2 4" xfId="39931" xr:uid="{00000000-0005-0000-0000-000010A60000}"/>
    <cellStyle name="Normal 8 4 15 3 3" xfId="12717" xr:uid="{00000000-0005-0000-0000-000011A60000}"/>
    <cellStyle name="Normal 8 4 15 3 3 2" xfId="28309" xr:uid="{00000000-0005-0000-0000-000012A60000}"/>
    <cellStyle name="Normal 8 4 15 3 3 3" xfId="43801" xr:uid="{00000000-0005-0000-0000-000013A60000}"/>
    <cellStyle name="Normal 8 4 15 3 4" xfId="20569" xr:uid="{00000000-0005-0000-0000-000014A60000}"/>
    <cellStyle name="Normal 8 4 15 3 5" xfId="36061" xr:uid="{00000000-0005-0000-0000-000015A60000}"/>
    <cellStyle name="Normal 8 4 15 4" xfId="6915" xr:uid="{00000000-0005-0000-0000-000016A60000}"/>
    <cellStyle name="Normal 8 4 15 4 2" xfId="14660" xr:uid="{00000000-0005-0000-0000-000017A60000}"/>
    <cellStyle name="Normal 8 4 15 4 2 2" xfId="30252" xr:uid="{00000000-0005-0000-0000-000018A60000}"/>
    <cellStyle name="Normal 8 4 15 4 2 3" xfId="45744" xr:uid="{00000000-0005-0000-0000-000019A60000}"/>
    <cellStyle name="Normal 8 4 15 4 3" xfId="22512" xr:uid="{00000000-0005-0000-0000-00001AA60000}"/>
    <cellStyle name="Normal 8 4 15 4 4" xfId="38004" xr:uid="{00000000-0005-0000-0000-00001BA60000}"/>
    <cellStyle name="Normal 8 4 15 5" xfId="10790" xr:uid="{00000000-0005-0000-0000-00001CA60000}"/>
    <cellStyle name="Normal 8 4 15 5 2" xfId="26382" xr:uid="{00000000-0005-0000-0000-00001DA60000}"/>
    <cellStyle name="Normal 8 4 15 5 3" xfId="41874" xr:uid="{00000000-0005-0000-0000-00001EA60000}"/>
    <cellStyle name="Normal 8 4 15 6" xfId="18642" xr:uid="{00000000-0005-0000-0000-00001FA60000}"/>
    <cellStyle name="Normal 8 4 15 7" xfId="34134" xr:uid="{00000000-0005-0000-0000-000020A60000}"/>
    <cellStyle name="Normal 8 4 16" xfId="3019" xr:uid="{00000000-0005-0000-0000-000021A60000}"/>
    <cellStyle name="Normal 8 4 16 2" xfId="4016" xr:uid="{00000000-0005-0000-0000-000022A60000}"/>
    <cellStyle name="Normal 8 4 16 2 2" xfId="5955" xr:uid="{00000000-0005-0000-0000-000023A60000}"/>
    <cellStyle name="Normal 8 4 16 2 2 2" xfId="9826" xr:uid="{00000000-0005-0000-0000-000024A60000}"/>
    <cellStyle name="Normal 8 4 16 2 2 2 2" xfId="17571" xr:uid="{00000000-0005-0000-0000-000025A60000}"/>
    <cellStyle name="Normal 8 4 16 2 2 2 2 2" xfId="33163" xr:uid="{00000000-0005-0000-0000-000026A60000}"/>
    <cellStyle name="Normal 8 4 16 2 2 2 2 3" xfId="48655" xr:uid="{00000000-0005-0000-0000-000027A60000}"/>
    <cellStyle name="Normal 8 4 16 2 2 2 3" xfId="25423" xr:uid="{00000000-0005-0000-0000-000028A60000}"/>
    <cellStyle name="Normal 8 4 16 2 2 2 4" xfId="40915" xr:uid="{00000000-0005-0000-0000-000029A60000}"/>
    <cellStyle name="Normal 8 4 16 2 2 3" xfId="13701" xr:uid="{00000000-0005-0000-0000-00002AA60000}"/>
    <cellStyle name="Normal 8 4 16 2 2 3 2" xfId="29293" xr:uid="{00000000-0005-0000-0000-00002BA60000}"/>
    <cellStyle name="Normal 8 4 16 2 2 3 3" xfId="44785" xr:uid="{00000000-0005-0000-0000-00002CA60000}"/>
    <cellStyle name="Normal 8 4 16 2 2 4" xfId="21553" xr:uid="{00000000-0005-0000-0000-00002DA60000}"/>
    <cellStyle name="Normal 8 4 16 2 2 5" xfId="37045" xr:uid="{00000000-0005-0000-0000-00002EA60000}"/>
    <cellStyle name="Normal 8 4 16 2 3" xfId="7899" xr:uid="{00000000-0005-0000-0000-00002FA60000}"/>
    <cellStyle name="Normal 8 4 16 2 3 2" xfId="15644" xr:uid="{00000000-0005-0000-0000-000030A60000}"/>
    <cellStyle name="Normal 8 4 16 2 3 2 2" xfId="31236" xr:uid="{00000000-0005-0000-0000-000031A60000}"/>
    <cellStyle name="Normal 8 4 16 2 3 2 3" xfId="46728" xr:uid="{00000000-0005-0000-0000-000032A60000}"/>
    <cellStyle name="Normal 8 4 16 2 3 3" xfId="23496" xr:uid="{00000000-0005-0000-0000-000033A60000}"/>
    <cellStyle name="Normal 8 4 16 2 3 4" xfId="38988" xr:uid="{00000000-0005-0000-0000-000034A60000}"/>
    <cellStyle name="Normal 8 4 16 2 4" xfId="11774" xr:uid="{00000000-0005-0000-0000-000035A60000}"/>
    <cellStyle name="Normal 8 4 16 2 4 2" xfId="27366" xr:uid="{00000000-0005-0000-0000-000036A60000}"/>
    <cellStyle name="Normal 8 4 16 2 4 3" xfId="42858" xr:uid="{00000000-0005-0000-0000-000037A60000}"/>
    <cellStyle name="Normal 8 4 16 2 5" xfId="19626" xr:uid="{00000000-0005-0000-0000-000038A60000}"/>
    <cellStyle name="Normal 8 4 16 2 6" xfId="35118" xr:uid="{00000000-0005-0000-0000-000039A60000}"/>
    <cellStyle name="Normal 8 4 16 3" xfId="5007" xr:uid="{00000000-0005-0000-0000-00003AA60000}"/>
    <cellStyle name="Normal 8 4 16 3 2" xfId="8878" xr:uid="{00000000-0005-0000-0000-00003BA60000}"/>
    <cellStyle name="Normal 8 4 16 3 2 2" xfId="16623" xr:uid="{00000000-0005-0000-0000-00003CA60000}"/>
    <cellStyle name="Normal 8 4 16 3 2 2 2" xfId="32215" xr:uid="{00000000-0005-0000-0000-00003DA60000}"/>
    <cellStyle name="Normal 8 4 16 3 2 2 3" xfId="47707" xr:uid="{00000000-0005-0000-0000-00003EA60000}"/>
    <cellStyle name="Normal 8 4 16 3 2 3" xfId="24475" xr:uid="{00000000-0005-0000-0000-00003FA60000}"/>
    <cellStyle name="Normal 8 4 16 3 2 4" xfId="39967" xr:uid="{00000000-0005-0000-0000-000040A60000}"/>
    <cellStyle name="Normal 8 4 16 3 3" xfId="12753" xr:uid="{00000000-0005-0000-0000-000041A60000}"/>
    <cellStyle name="Normal 8 4 16 3 3 2" xfId="28345" xr:uid="{00000000-0005-0000-0000-000042A60000}"/>
    <cellStyle name="Normal 8 4 16 3 3 3" xfId="43837" xr:uid="{00000000-0005-0000-0000-000043A60000}"/>
    <cellStyle name="Normal 8 4 16 3 4" xfId="20605" xr:uid="{00000000-0005-0000-0000-000044A60000}"/>
    <cellStyle name="Normal 8 4 16 3 5" xfId="36097" xr:uid="{00000000-0005-0000-0000-000045A60000}"/>
    <cellStyle name="Normal 8 4 16 4" xfId="6951" xr:uid="{00000000-0005-0000-0000-000046A60000}"/>
    <cellStyle name="Normal 8 4 16 4 2" xfId="14696" xr:uid="{00000000-0005-0000-0000-000047A60000}"/>
    <cellStyle name="Normal 8 4 16 4 2 2" xfId="30288" xr:uid="{00000000-0005-0000-0000-000048A60000}"/>
    <cellStyle name="Normal 8 4 16 4 2 3" xfId="45780" xr:uid="{00000000-0005-0000-0000-000049A60000}"/>
    <cellStyle name="Normal 8 4 16 4 3" xfId="22548" xr:uid="{00000000-0005-0000-0000-00004AA60000}"/>
    <cellStyle name="Normal 8 4 16 4 4" xfId="38040" xr:uid="{00000000-0005-0000-0000-00004BA60000}"/>
    <cellStyle name="Normal 8 4 16 5" xfId="10826" xr:uid="{00000000-0005-0000-0000-00004CA60000}"/>
    <cellStyle name="Normal 8 4 16 5 2" xfId="26418" xr:uid="{00000000-0005-0000-0000-00004DA60000}"/>
    <cellStyle name="Normal 8 4 16 5 3" xfId="41910" xr:uid="{00000000-0005-0000-0000-00004EA60000}"/>
    <cellStyle name="Normal 8 4 16 6" xfId="18678" xr:uid="{00000000-0005-0000-0000-00004FA60000}"/>
    <cellStyle name="Normal 8 4 16 7" xfId="34170" xr:uid="{00000000-0005-0000-0000-000050A60000}"/>
    <cellStyle name="Normal 8 4 17" xfId="3057" xr:uid="{00000000-0005-0000-0000-000051A60000}"/>
    <cellStyle name="Normal 8 4 17 2" xfId="4052" xr:uid="{00000000-0005-0000-0000-000052A60000}"/>
    <cellStyle name="Normal 8 4 17 2 2" xfId="5991" xr:uid="{00000000-0005-0000-0000-000053A60000}"/>
    <cellStyle name="Normal 8 4 17 2 2 2" xfId="9862" xr:uid="{00000000-0005-0000-0000-000054A60000}"/>
    <cellStyle name="Normal 8 4 17 2 2 2 2" xfId="17607" xr:uid="{00000000-0005-0000-0000-000055A60000}"/>
    <cellStyle name="Normal 8 4 17 2 2 2 2 2" xfId="33199" xr:uid="{00000000-0005-0000-0000-000056A60000}"/>
    <cellStyle name="Normal 8 4 17 2 2 2 2 3" xfId="48691" xr:uid="{00000000-0005-0000-0000-000057A60000}"/>
    <cellStyle name="Normal 8 4 17 2 2 2 3" xfId="25459" xr:uid="{00000000-0005-0000-0000-000058A60000}"/>
    <cellStyle name="Normal 8 4 17 2 2 2 4" xfId="40951" xr:uid="{00000000-0005-0000-0000-000059A60000}"/>
    <cellStyle name="Normal 8 4 17 2 2 3" xfId="13737" xr:uid="{00000000-0005-0000-0000-00005AA60000}"/>
    <cellStyle name="Normal 8 4 17 2 2 3 2" xfId="29329" xr:uid="{00000000-0005-0000-0000-00005BA60000}"/>
    <cellStyle name="Normal 8 4 17 2 2 3 3" xfId="44821" xr:uid="{00000000-0005-0000-0000-00005CA60000}"/>
    <cellStyle name="Normal 8 4 17 2 2 4" xfId="21589" xr:uid="{00000000-0005-0000-0000-00005DA60000}"/>
    <cellStyle name="Normal 8 4 17 2 2 5" xfId="37081" xr:uid="{00000000-0005-0000-0000-00005EA60000}"/>
    <cellStyle name="Normal 8 4 17 2 3" xfId="7935" xr:uid="{00000000-0005-0000-0000-00005FA60000}"/>
    <cellStyle name="Normal 8 4 17 2 3 2" xfId="15680" xr:uid="{00000000-0005-0000-0000-000060A60000}"/>
    <cellStyle name="Normal 8 4 17 2 3 2 2" xfId="31272" xr:uid="{00000000-0005-0000-0000-000061A60000}"/>
    <cellStyle name="Normal 8 4 17 2 3 2 3" xfId="46764" xr:uid="{00000000-0005-0000-0000-000062A60000}"/>
    <cellStyle name="Normal 8 4 17 2 3 3" xfId="23532" xr:uid="{00000000-0005-0000-0000-000063A60000}"/>
    <cellStyle name="Normal 8 4 17 2 3 4" xfId="39024" xr:uid="{00000000-0005-0000-0000-000064A60000}"/>
    <cellStyle name="Normal 8 4 17 2 4" xfId="11810" xr:uid="{00000000-0005-0000-0000-000065A60000}"/>
    <cellStyle name="Normal 8 4 17 2 4 2" xfId="27402" xr:uid="{00000000-0005-0000-0000-000066A60000}"/>
    <cellStyle name="Normal 8 4 17 2 4 3" xfId="42894" xr:uid="{00000000-0005-0000-0000-000067A60000}"/>
    <cellStyle name="Normal 8 4 17 2 5" xfId="19662" xr:uid="{00000000-0005-0000-0000-000068A60000}"/>
    <cellStyle name="Normal 8 4 17 2 6" xfId="35154" xr:uid="{00000000-0005-0000-0000-000069A60000}"/>
    <cellStyle name="Normal 8 4 17 3" xfId="5043" xr:uid="{00000000-0005-0000-0000-00006AA60000}"/>
    <cellStyle name="Normal 8 4 17 3 2" xfId="8914" xr:uid="{00000000-0005-0000-0000-00006BA60000}"/>
    <cellStyle name="Normal 8 4 17 3 2 2" xfId="16659" xr:uid="{00000000-0005-0000-0000-00006CA60000}"/>
    <cellStyle name="Normal 8 4 17 3 2 2 2" xfId="32251" xr:uid="{00000000-0005-0000-0000-00006DA60000}"/>
    <cellStyle name="Normal 8 4 17 3 2 2 3" xfId="47743" xr:uid="{00000000-0005-0000-0000-00006EA60000}"/>
    <cellStyle name="Normal 8 4 17 3 2 3" xfId="24511" xr:uid="{00000000-0005-0000-0000-00006FA60000}"/>
    <cellStyle name="Normal 8 4 17 3 2 4" xfId="40003" xr:uid="{00000000-0005-0000-0000-000070A60000}"/>
    <cellStyle name="Normal 8 4 17 3 3" xfId="12789" xr:uid="{00000000-0005-0000-0000-000071A60000}"/>
    <cellStyle name="Normal 8 4 17 3 3 2" xfId="28381" xr:uid="{00000000-0005-0000-0000-000072A60000}"/>
    <cellStyle name="Normal 8 4 17 3 3 3" xfId="43873" xr:uid="{00000000-0005-0000-0000-000073A60000}"/>
    <cellStyle name="Normal 8 4 17 3 4" xfId="20641" xr:uid="{00000000-0005-0000-0000-000074A60000}"/>
    <cellStyle name="Normal 8 4 17 3 5" xfId="36133" xr:uid="{00000000-0005-0000-0000-000075A60000}"/>
    <cellStyle name="Normal 8 4 17 4" xfId="6987" xr:uid="{00000000-0005-0000-0000-000076A60000}"/>
    <cellStyle name="Normal 8 4 17 4 2" xfId="14732" xr:uid="{00000000-0005-0000-0000-000077A60000}"/>
    <cellStyle name="Normal 8 4 17 4 2 2" xfId="30324" xr:uid="{00000000-0005-0000-0000-000078A60000}"/>
    <cellStyle name="Normal 8 4 17 4 2 3" xfId="45816" xr:uid="{00000000-0005-0000-0000-000079A60000}"/>
    <cellStyle name="Normal 8 4 17 4 3" xfId="22584" xr:uid="{00000000-0005-0000-0000-00007AA60000}"/>
    <cellStyle name="Normal 8 4 17 4 4" xfId="38076" xr:uid="{00000000-0005-0000-0000-00007BA60000}"/>
    <cellStyle name="Normal 8 4 17 5" xfId="10862" xr:uid="{00000000-0005-0000-0000-00007CA60000}"/>
    <cellStyle name="Normal 8 4 17 5 2" xfId="26454" xr:uid="{00000000-0005-0000-0000-00007DA60000}"/>
    <cellStyle name="Normal 8 4 17 5 3" xfId="41946" xr:uid="{00000000-0005-0000-0000-00007EA60000}"/>
    <cellStyle name="Normal 8 4 17 6" xfId="18714" xr:uid="{00000000-0005-0000-0000-00007FA60000}"/>
    <cellStyle name="Normal 8 4 17 7" xfId="34206" xr:uid="{00000000-0005-0000-0000-000080A60000}"/>
    <cellStyle name="Normal 8 4 18" xfId="3094" xr:uid="{00000000-0005-0000-0000-000081A60000}"/>
    <cellStyle name="Normal 8 4 18 2" xfId="4088" xr:uid="{00000000-0005-0000-0000-000082A60000}"/>
    <cellStyle name="Normal 8 4 18 2 2" xfId="6027" xr:uid="{00000000-0005-0000-0000-000083A60000}"/>
    <cellStyle name="Normal 8 4 18 2 2 2" xfId="9898" xr:uid="{00000000-0005-0000-0000-000084A60000}"/>
    <cellStyle name="Normal 8 4 18 2 2 2 2" xfId="17643" xr:uid="{00000000-0005-0000-0000-000085A60000}"/>
    <cellStyle name="Normal 8 4 18 2 2 2 2 2" xfId="33235" xr:uid="{00000000-0005-0000-0000-000086A60000}"/>
    <cellStyle name="Normal 8 4 18 2 2 2 2 3" xfId="48727" xr:uid="{00000000-0005-0000-0000-000087A60000}"/>
    <cellStyle name="Normal 8 4 18 2 2 2 3" xfId="25495" xr:uid="{00000000-0005-0000-0000-000088A60000}"/>
    <cellStyle name="Normal 8 4 18 2 2 2 4" xfId="40987" xr:uid="{00000000-0005-0000-0000-000089A60000}"/>
    <cellStyle name="Normal 8 4 18 2 2 3" xfId="13773" xr:uid="{00000000-0005-0000-0000-00008AA60000}"/>
    <cellStyle name="Normal 8 4 18 2 2 3 2" xfId="29365" xr:uid="{00000000-0005-0000-0000-00008BA60000}"/>
    <cellStyle name="Normal 8 4 18 2 2 3 3" xfId="44857" xr:uid="{00000000-0005-0000-0000-00008CA60000}"/>
    <cellStyle name="Normal 8 4 18 2 2 4" xfId="21625" xr:uid="{00000000-0005-0000-0000-00008DA60000}"/>
    <cellStyle name="Normal 8 4 18 2 2 5" xfId="37117" xr:uid="{00000000-0005-0000-0000-00008EA60000}"/>
    <cellStyle name="Normal 8 4 18 2 3" xfId="7971" xr:uid="{00000000-0005-0000-0000-00008FA60000}"/>
    <cellStyle name="Normal 8 4 18 2 3 2" xfId="15716" xr:uid="{00000000-0005-0000-0000-000090A60000}"/>
    <cellStyle name="Normal 8 4 18 2 3 2 2" xfId="31308" xr:uid="{00000000-0005-0000-0000-000091A60000}"/>
    <cellStyle name="Normal 8 4 18 2 3 2 3" xfId="46800" xr:uid="{00000000-0005-0000-0000-000092A60000}"/>
    <cellStyle name="Normal 8 4 18 2 3 3" xfId="23568" xr:uid="{00000000-0005-0000-0000-000093A60000}"/>
    <cellStyle name="Normal 8 4 18 2 3 4" xfId="39060" xr:uid="{00000000-0005-0000-0000-000094A60000}"/>
    <cellStyle name="Normal 8 4 18 2 4" xfId="11846" xr:uid="{00000000-0005-0000-0000-000095A60000}"/>
    <cellStyle name="Normal 8 4 18 2 4 2" xfId="27438" xr:uid="{00000000-0005-0000-0000-000096A60000}"/>
    <cellStyle name="Normal 8 4 18 2 4 3" xfId="42930" xr:uid="{00000000-0005-0000-0000-000097A60000}"/>
    <cellStyle name="Normal 8 4 18 2 5" xfId="19698" xr:uid="{00000000-0005-0000-0000-000098A60000}"/>
    <cellStyle name="Normal 8 4 18 2 6" xfId="35190" xr:uid="{00000000-0005-0000-0000-000099A60000}"/>
    <cellStyle name="Normal 8 4 18 3" xfId="5079" xr:uid="{00000000-0005-0000-0000-00009AA60000}"/>
    <cellStyle name="Normal 8 4 18 3 2" xfId="8950" xr:uid="{00000000-0005-0000-0000-00009BA60000}"/>
    <cellStyle name="Normal 8 4 18 3 2 2" xfId="16695" xr:uid="{00000000-0005-0000-0000-00009CA60000}"/>
    <cellStyle name="Normal 8 4 18 3 2 2 2" xfId="32287" xr:uid="{00000000-0005-0000-0000-00009DA60000}"/>
    <cellStyle name="Normal 8 4 18 3 2 2 3" xfId="47779" xr:uid="{00000000-0005-0000-0000-00009EA60000}"/>
    <cellStyle name="Normal 8 4 18 3 2 3" xfId="24547" xr:uid="{00000000-0005-0000-0000-00009FA60000}"/>
    <cellStyle name="Normal 8 4 18 3 2 4" xfId="40039" xr:uid="{00000000-0005-0000-0000-0000A0A60000}"/>
    <cellStyle name="Normal 8 4 18 3 3" xfId="12825" xr:uid="{00000000-0005-0000-0000-0000A1A60000}"/>
    <cellStyle name="Normal 8 4 18 3 3 2" xfId="28417" xr:uid="{00000000-0005-0000-0000-0000A2A60000}"/>
    <cellStyle name="Normal 8 4 18 3 3 3" xfId="43909" xr:uid="{00000000-0005-0000-0000-0000A3A60000}"/>
    <cellStyle name="Normal 8 4 18 3 4" xfId="20677" xr:uid="{00000000-0005-0000-0000-0000A4A60000}"/>
    <cellStyle name="Normal 8 4 18 3 5" xfId="36169" xr:uid="{00000000-0005-0000-0000-0000A5A60000}"/>
    <cellStyle name="Normal 8 4 18 4" xfId="7023" xr:uid="{00000000-0005-0000-0000-0000A6A60000}"/>
    <cellStyle name="Normal 8 4 18 4 2" xfId="14768" xr:uid="{00000000-0005-0000-0000-0000A7A60000}"/>
    <cellStyle name="Normal 8 4 18 4 2 2" xfId="30360" xr:uid="{00000000-0005-0000-0000-0000A8A60000}"/>
    <cellStyle name="Normal 8 4 18 4 2 3" xfId="45852" xr:uid="{00000000-0005-0000-0000-0000A9A60000}"/>
    <cellStyle name="Normal 8 4 18 4 3" xfId="22620" xr:uid="{00000000-0005-0000-0000-0000AAA60000}"/>
    <cellStyle name="Normal 8 4 18 4 4" xfId="38112" xr:uid="{00000000-0005-0000-0000-0000ABA60000}"/>
    <cellStyle name="Normal 8 4 18 5" xfId="10898" xr:uid="{00000000-0005-0000-0000-0000ACA60000}"/>
    <cellStyle name="Normal 8 4 18 5 2" xfId="26490" xr:uid="{00000000-0005-0000-0000-0000ADA60000}"/>
    <cellStyle name="Normal 8 4 18 5 3" xfId="41982" xr:uid="{00000000-0005-0000-0000-0000AEA60000}"/>
    <cellStyle name="Normal 8 4 18 6" xfId="18750" xr:uid="{00000000-0005-0000-0000-0000AFA60000}"/>
    <cellStyle name="Normal 8 4 18 7" xfId="34242" xr:uid="{00000000-0005-0000-0000-0000B0A60000}"/>
    <cellStyle name="Normal 8 4 19" xfId="3141" xr:uid="{00000000-0005-0000-0000-0000B1A60000}"/>
    <cellStyle name="Normal 8 4 19 2" xfId="4124" xr:uid="{00000000-0005-0000-0000-0000B2A60000}"/>
    <cellStyle name="Normal 8 4 19 2 2" xfId="6063" xr:uid="{00000000-0005-0000-0000-0000B3A60000}"/>
    <cellStyle name="Normal 8 4 19 2 2 2" xfId="9934" xr:uid="{00000000-0005-0000-0000-0000B4A60000}"/>
    <cellStyle name="Normal 8 4 19 2 2 2 2" xfId="17679" xr:uid="{00000000-0005-0000-0000-0000B5A60000}"/>
    <cellStyle name="Normal 8 4 19 2 2 2 2 2" xfId="33271" xr:uid="{00000000-0005-0000-0000-0000B6A60000}"/>
    <cellStyle name="Normal 8 4 19 2 2 2 2 3" xfId="48763" xr:uid="{00000000-0005-0000-0000-0000B7A60000}"/>
    <cellStyle name="Normal 8 4 19 2 2 2 3" xfId="25531" xr:uid="{00000000-0005-0000-0000-0000B8A60000}"/>
    <cellStyle name="Normal 8 4 19 2 2 2 4" xfId="41023" xr:uid="{00000000-0005-0000-0000-0000B9A60000}"/>
    <cellStyle name="Normal 8 4 19 2 2 3" xfId="13809" xr:uid="{00000000-0005-0000-0000-0000BAA60000}"/>
    <cellStyle name="Normal 8 4 19 2 2 3 2" xfId="29401" xr:uid="{00000000-0005-0000-0000-0000BBA60000}"/>
    <cellStyle name="Normal 8 4 19 2 2 3 3" xfId="44893" xr:uid="{00000000-0005-0000-0000-0000BCA60000}"/>
    <cellStyle name="Normal 8 4 19 2 2 4" xfId="21661" xr:uid="{00000000-0005-0000-0000-0000BDA60000}"/>
    <cellStyle name="Normal 8 4 19 2 2 5" xfId="37153" xr:uid="{00000000-0005-0000-0000-0000BEA60000}"/>
    <cellStyle name="Normal 8 4 19 2 3" xfId="8007" xr:uid="{00000000-0005-0000-0000-0000BFA60000}"/>
    <cellStyle name="Normal 8 4 19 2 3 2" xfId="15752" xr:uid="{00000000-0005-0000-0000-0000C0A60000}"/>
    <cellStyle name="Normal 8 4 19 2 3 2 2" xfId="31344" xr:uid="{00000000-0005-0000-0000-0000C1A60000}"/>
    <cellStyle name="Normal 8 4 19 2 3 2 3" xfId="46836" xr:uid="{00000000-0005-0000-0000-0000C2A60000}"/>
    <cellStyle name="Normal 8 4 19 2 3 3" xfId="23604" xr:uid="{00000000-0005-0000-0000-0000C3A60000}"/>
    <cellStyle name="Normal 8 4 19 2 3 4" xfId="39096" xr:uid="{00000000-0005-0000-0000-0000C4A60000}"/>
    <cellStyle name="Normal 8 4 19 2 4" xfId="11882" xr:uid="{00000000-0005-0000-0000-0000C5A60000}"/>
    <cellStyle name="Normal 8 4 19 2 4 2" xfId="27474" xr:uid="{00000000-0005-0000-0000-0000C6A60000}"/>
    <cellStyle name="Normal 8 4 19 2 4 3" xfId="42966" xr:uid="{00000000-0005-0000-0000-0000C7A60000}"/>
    <cellStyle name="Normal 8 4 19 2 5" xfId="19734" xr:uid="{00000000-0005-0000-0000-0000C8A60000}"/>
    <cellStyle name="Normal 8 4 19 2 6" xfId="35226" xr:uid="{00000000-0005-0000-0000-0000C9A60000}"/>
    <cellStyle name="Normal 8 4 19 3" xfId="5115" xr:uid="{00000000-0005-0000-0000-0000CAA60000}"/>
    <cellStyle name="Normal 8 4 19 3 2" xfId="8986" xr:uid="{00000000-0005-0000-0000-0000CBA60000}"/>
    <cellStyle name="Normal 8 4 19 3 2 2" xfId="16731" xr:uid="{00000000-0005-0000-0000-0000CCA60000}"/>
    <cellStyle name="Normal 8 4 19 3 2 2 2" xfId="32323" xr:uid="{00000000-0005-0000-0000-0000CDA60000}"/>
    <cellStyle name="Normal 8 4 19 3 2 2 3" xfId="47815" xr:uid="{00000000-0005-0000-0000-0000CEA60000}"/>
    <cellStyle name="Normal 8 4 19 3 2 3" xfId="24583" xr:uid="{00000000-0005-0000-0000-0000CFA60000}"/>
    <cellStyle name="Normal 8 4 19 3 2 4" xfId="40075" xr:uid="{00000000-0005-0000-0000-0000D0A60000}"/>
    <cellStyle name="Normal 8 4 19 3 3" xfId="12861" xr:uid="{00000000-0005-0000-0000-0000D1A60000}"/>
    <cellStyle name="Normal 8 4 19 3 3 2" xfId="28453" xr:uid="{00000000-0005-0000-0000-0000D2A60000}"/>
    <cellStyle name="Normal 8 4 19 3 3 3" xfId="43945" xr:uid="{00000000-0005-0000-0000-0000D3A60000}"/>
    <cellStyle name="Normal 8 4 19 3 4" xfId="20713" xr:uid="{00000000-0005-0000-0000-0000D4A60000}"/>
    <cellStyle name="Normal 8 4 19 3 5" xfId="36205" xr:uid="{00000000-0005-0000-0000-0000D5A60000}"/>
    <cellStyle name="Normal 8 4 19 4" xfId="7059" xr:uid="{00000000-0005-0000-0000-0000D6A60000}"/>
    <cellStyle name="Normal 8 4 19 4 2" xfId="14804" xr:uid="{00000000-0005-0000-0000-0000D7A60000}"/>
    <cellStyle name="Normal 8 4 19 4 2 2" xfId="30396" xr:uid="{00000000-0005-0000-0000-0000D8A60000}"/>
    <cellStyle name="Normal 8 4 19 4 2 3" xfId="45888" xr:uid="{00000000-0005-0000-0000-0000D9A60000}"/>
    <cellStyle name="Normal 8 4 19 4 3" xfId="22656" xr:uid="{00000000-0005-0000-0000-0000DAA60000}"/>
    <cellStyle name="Normal 8 4 19 4 4" xfId="38148" xr:uid="{00000000-0005-0000-0000-0000DBA60000}"/>
    <cellStyle name="Normal 8 4 19 5" xfId="10934" xr:uid="{00000000-0005-0000-0000-0000DCA60000}"/>
    <cellStyle name="Normal 8 4 19 5 2" xfId="26526" xr:uid="{00000000-0005-0000-0000-0000DDA60000}"/>
    <cellStyle name="Normal 8 4 19 5 3" xfId="42018" xr:uid="{00000000-0005-0000-0000-0000DEA60000}"/>
    <cellStyle name="Normal 8 4 19 6" xfId="18786" xr:uid="{00000000-0005-0000-0000-0000DFA60000}"/>
    <cellStyle name="Normal 8 4 19 7" xfId="34278" xr:uid="{00000000-0005-0000-0000-0000E0A60000}"/>
    <cellStyle name="Normal 8 4 2" xfId="2204" xr:uid="{00000000-0005-0000-0000-0000E1A60000}"/>
    <cellStyle name="Normal 8 4 2 2" xfId="2536" xr:uid="{00000000-0005-0000-0000-0000E2A60000}"/>
    <cellStyle name="Normal 8 4 2 2 2" xfId="3544" xr:uid="{00000000-0005-0000-0000-0000E3A60000}"/>
    <cellStyle name="Normal 8 4 2 2 2 2" xfId="5483" xr:uid="{00000000-0005-0000-0000-0000E4A60000}"/>
    <cellStyle name="Normal 8 4 2 2 2 2 2" xfId="9354" xr:uid="{00000000-0005-0000-0000-0000E5A60000}"/>
    <cellStyle name="Normal 8 4 2 2 2 2 2 2" xfId="17099" xr:uid="{00000000-0005-0000-0000-0000E6A60000}"/>
    <cellStyle name="Normal 8 4 2 2 2 2 2 2 2" xfId="32691" xr:uid="{00000000-0005-0000-0000-0000E7A60000}"/>
    <cellStyle name="Normal 8 4 2 2 2 2 2 2 3" xfId="48183" xr:uid="{00000000-0005-0000-0000-0000E8A60000}"/>
    <cellStyle name="Normal 8 4 2 2 2 2 2 3" xfId="24951" xr:uid="{00000000-0005-0000-0000-0000E9A60000}"/>
    <cellStyle name="Normal 8 4 2 2 2 2 2 4" xfId="40443" xr:uid="{00000000-0005-0000-0000-0000EAA60000}"/>
    <cellStyle name="Normal 8 4 2 2 2 2 3" xfId="13229" xr:uid="{00000000-0005-0000-0000-0000EBA60000}"/>
    <cellStyle name="Normal 8 4 2 2 2 2 3 2" xfId="28821" xr:uid="{00000000-0005-0000-0000-0000ECA60000}"/>
    <cellStyle name="Normal 8 4 2 2 2 2 3 3" xfId="44313" xr:uid="{00000000-0005-0000-0000-0000EDA60000}"/>
    <cellStyle name="Normal 8 4 2 2 2 2 4" xfId="21081" xr:uid="{00000000-0005-0000-0000-0000EEA60000}"/>
    <cellStyle name="Normal 8 4 2 2 2 2 5" xfId="36573" xr:uid="{00000000-0005-0000-0000-0000EFA60000}"/>
    <cellStyle name="Normal 8 4 2 2 2 3" xfId="7427" xr:uid="{00000000-0005-0000-0000-0000F0A60000}"/>
    <cellStyle name="Normal 8 4 2 2 2 3 2" xfId="15172" xr:uid="{00000000-0005-0000-0000-0000F1A60000}"/>
    <cellStyle name="Normal 8 4 2 2 2 3 2 2" xfId="30764" xr:uid="{00000000-0005-0000-0000-0000F2A60000}"/>
    <cellStyle name="Normal 8 4 2 2 2 3 2 3" xfId="46256" xr:uid="{00000000-0005-0000-0000-0000F3A60000}"/>
    <cellStyle name="Normal 8 4 2 2 2 3 3" xfId="23024" xr:uid="{00000000-0005-0000-0000-0000F4A60000}"/>
    <cellStyle name="Normal 8 4 2 2 2 3 4" xfId="38516" xr:uid="{00000000-0005-0000-0000-0000F5A60000}"/>
    <cellStyle name="Normal 8 4 2 2 2 4" xfId="11302" xr:uid="{00000000-0005-0000-0000-0000F6A60000}"/>
    <cellStyle name="Normal 8 4 2 2 2 4 2" xfId="26894" xr:uid="{00000000-0005-0000-0000-0000F7A60000}"/>
    <cellStyle name="Normal 8 4 2 2 2 4 3" xfId="42386" xr:uid="{00000000-0005-0000-0000-0000F8A60000}"/>
    <cellStyle name="Normal 8 4 2 2 2 5" xfId="19154" xr:uid="{00000000-0005-0000-0000-0000F9A60000}"/>
    <cellStyle name="Normal 8 4 2 2 2 6" xfId="34646" xr:uid="{00000000-0005-0000-0000-0000FAA60000}"/>
    <cellStyle name="Normal 8 4 2 2 3" xfId="4535" xr:uid="{00000000-0005-0000-0000-0000FBA60000}"/>
    <cellStyle name="Normal 8 4 2 2 3 2" xfId="8406" xr:uid="{00000000-0005-0000-0000-0000FCA60000}"/>
    <cellStyle name="Normal 8 4 2 2 3 2 2" xfId="16151" xr:uid="{00000000-0005-0000-0000-0000FDA60000}"/>
    <cellStyle name="Normal 8 4 2 2 3 2 2 2" xfId="31743" xr:uid="{00000000-0005-0000-0000-0000FEA60000}"/>
    <cellStyle name="Normal 8 4 2 2 3 2 2 3" xfId="47235" xr:uid="{00000000-0005-0000-0000-0000FFA60000}"/>
    <cellStyle name="Normal 8 4 2 2 3 2 3" xfId="24003" xr:uid="{00000000-0005-0000-0000-000000A70000}"/>
    <cellStyle name="Normal 8 4 2 2 3 2 4" xfId="39495" xr:uid="{00000000-0005-0000-0000-000001A70000}"/>
    <cellStyle name="Normal 8 4 2 2 3 3" xfId="12281" xr:uid="{00000000-0005-0000-0000-000002A70000}"/>
    <cellStyle name="Normal 8 4 2 2 3 3 2" xfId="27873" xr:uid="{00000000-0005-0000-0000-000003A70000}"/>
    <cellStyle name="Normal 8 4 2 2 3 3 3" xfId="43365" xr:uid="{00000000-0005-0000-0000-000004A70000}"/>
    <cellStyle name="Normal 8 4 2 2 3 4" xfId="20133" xr:uid="{00000000-0005-0000-0000-000005A70000}"/>
    <cellStyle name="Normal 8 4 2 2 3 5" xfId="35625" xr:uid="{00000000-0005-0000-0000-000006A70000}"/>
    <cellStyle name="Normal 8 4 2 2 4" xfId="6479" xr:uid="{00000000-0005-0000-0000-000007A70000}"/>
    <cellStyle name="Normal 8 4 2 2 4 2" xfId="14224" xr:uid="{00000000-0005-0000-0000-000008A70000}"/>
    <cellStyle name="Normal 8 4 2 2 4 2 2" xfId="29816" xr:uid="{00000000-0005-0000-0000-000009A70000}"/>
    <cellStyle name="Normal 8 4 2 2 4 2 3" xfId="45308" xr:uid="{00000000-0005-0000-0000-00000AA70000}"/>
    <cellStyle name="Normal 8 4 2 2 4 3" xfId="22076" xr:uid="{00000000-0005-0000-0000-00000BA70000}"/>
    <cellStyle name="Normal 8 4 2 2 4 4" xfId="37568" xr:uid="{00000000-0005-0000-0000-00000CA70000}"/>
    <cellStyle name="Normal 8 4 2 2 5" xfId="10354" xr:uid="{00000000-0005-0000-0000-00000DA70000}"/>
    <cellStyle name="Normal 8 4 2 2 5 2" xfId="25946" xr:uid="{00000000-0005-0000-0000-00000EA70000}"/>
    <cellStyle name="Normal 8 4 2 2 5 3" xfId="41438" xr:uid="{00000000-0005-0000-0000-00000FA70000}"/>
    <cellStyle name="Normal 8 4 2 2 6" xfId="18206" xr:uid="{00000000-0005-0000-0000-000010A70000}"/>
    <cellStyle name="Normal 8 4 2 2 7" xfId="33698" xr:uid="{00000000-0005-0000-0000-000011A70000}"/>
    <cellStyle name="Normal 8 4 2 3" xfId="3235" xr:uid="{00000000-0005-0000-0000-000012A70000}"/>
    <cellStyle name="Normal 8 4 2 3 2" xfId="5174" xr:uid="{00000000-0005-0000-0000-000013A70000}"/>
    <cellStyle name="Normal 8 4 2 3 2 2" xfId="9045" xr:uid="{00000000-0005-0000-0000-000014A70000}"/>
    <cellStyle name="Normal 8 4 2 3 2 2 2" xfId="16790" xr:uid="{00000000-0005-0000-0000-000015A70000}"/>
    <cellStyle name="Normal 8 4 2 3 2 2 2 2" xfId="32382" xr:uid="{00000000-0005-0000-0000-000016A70000}"/>
    <cellStyle name="Normal 8 4 2 3 2 2 2 3" xfId="47874" xr:uid="{00000000-0005-0000-0000-000017A70000}"/>
    <cellStyle name="Normal 8 4 2 3 2 2 3" xfId="24642" xr:uid="{00000000-0005-0000-0000-000018A70000}"/>
    <cellStyle name="Normal 8 4 2 3 2 2 4" xfId="40134" xr:uid="{00000000-0005-0000-0000-000019A70000}"/>
    <cellStyle name="Normal 8 4 2 3 2 3" xfId="12920" xr:uid="{00000000-0005-0000-0000-00001AA70000}"/>
    <cellStyle name="Normal 8 4 2 3 2 3 2" xfId="28512" xr:uid="{00000000-0005-0000-0000-00001BA70000}"/>
    <cellStyle name="Normal 8 4 2 3 2 3 3" xfId="44004" xr:uid="{00000000-0005-0000-0000-00001CA70000}"/>
    <cellStyle name="Normal 8 4 2 3 2 4" xfId="20772" xr:uid="{00000000-0005-0000-0000-00001DA70000}"/>
    <cellStyle name="Normal 8 4 2 3 2 5" xfId="36264" xr:uid="{00000000-0005-0000-0000-00001EA70000}"/>
    <cellStyle name="Normal 8 4 2 3 3" xfId="7118" xr:uid="{00000000-0005-0000-0000-00001FA70000}"/>
    <cellStyle name="Normal 8 4 2 3 3 2" xfId="14863" xr:uid="{00000000-0005-0000-0000-000020A70000}"/>
    <cellStyle name="Normal 8 4 2 3 3 2 2" xfId="30455" xr:uid="{00000000-0005-0000-0000-000021A70000}"/>
    <cellStyle name="Normal 8 4 2 3 3 2 3" xfId="45947" xr:uid="{00000000-0005-0000-0000-000022A70000}"/>
    <cellStyle name="Normal 8 4 2 3 3 3" xfId="22715" xr:uid="{00000000-0005-0000-0000-000023A70000}"/>
    <cellStyle name="Normal 8 4 2 3 3 4" xfId="38207" xr:uid="{00000000-0005-0000-0000-000024A70000}"/>
    <cellStyle name="Normal 8 4 2 3 4" xfId="10993" xr:uid="{00000000-0005-0000-0000-000025A70000}"/>
    <cellStyle name="Normal 8 4 2 3 4 2" xfId="26585" xr:uid="{00000000-0005-0000-0000-000026A70000}"/>
    <cellStyle name="Normal 8 4 2 3 4 3" xfId="42077" xr:uid="{00000000-0005-0000-0000-000027A70000}"/>
    <cellStyle name="Normal 8 4 2 3 5" xfId="18845" xr:uid="{00000000-0005-0000-0000-000028A70000}"/>
    <cellStyle name="Normal 8 4 2 3 6" xfId="34337" xr:uid="{00000000-0005-0000-0000-000029A70000}"/>
    <cellStyle name="Normal 8 4 2 4" xfId="4226" xr:uid="{00000000-0005-0000-0000-00002AA70000}"/>
    <cellStyle name="Normal 8 4 2 4 2" xfId="8097" xr:uid="{00000000-0005-0000-0000-00002BA70000}"/>
    <cellStyle name="Normal 8 4 2 4 2 2" xfId="15842" xr:uid="{00000000-0005-0000-0000-00002CA70000}"/>
    <cellStyle name="Normal 8 4 2 4 2 2 2" xfId="31434" xr:uid="{00000000-0005-0000-0000-00002DA70000}"/>
    <cellStyle name="Normal 8 4 2 4 2 2 3" xfId="46926" xr:uid="{00000000-0005-0000-0000-00002EA70000}"/>
    <cellStyle name="Normal 8 4 2 4 2 3" xfId="23694" xr:uid="{00000000-0005-0000-0000-00002FA70000}"/>
    <cellStyle name="Normal 8 4 2 4 2 4" xfId="39186" xr:uid="{00000000-0005-0000-0000-000030A70000}"/>
    <cellStyle name="Normal 8 4 2 4 3" xfId="11972" xr:uid="{00000000-0005-0000-0000-000031A70000}"/>
    <cellStyle name="Normal 8 4 2 4 3 2" xfId="27564" xr:uid="{00000000-0005-0000-0000-000032A70000}"/>
    <cellStyle name="Normal 8 4 2 4 3 3" xfId="43056" xr:uid="{00000000-0005-0000-0000-000033A70000}"/>
    <cellStyle name="Normal 8 4 2 4 4" xfId="19824" xr:uid="{00000000-0005-0000-0000-000034A70000}"/>
    <cellStyle name="Normal 8 4 2 4 5" xfId="35316" xr:uid="{00000000-0005-0000-0000-000035A70000}"/>
    <cellStyle name="Normal 8 4 2 5" xfId="6170" xr:uid="{00000000-0005-0000-0000-000036A70000}"/>
    <cellStyle name="Normal 8 4 2 5 2" xfId="13915" xr:uid="{00000000-0005-0000-0000-000037A70000}"/>
    <cellStyle name="Normal 8 4 2 5 2 2" xfId="29507" xr:uid="{00000000-0005-0000-0000-000038A70000}"/>
    <cellStyle name="Normal 8 4 2 5 2 3" xfId="44999" xr:uid="{00000000-0005-0000-0000-000039A70000}"/>
    <cellStyle name="Normal 8 4 2 5 3" xfId="21767" xr:uid="{00000000-0005-0000-0000-00003AA70000}"/>
    <cellStyle name="Normal 8 4 2 5 4" xfId="37259" xr:uid="{00000000-0005-0000-0000-00003BA70000}"/>
    <cellStyle name="Normal 8 4 2 6" xfId="10045" xr:uid="{00000000-0005-0000-0000-00003CA70000}"/>
    <cellStyle name="Normal 8 4 2 6 2" xfId="25637" xr:uid="{00000000-0005-0000-0000-00003DA70000}"/>
    <cellStyle name="Normal 8 4 2 6 3" xfId="41129" xr:uid="{00000000-0005-0000-0000-00003EA70000}"/>
    <cellStyle name="Normal 8 4 2 7" xfId="17897" xr:uid="{00000000-0005-0000-0000-00003FA70000}"/>
    <cellStyle name="Normal 8 4 2 8" xfId="33389" xr:uid="{00000000-0005-0000-0000-000040A70000}"/>
    <cellStyle name="Normal 8 4 20" xfId="3200" xr:uid="{00000000-0005-0000-0000-000041A70000}"/>
    <cellStyle name="Normal 8 4 20 2" xfId="5139" xr:uid="{00000000-0005-0000-0000-000042A70000}"/>
    <cellStyle name="Normal 8 4 20 2 2" xfId="9010" xr:uid="{00000000-0005-0000-0000-000043A70000}"/>
    <cellStyle name="Normal 8 4 20 2 2 2" xfId="16755" xr:uid="{00000000-0005-0000-0000-000044A70000}"/>
    <cellStyle name="Normal 8 4 20 2 2 2 2" xfId="32347" xr:uid="{00000000-0005-0000-0000-000045A70000}"/>
    <cellStyle name="Normal 8 4 20 2 2 2 3" xfId="47839" xr:uid="{00000000-0005-0000-0000-000046A70000}"/>
    <cellStyle name="Normal 8 4 20 2 2 3" xfId="24607" xr:uid="{00000000-0005-0000-0000-000047A70000}"/>
    <cellStyle name="Normal 8 4 20 2 2 4" xfId="40099" xr:uid="{00000000-0005-0000-0000-000048A70000}"/>
    <cellStyle name="Normal 8 4 20 2 3" xfId="12885" xr:uid="{00000000-0005-0000-0000-000049A70000}"/>
    <cellStyle name="Normal 8 4 20 2 3 2" xfId="28477" xr:uid="{00000000-0005-0000-0000-00004AA70000}"/>
    <cellStyle name="Normal 8 4 20 2 3 3" xfId="43969" xr:uid="{00000000-0005-0000-0000-00004BA70000}"/>
    <cellStyle name="Normal 8 4 20 2 4" xfId="20737" xr:uid="{00000000-0005-0000-0000-00004CA70000}"/>
    <cellStyle name="Normal 8 4 20 2 5" xfId="36229" xr:uid="{00000000-0005-0000-0000-00004DA70000}"/>
    <cellStyle name="Normal 8 4 20 3" xfId="7083" xr:uid="{00000000-0005-0000-0000-00004EA70000}"/>
    <cellStyle name="Normal 8 4 20 3 2" xfId="14828" xr:uid="{00000000-0005-0000-0000-00004FA70000}"/>
    <cellStyle name="Normal 8 4 20 3 2 2" xfId="30420" xr:uid="{00000000-0005-0000-0000-000050A70000}"/>
    <cellStyle name="Normal 8 4 20 3 2 3" xfId="45912" xr:uid="{00000000-0005-0000-0000-000051A70000}"/>
    <cellStyle name="Normal 8 4 20 3 3" xfId="22680" xr:uid="{00000000-0005-0000-0000-000052A70000}"/>
    <cellStyle name="Normal 8 4 20 3 4" xfId="38172" xr:uid="{00000000-0005-0000-0000-000053A70000}"/>
    <cellStyle name="Normal 8 4 20 4" xfId="10958" xr:uid="{00000000-0005-0000-0000-000054A70000}"/>
    <cellStyle name="Normal 8 4 20 4 2" xfId="26550" xr:uid="{00000000-0005-0000-0000-000055A70000}"/>
    <cellStyle name="Normal 8 4 20 4 3" xfId="42042" xr:uid="{00000000-0005-0000-0000-000056A70000}"/>
    <cellStyle name="Normal 8 4 20 5" xfId="18810" xr:uid="{00000000-0005-0000-0000-000057A70000}"/>
    <cellStyle name="Normal 8 4 20 6" xfId="34302" xr:uid="{00000000-0005-0000-0000-000058A70000}"/>
    <cellStyle name="Normal 8 4 21" xfId="4145" xr:uid="{00000000-0005-0000-0000-000059A70000}"/>
    <cellStyle name="Normal 8 4 21 2" xfId="6083" xr:uid="{00000000-0005-0000-0000-00005AA70000}"/>
    <cellStyle name="Normal 8 4 21 2 2" xfId="9954" xr:uid="{00000000-0005-0000-0000-00005BA70000}"/>
    <cellStyle name="Normal 8 4 21 2 2 2" xfId="17699" xr:uid="{00000000-0005-0000-0000-00005CA70000}"/>
    <cellStyle name="Normal 8 4 21 2 2 2 2" xfId="33291" xr:uid="{00000000-0005-0000-0000-00005DA70000}"/>
    <cellStyle name="Normal 8 4 21 2 2 2 3" xfId="48783" xr:uid="{00000000-0005-0000-0000-00005EA70000}"/>
    <cellStyle name="Normal 8 4 21 2 2 3" xfId="25551" xr:uid="{00000000-0005-0000-0000-00005FA70000}"/>
    <cellStyle name="Normal 8 4 21 2 2 4" xfId="41043" xr:uid="{00000000-0005-0000-0000-000060A70000}"/>
    <cellStyle name="Normal 8 4 21 2 3" xfId="13829" xr:uid="{00000000-0005-0000-0000-000061A70000}"/>
    <cellStyle name="Normal 8 4 21 2 3 2" xfId="29421" xr:uid="{00000000-0005-0000-0000-000062A70000}"/>
    <cellStyle name="Normal 8 4 21 2 3 3" xfId="44913" xr:uid="{00000000-0005-0000-0000-000063A70000}"/>
    <cellStyle name="Normal 8 4 21 2 4" xfId="21681" xr:uid="{00000000-0005-0000-0000-000064A70000}"/>
    <cellStyle name="Normal 8 4 21 2 5" xfId="37173" xr:uid="{00000000-0005-0000-0000-000065A70000}"/>
    <cellStyle name="Normal 8 4 21 3" xfId="8027" xr:uid="{00000000-0005-0000-0000-000066A70000}"/>
    <cellStyle name="Normal 8 4 21 3 2" xfId="15772" xr:uid="{00000000-0005-0000-0000-000067A70000}"/>
    <cellStyle name="Normal 8 4 21 3 2 2" xfId="31364" xr:uid="{00000000-0005-0000-0000-000068A70000}"/>
    <cellStyle name="Normal 8 4 21 3 2 3" xfId="46856" xr:uid="{00000000-0005-0000-0000-000069A70000}"/>
    <cellStyle name="Normal 8 4 21 3 3" xfId="23624" xr:uid="{00000000-0005-0000-0000-00006AA70000}"/>
    <cellStyle name="Normal 8 4 21 3 4" xfId="39116" xr:uid="{00000000-0005-0000-0000-00006BA70000}"/>
    <cellStyle name="Normal 8 4 21 4" xfId="11902" xr:uid="{00000000-0005-0000-0000-00006CA70000}"/>
    <cellStyle name="Normal 8 4 21 4 2" xfId="27494" xr:uid="{00000000-0005-0000-0000-00006DA70000}"/>
    <cellStyle name="Normal 8 4 21 4 3" xfId="42986" xr:uid="{00000000-0005-0000-0000-00006EA70000}"/>
    <cellStyle name="Normal 8 4 21 5" xfId="19754" xr:uid="{00000000-0005-0000-0000-00006FA70000}"/>
    <cellStyle name="Normal 8 4 21 6" xfId="35246" xr:uid="{00000000-0005-0000-0000-000070A70000}"/>
    <cellStyle name="Normal 8 4 22" xfId="4170" xr:uid="{00000000-0005-0000-0000-000071A70000}"/>
    <cellStyle name="Normal 8 4 22 2" xfId="6099" xr:uid="{00000000-0005-0000-0000-000072A70000}"/>
    <cellStyle name="Normal 8 4 22 2 2" xfId="9970" xr:uid="{00000000-0005-0000-0000-000073A70000}"/>
    <cellStyle name="Normal 8 4 22 2 2 2" xfId="17715" xr:uid="{00000000-0005-0000-0000-000074A70000}"/>
    <cellStyle name="Normal 8 4 22 2 2 2 2" xfId="33307" xr:uid="{00000000-0005-0000-0000-000075A70000}"/>
    <cellStyle name="Normal 8 4 22 2 2 2 3" xfId="48799" xr:uid="{00000000-0005-0000-0000-000076A70000}"/>
    <cellStyle name="Normal 8 4 22 2 2 3" xfId="25567" xr:uid="{00000000-0005-0000-0000-000077A70000}"/>
    <cellStyle name="Normal 8 4 22 2 2 4" xfId="41059" xr:uid="{00000000-0005-0000-0000-000078A70000}"/>
    <cellStyle name="Normal 8 4 22 2 3" xfId="13845" xr:uid="{00000000-0005-0000-0000-000079A70000}"/>
    <cellStyle name="Normal 8 4 22 2 3 2" xfId="29437" xr:uid="{00000000-0005-0000-0000-00007AA70000}"/>
    <cellStyle name="Normal 8 4 22 2 3 3" xfId="44929" xr:uid="{00000000-0005-0000-0000-00007BA70000}"/>
    <cellStyle name="Normal 8 4 22 2 4" xfId="21697" xr:uid="{00000000-0005-0000-0000-00007CA70000}"/>
    <cellStyle name="Normal 8 4 22 2 5" xfId="37189" xr:uid="{00000000-0005-0000-0000-00007DA70000}"/>
    <cellStyle name="Normal 8 4 22 3" xfId="8043" xr:uid="{00000000-0005-0000-0000-00007EA70000}"/>
    <cellStyle name="Normal 8 4 22 3 2" xfId="15788" xr:uid="{00000000-0005-0000-0000-00007FA70000}"/>
    <cellStyle name="Normal 8 4 22 3 2 2" xfId="31380" xr:uid="{00000000-0005-0000-0000-000080A70000}"/>
    <cellStyle name="Normal 8 4 22 3 2 3" xfId="46872" xr:uid="{00000000-0005-0000-0000-000081A70000}"/>
    <cellStyle name="Normal 8 4 22 3 3" xfId="23640" xr:uid="{00000000-0005-0000-0000-000082A70000}"/>
    <cellStyle name="Normal 8 4 22 3 4" xfId="39132" xr:uid="{00000000-0005-0000-0000-000083A70000}"/>
    <cellStyle name="Normal 8 4 22 4" xfId="11918" xr:uid="{00000000-0005-0000-0000-000084A70000}"/>
    <cellStyle name="Normal 8 4 22 4 2" xfId="27510" xr:uid="{00000000-0005-0000-0000-000085A70000}"/>
    <cellStyle name="Normal 8 4 22 4 3" xfId="43002" xr:uid="{00000000-0005-0000-0000-000086A70000}"/>
    <cellStyle name="Normal 8 4 22 5" xfId="19770" xr:uid="{00000000-0005-0000-0000-000087A70000}"/>
    <cellStyle name="Normal 8 4 22 6" xfId="35262" xr:uid="{00000000-0005-0000-0000-000088A70000}"/>
    <cellStyle name="Normal 8 4 23" xfId="4191" xr:uid="{00000000-0005-0000-0000-000089A70000}"/>
    <cellStyle name="Normal 8 4 23 2" xfId="8062" xr:uid="{00000000-0005-0000-0000-00008AA70000}"/>
    <cellStyle name="Normal 8 4 23 2 2" xfId="15807" xr:uid="{00000000-0005-0000-0000-00008BA70000}"/>
    <cellStyle name="Normal 8 4 23 2 2 2" xfId="31399" xr:uid="{00000000-0005-0000-0000-00008CA70000}"/>
    <cellStyle name="Normal 8 4 23 2 2 3" xfId="46891" xr:uid="{00000000-0005-0000-0000-00008DA70000}"/>
    <cellStyle name="Normal 8 4 23 2 3" xfId="23659" xr:uid="{00000000-0005-0000-0000-00008EA70000}"/>
    <cellStyle name="Normal 8 4 23 2 4" xfId="39151" xr:uid="{00000000-0005-0000-0000-00008FA70000}"/>
    <cellStyle name="Normal 8 4 23 3" xfId="11937" xr:uid="{00000000-0005-0000-0000-000090A70000}"/>
    <cellStyle name="Normal 8 4 23 3 2" xfId="27529" xr:uid="{00000000-0005-0000-0000-000091A70000}"/>
    <cellStyle name="Normal 8 4 23 3 3" xfId="43021" xr:uid="{00000000-0005-0000-0000-000092A70000}"/>
    <cellStyle name="Normal 8 4 23 4" xfId="19789" xr:uid="{00000000-0005-0000-0000-000093A70000}"/>
    <cellStyle name="Normal 8 4 23 5" xfId="35281" xr:uid="{00000000-0005-0000-0000-000094A70000}"/>
    <cellStyle name="Normal 8 4 24" xfId="6115" xr:uid="{00000000-0005-0000-0000-000095A70000}"/>
    <cellStyle name="Normal 8 4 24 2" xfId="9985" xr:uid="{00000000-0005-0000-0000-000096A70000}"/>
    <cellStyle name="Normal 8 4 24 2 2" xfId="17730" xr:uid="{00000000-0005-0000-0000-000097A70000}"/>
    <cellStyle name="Normal 8 4 24 2 2 2" xfId="33322" xr:uid="{00000000-0005-0000-0000-000098A70000}"/>
    <cellStyle name="Normal 8 4 24 2 2 3" xfId="48814" xr:uid="{00000000-0005-0000-0000-000099A70000}"/>
    <cellStyle name="Normal 8 4 24 2 3" xfId="25582" xr:uid="{00000000-0005-0000-0000-00009AA70000}"/>
    <cellStyle name="Normal 8 4 24 2 4" xfId="41074" xr:uid="{00000000-0005-0000-0000-00009BA70000}"/>
    <cellStyle name="Normal 8 4 24 3" xfId="13860" xr:uid="{00000000-0005-0000-0000-00009CA70000}"/>
    <cellStyle name="Normal 8 4 24 3 2" xfId="29452" xr:uid="{00000000-0005-0000-0000-00009DA70000}"/>
    <cellStyle name="Normal 8 4 24 3 3" xfId="44944" xr:uid="{00000000-0005-0000-0000-00009EA70000}"/>
    <cellStyle name="Normal 8 4 24 4" xfId="21712" xr:uid="{00000000-0005-0000-0000-00009FA70000}"/>
    <cellStyle name="Normal 8 4 24 5" xfId="37204" xr:uid="{00000000-0005-0000-0000-0000A0A70000}"/>
    <cellStyle name="Normal 8 4 25" xfId="6135" xr:uid="{00000000-0005-0000-0000-0000A1A70000}"/>
    <cellStyle name="Normal 8 4 25 2" xfId="13880" xr:uid="{00000000-0005-0000-0000-0000A2A70000}"/>
    <cellStyle name="Normal 8 4 25 2 2" xfId="29472" xr:uid="{00000000-0005-0000-0000-0000A3A70000}"/>
    <cellStyle name="Normal 8 4 25 2 3" xfId="44964" xr:uid="{00000000-0005-0000-0000-0000A4A70000}"/>
    <cellStyle name="Normal 8 4 25 3" xfId="21732" xr:uid="{00000000-0005-0000-0000-0000A5A70000}"/>
    <cellStyle name="Normal 8 4 25 4" xfId="37224" xr:uid="{00000000-0005-0000-0000-0000A6A70000}"/>
    <cellStyle name="Normal 8 4 26" xfId="10010" xr:uid="{00000000-0005-0000-0000-0000A7A70000}"/>
    <cellStyle name="Normal 8 4 26 2" xfId="25602" xr:uid="{00000000-0005-0000-0000-0000A8A70000}"/>
    <cellStyle name="Normal 8 4 26 3" xfId="41094" xr:uid="{00000000-0005-0000-0000-0000A9A70000}"/>
    <cellStyle name="Normal 8 4 27" xfId="17862" xr:uid="{00000000-0005-0000-0000-0000AAA70000}"/>
    <cellStyle name="Normal 8 4 28" xfId="33354" xr:uid="{00000000-0005-0000-0000-0000ABA70000}"/>
    <cellStyle name="Normal 8 4 29" xfId="48859" xr:uid="{00000000-0005-0000-0000-0000ACA70000}"/>
    <cellStyle name="Normal 8 4 3" xfId="2257" xr:uid="{00000000-0005-0000-0000-0000ADA70000}"/>
    <cellStyle name="Normal 8 4 3 2" xfId="2574" xr:uid="{00000000-0005-0000-0000-0000AEA70000}"/>
    <cellStyle name="Normal 8 4 3 2 2" xfId="3582" xr:uid="{00000000-0005-0000-0000-0000AFA70000}"/>
    <cellStyle name="Normal 8 4 3 2 2 2" xfId="5521" xr:uid="{00000000-0005-0000-0000-0000B0A70000}"/>
    <cellStyle name="Normal 8 4 3 2 2 2 2" xfId="9392" xr:uid="{00000000-0005-0000-0000-0000B1A70000}"/>
    <cellStyle name="Normal 8 4 3 2 2 2 2 2" xfId="17137" xr:uid="{00000000-0005-0000-0000-0000B2A70000}"/>
    <cellStyle name="Normal 8 4 3 2 2 2 2 2 2" xfId="32729" xr:uid="{00000000-0005-0000-0000-0000B3A70000}"/>
    <cellStyle name="Normal 8 4 3 2 2 2 2 2 3" xfId="48221" xr:uid="{00000000-0005-0000-0000-0000B4A70000}"/>
    <cellStyle name="Normal 8 4 3 2 2 2 2 3" xfId="24989" xr:uid="{00000000-0005-0000-0000-0000B5A70000}"/>
    <cellStyle name="Normal 8 4 3 2 2 2 2 4" xfId="40481" xr:uid="{00000000-0005-0000-0000-0000B6A70000}"/>
    <cellStyle name="Normal 8 4 3 2 2 2 3" xfId="13267" xr:uid="{00000000-0005-0000-0000-0000B7A70000}"/>
    <cellStyle name="Normal 8 4 3 2 2 2 3 2" xfId="28859" xr:uid="{00000000-0005-0000-0000-0000B8A70000}"/>
    <cellStyle name="Normal 8 4 3 2 2 2 3 3" xfId="44351" xr:uid="{00000000-0005-0000-0000-0000B9A70000}"/>
    <cellStyle name="Normal 8 4 3 2 2 2 4" xfId="21119" xr:uid="{00000000-0005-0000-0000-0000BAA70000}"/>
    <cellStyle name="Normal 8 4 3 2 2 2 5" xfId="36611" xr:uid="{00000000-0005-0000-0000-0000BBA70000}"/>
    <cellStyle name="Normal 8 4 3 2 2 3" xfId="7465" xr:uid="{00000000-0005-0000-0000-0000BCA70000}"/>
    <cellStyle name="Normal 8 4 3 2 2 3 2" xfId="15210" xr:uid="{00000000-0005-0000-0000-0000BDA70000}"/>
    <cellStyle name="Normal 8 4 3 2 2 3 2 2" xfId="30802" xr:uid="{00000000-0005-0000-0000-0000BEA70000}"/>
    <cellStyle name="Normal 8 4 3 2 2 3 2 3" xfId="46294" xr:uid="{00000000-0005-0000-0000-0000BFA70000}"/>
    <cellStyle name="Normal 8 4 3 2 2 3 3" xfId="23062" xr:uid="{00000000-0005-0000-0000-0000C0A70000}"/>
    <cellStyle name="Normal 8 4 3 2 2 3 4" xfId="38554" xr:uid="{00000000-0005-0000-0000-0000C1A70000}"/>
    <cellStyle name="Normal 8 4 3 2 2 4" xfId="11340" xr:uid="{00000000-0005-0000-0000-0000C2A70000}"/>
    <cellStyle name="Normal 8 4 3 2 2 4 2" xfId="26932" xr:uid="{00000000-0005-0000-0000-0000C3A70000}"/>
    <cellStyle name="Normal 8 4 3 2 2 4 3" xfId="42424" xr:uid="{00000000-0005-0000-0000-0000C4A70000}"/>
    <cellStyle name="Normal 8 4 3 2 2 5" xfId="19192" xr:uid="{00000000-0005-0000-0000-0000C5A70000}"/>
    <cellStyle name="Normal 8 4 3 2 2 6" xfId="34684" xr:uid="{00000000-0005-0000-0000-0000C6A70000}"/>
    <cellStyle name="Normal 8 4 3 2 3" xfId="4573" xr:uid="{00000000-0005-0000-0000-0000C7A70000}"/>
    <cellStyle name="Normal 8 4 3 2 3 2" xfId="8444" xr:uid="{00000000-0005-0000-0000-0000C8A70000}"/>
    <cellStyle name="Normal 8 4 3 2 3 2 2" xfId="16189" xr:uid="{00000000-0005-0000-0000-0000C9A70000}"/>
    <cellStyle name="Normal 8 4 3 2 3 2 2 2" xfId="31781" xr:uid="{00000000-0005-0000-0000-0000CAA70000}"/>
    <cellStyle name="Normal 8 4 3 2 3 2 2 3" xfId="47273" xr:uid="{00000000-0005-0000-0000-0000CBA70000}"/>
    <cellStyle name="Normal 8 4 3 2 3 2 3" xfId="24041" xr:uid="{00000000-0005-0000-0000-0000CCA70000}"/>
    <cellStyle name="Normal 8 4 3 2 3 2 4" xfId="39533" xr:uid="{00000000-0005-0000-0000-0000CDA70000}"/>
    <cellStyle name="Normal 8 4 3 2 3 3" xfId="12319" xr:uid="{00000000-0005-0000-0000-0000CEA70000}"/>
    <cellStyle name="Normal 8 4 3 2 3 3 2" xfId="27911" xr:uid="{00000000-0005-0000-0000-0000CFA70000}"/>
    <cellStyle name="Normal 8 4 3 2 3 3 3" xfId="43403" xr:uid="{00000000-0005-0000-0000-0000D0A70000}"/>
    <cellStyle name="Normal 8 4 3 2 3 4" xfId="20171" xr:uid="{00000000-0005-0000-0000-0000D1A70000}"/>
    <cellStyle name="Normal 8 4 3 2 3 5" xfId="35663" xr:uid="{00000000-0005-0000-0000-0000D2A70000}"/>
    <cellStyle name="Normal 8 4 3 2 4" xfId="6517" xr:uid="{00000000-0005-0000-0000-0000D3A70000}"/>
    <cellStyle name="Normal 8 4 3 2 4 2" xfId="14262" xr:uid="{00000000-0005-0000-0000-0000D4A70000}"/>
    <cellStyle name="Normal 8 4 3 2 4 2 2" xfId="29854" xr:uid="{00000000-0005-0000-0000-0000D5A70000}"/>
    <cellStyle name="Normal 8 4 3 2 4 2 3" xfId="45346" xr:uid="{00000000-0005-0000-0000-0000D6A70000}"/>
    <cellStyle name="Normal 8 4 3 2 4 3" xfId="22114" xr:uid="{00000000-0005-0000-0000-0000D7A70000}"/>
    <cellStyle name="Normal 8 4 3 2 4 4" xfId="37606" xr:uid="{00000000-0005-0000-0000-0000D8A70000}"/>
    <cellStyle name="Normal 8 4 3 2 5" xfId="10392" xr:uid="{00000000-0005-0000-0000-0000D9A70000}"/>
    <cellStyle name="Normal 8 4 3 2 5 2" xfId="25984" xr:uid="{00000000-0005-0000-0000-0000DAA70000}"/>
    <cellStyle name="Normal 8 4 3 2 5 3" xfId="41476" xr:uid="{00000000-0005-0000-0000-0000DBA70000}"/>
    <cellStyle name="Normal 8 4 3 2 6" xfId="18244" xr:uid="{00000000-0005-0000-0000-0000DCA70000}"/>
    <cellStyle name="Normal 8 4 3 2 7" xfId="33736" xr:uid="{00000000-0005-0000-0000-0000DDA70000}"/>
    <cellStyle name="Normal 8 4 3 3" xfId="3273" xr:uid="{00000000-0005-0000-0000-0000DEA70000}"/>
    <cellStyle name="Normal 8 4 3 3 2" xfId="5212" xr:uid="{00000000-0005-0000-0000-0000DFA70000}"/>
    <cellStyle name="Normal 8 4 3 3 2 2" xfId="9083" xr:uid="{00000000-0005-0000-0000-0000E0A70000}"/>
    <cellStyle name="Normal 8 4 3 3 2 2 2" xfId="16828" xr:uid="{00000000-0005-0000-0000-0000E1A70000}"/>
    <cellStyle name="Normal 8 4 3 3 2 2 2 2" xfId="32420" xr:uid="{00000000-0005-0000-0000-0000E2A70000}"/>
    <cellStyle name="Normal 8 4 3 3 2 2 2 3" xfId="47912" xr:uid="{00000000-0005-0000-0000-0000E3A70000}"/>
    <cellStyle name="Normal 8 4 3 3 2 2 3" xfId="24680" xr:uid="{00000000-0005-0000-0000-0000E4A70000}"/>
    <cellStyle name="Normal 8 4 3 3 2 2 4" xfId="40172" xr:uid="{00000000-0005-0000-0000-0000E5A70000}"/>
    <cellStyle name="Normal 8 4 3 3 2 3" xfId="12958" xr:uid="{00000000-0005-0000-0000-0000E6A70000}"/>
    <cellStyle name="Normal 8 4 3 3 2 3 2" xfId="28550" xr:uid="{00000000-0005-0000-0000-0000E7A70000}"/>
    <cellStyle name="Normal 8 4 3 3 2 3 3" xfId="44042" xr:uid="{00000000-0005-0000-0000-0000E8A70000}"/>
    <cellStyle name="Normal 8 4 3 3 2 4" xfId="20810" xr:uid="{00000000-0005-0000-0000-0000E9A70000}"/>
    <cellStyle name="Normal 8 4 3 3 2 5" xfId="36302" xr:uid="{00000000-0005-0000-0000-0000EAA70000}"/>
    <cellStyle name="Normal 8 4 3 3 3" xfId="7156" xr:uid="{00000000-0005-0000-0000-0000EBA70000}"/>
    <cellStyle name="Normal 8 4 3 3 3 2" xfId="14901" xr:uid="{00000000-0005-0000-0000-0000ECA70000}"/>
    <cellStyle name="Normal 8 4 3 3 3 2 2" xfId="30493" xr:uid="{00000000-0005-0000-0000-0000EDA70000}"/>
    <cellStyle name="Normal 8 4 3 3 3 2 3" xfId="45985" xr:uid="{00000000-0005-0000-0000-0000EEA70000}"/>
    <cellStyle name="Normal 8 4 3 3 3 3" xfId="22753" xr:uid="{00000000-0005-0000-0000-0000EFA70000}"/>
    <cellStyle name="Normal 8 4 3 3 3 4" xfId="38245" xr:uid="{00000000-0005-0000-0000-0000F0A70000}"/>
    <cellStyle name="Normal 8 4 3 3 4" xfId="11031" xr:uid="{00000000-0005-0000-0000-0000F1A70000}"/>
    <cellStyle name="Normal 8 4 3 3 4 2" xfId="26623" xr:uid="{00000000-0005-0000-0000-0000F2A70000}"/>
    <cellStyle name="Normal 8 4 3 3 4 3" xfId="42115" xr:uid="{00000000-0005-0000-0000-0000F3A70000}"/>
    <cellStyle name="Normal 8 4 3 3 5" xfId="18883" xr:uid="{00000000-0005-0000-0000-0000F4A70000}"/>
    <cellStyle name="Normal 8 4 3 3 6" xfId="34375" xr:uid="{00000000-0005-0000-0000-0000F5A70000}"/>
    <cellStyle name="Normal 8 4 3 4" xfId="4264" xr:uid="{00000000-0005-0000-0000-0000F6A70000}"/>
    <cellStyle name="Normal 8 4 3 4 2" xfId="8135" xr:uid="{00000000-0005-0000-0000-0000F7A70000}"/>
    <cellStyle name="Normal 8 4 3 4 2 2" xfId="15880" xr:uid="{00000000-0005-0000-0000-0000F8A70000}"/>
    <cellStyle name="Normal 8 4 3 4 2 2 2" xfId="31472" xr:uid="{00000000-0005-0000-0000-0000F9A70000}"/>
    <cellStyle name="Normal 8 4 3 4 2 2 3" xfId="46964" xr:uid="{00000000-0005-0000-0000-0000FAA70000}"/>
    <cellStyle name="Normal 8 4 3 4 2 3" xfId="23732" xr:uid="{00000000-0005-0000-0000-0000FBA70000}"/>
    <cellStyle name="Normal 8 4 3 4 2 4" xfId="39224" xr:uid="{00000000-0005-0000-0000-0000FCA70000}"/>
    <cellStyle name="Normal 8 4 3 4 3" xfId="12010" xr:uid="{00000000-0005-0000-0000-0000FDA70000}"/>
    <cellStyle name="Normal 8 4 3 4 3 2" xfId="27602" xr:uid="{00000000-0005-0000-0000-0000FEA70000}"/>
    <cellStyle name="Normal 8 4 3 4 3 3" xfId="43094" xr:uid="{00000000-0005-0000-0000-0000FFA70000}"/>
    <cellStyle name="Normal 8 4 3 4 4" xfId="19862" xr:uid="{00000000-0005-0000-0000-000000A80000}"/>
    <cellStyle name="Normal 8 4 3 4 5" xfId="35354" xr:uid="{00000000-0005-0000-0000-000001A80000}"/>
    <cellStyle name="Normal 8 4 3 5" xfId="6208" xr:uid="{00000000-0005-0000-0000-000002A80000}"/>
    <cellStyle name="Normal 8 4 3 5 2" xfId="13953" xr:uid="{00000000-0005-0000-0000-000003A80000}"/>
    <cellStyle name="Normal 8 4 3 5 2 2" xfId="29545" xr:uid="{00000000-0005-0000-0000-000004A80000}"/>
    <cellStyle name="Normal 8 4 3 5 2 3" xfId="45037" xr:uid="{00000000-0005-0000-0000-000005A80000}"/>
    <cellStyle name="Normal 8 4 3 5 3" xfId="21805" xr:uid="{00000000-0005-0000-0000-000006A80000}"/>
    <cellStyle name="Normal 8 4 3 5 4" xfId="37297" xr:uid="{00000000-0005-0000-0000-000007A80000}"/>
    <cellStyle name="Normal 8 4 3 6" xfId="10083" xr:uid="{00000000-0005-0000-0000-000008A80000}"/>
    <cellStyle name="Normal 8 4 3 6 2" xfId="25675" xr:uid="{00000000-0005-0000-0000-000009A80000}"/>
    <cellStyle name="Normal 8 4 3 6 3" xfId="41167" xr:uid="{00000000-0005-0000-0000-00000AA80000}"/>
    <cellStyle name="Normal 8 4 3 7" xfId="17935" xr:uid="{00000000-0005-0000-0000-00000BA80000}"/>
    <cellStyle name="Normal 8 4 3 8" xfId="33427" xr:uid="{00000000-0005-0000-0000-00000CA80000}"/>
    <cellStyle name="Normal 8 4 4" xfId="2294" xr:uid="{00000000-0005-0000-0000-00000DA80000}"/>
    <cellStyle name="Normal 8 4 4 2" xfId="2610" xr:uid="{00000000-0005-0000-0000-00000EA80000}"/>
    <cellStyle name="Normal 8 4 4 2 2" xfId="3618" xr:uid="{00000000-0005-0000-0000-00000FA80000}"/>
    <cellStyle name="Normal 8 4 4 2 2 2" xfId="5557" xr:uid="{00000000-0005-0000-0000-000010A80000}"/>
    <cellStyle name="Normal 8 4 4 2 2 2 2" xfId="9428" xr:uid="{00000000-0005-0000-0000-000011A80000}"/>
    <cellStyle name="Normal 8 4 4 2 2 2 2 2" xfId="17173" xr:uid="{00000000-0005-0000-0000-000012A80000}"/>
    <cellStyle name="Normal 8 4 4 2 2 2 2 2 2" xfId="32765" xr:uid="{00000000-0005-0000-0000-000013A80000}"/>
    <cellStyle name="Normal 8 4 4 2 2 2 2 2 3" xfId="48257" xr:uid="{00000000-0005-0000-0000-000014A80000}"/>
    <cellStyle name="Normal 8 4 4 2 2 2 2 3" xfId="25025" xr:uid="{00000000-0005-0000-0000-000015A80000}"/>
    <cellStyle name="Normal 8 4 4 2 2 2 2 4" xfId="40517" xr:uid="{00000000-0005-0000-0000-000016A80000}"/>
    <cellStyle name="Normal 8 4 4 2 2 2 3" xfId="13303" xr:uid="{00000000-0005-0000-0000-000017A80000}"/>
    <cellStyle name="Normal 8 4 4 2 2 2 3 2" xfId="28895" xr:uid="{00000000-0005-0000-0000-000018A80000}"/>
    <cellStyle name="Normal 8 4 4 2 2 2 3 3" xfId="44387" xr:uid="{00000000-0005-0000-0000-000019A80000}"/>
    <cellStyle name="Normal 8 4 4 2 2 2 4" xfId="21155" xr:uid="{00000000-0005-0000-0000-00001AA80000}"/>
    <cellStyle name="Normal 8 4 4 2 2 2 5" xfId="36647" xr:uid="{00000000-0005-0000-0000-00001BA80000}"/>
    <cellStyle name="Normal 8 4 4 2 2 3" xfId="7501" xr:uid="{00000000-0005-0000-0000-00001CA80000}"/>
    <cellStyle name="Normal 8 4 4 2 2 3 2" xfId="15246" xr:uid="{00000000-0005-0000-0000-00001DA80000}"/>
    <cellStyle name="Normal 8 4 4 2 2 3 2 2" xfId="30838" xr:uid="{00000000-0005-0000-0000-00001EA80000}"/>
    <cellStyle name="Normal 8 4 4 2 2 3 2 3" xfId="46330" xr:uid="{00000000-0005-0000-0000-00001FA80000}"/>
    <cellStyle name="Normal 8 4 4 2 2 3 3" xfId="23098" xr:uid="{00000000-0005-0000-0000-000020A80000}"/>
    <cellStyle name="Normal 8 4 4 2 2 3 4" xfId="38590" xr:uid="{00000000-0005-0000-0000-000021A80000}"/>
    <cellStyle name="Normal 8 4 4 2 2 4" xfId="11376" xr:uid="{00000000-0005-0000-0000-000022A80000}"/>
    <cellStyle name="Normal 8 4 4 2 2 4 2" xfId="26968" xr:uid="{00000000-0005-0000-0000-000023A80000}"/>
    <cellStyle name="Normal 8 4 4 2 2 4 3" xfId="42460" xr:uid="{00000000-0005-0000-0000-000024A80000}"/>
    <cellStyle name="Normal 8 4 4 2 2 5" xfId="19228" xr:uid="{00000000-0005-0000-0000-000025A80000}"/>
    <cellStyle name="Normal 8 4 4 2 2 6" xfId="34720" xr:uid="{00000000-0005-0000-0000-000026A80000}"/>
    <cellStyle name="Normal 8 4 4 2 3" xfId="4609" xr:uid="{00000000-0005-0000-0000-000027A80000}"/>
    <cellStyle name="Normal 8 4 4 2 3 2" xfId="8480" xr:uid="{00000000-0005-0000-0000-000028A80000}"/>
    <cellStyle name="Normal 8 4 4 2 3 2 2" xfId="16225" xr:uid="{00000000-0005-0000-0000-000029A80000}"/>
    <cellStyle name="Normal 8 4 4 2 3 2 2 2" xfId="31817" xr:uid="{00000000-0005-0000-0000-00002AA80000}"/>
    <cellStyle name="Normal 8 4 4 2 3 2 2 3" xfId="47309" xr:uid="{00000000-0005-0000-0000-00002BA80000}"/>
    <cellStyle name="Normal 8 4 4 2 3 2 3" xfId="24077" xr:uid="{00000000-0005-0000-0000-00002CA80000}"/>
    <cellStyle name="Normal 8 4 4 2 3 2 4" xfId="39569" xr:uid="{00000000-0005-0000-0000-00002DA80000}"/>
    <cellStyle name="Normal 8 4 4 2 3 3" xfId="12355" xr:uid="{00000000-0005-0000-0000-00002EA80000}"/>
    <cellStyle name="Normal 8 4 4 2 3 3 2" xfId="27947" xr:uid="{00000000-0005-0000-0000-00002FA80000}"/>
    <cellStyle name="Normal 8 4 4 2 3 3 3" xfId="43439" xr:uid="{00000000-0005-0000-0000-000030A80000}"/>
    <cellStyle name="Normal 8 4 4 2 3 4" xfId="20207" xr:uid="{00000000-0005-0000-0000-000031A80000}"/>
    <cellStyle name="Normal 8 4 4 2 3 5" xfId="35699" xr:uid="{00000000-0005-0000-0000-000032A80000}"/>
    <cellStyle name="Normal 8 4 4 2 4" xfId="6553" xr:uid="{00000000-0005-0000-0000-000033A80000}"/>
    <cellStyle name="Normal 8 4 4 2 4 2" xfId="14298" xr:uid="{00000000-0005-0000-0000-000034A80000}"/>
    <cellStyle name="Normal 8 4 4 2 4 2 2" xfId="29890" xr:uid="{00000000-0005-0000-0000-000035A80000}"/>
    <cellStyle name="Normal 8 4 4 2 4 2 3" xfId="45382" xr:uid="{00000000-0005-0000-0000-000036A80000}"/>
    <cellStyle name="Normal 8 4 4 2 4 3" xfId="22150" xr:uid="{00000000-0005-0000-0000-000037A80000}"/>
    <cellStyle name="Normal 8 4 4 2 4 4" xfId="37642" xr:uid="{00000000-0005-0000-0000-000038A80000}"/>
    <cellStyle name="Normal 8 4 4 2 5" xfId="10428" xr:uid="{00000000-0005-0000-0000-000039A80000}"/>
    <cellStyle name="Normal 8 4 4 2 5 2" xfId="26020" xr:uid="{00000000-0005-0000-0000-00003AA80000}"/>
    <cellStyle name="Normal 8 4 4 2 5 3" xfId="41512" xr:uid="{00000000-0005-0000-0000-00003BA80000}"/>
    <cellStyle name="Normal 8 4 4 2 6" xfId="18280" xr:uid="{00000000-0005-0000-0000-00003CA80000}"/>
    <cellStyle name="Normal 8 4 4 2 7" xfId="33772" xr:uid="{00000000-0005-0000-0000-00003DA80000}"/>
    <cellStyle name="Normal 8 4 4 3" xfId="3309" xr:uid="{00000000-0005-0000-0000-00003EA80000}"/>
    <cellStyle name="Normal 8 4 4 3 2" xfId="5248" xr:uid="{00000000-0005-0000-0000-00003FA80000}"/>
    <cellStyle name="Normal 8 4 4 3 2 2" xfId="9119" xr:uid="{00000000-0005-0000-0000-000040A80000}"/>
    <cellStyle name="Normal 8 4 4 3 2 2 2" xfId="16864" xr:uid="{00000000-0005-0000-0000-000041A80000}"/>
    <cellStyle name="Normal 8 4 4 3 2 2 2 2" xfId="32456" xr:uid="{00000000-0005-0000-0000-000042A80000}"/>
    <cellStyle name="Normal 8 4 4 3 2 2 2 3" xfId="47948" xr:uid="{00000000-0005-0000-0000-000043A80000}"/>
    <cellStyle name="Normal 8 4 4 3 2 2 3" xfId="24716" xr:uid="{00000000-0005-0000-0000-000044A80000}"/>
    <cellStyle name="Normal 8 4 4 3 2 2 4" xfId="40208" xr:uid="{00000000-0005-0000-0000-000045A80000}"/>
    <cellStyle name="Normal 8 4 4 3 2 3" xfId="12994" xr:uid="{00000000-0005-0000-0000-000046A80000}"/>
    <cellStyle name="Normal 8 4 4 3 2 3 2" xfId="28586" xr:uid="{00000000-0005-0000-0000-000047A80000}"/>
    <cellStyle name="Normal 8 4 4 3 2 3 3" xfId="44078" xr:uid="{00000000-0005-0000-0000-000048A80000}"/>
    <cellStyle name="Normal 8 4 4 3 2 4" xfId="20846" xr:uid="{00000000-0005-0000-0000-000049A80000}"/>
    <cellStyle name="Normal 8 4 4 3 2 5" xfId="36338" xr:uid="{00000000-0005-0000-0000-00004AA80000}"/>
    <cellStyle name="Normal 8 4 4 3 3" xfId="7192" xr:uid="{00000000-0005-0000-0000-00004BA80000}"/>
    <cellStyle name="Normal 8 4 4 3 3 2" xfId="14937" xr:uid="{00000000-0005-0000-0000-00004CA80000}"/>
    <cellStyle name="Normal 8 4 4 3 3 2 2" xfId="30529" xr:uid="{00000000-0005-0000-0000-00004DA80000}"/>
    <cellStyle name="Normal 8 4 4 3 3 2 3" xfId="46021" xr:uid="{00000000-0005-0000-0000-00004EA80000}"/>
    <cellStyle name="Normal 8 4 4 3 3 3" xfId="22789" xr:uid="{00000000-0005-0000-0000-00004FA80000}"/>
    <cellStyle name="Normal 8 4 4 3 3 4" xfId="38281" xr:uid="{00000000-0005-0000-0000-000050A80000}"/>
    <cellStyle name="Normal 8 4 4 3 4" xfId="11067" xr:uid="{00000000-0005-0000-0000-000051A80000}"/>
    <cellStyle name="Normal 8 4 4 3 4 2" xfId="26659" xr:uid="{00000000-0005-0000-0000-000052A80000}"/>
    <cellStyle name="Normal 8 4 4 3 4 3" xfId="42151" xr:uid="{00000000-0005-0000-0000-000053A80000}"/>
    <cellStyle name="Normal 8 4 4 3 5" xfId="18919" xr:uid="{00000000-0005-0000-0000-000054A80000}"/>
    <cellStyle name="Normal 8 4 4 3 6" xfId="34411" xr:uid="{00000000-0005-0000-0000-000055A80000}"/>
    <cellStyle name="Normal 8 4 4 4" xfId="4300" xr:uid="{00000000-0005-0000-0000-000056A80000}"/>
    <cellStyle name="Normal 8 4 4 4 2" xfId="8171" xr:uid="{00000000-0005-0000-0000-000057A80000}"/>
    <cellStyle name="Normal 8 4 4 4 2 2" xfId="15916" xr:uid="{00000000-0005-0000-0000-000058A80000}"/>
    <cellStyle name="Normal 8 4 4 4 2 2 2" xfId="31508" xr:uid="{00000000-0005-0000-0000-000059A80000}"/>
    <cellStyle name="Normal 8 4 4 4 2 2 3" xfId="47000" xr:uid="{00000000-0005-0000-0000-00005AA80000}"/>
    <cellStyle name="Normal 8 4 4 4 2 3" xfId="23768" xr:uid="{00000000-0005-0000-0000-00005BA80000}"/>
    <cellStyle name="Normal 8 4 4 4 2 4" xfId="39260" xr:uid="{00000000-0005-0000-0000-00005CA80000}"/>
    <cellStyle name="Normal 8 4 4 4 3" xfId="12046" xr:uid="{00000000-0005-0000-0000-00005DA80000}"/>
    <cellStyle name="Normal 8 4 4 4 3 2" xfId="27638" xr:uid="{00000000-0005-0000-0000-00005EA80000}"/>
    <cellStyle name="Normal 8 4 4 4 3 3" xfId="43130" xr:uid="{00000000-0005-0000-0000-00005FA80000}"/>
    <cellStyle name="Normal 8 4 4 4 4" xfId="19898" xr:uid="{00000000-0005-0000-0000-000060A80000}"/>
    <cellStyle name="Normal 8 4 4 4 5" xfId="35390" xr:uid="{00000000-0005-0000-0000-000061A80000}"/>
    <cellStyle name="Normal 8 4 4 5" xfId="6244" xr:uid="{00000000-0005-0000-0000-000062A80000}"/>
    <cellStyle name="Normal 8 4 4 5 2" xfId="13989" xr:uid="{00000000-0005-0000-0000-000063A80000}"/>
    <cellStyle name="Normal 8 4 4 5 2 2" xfId="29581" xr:uid="{00000000-0005-0000-0000-000064A80000}"/>
    <cellStyle name="Normal 8 4 4 5 2 3" xfId="45073" xr:uid="{00000000-0005-0000-0000-000065A80000}"/>
    <cellStyle name="Normal 8 4 4 5 3" xfId="21841" xr:uid="{00000000-0005-0000-0000-000066A80000}"/>
    <cellStyle name="Normal 8 4 4 5 4" xfId="37333" xr:uid="{00000000-0005-0000-0000-000067A80000}"/>
    <cellStyle name="Normal 8 4 4 6" xfId="10119" xr:uid="{00000000-0005-0000-0000-000068A80000}"/>
    <cellStyle name="Normal 8 4 4 6 2" xfId="25711" xr:uid="{00000000-0005-0000-0000-000069A80000}"/>
    <cellStyle name="Normal 8 4 4 6 3" xfId="41203" xr:uid="{00000000-0005-0000-0000-00006AA80000}"/>
    <cellStyle name="Normal 8 4 4 7" xfId="17971" xr:uid="{00000000-0005-0000-0000-00006BA80000}"/>
    <cellStyle name="Normal 8 4 4 8" xfId="33463" xr:uid="{00000000-0005-0000-0000-00006CA80000}"/>
    <cellStyle name="Normal 8 4 5" xfId="2332" xr:uid="{00000000-0005-0000-0000-00006DA80000}"/>
    <cellStyle name="Normal 8 4 5 2" xfId="2646" xr:uid="{00000000-0005-0000-0000-00006EA80000}"/>
    <cellStyle name="Normal 8 4 5 2 2" xfId="3654" xr:uid="{00000000-0005-0000-0000-00006FA80000}"/>
    <cellStyle name="Normal 8 4 5 2 2 2" xfId="5593" xr:uid="{00000000-0005-0000-0000-000070A80000}"/>
    <cellStyle name="Normal 8 4 5 2 2 2 2" xfId="9464" xr:uid="{00000000-0005-0000-0000-000071A80000}"/>
    <cellStyle name="Normal 8 4 5 2 2 2 2 2" xfId="17209" xr:uid="{00000000-0005-0000-0000-000072A80000}"/>
    <cellStyle name="Normal 8 4 5 2 2 2 2 2 2" xfId="32801" xr:uid="{00000000-0005-0000-0000-000073A80000}"/>
    <cellStyle name="Normal 8 4 5 2 2 2 2 2 3" xfId="48293" xr:uid="{00000000-0005-0000-0000-000074A80000}"/>
    <cellStyle name="Normal 8 4 5 2 2 2 2 3" xfId="25061" xr:uid="{00000000-0005-0000-0000-000075A80000}"/>
    <cellStyle name="Normal 8 4 5 2 2 2 2 4" xfId="40553" xr:uid="{00000000-0005-0000-0000-000076A80000}"/>
    <cellStyle name="Normal 8 4 5 2 2 2 3" xfId="13339" xr:uid="{00000000-0005-0000-0000-000077A80000}"/>
    <cellStyle name="Normal 8 4 5 2 2 2 3 2" xfId="28931" xr:uid="{00000000-0005-0000-0000-000078A80000}"/>
    <cellStyle name="Normal 8 4 5 2 2 2 3 3" xfId="44423" xr:uid="{00000000-0005-0000-0000-000079A80000}"/>
    <cellStyle name="Normal 8 4 5 2 2 2 4" xfId="21191" xr:uid="{00000000-0005-0000-0000-00007AA80000}"/>
    <cellStyle name="Normal 8 4 5 2 2 2 5" xfId="36683" xr:uid="{00000000-0005-0000-0000-00007BA80000}"/>
    <cellStyle name="Normal 8 4 5 2 2 3" xfId="7537" xr:uid="{00000000-0005-0000-0000-00007CA80000}"/>
    <cellStyle name="Normal 8 4 5 2 2 3 2" xfId="15282" xr:uid="{00000000-0005-0000-0000-00007DA80000}"/>
    <cellStyle name="Normal 8 4 5 2 2 3 2 2" xfId="30874" xr:uid="{00000000-0005-0000-0000-00007EA80000}"/>
    <cellStyle name="Normal 8 4 5 2 2 3 2 3" xfId="46366" xr:uid="{00000000-0005-0000-0000-00007FA80000}"/>
    <cellStyle name="Normal 8 4 5 2 2 3 3" xfId="23134" xr:uid="{00000000-0005-0000-0000-000080A80000}"/>
    <cellStyle name="Normal 8 4 5 2 2 3 4" xfId="38626" xr:uid="{00000000-0005-0000-0000-000081A80000}"/>
    <cellStyle name="Normal 8 4 5 2 2 4" xfId="11412" xr:uid="{00000000-0005-0000-0000-000082A80000}"/>
    <cellStyle name="Normal 8 4 5 2 2 4 2" xfId="27004" xr:uid="{00000000-0005-0000-0000-000083A80000}"/>
    <cellStyle name="Normal 8 4 5 2 2 4 3" xfId="42496" xr:uid="{00000000-0005-0000-0000-000084A80000}"/>
    <cellStyle name="Normal 8 4 5 2 2 5" xfId="19264" xr:uid="{00000000-0005-0000-0000-000085A80000}"/>
    <cellStyle name="Normal 8 4 5 2 2 6" xfId="34756" xr:uid="{00000000-0005-0000-0000-000086A80000}"/>
    <cellStyle name="Normal 8 4 5 2 3" xfId="4645" xr:uid="{00000000-0005-0000-0000-000087A80000}"/>
    <cellStyle name="Normal 8 4 5 2 3 2" xfId="8516" xr:uid="{00000000-0005-0000-0000-000088A80000}"/>
    <cellStyle name="Normal 8 4 5 2 3 2 2" xfId="16261" xr:uid="{00000000-0005-0000-0000-000089A80000}"/>
    <cellStyle name="Normal 8 4 5 2 3 2 2 2" xfId="31853" xr:uid="{00000000-0005-0000-0000-00008AA80000}"/>
    <cellStyle name="Normal 8 4 5 2 3 2 2 3" xfId="47345" xr:uid="{00000000-0005-0000-0000-00008BA80000}"/>
    <cellStyle name="Normal 8 4 5 2 3 2 3" xfId="24113" xr:uid="{00000000-0005-0000-0000-00008CA80000}"/>
    <cellStyle name="Normal 8 4 5 2 3 2 4" xfId="39605" xr:uid="{00000000-0005-0000-0000-00008DA80000}"/>
    <cellStyle name="Normal 8 4 5 2 3 3" xfId="12391" xr:uid="{00000000-0005-0000-0000-00008EA80000}"/>
    <cellStyle name="Normal 8 4 5 2 3 3 2" xfId="27983" xr:uid="{00000000-0005-0000-0000-00008FA80000}"/>
    <cellStyle name="Normal 8 4 5 2 3 3 3" xfId="43475" xr:uid="{00000000-0005-0000-0000-000090A80000}"/>
    <cellStyle name="Normal 8 4 5 2 3 4" xfId="20243" xr:uid="{00000000-0005-0000-0000-000091A80000}"/>
    <cellStyle name="Normal 8 4 5 2 3 5" xfId="35735" xr:uid="{00000000-0005-0000-0000-000092A80000}"/>
    <cellStyle name="Normal 8 4 5 2 4" xfId="6589" xr:uid="{00000000-0005-0000-0000-000093A80000}"/>
    <cellStyle name="Normal 8 4 5 2 4 2" xfId="14334" xr:uid="{00000000-0005-0000-0000-000094A80000}"/>
    <cellStyle name="Normal 8 4 5 2 4 2 2" xfId="29926" xr:uid="{00000000-0005-0000-0000-000095A80000}"/>
    <cellStyle name="Normal 8 4 5 2 4 2 3" xfId="45418" xr:uid="{00000000-0005-0000-0000-000096A80000}"/>
    <cellStyle name="Normal 8 4 5 2 4 3" xfId="22186" xr:uid="{00000000-0005-0000-0000-000097A80000}"/>
    <cellStyle name="Normal 8 4 5 2 4 4" xfId="37678" xr:uid="{00000000-0005-0000-0000-000098A80000}"/>
    <cellStyle name="Normal 8 4 5 2 5" xfId="10464" xr:uid="{00000000-0005-0000-0000-000099A80000}"/>
    <cellStyle name="Normal 8 4 5 2 5 2" xfId="26056" xr:uid="{00000000-0005-0000-0000-00009AA80000}"/>
    <cellStyle name="Normal 8 4 5 2 5 3" xfId="41548" xr:uid="{00000000-0005-0000-0000-00009BA80000}"/>
    <cellStyle name="Normal 8 4 5 2 6" xfId="18316" xr:uid="{00000000-0005-0000-0000-00009CA80000}"/>
    <cellStyle name="Normal 8 4 5 2 7" xfId="33808" xr:uid="{00000000-0005-0000-0000-00009DA80000}"/>
    <cellStyle name="Normal 8 4 5 3" xfId="3345" xr:uid="{00000000-0005-0000-0000-00009EA80000}"/>
    <cellStyle name="Normal 8 4 5 3 2" xfId="5284" xr:uid="{00000000-0005-0000-0000-00009FA80000}"/>
    <cellStyle name="Normal 8 4 5 3 2 2" xfId="9155" xr:uid="{00000000-0005-0000-0000-0000A0A80000}"/>
    <cellStyle name="Normal 8 4 5 3 2 2 2" xfId="16900" xr:uid="{00000000-0005-0000-0000-0000A1A80000}"/>
    <cellStyle name="Normal 8 4 5 3 2 2 2 2" xfId="32492" xr:uid="{00000000-0005-0000-0000-0000A2A80000}"/>
    <cellStyle name="Normal 8 4 5 3 2 2 2 3" xfId="47984" xr:uid="{00000000-0005-0000-0000-0000A3A80000}"/>
    <cellStyle name="Normal 8 4 5 3 2 2 3" xfId="24752" xr:uid="{00000000-0005-0000-0000-0000A4A80000}"/>
    <cellStyle name="Normal 8 4 5 3 2 2 4" xfId="40244" xr:uid="{00000000-0005-0000-0000-0000A5A80000}"/>
    <cellStyle name="Normal 8 4 5 3 2 3" xfId="13030" xr:uid="{00000000-0005-0000-0000-0000A6A80000}"/>
    <cellStyle name="Normal 8 4 5 3 2 3 2" xfId="28622" xr:uid="{00000000-0005-0000-0000-0000A7A80000}"/>
    <cellStyle name="Normal 8 4 5 3 2 3 3" xfId="44114" xr:uid="{00000000-0005-0000-0000-0000A8A80000}"/>
    <cellStyle name="Normal 8 4 5 3 2 4" xfId="20882" xr:uid="{00000000-0005-0000-0000-0000A9A80000}"/>
    <cellStyle name="Normal 8 4 5 3 2 5" xfId="36374" xr:uid="{00000000-0005-0000-0000-0000AAA80000}"/>
    <cellStyle name="Normal 8 4 5 3 3" xfId="7228" xr:uid="{00000000-0005-0000-0000-0000ABA80000}"/>
    <cellStyle name="Normal 8 4 5 3 3 2" xfId="14973" xr:uid="{00000000-0005-0000-0000-0000ACA80000}"/>
    <cellStyle name="Normal 8 4 5 3 3 2 2" xfId="30565" xr:uid="{00000000-0005-0000-0000-0000ADA80000}"/>
    <cellStyle name="Normal 8 4 5 3 3 2 3" xfId="46057" xr:uid="{00000000-0005-0000-0000-0000AEA80000}"/>
    <cellStyle name="Normal 8 4 5 3 3 3" xfId="22825" xr:uid="{00000000-0005-0000-0000-0000AFA80000}"/>
    <cellStyle name="Normal 8 4 5 3 3 4" xfId="38317" xr:uid="{00000000-0005-0000-0000-0000B0A80000}"/>
    <cellStyle name="Normal 8 4 5 3 4" xfId="11103" xr:uid="{00000000-0005-0000-0000-0000B1A80000}"/>
    <cellStyle name="Normal 8 4 5 3 4 2" xfId="26695" xr:uid="{00000000-0005-0000-0000-0000B2A80000}"/>
    <cellStyle name="Normal 8 4 5 3 4 3" xfId="42187" xr:uid="{00000000-0005-0000-0000-0000B3A80000}"/>
    <cellStyle name="Normal 8 4 5 3 5" xfId="18955" xr:uid="{00000000-0005-0000-0000-0000B4A80000}"/>
    <cellStyle name="Normal 8 4 5 3 6" xfId="34447" xr:uid="{00000000-0005-0000-0000-0000B5A80000}"/>
    <cellStyle name="Normal 8 4 5 4" xfId="4336" xr:uid="{00000000-0005-0000-0000-0000B6A80000}"/>
    <cellStyle name="Normal 8 4 5 4 2" xfId="8207" xr:uid="{00000000-0005-0000-0000-0000B7A80000}"/>
    <cellStyle name="Normal 8 4 5 4 2 2" xfId="15952" xr:uid="{00000000-0005-0000-0000-0000B8A80000}"/>
    <cellStyle name="Normal 8 4 5 4 2 2 2" xfId="31544" xr:uid="{00000000-0005-0000-0000-0000B9A80000}"/>
    <cellStyle name="Normal 8 4 5 4 2 2 3" xfId="47036" xr:uid="{00000000-0005-0000-0000-0000BAA80000}"/>
    <cellStyle name="Normal 8 4 5 4 2 3" xfId="23804" xr:uid="{00000000-0005-0000-0000-0000BBA80000}"/>
    <cellStyle name="Normal 8 4 5 4 2 4" xfId="39296" xr:uid="{00000000-0005-0000-0000-0000BCA80000}"/>
    <cellStyle name="Normal 8 4 5 4 3" xfId="12082" xr:uid="{00000000-0005-0000-0000-0000BDA80000}"/>
    <cellStyle name="Normal 8 4 5 4 3 2" xfId="27674" xr:uid="{00000000-0005-0000-0000-0000BEA80000}"/>
    <cellStyle name="Normal 8 4 5 4 3 3" xfId="43166" xr:uid="{00000000-0005-0000-0000-0000BFA80000}"/>
    <cellStyle name="Normal 8 4 5 4 4" xfId="19934" xr:uid="{00000000-0005-0000-0000-0000C0A80000}"/>
    <cellStyle name="Normal 8 4 5 4 5" xfId="35426" xr:uid="{00000000-0005-0000-0000-0000C1A80000}"/>
    <cellStyle name="Normal 8 4 5 5" xfId="6280" xr:uid="{00000000-0005-0000-0000-0000C2A80000}"/>
    <cellStyle name="Normal 8 4 5 5 2" xfId="14025" xr:uid="{00000000-0005-0000-0000-0000C3A80000}"/>
    <cellStyle name="Normal 8 4 5 5 2 2" xfId="29617" xr:uid="{00000000-0005-0000-0000-0000C4A80000}"/>
    <cellStyle name="Normal 8 4 5 5 2 3" xfId="45109" xr:uid="{00000000-0005-0000-0000-0000C5A80000}"/>
    <cellStyle name="Normal 8 4 5 5 3" xfId="21877" xr:uid="{00000000-0005-0000-0000-0000C6A80000}"/>
    <cellStyle name="Normal 8 4 5 5 4" xfId="37369" xr:uid="{00000000-0005-0000-0000-0000C7A80000}"/>
    <cellStyle name="Normal 8 4 5 6" xfId="10155" xr:uid="{00000000-0005-0000-0000-0000C8A80000}"/>
    <cellStyle name="Normal 8 4 5 6 2" xfId="25747" xr:uid="{00000000-0005-0000-0000-0000C9A80000}"/>
    <cellStyle name="Normal 8 4 5 6 3" xfId="41239" xr:uid="{00000000-0005-0000-0000-0000CAA80000}"/>
    <cellStyle name="Normal 8 4 5 7" xfId="18007" xr:uid="{00000000-0005-0000-0000-0000CBA80000}"/>
    <cellStyle name="Normal 8 4 5 8" xfId="33499" xr:uid="{00000000-0005-0000-0000-0000CCA80000}"/>
    <cellStyle name="Normal 8 4 6" xfId="2369" xr:uid="{00000000-0005-0000-0000-0000CDA80000}"/>
    <cellStyle name="Normal 8 4 6 2" xfId="2682" xr:uid="{00000000-0005-0000-0000-0000CEA80000}"/>
    <cellStyle name="Normal 8 4 6 2 2" xfId="3690" xr:uid="{00000000-0005-0000-0000-0000CFA80000}"/>
    <cellStyle name="Normal 8 4 6 2 2 2" xfId="5629" xr:uid="{00000000-0005-0000-0000-0000D0A80000}"/>
    <cellStyle name="Normal 8 4 6 2 2 2 2" xfId="9500" xr:uid="{00000000-0005-0000-0000-0000D1A80000}"/>
    <cellStyle name="Normal 8 4 6 2 2 2 2 2" xfId="17245" xr:uid="{00000000-0005-0000-0000-0000D2A80000}"/>
    <cellStyle name="Normal 8 4 6 2 2 2 2 2 2" xfId="32837" xr:uid="{00000000-0005-0000-0000-0000D3A80000}"/>
    <cellStyle name="Normal 8 4 6 2 2 2 2 2 3" xfId="48329" xr:uid="{00000000-0005-0000-0000-0000D4A80000}"/>
    <cellStyle name="Normal 8 4 6 2 2 2 2 3" xfId="25097" xr:uid="{00000000-0005-0000-0000-0000D5A80000}"/>
    <cellStyle name="Normal 8 4 6 2 2 2 2 4" xfId="40589" xr:uid="{00000000-0005-0000-0000-0000D6A80000}"/>
    <cellStyle name="Normal 8 4 6 2 2 2 3" xfId="13375" xr:uid="{00000000-0005-0000-0000-0000D7A80000}"/>
    <cellStyle name="Normal 8 4 6 2 2 2 3 2" xfId="28967" xr:uid="{00000000-0005-0000-0000-0000D8A80000}"/>
    <cellStyle name="Normal 8 4 6 2 2 2 3 3" xfId="44459" xr:uid="{00000000-0005-0000-0000-0000D9A80000}"/>
    <cellStyle name="Normal 8 4 6 2 2 2 4" xfId="21227" xr:uid="{00000000-0005-0000-0000-0000DAA80000}"/>
    <cellStyle name="Normal 8 4 6 2 2 2 5" xfId="36719" xr:uid="{00000000-0005-0000-0000-0000DBA80000}"/>
    <cellStyle name="Normal 8 4 6 2 2 3" xfId="7573" xr:uid="{00000000-0005-0000-0000-0000DCA80000}"/>
    <cellStyle name="Normal 8 4 6 2 2 3 2" xfId="15318" xr:uid="{00000000-0005-0000-0000-0000DDA80000}"/>
    <cellStyle name="Normal 8 4 6 2 2 3 2 2" xfId="30910" xr:uid="{00000000-0005-0000-0000-0000DEA80000}"/>
    <cellStyle name="Normal 8 4 6 2 2 3 2 3" xfId="46402" xr:uid="{00000000-0005-0000-0000-0000DFA80000}"/>
    <cellStyle name="Normal 8 4 6 2 2 3 3" xfId="23170" xr:uid="{00000000-0005-0000-0000-0000E0A80000}"/>
    <cellStyle name="Normal 8 4 6 2 2 3 4" xfId="38662" xr:uid="{00000000-0005-0000-0000-0000E1A80000}"/>
    <cellStyle name="Normal 8 4 6 2 2 4" xfId="11448" xr:uid="{00000000-0005-0000-0000-0000E2A80000}"/>
    <cellStyle name="Normal 8 4 6 2 2 4 2" xfId="27040" xr:uid="{00000000-0005-0000-0000-0000E3A80000}"/>
    <cellStyle name="Normal 8 4 6 2 2 4 3" xfId="42532" xr:uid="{00000000-0005-0000-0000-0000E4A80000}"/>
    <cellStyle name="Normal 8 4 6 2 2 5" xfId="19300" xr:uid="{00000000-0005-0000-0000-0000E5A80000}"/>
    <cellStyle name="Normal 8 4 6 2 2 6" xfId="34792" xr:uid="{00000000-0005-0000-0000-0000E6A80000}"/>
    <cellStyle name="Normal 8 4 6 2 3" xfId="4681" xr:uid="{00000000-0005-0000-0000-0000E7A80000}"/>
    <cellStyle name="Normal 8 4 6 2 3 2" xfId="8552" xr:uid="{00000000-0005-0000-0000-0000E8A80000}"/>
    <cellStyle name="Normal 8 4 6 2 3 2 2" xfId="16297" xr:uid="{00000000-0005-0000-0000-0000E9A80000}"/>
    <cellStyle name="Normal 8 4 6 2 3 2 2 2" xfId="31889" xr:uid="{00000000-0005-0000-0000-0000EAA80000}"/>
    <cellStyle name="Normal 8 4 6 2 3 2 2 3" xfId="47381" xr:uid="{00000000-0005-0000-0000-0000EBA80000}"/>
    <cellStyle name="Normal 8 4 6 2 3 2 3" xfId="24149" xr:uid="{00000000-0005-0000-0000-0000ECA80000}"/>
    <cellStyle name="Normal 8 4 6 2 3 2 4" xfId="39641" xr:uid="{00000000-0005-0000-0000-0000EDA80000}"/>
    <cellStyle name="Normal 8 4 6 2 3 3" xfId="12427" xr:uid="{00000000-0005-0000-0000-0000EEA80000}"/>
    <cellStyle name="Normal 8 4 6 2 3 3 2" xfId="28019" xr:uid="{00000000-0005-0000-0000-0000EFA80000}"/>
    <cellStyle name="Normal 8 4 6 2 3 3 3" xfId="43511" xr:uid="{00000000-0005-0000-0000-0000F0A80000}"/>
    <cellStyle name="Normal 8 4 6 2 3 4" xfId="20279" xr:uid="{00000000-0005-0000-0000-0000F1A80000}"/>
    <cellStyle name="Normal 8 4 6 2 3 5" xfId="35771" xr:uid="{00000000-0005-0000-0000-0000F2A80000}"/>
    <cellStyle name="Normal 8 4 6 2 4" xfId="6625" xr:uid="{00000000-0005-0000-0000-0000F3A80000}"/>
    <cellStyle name="Normal 8 4 6 2 4 2" xfId="14370" xr:uid="{00000000-0005-0000-0000-0000F4A80000}"/>
    <cellStyle name="Normal 8 4 6 2 4 2 2" xfId="29962" xr:uid="{00000000-0005-0000-0000-0000F5A80000}"/>
    <cellStyle name="Normal 8 4 6 2 4 2 3" xfId="45454" xr:uid="{00000000-0005-0000-0000-0000F6A80000}"/>
    <cellStyle name="Normal 8 4 6 2 4 3" xfId="22222" xr:uid="{00000000-0005-0000-0000-0000F7A80000}"/>
    <cellStyle name="Normal 8 4 6 2 4 4" xfId="37714" xr:uid="{00000000-0005-0000-0000-0000F8A80000}"/>
    <cellStyle name="Normal 8 4 6 2 5" xfId="10500" xr:uid="{00000000-0005-0000-0000-0000F9A80000}"/>
    <cellStyle name="Normal 8 4 6 2 5 2" xfId="26092" xr:uid="{00000000-0005-0000-0000-0000FAA80000}"/>
    <cellStyle name="Normal 8 4 6 2 5 3" xfId="41584" xr:uid="{00000000-0005-0000-0000-0000FBA80000}"/>
    <cellStyle name="Normal 8 4 6 2 6" xfId="18352" xr:uid="{00000000-0005-0000-0000-0000FCA80000}"/>
    <cellStyle name="Normal 8 4 6 2 7" xfId="33844" xr:uid="{00000000-0005-0000-0000-0000FDA80000}"/>
    <cellStyle name="Normal 8 4 6 3" xfId="3381" xr:uid="{00000000-0005-0000-0000-0000FEA80000}"/>
    <cellStyle name="Normal 8 4 6 3 2" xfId="5320" xr:uid="{00000000-0005-0000-0000-0000FFA80000}"/>
    <cellStyle name="Normal 8 4 6 3 2 2" xfId="9191" xr:uid="{00000000-0005-0000-0000-000000A90000}"/>
    <cellStyle name="Normal 8 4 6 3 2 2 2" xfId="16936" xr:uid="{00000000-0005-0000-0000-000001A90000}"/>
    <cellStyle name="Normal 8 4 6 3 2 2 2 2" xfId="32528" xr:uid="{00000000-0005-0000-0000-000002A90000}"/>
    <cellStyle name="Normal 8 4 6 3 2 2 2 3" xfId="48020" xr:uid="{00000000-0005-0000-0000-000003A90000}"/>
    <cellStyle name="Normal 8 4 6 3 2 2 3" xfId="24788" xr:uid="{00000000-0005-0000-0000-000004A90000}"/>
    <cellStyle name="Normal 8 4 6 3 2 2 4" xfId="40280" xr:uid="{00000000-0005-0000-0000-000005A90000}"/>
    <cellStyle name="Normal 8 4 6 3 2 3" xfId="13066" xr:uid="{00000000-0005-0000-0000-000006A90000}"/>
    <cellStyle name="Normal 8 4 6 3 2 3 2" xfId="28658" xr:uid="{00000000-0005-0000-0000-000007A90000}"/>
    <cellStyle name="Normal 8 4 6 3 2 3 3" xfId="44150" xr:uid="{00000000-0005-0000-0000-000008A90000}"/>
    <cellStyle name="Normal 8 4 6 3 2 4" xfId="20918" xr:uid="{00000000-0005-0000-0000-000009A90000}"/>
    <cellStyle name="Normal 8 4 6 3 2 5" xfId="36410" xr:uid="{00000000-0005-0000-0000-00000AA90000}"/>
    <cellStyle name="Normal 8 4 6 3 3" xfId="7264" xr:uid="{00000000-0005-0000-0000-00000BA90000}"/>
    <cellStyle name="Normal 8 4 6 3 3 2" xfId="15009" xr:uid="{00000000-0005-0000-0000-00000CA90000}"/>
    <cellStyle name="Normal 8 4 6 3 3 2 2" xfId="30601" xr:uid="{00000000-0005-0000-0000-00000DA90000}"/>
    <cellStyle name="Normal 8 4 6 3 3 2 3" xfId="46093" xr:uid="{00000000-0005-0000-0000-00000EA90000}"/>
    <cellStyle name="Normal 8 4 6 3 3 3" xfId="22861" xr:uid="{00000000-0005-0000-0000-00000FA90000}"/>
    <cellStyle name="Normal 8 4 6 3 3 4" xfId="38353" xr:uid="{00000000-0005-0000-0000-000010A90000}"/>
    <cellStyle name="Normal 8 4 6 3 4" xfId="11139" xr:uid="{00000000-0005-0000-0000-000011A90000}"/>
    <cellStyle name="Normal 8 4 6 3 4 2" xfId="26731" xr:uid="{00000000-0005-0000-0000-000012A90000}"/>
    <cellStyle name="Normal 8 4 6 3 4 3" xfId="42223" xr:uid="{00000000-0005-0000-0000-000013A90000}"/>
    <cellStyle name="Normal 8 4 6 3 5" xfId="18991" xr:uid="{00000000-0005-0000-0000-000014A90000}"/>
    <cellStyle name="Normal 8 4 6 3 6" xfId="34483" xr:uid="{00000000-0005-0000-0000-000015A90000}"/>
    <cellStyle name="Normal 8 4 6 4" xfId="4372" xr:uid="{00000000-0005-0000-0000-000016A90000}"/>
    <cellStyle name="Normal 8 4 6 4 2" xfId="8243" xr:uid="{00000000-0005-0000-0000-000017A90000}"/>
    <cellStyle name="Normal 8 4 6 4 2 2" xfId="15988" xr:uid="{00000000-0005-0000-0000-000018A90000}"/>
    <cellStyle name="Normal 8 4 6 4 2 2 2" xfId="31580" xr:uid="{00000000-0005-0000-0000-000019A90000}"/>
    <cellStyle name="Normal 8 4 6 4 2 2 3" xfId="47072" xr:uid="{00000000-0005-0000-0000-00001AA90000}"/>
    <cellStyle name="Normal 8 4 6 4 2 3" xfId="23840" xr:uid="{00000000-0005-0000-0000-00001BA90000}"/>
    <cellStyle name="Normal 8 4 6 4 2 4" xfId="39332" xr:uid="{00000000-0005-0000-0000-00001CA90000}"/>
    <cellStyle name="Normal 8 4 6 4 3" xfId="12118" xr:uid="{00000000-0005-0000-0000-00001DA90000}"/>
    <cellStyle name="Normal 8 4 6 4 3 2" xfId="27710" xr:uid="{00000000-0005-0000-0000-00001EA90000}"/>
    <cellStyle name="Normal 8 4 6 4 3 3" xfId="43202" xr:uid="{00000000-0005-0000-0000-00001FA90000}"/>
    <cellStyle name="Normal 8 4 6 4 4" xfId="19970" xr:uid="{00000000-0005-0000-0000-000020A90000}"/>
    <cellStyle name="Normal 8 4 6 4 5" xfId="35462" xr:uid="{00000000-0005-0000-0000-000021A90000}"/>
    <cellStyle name="Normal 8 4 6 5" xfId="6316" xr:uid="{00000000-0005-0000-0000-000022A90000}"/>
    <cellStyle name="Normal 8 4 6 5 2" xfId="14061" xr:uid="{00000000-0005-0000-0000-000023A90000}"/>
    <cellStyle name="Normal 8 4 6 5 2 2" xfId="29653" xr:uid="{00000000-0005-0000-0000-000024A90000}"/>
    <cellStyle name="Normal 8 4 6 5 2 3" xfId="45145" xr:uid="{00000000-0005-0000-0000-000025A90000}"/>
    <cellStyle name="Normal 8 4 6 5 3" xfId="21913" xr:uid="{00000000-0005-0000-0000-000026A90000}"/>
    <cellStyle name="Normal 8 4 6 5 4" xfId="37405" xr:uid="{00000000-0005-0000-0000-000027A90000}"/>
    <cellStyle name="Normal 8 4 6 6" xfId="10191" xr:uid="{00000000-0005-0000-0000-000028A90000}"/>
    <cellStyle name="Normal 8 4 6 6 2" xfId="25783" xr:uid="{00000000-0005-0000-0000-000029A90000}"/>
    <cellStyle name="Normal 8 4 6 6 3" xfId="41275" xr:uid="{00000000-0005-0000-0000-00002AA90000}"/>
    <cellStyle name="Normal 8 4 6 7" xfId="18043" xr:uid="{00000000-0005-0000-0000-00002BA90000}"/>
    <cellStyle name="Normal 8 4 6 8" xfId="33535" xr:uid="{00000000-0005-0000-0000-00002CA90000}"/>
    <cellStyle name="Normal 8 4 7" xfId="2407" xr:uid="{00000000-0005-0000-0000-00002DA90000}"/>
    <cellStyle name="Normal 8 4 7 2" xfId="2718" xr:uid="{00000000-0005-0000-0000-00002EA90000}"/>
    <cellStyle name="Normal 8 4 7 2 2" xfId="3726" xr:uid="{00000000-0005-0000-0000-00002FA90000}"/>
    <cellStyle name="Normal 8 4 7 2 2 2" xfId="5665" xr:uid="{00000000-0005-0000-0000-000030A90000}"/>
    <cellStyle name="Normal 8 4 7 2 2 2 2" xfId="9536" xr:uid="{00000000-0005-0000-0000-000031A90000}"/>
    <cellStyle name="Normal 8 4 7 2 2 2 2 2" xfId="17281" xr:uid="{00000000-0005-0000-0000-000032A90000}"/>
    <cellStyle name="Normal 8 4 7 2 2 2 2 2 2" xfId="32873" xr:uid="{00000000-0005-0000-0000-000033A90000}"/>
    <cellStyle name="Normal 8 4 7 2 2 2 2 2 3" xfId="48365" xr:uid="{00000000-0005-0000-0000-000034A90000}"/>
    <cellStyle name="Normal 8 4 7 2 2 2 2 3" xfId="25133" xr:uid="{00000000-0005-0000-0000-000035A90000}"/>
    <cellStyle name="Normal 8 4 7 2 2 2 2 4" xfId="40625" xr:uid="{00000000-0005-0000-0000-000036A90000}"/>
    <cellStyle name="Normal 8 4 7 2 2 2 3" xfId="13411" xr:uid="{00000000-0005-0000-0000-000037A90000}"/>
    <cellStyle name="Normal 8 4 7 2 2 2 3 2" xfId="29003" xr:uid="{00000000-0005-0000-0000-000038A90000}"/>
    <cellStyle name="Normal 8 4 7 2 2 2 3 3" xfId="44495" xr:uid="{00000000-0005-0000-0000-000039A90000}"/>
    <cellStyle name="Normal 8 4 7 2 2 2 4" xfId="21263" xr:uid="{00000000-0005-0000-0000-00003AA90000}"/>
    <cellStyle name="Normal 8 4 7 2 2 2 5" xfId="36755" xr:uid="{00000000-0005-0000-0000-00003BA90000}"/>
    <cellStyle name="Normal 8 4 7 2 2 3" xfId="7609" xr:uid="{00000000-0005-0000-0000-00003CA90000}"/>
    <cellStyle name="Normal 8 4 7 2 2 3 2" xfId="15354" xr:uid="{00000000-0005-0000-0000-00003DA90000}"/>
    <cellStyle name="Normal 8 4 7 2 2 3 2 2" xfId="30946" xr:uid="{00000000-0005-0000-0000-00003EA90000}"/>
    <cellStyle name="Normal 8 4 7 2 2 3 2 3" xfId="46438" xr:uid="{00000000-0005-0000-0000-00003FA90000}"/>
    <cellStyle name="Normal 8 4 7 2 2 3 3" xfId="23206" xr:uid="{00000000-0005-0000-0000-000040A90000}"/>
    <cellStyle name="Normal 8 4 7 2 2 3 4" xfId="38698" xr:uid="{00000000-0005-0000-0000-000041A90000}"/>
    <cellStyle name="Normal 8 4 7 2 2 4" xfId="11484" xr:uid="{00000000-0005-0000-0000-000042A90000}"/>
    <cellStyle name="Normal 8 4 7 2 2 4 2" xfId="27076" xr:uid="{00000000-0005-0000-0000-000043A90000}"/>
    <cellStyle name="Normal 8 4 7 2 2 4 3" xfId="42568" xr:uid="{00000000-0005-0000-0000-000044A90000}"/>
    <cellStyle name="Normal 8 4 7 2 2 5" xfId="19336" xr:uid="{00000000-0005-0000-0000-000045A90000}"/>
    <cellStyle name="Normal 8 4 7 2 2 6" xfId="34828" xr:uid="{00000000-0005-0000-0000-000046A90000}"/>
    <cellStyle name="Normal 8 4 7 2 3" xfId="4717" xr:uid="{00000000-0005-0000-0000-000047A90000}"/>
    <cellStyle name="Normal 8 4 7 2 3 2" xfId="8588" xr:uid="{00000000-0005-0000-0000-000048A90000}"/>
    <cellStyle name="Normal 8 4 7 2 3 2 2" xfId="16333" xr:uid="{00000000-0005-0000-0000-000049A90000}"/>
    <cellStyle name="Normal 8 4 7 2 3 2 2 2" xfId="31925" xr:uid="{00000000-0005-0000-0000-00004AA90000}"/>
    <cellStyle name="Normal 8 4 7 2 3 2 2 3" xfId="47417" xr:uid="{00000000-0005-0000-0000-00004BA90000}"/>
    <cellStyle name="Normal 8 4 7 2 3 2 3" xfId="24185" xr:uid="{00000000-0005-0000-0000-00004CA90000}"/>
    <cellStyle name="Normal 8 4 7 2 3 2 4" xfId="39677" xr:uid="{00000000-0005-0000-0000-00004DA90000}"/>
    <cellStyle name="Normal 8 4 7 2 3 3" xfId="12463" xr:uid="{00000000-0005-0000-0000-00004EA90000}"/>
    <cellStyle name="Normal 8 4 7 2 3 3 2" xfId="28055" xr:uid="{00000000-0005-0000-0000-00004FA90000}"/>
    <cellStyle name="Normal 8 4 7 2 3 3 3" xfId="43547" xr:uid="{00000000-0005-0000-0000-000050A90000}"/>
    <cellStyle name="Normal 8 4 7 2 3 4" xfId="20315" xr:uid="{00000000-0005-0000-0000-000051A90000}"/>
    <cellStyle name="Normal 8 4 7 2 3 5" xfId="35807" xr:uid="{00000000-0005-0000-0000-000052A90000}"/>
    <cellStyle name="Normal 8 4 7 2 4" xfId="6661" xr:uid="{00000000-0005-0000-0000-000053A90000}"/>
    <cellStyle name="Normal 8 4 7 2 4 2" xfId="14406" xr:uid="{00000000-0005-0000-0000-000054A90000}"/>
    <cellStyle name="Normal 8 4 7 2 4 2 2" xfId="29998" xr:uid="{00000000-0005-0000-0000-000055A90000}"/>
    <cellStyle name="Normal 8 4 7 2 4 2 3" xfId="45490" xr:uid="{00000000-0005-0000-0000-000056A90000}"/>
    <cellStyle name="Normal 8 4 7 2 4 3" xfId="22258" xr:uid="{00000000-0005-0000-0000-000057A90000}"/>
    <cellStyle name="Normal 8 4 7 2 4 4" xfId="37750" xr:uid="{00000000-0005-0000-0000-000058A90000}"/>
    <cellStyle name="Normal 8 4 7 2 5" xfId="10536" xr:uid="{00000000-0005-0000-0000-000059A90000}"/>
    <cellStyle name="Normal 8 4 7 2 5 2" xfId="26128" xr:uid="{00000000-0005-0000-0000-00005AA90000}"/>
    <cellStyle name="Normal 8 4 7 2 5 3" xfId="41620" xr:uid="{00000000-0005-0000-0000-00005BA90000}"/>
    <cellStyle name="Normal 8 4 7 2 6" xfId="18388" xr:uid="{00000000-0005-0000-0000-00005CA90000}"/>
    <cellStyle name="Normal 8 4 7 2 7" xfId="33880" xr:uid="{00000000-0005-0000-0000-00005DA90000}"/>
    <cellStyle name="Normal 8 4 7 3" xfId="3417" xr:uid="{00000000-0005-0000-0000-00005EA90000}"/>
    <cellStyle name="Normal 8 4 7 3 2" xfId="5356" xr:uid="{00000000-0005-0000-0000-00005FA90000}"/>
    <cellStyle name="Normal 8 4 7 3 2 2" xfId="9227" xr:uid="{00000000-0005-0000-0000-000060A90000}"/>
    <cellStyle name="Normal 8 4 7 3 2 2 2" xfId="16972" xr:uid="{00000000-0005-0000-0000-000061A90000}"/>
    <cellStyle name="Normal 8 4 7 3 2 2 2 2" xfId="32564" xr:uid="{00000000-0005-0000-0000-000062A90000}"/>
    <cellStyle name="Normal 8 4 7 3 2 2 2 3" xfId="48056" xr:uid="{00000000-0005-0000-0000-000063A90000}"/>
    <cellStyle name="Normal 8 4 7 3 2 2 3" xfId="24824" xr:uid="{00000000-0005-0000-0000-000064A90000}"/>
    <cellStyle name="Normal 8 4 7 3 2 2 4" xfId="40316" xr:uid="{00000000-0005-0000-0000-000065A90000}"/>
    <cellStyle name="Normal 8 4 7 3 2 3" xfId="13102" xr:uid="{00000000-0005-0000-0000-000066A90000}"/>
    <cellStyle name="Normal 8 4 7 3 2 3 2" xfId="28694" xr:uid="{00000000-0005-0000-0000-000067A90000}"/>
    <cellStyle name="Normal 8 4 7 3 2 3 3" xfId="44186" xr:uid="{00000000-0005-0000-0000-000068A90000}"/>
    <cellStyle name="Normal 8 4 7 3 2 4" xfId="20954" xr:uid="{00000000-0005-0000-0000-000069A90000}"/>
    <cellStyle name="Normal 8 4 7 3 2 5" xfId="36446" xr:uid="{00000000-0005-0000-0000-00006AA90000}"/>
    <cellStyle name="Normal 8 4 7 3 3" xfId="7300" xr:uid="{00000000-0005-0000-0000-00006BA90000}"/>
    <cellStyle name="Normal 8 4 7 3 3 2" xfId="15045" xr:uid="{00000000-0005-0000-0000-00006CA90000}"/>
    <cellStyle name="Normal 8 4 7 3 3 2 2" xfId="30637" xr:uid="{00000000-0005-0000-0000-00006DA90000}"/>
    <cellStyle name="Normal 8 4 7 3 3 2 3" xfId="46129" xr:uid="{00000000-0005-0000-0000-00006EA90000}"/>
    <cellStyle name="Normal 8 4 7 3 3 3" xfId="22897" xr:uid="{00000000-0005-0000-0000-00006FA90000}"/>
    <cellStyle name="Normal 8 4 7 3 3 4" xfId="38389" xr:uid="{00000000-0005-0000-0000-000070A90000}"/>
    <cellStyle name="Normal 8 4 7 3 4" xfId="11175" xr:uid="{00000000-0005-0000-0000-000071A90000}"/>
    <cellStyle name="Normal 8 4 7 3 4 2" xfId="26767" xr:uid="{00000000-0005-0000-0000-000072A90000}"/>
    <cellStyle name="Normal 8 4 7 3 4 3" xfId="42259" xr:uid="{00000000-0005-0000-0000-000073A90000}"/>
    <cellStyle name="Normal 8 4 7 3 5" xfId="19027" xr:uid="{00000000-0005-0000-0000-000074A90000}"/>
    <cellStyle name="Normal 8 4 7 3 6" xfId="34519" xr:uid="{00000000-0005-0000-0000-000075A90000}"/>
    <cellStyle name="Normal 8 4 7 4" xfId="4408" xr:uid="{00000000-0005-0000-0000-000076A90000}"/>
    <cellStyle name="Normal 8 4 7 4 2" xfId="8279" xr:uid="{00000000-0005-0000-0000-000077A90000}"/>
    <cellStyle name="Normal 8 4 7 4 2 2" xfId="16024" xr:uid="{00000000-0005-0000-0000-000078A90000}"/>
    <cellStyle name="Normal 8 4 7 4 2 2 2" xfId="31616" xr:uid="{00000000-0005-0000-0000-000079A90000}"/>
    <cellStyle name="Normal 8 4 7 4 2 2 3" xfId="47108" xr:uid="{00000000-0005-0000-0000-00007AA90000}"/>
    <cellStyle name="Normal 8 4 7 4 2 3" xfId="23876" xr:uid="{00000000-0005-0000-0000-00007BA90000}"/>
    <cellStyle name="Normal 8 4 7 4 2 4" xfId="39368" xr:uid="{00000000-0005-0000-0000-00007CA90000}"/>
    <cellStyle name="Normal 8 4 7 4 3" xfId="12154" xr:uid="{00000000-0005-0000-0000-00007DA90000}"/>
    <cellStyle name="Normal 8 4 7 4 3 2" xfId="27746" xr:uid="{00000000-0005-0000-0000-00007EA90000}"/>
    <cellStyle name="Normal 8 4 7 4 3 3" xfId="43238" xr:uid="{00000000-0005-0000-0000-00007FA90000}"/>
    <cellStyle name="Normal 8 4 7 4 4" xfId="20006" xr:uid="{00000000-0005-0000-0000-000080A90000}"/>
    <cellStyle name="Normal 8 4 7 4 5" xfId="35498" xr:uid="{00000000-0005-0000-0000-000081A90000}"/>
    <cellStyle name="Normal 8 4 7 5" xfId="6352" xr:uid="{00000000-0005-0000-0000-000082A90000}"/>
    <cellStyle name="Normal 8 4 7 5 2" xfId="14097" xr:uid="{00000000-0005-0000-0000-000083A90000}"/>
    <cellStyle name="Normal 8 4 7 5 2 2" xfId="29689" xr:uid="{00000000-0005-0000-0000-000084A90000}"/>
    <cellStyle name="Normal 8 4 7 5 2 3" xfId="45181" xr:uid="{00000000-0005-0000-0000-000085A90000}"/>
    <cellStyle name="Normal 8 4 7 5 3" xfId="21949" xr:uid="{00000000-0005-0000-0000-000086A90000}"/>
    <cellStyle name="Normal 8 4 7 5 4" xfId="37441" xr:uid="{00000000-0005-0000-0000-000087A90000}"/>
    <cellStyle name="Normal 8 4 7 6" xfId="10227" xr:uid="{00000000-0005-0000-0000-000088A90000}"/>
    <cellStyle name="Normal 8 4 7 6 2" xfId="25819" xr:uid="{00000000-0005-0000-0000-000089A90000}"/>
    <cellStyle name="Normal 8 4 7 6 3" xfId="41311" xr:uid="{00000000-0005-0000-0000-00008AA90000}"/>
    <cellStyle name="Normal 8 4 7 7" xfId="18079" xr:uid="{00000000-0005-0000-0000-00008BA90000}"/>
    <cellStyle name="Normal 8 4 7 8" xfId="33571" xr:uid="{00000000-0005-0000-0000-00008CA90000}"/>
    <cellStyle name="Normal 8 4 8" xfId="2444" xr:uid="{00000000-0005-0000-0000-00008DA90000}"/>
    <cellStyle name="Normal 8 4 8 2" xfId="2754" xr:uid="{00000000-0005-0000-0000-00008EA90000}"/>
    <cellStyle name="Normal 8 4 8 2 2" xfId="3762" xr:uid="{00000000-0005-0000-0000-00008FA90000}"/>
    <cellStyle name="Normal 8 4 8 2 2 2" xfId="5701" xr:uid="{00000000-0005-0000-0000-000090A90000}"/>
    <cellStyle name="Normal 8 4 8 2 2 2 2" xfId="9572" xr:uid="{00000000-0005-0000-0000-000091A90000}"/>
    <cellStyle name="Normal 8 4 8 2 2 2 2 2" xfId="17317" xr:uid="{00000000-0005-0000-0000-000092A90000}"/>
    <cellStyle name="Normal 8 4 8 2 2 2 2 2 2" xfId="32909" xr:uid="{00000000-0005-0000-0000-000093A90000}"/>
    <cellStyle name="Normal 8 4 8 2 2 2 2 2 3" xfId="48401" xr:uid="{00000000-0005-0000-0000-000094A90000}"/>
    <cellStyle name="Normal 8 4 8 2 2 2 2 3" xfId="25169" xr:uid="{00000000-0005-0000-0000-000095A90000}"/>
    <cellStyle name="Normal 8 4 8 2 2 2 2 4" xfId="40661" xr:uid="{00000000-0005-0000-0000-000096A90000}"/>
    <cellStyle name="Normal 8 4 8 2 2 2 3" xfId="13447" xr:uid="{00000000-0005-0000-0000-000097A90000}"/>
    <cellStyle name="Normal 8 4 8 2 2 2 3 2" xfId="29039" xr:uid="{00000000-0005-0000-0000-000098A90000}"/>
    <cellStyle name="Normal 8 4 8 2 2 2 3 3" xfId="44531" xr:uid="{00000000-0005-0000-0000-000099A90000}"/>
    <cellStyle name="Normal 8 4 8 2 2 2 4" xfId="21299" xr:uid="{00000000-0005-0000-0000-00009AA90000}"/>
    <cellStyle name="Normal 8 4 8 2 2 2 5" xfId="36791" xr:uid="{00000000-0005-0000-0000-00009BA90000}"/>
    <cellStyle name="Normal 8 4 8 2 2 3" xfId="7645" xr:uid="{00000000-0005-0000-0000-00009CA90000}"/>
    <cellStyle name="Normal 8 4 8 2 2 3 2" xfId="15390" xr:uid="{00000000-0005-0000-0000-00009DA90000}"/>
    <cellStyle name="Normal 8 4 8 2 2 3 2 2" xfId="30982" xr:uid="{00000000-0005-0000-0000-00009EA90000}"/>
    <cellStyle name="Normal 8 4 8 2 2 3 2 3" xfId="46474" xr:uid="{00000000-0005-0000-0000-00009FA90000}"/>
    <cellStyle name="Normal 8 4 8 2 2 3 3" xfId="23242" xr:uid="{00000000-0005-0000-0000-0000A0A90000}"/>
    <cellStyle name="Normal 8 4 8 2 2 3 4" xfId="38734" xr:uid="{00000000-0005-0000-0000-0000A1A90000}"/>
    <cellStyle name="Normal 8 4 8 2 2 4" xfId="11520" xr:uid="{00000000-0005-0000-0000-0000A2A90000}"/>
    <cellStyle name="Normal 8 4 8 2 2 4 2" xfId="27112" xr:uid="{00000000-0005-0000-0000-0000A3A90000}"/>
    <cellStyle name="Normal 8 4 8 2 2 4 3" xfId="42604" xr:uid="{00000000-0005-0000-0000-0000A4A90000}"/>
    <cellStyle name="Normal 8 4 8 2 2 5" xfId="19372" xr:uid="{00000000-0005-0000-0000-0000A5A90000}"/>
    <cellStyle name="Normal 8 4 8 2 2 6" xfId="34864" xr:uid="{00000000-0005-0000-0000-0000A6A90000}"/>
    <cellStyle name="Normal 8 4 8 2 3" xfId="4753" xr:uid="{00000000-0005-0000-0000-0000A7A90000}"/>
    <cellStyle name="Normal 8 4 8 2 3 2" xfId="8624" xr:uid="{00000000-0005-0000-0000-0000A8A90000}"/>
    <cellStyle name="Normal 8 4 8 2 3 2 2" xfId="16369" xr:uid="{00000000-0005-0000-0000-0000A9A90000}"/>
    <cellStyle name="Normal 8 4 8 2 3 2 2 2" xfId="31961" xr:uid="{00000000-0005-0000-0000-0000AAA90000}"/>
    <cellStyle name="Normal 8 4 8 2 3 2 2 3" xfId="47453" xr:uid="{00000000-0005-0000-0000-0000ABA90000}"/>
    <cellStyle name="Normal 8 4 8 2 3 2 3" xfId="24221" xr:uid="{00000000-0005-0000-0000-0000ACA90000}"/>
    <cellStyle name="Normal 8 4 8 2 3 2 4" xfId="39713" xr:uid="{00000000-0005-0000-0000-0000ADA90000}"/>
    <cellStyle name="Normal 8 4 8 2 3 3" xfId="12499" xr:uid="{00000000-0005-0000-0000-0000AEA90000}"/>
    <cellStyle name="Normal 8 4 8 2 3 3 2" xfId="28091" xr:uid="{00000000-0005-0000-0000-0000AFA90000}"/>
    <cellStyle name="Normal 8 4 8 2 3 3 3" xfId="43583" xr:uid="{00000000-0005-0000-0000-0000B0A90000}"/>
    <cellStyle name="Normal 8 4 8 2 3 4" xfId="20351" xr:uid="{00000000-0005-0000-0000-0000B1A90000}"/>
    <cellStyle name="Normal 8 4 8 2 3 5" xfId="35843" xr:uid="{00000000-0005-0000-0000-0000B2A90000}"/>
    <cellStyle name="Normal 8 4 8 2 4" xfId="6697" xr:uid="{00000000-0005-0000-0000-0000B3A90000}"/>
    <cellStyle name="Normal 8 4 8 2 4 2" xfId="14442" xr:uid="{00000000-0005-0000-0000-0000B4A90000}"/>
    <cellStyle name="Normal 8 4 8 2 4 2 2" xfId="30034" xr:uid="{00000000-0005-0000-0000-0000B5A90000}"/>
    <cellStyle name="Normal 8 4 8 2 4 2 3" xfId="45526" xr:uid="{00000000-0005-0000-0000-0000B6A90000}"/>
    <cellStyle name="Normal 8 4 8 2 4 3" xfId="22294" xr:uid="{00000000-0005-0000-0000-0000B7A90000}"/>
    <cellStyle name="Normal 8 4 8 2 4 4" xfId="37786" xr:uid="{00000000-0005-0000-0000-0000B8A90000}"/>
    <cellStyle name="Normal 8 4 8 2 5" xfId="10572" xr:uid="{00000000-0005-0000-0000-0000B9A90000}"/>
    <cellStyle name="Normal 8 4 8 2 5 2" xfId="26164" xr:uid="{00000000-0005-0000-0000-0000BAA90000}"/>
    <cellStyle name="Normal 8 4 8 2 5 3" xfId="41656" xr:uid="{00000000-0005-0000-0000-0000BBA90000}"/>
    <cellStyle name="Normal 8 4 8 2 6" xfId="18424" xr:uid="{00000000-0005-0000-0000-0000BCA90000}"/>
    <cellStyle name="Normal 8 4 8 2 7" xfId="33916" xr:uid="{00000000-0005-0000-0000-0000BDA90000}"/>
    <cellStyle name="Normal 8 4 8 3" xfId="3453" xr:uid="{00000000-0005-0000-0000-0000BEA90000}"/>
    <cellStyle name="Normal 8 4 8 3 2" xfId="5392" xr:uid="{00000000-0005-0000-0000-0000BFA90000}"/>
    <cellStyle name="Normal 8 4 8 3 2 2" xfId="9263" xr:uid="{00000000-0005-0000-0000-0000C0A90000}"/>
    <cellStyle name="Normal 8 4 8 3 2 2 2" xfId="17008" xr:uid="{00000000-0005-0000-0000-0000C1A90000}"/>
    <cellStyle name="Normal 8 4 8 3 2 2 2 2" xfId="32600" xr:uid="{00000000-0005-0000-0000-0000C2A90000}"/>
    <cellStyle name="Normal 8 4 8 3 2 2 2 3" xfId="48092" xr:uid="{00000000-0005-0000-0000-0000C3A90000}"/>
    <cellStyle name="Normal 8 4 8 3 2 2 3" xfId="24860" xr:uid="{00000000-0005-0000-0000-0000C4A90000}"/>
    <cellStyle name="Normal 8 4 8 3 2 2 4" xfId="40352" xr:uid="{00000000-0005-0000-0000-0000C5A90000}"/>
    <cellStyle name="Normal 8 4 8 3 2 3" xfId="13138" xr:uid="{00000000-0005-0000-0000-0000C6A90000}"/>
    <cellStyle name="Normal 8 4 8 3 2 3 2" xfId="28730" xr:uid="{00000000-0005-0000-0000-0000C7A90000}"/>
    <cellStyle name="Normal 8 4 8 3 2 3 3" xfId="44222" xr:uid="{00000000-0005-0000-0000-0000C8A90000}"/>
    <cellStyle name="Normal 8 4 8 3 2 4" xfId="20990" xr:uid="{00000000-0005-0000-0000-0000C9A90000}"/>
    <cellStyle name="Normal 8 4 8 3 2 5" xfId="36482" xr:uid="{00000000-0005-0000-0000-0000CAA90000}"/>
    <cellStyle name="Normal 8 4 8 3 3" xfId="7336" xr:uid="{00000000-0005-0000-0000-0000CBA90000}"/>
    <cellStyle name="Normal 8 4 8 3 3 2" xfId="15081" xr:uid="{00000000-0005-0000-0000-0000CCA90000}"/>
    <cellStyle name="Normal 8 4 8 3 3 2 2" xfId="30673" xr:uid="{00000000-0005-0000-0000-0000CDA90000}"/>
    <cellStyle name="Normal 8 4 8 3 3 2 3" xfId="46165" xr:uid="{00000000-0005-0000-0000-0000CEA90000}"/>
    <cellStyle name="Normal 8 4 8 3 3 3" xfId="22933" xr:uid="{00000000-0005-0000-0000-0000CFA90000}"/>
    <cellStyle name="Normal 8 4 8 3 3 4" xfId="38425" xr:uid="{00000000-0005-0000-0000-0000D0A90000}"/>
    <cellStyle name="Normal 8 4 8 3 4" xfId="11211" xr:uid="{00000000-0005-0000-0000-0000D1A90000}"/>
    <cellStyle name="Normal 8 4 8 3 4 2" xfId="26803" xr:uid="{00000000-0005-0000-0000-0000D2A90000}"/>
    <cellStyle name="Normal 8 4 8 3 4 3" xfId="42295" xr:uid="{00000000-0005-0000-0000-0000D3A90000}"/>
    <cellStyle name="Normal 8 4 8 3 5" xfId="19063" xr:uid="{00000000-0005-0000-0000-0000D4A90000}"/>
    <cellStyle name="Normal 8 4 8 3 6" xfId="34555" xr:uid="{00000000-0005-0000-0000-0000D5A90000}"/>
    <cellStyle name="Normal 8 4 8 4" xfId="4444" xr:uid="{00000000-0005-0000-0000-0000D6A90000}"/>
    <cellStyle name="Normal 8 4 8 4 2" xfId="8315" xr:uid="{00000000-0005-0000-0000-0000D7A90000}"/>
    <cellStyle name="Normal 8 4 8 4 2 2" xfId="16060" xr:uid="{00000000-0005-0000-0000-0000D8A90000}"/>
    <cellStyle name="Normal 8 4 8 4 2 2 2" xfId="31652" xr:uid="{00000000-0005-0000-0000-0000D9A90000}"/>
    <cellStyle name="Normal 8 4 8 4 2 2 3" xfId="47144" xr:uid="{00000000-0005-0000-0000-0000DAA90000}"/>
    <cellStyle name="Normal 8 4 8 4 2 3" xfId="23912" xr:uid="{00000000-0005-0000-0000-0000DBA90000}"/>
    <cellStyle name="Normal 8 4 8 4 2 4" xfId="39404" xr:uid="{00000000-0005-0000-0000-0000DCA90000}"/>
    <cellStyle name="Normal 8 4 8 4 3" xfId="12190" xr:uid="{00000000-0005-0000-0000-0000DDA90000}"/>
    <cellStyle name="Normal 8 4 8 4 3 2" xfId="27782" xr:uid="{00000000-0005-0000-0000-0000DEA90000}"/>
    <cellStyle name="Normal 8 4 8 4 3 3" xfId="43274" xr:uid="{00000000-0005-0000-0000-0000DFA90000}"/>
    <cellStyle name="Normal 8 4 8 4 4" xfId="20042" xr:uid="{00000000-0005-0000-0000-0000E0A90000}"/>
    <cellStyle name="Normal 8 4 8 4 5" xfId="35534" xr:uid="{00000000-0005-0000-0000-0000E1A90000}"/>
    <cellStyle name="Normal 8 4 8 5" xfId="6388" xr:uid="{00000000-0005-0000-0000-0000E2A90000}"/>
    <cellStyle name="Normal 8 4 8 5 2" xfId="14133" xr:uid="{00000000-0005-0000-0000-0000E3A90000}"/>
    <cellStyle name="Normal 8 4 8 5 2 2" xfId="29725" xr:uid="{00000000-0005-0000-0000-0000E4A90000}"/>
    <cellStyle name="Normal 8 4 8 5 2 3" xfId="45217" xr:uid="{00000000-0005-0000-0000-0000E5A90000}"/>
    <cellStyle name="Normal 8 4 8 5 3" xfId="21985" xr:uid="{00000000-0005-0000-0000-0000E6A90000}"/>
    <cellStyle name="Normal 8 4 8 5 4" xfId="37477" xr:uid="{00000000-0005-0000-0000-0000E7A90000}"/>
    <cellStyle name="Normal 8 4 8 6" xfId="10263" xr:uid="{00000000-0005-0000-0000-0000E8A90000}"/>
    <cellStyle name="Normal 8 4 8 6 2" xfId="25855" xr:uid="{00000000-0005-0000-0000-0000E9A90000}"/>
    <cellStyle name="Normal 8 4 8 6 3" xfId="41347" xr:uid="{00000000-0005-0000-0000-0000EAA90000}"/>
    <cellStyle name="Normal 8 4 8 7" xfId="18115" xr:uid="{00000000-0005-0000-0000-0000EBA90000}"/>
    <cellStyle name="Normal 8 4 8 8" xfId="33607" xr:uid="{00000000-0005-0000-0000-0000ECA90000}"/>
    <cellStyle name="Normal 8 4 9" xfId="2481" xr:uid="{00000000-0005-0000-0000-0000EDA90000}"/>
    <cellStyle name="Normal 8 4 9 2" xfId="2790" xr:uid="{00000000-0005-0000-0000-0000EEA90000}"/>
    <cellStyle name="Normal 8 4 9 2 2" xfId="3798" xr:uid="{00000000-0005-0000-0000-0000EFA90000}"/>
    <cellStyle name="Normal 8 4 9 2 2 2" xfId="5737" xr:uid="{00000000-0005-0000-0000-0000F0A90000}"/>
    <cellStyle name="Normal 8 4 9 2 2 2 2" xfId="9608" xr:uid="{00000000-0005-0000-0000-0000F1A90000}"/>
    <cellStyle name="Normal 8 4 9 2 2 2 2 2" xfId="17353" xr:uid="{00000000-0005-0000-0000-0000F2A90000}"/>
    <cellStyle name="Normal 8 4 9 2 2 2 2 2 2" xfId="32945" xr:uid="{00000000-0005-0000-0000-0000F3A90000}"/>
    <cellStyle name="Normal 8 4 9 2 2 2 2 2 3" xfId="48437" xr:uid="{00000000-0005-0000-0000-0000F4A90000}"/>
    <cellStyle name="Normal 8 4 9 2 2 2 2 3" xfId="25205" xr:uid="{00000000-0005-0000-0000-0000F5A90000}"/>
    <cellStyle name="Normal 8 4 9 2 2 2 2 4" xfId="40697" xr:uid="{00000000-0005-0000-0000-0000F6A90000}"/>
    <cellStyle name="Normal 8 4 9 2 2 2 3" xfId="13483" xr:uid="{00000000-0005-0000-0000-0000F7A90000}"/>
    <cellStyle name="Normal 8 4 9 2 2 2 3 2" xfId="29075" xr:uid="{00000000-0005-0000-0000-0000F8A90000}"/>
    <cellStyle name="Normal 8 4 9 2 2 2 3 3" xfId="44567" xr:uid="{00000000-0005-0000-0000-0000F9A90000}"/>
    <cellStyle name="Normal 8 4 9 2 2 2 4" xfId="21335" xr:uid="{00000000-0005-0000-0000-0000FAA90000}"/>
    <cellStyle name="Normal 8 4 9 2 2 2 5" xfId="36827" xr:uid="{00000000-0005-0000-0000-0000FBA90000}"/>
    <cellStyle name="Normal 8 4 9 2 2 3" xfId="7681" xr:uid="{00000000-0005-0000-0000-0000FCA90000}"/>
    <cellStyle name="Normal 8 4 9 2 2 3 2" xfId="15426" xr:uid="{00000000-0005-0000-0000-0000FDA90000}"/>
    <cellStyle name="Normal 8 4 9 2 2 3 2 2" xfId="31018" xr:uid="{00000000-0005-0000-0000-0000FEA90000}"/>
    <cellStyle name="Normal 8 4 9 2 2 3 2 3" xfId="46510" xr:uid="{00000000-0005-0000-0000-0000FFA90000}"/>
    <cellStyle name="Normal 8 4 9 2 2 3 3" xfId="23278" xr:uid="{00000000-0005-0000-0000-000000AA0000}"/>
    <cellStyle name="Normal 8 4 9 2 2 3 4" xfId="38770" xr:uid="{00000000-0005-0000-0000-000001AA0000}"/>
    <cellStyle name="Normal 8 4 9 2 2 4" xfId="11556" xr:uid="{00000000-0005-0000-0000-000002AA0000}"/>
    <cellStyle name="Normal 8 4 9 2 2 4 2" xfId="27148" xr:uid="{00000000-0005-0000-0000-000003AA0000}"/>
    <cellStyle name="Normal 8 4 9 2 2 4 3" xfId="42640" xr:uid="{00000000-0005-0000-0000-000004AA0000}"/>
    <cellStyle name="Normal 8 4 9 2 2 5" xfId="19408" xr:uid="{00000000-0005-0000-0000-000005AA0000}"/>
    <cellStyle name="Normal 8 4 9 2 2 6" xfId="34900" xr:uid="{00000000-0005-0000-0000-000006AA0000}"/>
    <cellStyle name="Normal 8 4 9 2 3" xfId="4789" xr:uid="{00000000-0005-0000-0000-000007AA0000}"/>
    <cellStyle name="Normal 8 4 9 2 3 2" xfId="8660" xr:uid="{00000000-0005-0000-0000-000008AA0000}"/>
    <cellStyle name="Normal 8 4 9 2 3 2 2" xfId="16405" xr:uid="{00000000-0005-0000-0000-000009AA0000}"/>
    <cellStyle name="Normal 8 4 9 2 3 2 2 2" xfId="31997" xr:uid="{00000000-0005-0000-0000-00000AAA0000}"/>
    <cellStyle name="Normal 8 4 9 2 3 2 2 3" xfId="47489" xr:uid="{00000000-0005-0000-0000-00000BAA0000}"/>
    <cellStyle name="Normal 8 4 9 2 3 2 3" xfId="24257" xr:uid="{00000000-0005-0000-0000-00000CAA0000}"/>
    <cellStyle name="Normal 8 4 9 2 3 2 4" xfId="39749" xr:uid="{00000000-0005-0000-0000-00000DAA0000}"/>
    <cellStyle name="Normal 8 4 9 2 3 3" xfId="12535" xr:uid="{00000000-0005-0000-0000-00000EAA0000}"/>
    <cellStyle name="Normal 8 4 9 2 3 3 2" xfId="28127" xr:uid="{00000000-0005-0000-0000-00000FAA0000}"/>
    <cellStyle name="Normal 8 4 9 2 3 3 3" xfId="43619" xr:uid="{00000000-0005-0000-0000-000010AA0000}"/>
    <cellStyle name="Normal 8 4 9 2 3 4" xfId="20387" xr:uid="{00000000-0005-0000-0000-000011AA0000}"/>
    <cellStyle name="Normal 8 4 9 2 3 5" xfId="35879" xr:uid="{00000000-0005-0000-0000-000012AA0000}"/>
    <cellStyle name="Normal 8 4 9 2 4" xfId="6733" xr:uid="{00000000-0005-0000-0000-000013AA0000}"/>
    <cellStyle name="Normal 8 4 9 2 4 2" xfId="14478" xr:uid="{00000000-0005-0000-0000-000014AA0000}"/>
    <cellStyle name="Normal 8 4 9 2 4 2 2" xfId="30070" xr:uid="{00000000-0005-0000-0000-000015AA0000}"/>
    <cellStyle name="Normal 8 4 9 2 4 2 3" xfId="45562" xr:uid="{00000000-0005-0000-0000-000016AA0000}"/>
    <cellStyle name="Normal 8 4 9 2 4 3" xfId="22330" xr:uid="{00000000-0005-0000-0000-000017AA0000}"/>
    <cellStyle name="Normal 8 4 9 2 4 4" xfId="37822" xr:uid="{00000000-0005-0000-0000-000018AA0000}"/>
    <cellStyle name="Normal 8 4 9 2 5" xfId="10608" xr:uid="{00000000-0005-0000-0000-000019AA0000}"/>
    <cellStyle name="Normal 8 4 9 2 5 2" xfId="26200" xr:uid="{00000000-0005-0000-0000-00001AAA0000}"/>
    <cellStyle name="Normal 8 4 9 2 5 3" xfId="41692" xr:uid="{00000000-0005-0000-0000-00001BAA0000}"/>
    <cellStyle name="Normal 8 4 9 2 6" xfId="18460" xr:uid="{00000000-0005-0000-0000-00001CAA0000}"/>
    <cellStyle name="Normal 8 4 9 2 7" xfId="33952" xr:uid="{00000000-0005-0000-0000-00001DAA0000}"/>
    <cellStyle name="Normal 8 4 9 3" xfId="3489" xr:uid="{00000000-0005-0000-0000-00001EAA0000}"/>
    <cellStyle name="Normal 8 4 9 3 2" xfId="5428" xr:uid="{00000000-0005-0000-0000-00001FAA0000}"/>
    <cellStyle name="Normal 8 4 9 3 2 2" xfId="9299" xr:uid="{00000000-0005-0000-0000-000020AA0000}"/>
    <cellStyle name="Normal 8 4 9 3 2 2 2" xfId="17044" xr:uid="{00000000-0005-0000-0000-000021AA0000}"/>
    <cellStyle name="Normal 8 4 9 3 2 2 2 2" xfId="32636" xr:uid="{00000000-0005-0000-0000-000022AA0000}"/>
    <cellStyle name="Normal 8 4 9 3 2 2 2 3" xfId="48128" xr:uid="{00000000-0005-0000-0000-000023AA0000}"/>
    <cellStyle name="Normal 8 4 9 3 2 2 3" xfId="24896" xr:uid="{00000000-0005-0000-0000-000024AA0000}"/>
    <cellStyle name="Normal 8 4 9 3 2 2 4" xfId="40388" xr:uid="{00000000-0005-0000-0000-000025AA0000}"/>
    <cellStyle name="Normal 8 4 9 3 2 3" xfId="13174" xr:uid="{00000000-0005-0000-0000-000026AA0000}"/>
    <cellStyle name="Normal 8 4 9 3 2 3 2" xfId="28766" xr:uid="{00000000-0005-0000-0000-000027AA0000}"/>
    <cellStyle name="Normal 8 4 9 3 2 3 3" xfId="44258" xr:uid="{00000000-0005-0000-0000-000028AA0000}"/>
    <cellStyle name="Normal 8 4 9 3 2 4" xfId="21026" xr:uid="{00000000-0005-0000-0000-000029AA0000}"/>
    <cellStyle name="Normal 8 4 9 3 2 5" xfId="36518" xr:uid="{00000000-0005-0000-0000-00002AAA0000}"/>
    <cellStyle name="Normal 8 4 9 3 3" xfId="7372" xr:uid="{00000000-0005-0000-0000-00002BAA0000}"/>
    <cellStyle name="Normal 8 4 9 3 3 2" xfId="15117" xr:uid="{00000000-0005-0000-0000-00002CAA0000}"/>
    <cellStyle name="Normal 8 4 9 3 3 2 2" xfId="30709" xr:uid="{00000000-0005-0000-0000-00002DAA0000}"/>
    <cellStyle name="Normal 8 4 9 3 3 2 3" xfId="46201" xr:uid="{00000000-0005-0000-0000-00002EAA0000}"/>
    <cellStyle name="Normal 8 4 9 3 3 3" xfId="22969" xr:uid="{00000000-0005-0000-0000-00002FAA0000}"/>
    <cellStyle name="Normal 8 4 9 3 3 4" xfId="38461" xr:uid="{00000000-0005-0000-0000-000030AA0000}"/>
    <cellStyle name="Normal 8 4 9 3 4" xfId="11247" xr:uid="{00000000-0005-0000-0000-000031AA0000}"/>
    <cellStyle name="Normal 8 4 9 3 4 2" xfId="26839" xr:uid="{00000000-0005-0000-0000-000032AA0000}"/>
    <cellStyle name="Normal 8 4 9 3 4 3" xfId="42331" xr:uid="{00000000-0005-0000-0000-000033AA0000}"/>
    <cellStyle name="Normal 8 4 9 3 5" xfId="19099" xr:uid="{00000000-0005-0000-0000-000034AA0000}"/>
    <cellStyle name="Normal 8 4 9 3 6" xfId="34591" xr:uid="{00000000-0005-0000-0000-000035AA0000}"/>
    <cellStyle name="Normal 8 4 9 4" xfId="4480" xr:uid="{00000000-0005-0000-0000-000036AA0000}"/>
    <cellStyle name="Normal 8 4 9 4 2" xfId="8351" xr:uid="{00000000-0005-0000-0000-000037AA0000}"/>
    <cellStyle name="Normal 8 4 9 4 2 2" xfId="16096" xr:uid="{00000000-0005-0000-0000-000038AA0000}"/>
    <cellStyle name="Normal 8 4 9 4 2 2 2" xfId="31688" xr:uid="{00000000-0005-0000-0000-000039AA0000}"/>
    <cellStyle name="Normal 8 4 9 4 2 2 3" xfId="47180" xr:uid="{00000000-0005-0000-0000-00003AAA0000}"/>
    <cellStyle name="Normal 8 4 9 4 2 3" xfId="23948" xr:uid="{00000000-0005-0000-0000-00003BAA0000}"/>
    <cellStyle name="Normal 8 4 9 4 2 4" xfId="39440" xr:uid="{00000000-0005-0000-0000-00003CAA0000}"/>
    <cellStyle name="Normal 8 4 9 4 3" xfId="12226" xr:uid="{00000000-0005-0000-0000-00003DAA0000}"/>
    <cellStyle name="Normal 8 4 9 4 3 2" xfId="27818" xr:uid="{00000000-0005-0000-0000-00003EAA0000}"/>
    <cellStyle name="Normal 8 4 9 4 3 3" xfId="43310" xr:uid="{00000000-0005-0000-0000-00003FAA0000}"/>
    <cellStyle name="Normal 8 4 9 4 4" xfId="20078" xr:uid="{00000000-0005-0000-0000-000040AA0000}"/>
    <cellStyle name="Normal 8 4 9 4 5" xfId="35570" xr:uid="{00000000-0005-0000-0000-000041AA0000}"/>
    <cellStyle name="Normal 8 4 9 5" xfId="6424" xr:uid="{00000000-0005-0000-0000-000042AA0000}"/>
    <cellStyle name="Normal 8 4 9 5 2" xfId="14169" xr:uid="{00000000-0005-0000-0000-000043AA0000}"/>
    <cellStyle name="Normal 8 4 9 5 2 2" xfId="29761" xr:uid="{00000000-0005-0000-0000-000044AA0000}"/>
    <cellStyle name="Normal 8 4 9 5 2 3" xfId="45253" xr:uid="{00000000-0005-0000-0000-000045AA0000}"/>
    <cellStyle name="Normal 8 4 9 5 3" xfId="22021" xr:uid="{00000000-0005-0000-0000-000046AA0000}"/>
    <cellStyle name="Normal 8 4 9 5 4" xfId="37513" xr:uid="{00000000-0005-0000-0000-000047AA0000}"/>
    <cellStyle name="Normal 8 4 9 6" xfId="10299" xr:uid="{00000000-0005-0000-0000-000048AA0000}"/>
    <cellStyle name="Normal 8 4 9 6 2" xfId="25891" xr:uid="{00000000-0005-0000-0000-000049AA0000}"/>
    <cellStyle name="Normal 8 4 9 6 3" xfId="41383" xr:uid="{00000000-0005-0000-0000-00004AAA0000}"/>
    <cellStyle name="Normal 8 4 9 7" xfId="18151" xr:uid="{00000000-0005-0000-0000-00004BAA0000}"/>
    <cellStyle name="Normal 8 4 9 8" xfId="33643" xr:uid="{00000000-0005-0000-0000-00004CAA0000}"/>
    <cellStyle name="Normal 8 5" xfId="2080" xr:uid="{00000000-0005-0000-0000-00004DAA0000}"/>
    <cellStyle name="Normal 8 5 10" xfId="2502" xr:uid="{00000000-0005-0000-0000-00004EAA0000}"/>
    <cellStyle name="Normal 8 5 10 2" xfId="3510" xr:uid="{00000000-0005-0000-0000-00004FAA0000}"/>
    <cellStyle name="Normal 8 5 10 2 2" xfId="5449" xr:uid="{00000000-0005-0000-0000-000050AA0000}"/>
    <cellStyle name="Normal 8 5 10 2 2 2" xfId="9320" xr:uid="{00000000-0005-0000-0000-000051AA0000}"/>
    <cellStyle name="Normal 8 5 10 2 2 2 2" xfId="17065" xr:uid="{00000000-0005-0000-0000-000052AA0000}"/>
    <cellStyle name="Normal 8 5 10 2 2 2 2 2" xfId="32657" xr:uid="{00000000-0005-0000-0000-000053AA0000}"/>
    <cellStyle name="Normal 8 5 10 2 2 2 2 3" xfId="48149" xr:uid="{00000000-0005-0000-0000-000054AA0000}"/>
    <cellStyle name="Normal 8 5 10 2 2 2 3" xfId="24917" xr:uid="{00000000-0005-0000-0000-000055AA0000}"/>
    <cellStyle name="Normal 8 5 10 2 2 2 4" xfId="40409" xr:uid="{00000000-0005-0000-0000-000056AA0000}"/>
    <cellStyle name="Normal 8 5 10 2 2 3" xfId="13195" xr:uid="{00000000-0005-0000-0000-000057AA0000}"/>
    <cellStyle name="Normal 8 5 10 2 2 3 2" xfId="28787" xr:uid="{00000000-0005-0000-0000-000058AA0000}"/>
    <cellStyle name="Normal 8 5 10 2 2 3 3" xfId="44279" xr:uid="{00000000-0005-0000-0000-000059AA0000}"/>
    <cellStyle name="Normal 8 5 10 2 2 4" xfId="21047" xr:uid="{00000000-0005-0000-0000-00005AAA0000}"/>
    <cellStyle name="Normal 8 5 10 2 2 5" xfId="36539" xr:uid="{00000000-0005-0000-0000-00005BAA0000}"/>
    <cellStyle name="Normal 8 5 10 2 3" xfId="7393" xr:uid="{00000000-0005-0000-0000-00005CAA0000}"/>
    <cellStyle name="Normal 8 5 10 2 3 2" xfId="15138" xr:uid="{00000000-0005-0000-0000-00005DAA0000}"/>
    <cellStyle name="Normal 8 5 10 2 3 2 2" xfId="30730" xr:uid="{00000000-0005-0000-0000-00005EAA0000}"/>
    <cellStyle name="Normal 8 5 10 2 3 2 3" xfId="46222" xr:uid="{00000000-0005-0000-0000-00005FAA0000}"/>
    <cellStyle name="Normal 8 5 10 2 3 3" xfId="22990" xr:uid="{00000000-0005-0000-0000-000060AA0000}"/>
    <cellStyle name="Normal 8 5 10 2 3 4" xfId="38482" xr:uid="{00000000-0005-0000-0000-000061AA0000}"/>
    <cellStyle name="Normal 8 5 10 2 4" xfId="11268" xr:uid="{00000000-0005-0000-0000-000062AA0000}"/>
    <cellStyle name="Normal 8 5 10 2 4 2" xfId="26860" xr:uid="{00000000-0005-0000-0000-000063AA0000}"/>
    <cellStyle name="Normal 8 5 10 2 4 3" xfId="42352" xr:uid="{00000000-0005-0000-0000-000064AA0000}"/>
    <cellStyle name="Normal 8 5 10 2 5" xfId="19120" xr:uid="{00000000-0005-0000-0000-000065AA0000}"/>
    <cellStyle name="Normal 8 5 10 2 6" xfId="34612" xr:uid="{00000000-0005-0000-0000-000066AA0000}"/>
    <cellStyle name="Normal 8 5 10 3" xfId="4501" xr:uid="{00000000-0005-0000-0000-000067AA0000}"/>
    <cellStyle name="Normal 8 5 10 3 2" xfId="8372" xr:uid="{00000000-0005-0000-0000-000068AA0000}"/>
    <cellStyle name="Normal 8 5 10 3 2 2" xfId="16117" xr:uid="{00000000-0005-0000-0000-000069AA0000}"/>
    <cellStyle name="Normal 8 5 10 3 2 2 2" xfId="31709" xr:uid="{00000000-0005-0000-0000-00006AAA0000}"/>
    <cellStyle name="Normal 8 5 10 3 2 2 3" xfId="47201" xr:uid="{00000000-0005-0000-0000-00006BAA0000}"/>
    <cellStyle name="Normal 8 5 10 3 2 3" xfId="23969" xr:uid="{00000000-0005-0000-0000-00006CAA0000}"/>
    <cellStyle name="Normal 8 5 10 3 2 4" xfId="39461" xr:uid="{00000000-0005-0000-0000-00006DAA0000}"/>
    <cellStyle name="Normal 8 5 10 3 3" xfId="12247" xr:uid="{00000000-0005-0000-0000-00006EAA0000}"/>
    <cellStyle name="Normal 8 5 10 3 3 2" xfId="27839" xr:uid="{00000000-0005-0000-0000-00006FAA0000}"/>
    <cellStyle name="Normal 8 5 10 3 3 3" xfId="43331" xr:uid="{00000000-0005-0000-0000-000070AA0000}"/>
    <cellStyle name="Normal 8 5 10 3 4" xfId="20099" xr:uid="{00000000-0005-0000-0000-000071AA0000}"/>
    <cellStyle name="Normal 8 5 10 3 5" xfId="35591" xr:uid="{00000000-0005-0000-0000-000072AA0000}"/>
    <cellStyle name="Normal 8 5 10 4" xfId="6445" xr:uid="{00000000-0005-0000-0000-000073AA0000}"/>
    <cellStyle name="Normal 8 5 10 4 2" xfId="14190" xr:uid="{00000000-0005-0000-0000-000074AA0000}"/>
    <cellStyle name="Normal 8 5 10 4 2 2" xfId="29782" xr:uid="{00000000-0005-0000-0000-000075AA0000}"/>
    <cellStyle name="Normal 8 5 10 4 2 3" xfId="45274" xr:uid="{00000000-0005-0000-0000-000076AA0000}"/>
    <cellStyle name="Normal 8 5 10 4 3" xfId="22042" xr:uid="{00000000-0005-0000-0000-000077AA0000}"/>
    <cellStyle name="Normal 8 5 10 4 4" xfId="37534" xr:uid="{00000000-0005-0000-0000-000078AA0000}"/>
    <cellStyle name="Normal 8 5 10 5" xfId="10320" xr:uid="{00000000-0005-0000-0000-000079AA0000}"/>
    <cellStyle name="Normal 8 5 10 5 2" xfId="25912" xr:uid="{00000000-0005-0000-0000-00007AAA0000}"/>
    <cellStyle name="Normal 8 5 10 5 3" xfId="41404" xr:uid="{00000000-0005-0000-0000-00007BAA0000}"/>
    <cellStyle name="Normal 8 5 10 6" xfId="18172" xr:uid="{00000000-0005-0000-0000-00007CAA0000}"/>
    <cellStyle name="Normal 8 5 10 7" xfId="33664" xr:uid="{00000000-0005-0000-0000-00007DAA0000}"/>
    <cellStyle name="Normal 8 5 11" xfId="2828" xr:uid="{00000000-0005-0000-0000-00007EAA0000}"/>
    <cellStyle name="Normal 8 5 11 2" xfId="3835" xr:uid="{00000000-0005-0000-0000-00007FAA0000}"/>
    <cellStyle name="Normal 8 5 11 2 2" xfId="5774" xr:uid="{00000000-0005-0000-0000-000080AA0000}"/>
    <cellStyle name="Normal 8 5 11 2 2 2" xfId="9645" xr:uid="{00000000-0005-0000-0000-000081AA0000}"/>
    <cellStyle name="Normal 8 5 11 2 2 2 2" xfId="17390" xr:uid="{00000000-0005-0000-0000-000082AA0000}"/>
    <cellStyle name="Normal 8 5 11 2 2 2 2 2" xfId="32982" xr:uid="{00000000-0005-0000-0000-000083AA0000}"/>
    <cellStyle name="Normal 8 5 11 2 2 2 2 3" xfId="48474" xr:uid="{00000000-0005-0000-0000-000084AA0000}"/>
    <cellStyle name="Normal 8 5 11 2 2 2 3" xfId="25242" xr:uid="{00000000-0005-0000-0000-000085AA0000}"/>
    <cellStyle name="Normal 8 5 11 2 2 2 4" xfId="40734" xr:uid="{00000000-0005-0000-0000-000086AA0000}"/>
    <cellStyle name="Normal 8 5 11 2 2 3" xfId="13520" xr:uid="{00000000-0005-0000-0000-000087AA0000}"/>
    <cellStyle name="Normal 8 5 11 2 2 3 2" xfId="29112" xr:uid="{00000000-0005-0000-0000-000088AA0000}"/>
    <cellStyle name="Normal 8 5 11 2 2 3 3" xfId="44604" xr:uid="{00000000-0005-0000-0000-000089AA0000}"/>
    <cellStyle name="Normal 8 5 11 2 2 4" xfId="21372" xr:uid="{00000000-0005-0000-0000-00008AAA0000}"/>
    <cellStyle name="Normal 8 5 11 2 2 5" xfId="36864" xr:uid="{00000000-0005-0000-0000-00008BAA0000}"/>
    <cellStyle name="Normal 8 5 11 2 3" xfId="7718" xr:uid="{00000000-0005-0000-0000-00008CAA0000}"/>
    <cellStyle name="Normal 8 5 11 2 3 2" xfId="15463" xr:uid="{00000000-0005-0000-0000-00008DAA0000}"/>
    <cellStyle name="Normal 8 5 11 2 3 2 2" xfId="31055" xr:uid="{00000000-0005-0000-0000-00008EAA0000}"/>
    <cellStyle name="Normal 8 5 11 2 3 2 3" xfId="46547" xr:uid="{00000000-0005-0000-0000-00008FAA0000}"/>
    <cellStyle name="Normal 8 5 11 2 3 3" xfId="23315" xr:uid="{00000000-0005-0000-0000-000090AA0000}"/>
    <cellStyle name="Normal 8 5 11 2 3 4" xfId="38807" xr:uid="{00000000-0005-0000-0000-000091AA0000}"/>
    <cellStyle name="Normal 8 5 11 2 4" xfId="11593" xr:uid="{00000000-0005-0000-0000-000092AA0000}"/>
    <cellStyle name="Normal 8 5 11 2 4 2" xfId="27185" xr:uid="{00000000-0005-0000-0000-000093AA0000}"/>
    <cellStyle name="Normal 8 5 11 2 4 3" xfId="42677" xr:uid="{00000000-0005-0000-0000-000094AA0000}"/>
    <cellStyle name="Normal 8 5 11 2 5" xfId="19445" xr:uid="{00000000-0005-0000-0000-000095AA0000}"/>
    <cellStyle name="Normal 8 5 11 2 6" xfId="34937" xr:uid="{00000000-0005-0000-0000-000096AA0000}"/>
    <cellStyle name="Normal 8 5 11 3" xfId="4826" xr:uid="{00000000-0005-0000-0000-000097AA0000}"/>
    <cellStyle name="Normal 8 5 11 3 2" xfId="8697" xr:uid="{00000000-0005-0000-0000-000098AA0000}"/>
    <cellStyle name="Normal 8 5 11 3 2 2" xfId="16442" xr:uid="{00000000-0005-0000-0000-000099AA0000}"/>
    <cellStyle name="Normal 8 5 11 3 2 2 2" xfId="32034" xr:uid="{00000000-0005-0000-0000-00009AAA0000}"/>
    <cellStyle name="Normal 8 5 11 3 2 2 3" xfId="47526" xr:uid="{00000000-0005-0000-0000-00009BAA0000}"/>
    <cellStyle name="Normal 8 5 11 3 2 3" xfId="24294" xr:uid="{00000000-0005-0000-0000-00009CAA0000}"/>
    <cellStyle name="Normal 8 5 11 3 2 4" xfId="39786" xr:uid="{00000000-0005-0000-0000-00009DAA0000}"/>
    <cellStyle name="Normal 8 5 11 3 3" xfId="12572" xr:uid="{00000000-0005-0000-0000-00009EAA0000}"/>
    <cellStyle name="Normal 8 5 11 3 3 2" xfId="28164" xr:uid="{00000000-0005-0000-0000-00009FAA0000}"/>
    <cellStyle name="Normal 8 5 11 3 3 3" xfId="43656" xr:uid="{00000000-0005-0000-0000-0000A0AA0000}"/>
    <cellStyle name="Normal 8 5 11 3 4" xfId="20424" xr:uid="{00000000-0005-0000-0000-0000A1AA0000}"/>
    <cellStyle name="Normal 8 5 11 3 5" xfId="35916" xr:uid="{00000000-0005-0000-0000-0000A2AA0000}"/>
    <cellStyle name="Normal 8 5 11 4" xfId="6770" xr:uid="{00000000-0005-0000-0000-0000A3AA0000}"/>
    <cellStyle name="Normal 8 5 11 4 2" xfId="14515" xr:uid="{00000000-0005-0000-0000-0000A4AA0000}"/>
    <cellStyle name="Normal 8 5 11 4 2 2" xfId="30107" xr:uid="{00000000-0005-0000-0000-0000A5AA0000}"/>
    <cellStyle name="Normal 8 5 11 4 2 3" xfId="45599" xr:uid="{00000000-0005-0000-0000-0000A6AA0000}"/>
    <cellStyle name="Normal 8 5 11 4 3" xfId="22367" xr:uid="{00000000-0005-0000-0000-0000A7AA0000}"/>
    <cellStyle name="Normal 8 5 11 4 4" xfId="37859" xr:uid="{00000000-0005-0000-0000-0000A8AA0000}"/>
    <cellStyle name="Normal 8 5 11 5" xfId="10645" xr:uid="{00000000-0005-0000-0000-0000A9AA0000}"/>
    <cellStyle name="Normal 8 5 11 5 2" xfId="26237" xr:uid="{00000000-0005-0000-0000-0000AAAA0000}"/>
    <cellStyle name="Normal 8 5 11 5 3" xfId="41729" xr:uid="{00000000-0005-0000-0000-0000ABAA0000}"/>
    <cellStyle name="Normal 8 5 11 6" xfId="18497" xr:uid="{00000000-0005-0000-0000-0000ACAA0000}"/>
    <cellStyle name="Normal 8 5 11 7" xfId="33989" xr:uid="{00000000-0005-0000-0000-0000ADAA0000}"/>
    <cellStyle name="Normal 8 5 12" xfId="2867" xr:uid="{00000000-0005-0000-0000-0000AEAA0000}"/>
    <cellStyle name="Normal 8 5 12 2" xfId="3873" xr:uid="{00000000-0005-0000-0000-0000AFAA0000}"/>
    <cellStyle name="Normal 8 5 12 2 2" xfId="5812" xr:uid="{00000000-0005-0000-0000-0000B0AA0000}"/>
    <cellStyle name="Normal 8 5 12 2 2 2" xfId="9683" xr:uid="{00000000-0005-0000-0000-0000B1AA0000}"/>
    <cellStyle name="Normal 8 5 12 2 2 2 2" xfId="17428" xr:uid="{00000000-0005-0000-0000-0000B2AA0000}"/>
    <cellStyle name="Normal 8 5 12 2 2 2 2 2" xfId="33020" xr:uid="{00000000-0005-0000-0000-0000B3AA0000}"/>
    <cellStyle name="Normal 8 5 12 2 2 2 2 3" xfId="48512" xr:uid="{00000000-0005-0000-0000-0000B4AA0000}"/>
    <cellStyle name="Normal 8 5 12 2 2 2 3" xfId="25280" xr:uid="{00000000-0005-0000-0000-0000B5AA0000}"/>
    <cellStyle name="Normal 8 5 12 2 2 2 4" xfId="40772" xr:uid="{00000000-0005-0000-0000-0000B6AA0000}"/>
    <cellStyle name="Normal 8 5 12 2 2 3" xfId="13558" xr:uid="{00000000-0005-0000-0000-0000B7AA0000}"/>
    <cellStyle name="Normal 8 5 12 2 2 3 2" xfId="29150" xr:uid="{00000000-0005-0000-0000-0000B8AA0000}"/>
    <cellStyle name="Normal 8 5 12 2 2 3 3" xfId="44642" xr:uid="{00000000-0005-0000-0000-0000B9AA0000}"/>
    <cellStyle name="Normal 8 5 12 2 2 4" xfId="21410" xr:uid="{00000000-0005-0000-0000-0000BAAA0000}"/>
    <cellStyle name="Normal 8 5 12 2 2 5" xfId="36902" xr:uid="{00000000-0005-0000-0000-0000BBAA0000}"/>
    <cellStyle name="Normal 8 5 12 2 3" xfId="7756" xr:uid="{00000000-0005-0000-0000-0000BCAA0000}"/>
    <cellStyle name="Normal 8 5 12 2 3 2" xfId="15501" xr:uid="{00000000-0005-0000-0000-0000BDAA0000}"/>
    <cellStyle name="Normal 8 5 12 2 3 2 2" xfId="31093" xr:uid="{00000000-0005-0000-0000-0000BEAA0000}"/>
    <cellStyle name="Normal 8 5 12 2 3 2 3" xfId="46585" xr:uid="{00000000-0005-0000-0000-0000BFAA0000}"/>
    <cellStyle name="Normal 8 5 12 2 3 3" xfId="23353" xr:uid="{00000000-0005-0000-0000-0000C0AA0000}"/>
    <cellStyle name="Normal 8 5 12 2 3 4" xfId="38845" xr:uid="{00000000-0005-0000-0000-0000C1AA0000}"/>
    <cellStyle name="Normal 8 5 12 2 4" xfId="11631" xr:uid="{00000000-0005-0000-0000-0000C2AA0000}"/>
    <cellStyle name="Normal 8 5 12 2 4 2" xfId="27223" xr:uid="{00000000-0005-0000-0000-0000C3AA0000}"/>
    <cellStyle name="Normal 8 5 12 2 4 3" xfId="42715" xr:uid="{00000000-0005-0000-0000-0000C4AA0000}"/>
    <cellStyle name="Normal 8 5 12 2 5" xfId="19483" xr:uid="{00000000-0005-0000-0000-0000C5AA0000}"/>
    <cellStyle name="Normal 8 5 12 2 6" xfId="34975" xr:uid="{00000000-0005-0000-0000-0000C6AA0000}"/>
    <cellStyle name="Normal 8 5 12 3" xfId="4864" xr:uid="{00000000-0005-0000-0000-0000C7AA0000}"/>
    <cellStyle name="Normal 8 5 12 3 2" xfId="8735" xr:uid="{00000000-0005-0000-0000-0000C8AA0000}"/>
    <cellStyle name="Normal 8 5 12 3 2 2" xfId="16480" xr:uid="{00000000-0005-0000-0000-0000C9AA0000}"/>
    <cellStyle name="Normal 8 5 12 3 2 2 2" xfId="32072" xr:uid="{00000000-0005-0000-0000-0000CAAA0000}"/>
    <cellStyle name="Normal 8 5 12 3 2 2 3" xfId="47564" xr:uid="{00000000-0005-0000-0000-0000CBAA0000}"/>
    <cellStyle name="Normal 8 5 12 3 2 3" xfId="24332" xr:uid="{00000000-0005-0000-0000-0000CCAA0000}"/>
    <cellStyle name="Normal 8 5 12 3 2 4" xfId="39824" xr:uid="{00000000-0005-0000-0000-0000CDAA0000}"/>
    <cellStyle name="Normal 8 5 12 3 3" xfId="12610" xr:uid="{00000000-0005-0000-0000-0000CEAA0000}"/>
    <cellStyle name="Normal 8 5 12 3 3 2" xfId="28202" xr:uid="{00000000-0005-0000-0000-0000CFAA0000}"/>
    <cellStyle name="Normal 8 5 12 3 3 3" xfId="43694" xr:uid="{00000000-0005-0000-0000-0000D0AA0000}"/>
    <cellStyle name="Normal 8 5 12 3 4" xfId="20462" xr:uid="{00000000-0005-0000-0000-0000D1AA0000}"/>
    <cellStyle name="Normal 8 5 12 3 5" xfId="35954" xr:uid="{00000000-0005-0000-0000-0000D2AA0000}"/>
    <cellStyle name="Normal 8 5 12 4" xfId="6808" xr:uid="{00000000-0005-0000-0000-0000D3AA0000}"/>
    <cellStyle name="Normal 8 5 12 4 2" xfId="14553" xr:uid="{00000000-0005-0000-0000-0000D4AA0000}"/>
    <cellStyle name="Normal 8 5 12 4 2 2" xfId="30145" xr:uid="{00000000-0005-0000-0000-0000D5AA0000}"/>
    <cellStyle name="Normal 8 5 12 4 2 3" xfId="45637" xr:uid="{00000000-0005-0000-0000-0000D6AA0000}"/>
    <cellStyle name="Normal 8 5 12 4 3" xfId="22405" xr:uid="{00000000-0005-0000-0000-0000D7AA0000}"/>
    <cellStyle name="Normal 8 5 12 4 4" xfId="37897" xr:uid="{00000000-0005-0000-0000-0000D8AA0000}"/>
    <cellStyle name="Normal 8 5 12 5" xfId="10683" xr:uid="{00000000-0005-0000-0000-0000D9AA0000}"/>
    <cellStyle name="Normal 8 5 12 5 2" xfId="26275" xr:uid="{00000000-0005-0000-0000-0000DAAA0000}"/>
    <cellStyle name="Normal 8 5 12 5 3" xfId="41767" xr:uid="{00000000-0005-0000-0000-0000DBAA0000}"/>
    <cellStyle name="Normal 8 5 12 6" xfId="18535" xr:uid="{00000000-0005-0000-0000-0000DCAA0000}"/>
    <cellStyle name="Normal 8 5 12 7" xfId="34027" xr:uid="{00000000-0005-0000-0000-0000DDAA0000}"/>
    <cellStyle name="Normal 8 5 13" xfId="2904" xr:uid="{00000000-0005-0000-0000-0000DEAA0000}"/>
    <cellStyle name="Normal 8 5 13 2" xfId="3909" xr:uid="{00000000-0005-0000-0000-0000DFAA0000}"/>
    <cellStyle name="Normal 8 5 13 2 2" xfId="5848" xr:uid="{00000000-0005-0000-0000-0000E0AA0000}"/>
    <cellStyle name="Normal 8 5 13 2 2 2" xfId="9719" xr:uid="{00000000-0005-0000-0000-0000E1AA0000}"/>
    <cellStyle name="Normal 8 5 13 2 2 2 2" xfId="17464" xr:uid="{00000000-0005-0000-0000-0000E2AA0000}"/>
    <cellStyle name="Normal 8 5 13 2 2 2 2 2" xfId="33056" xr:uid="{00000000-0005-0000-0000-0000E3AA0000}"/>
    <cellStyle name="Normal 8 5 13 2 2 2 2 3" xfId="48548" xr:uid="{00000000-0005-0000-0000-0000E4AA0000}"/>
    <cellStyle name="Normal 8 5 13 2 2 2 3" xfId="25316" xr:uid="{00000000-0005-0000-0000-0000E5AA0000}"/>
    <cellStyle name="Normal 8 5 13 2 2 2 4" xfId="40808" xr:uid="{00000000-0005-0000-0000-0000E6AA0000}"/>
    <cellStyle name="Normal 8 5 13 2 2 3" xfId="13594" xr:uid="{00000000-0005-0000-0000-0000E7AA0000}"/>
    <cellStyle name="Normal 8 5 13 2 2 3 2" xfId="29186" xr:uid="{00000000-0005-0000-0000-0000E8AA0000}"/>
    <cellStyle name="Normal 8 5 13 2 2 3 3" xfId="44678" xr:uid="{00000000-0005-0000-0000-0000E9AA0000}"/>
    <cellStyle name="Normal 8 5 13 2 2 4" xfId="21446" xr:uid="{00000000-0005-0000-0000-0000EAAA0000}"/>
    <cellStyle name="Normal 8 5 13 2 2 5" xfId="36938" xr:uid="{00000000-0005-0000-0000-0000EBAA0000}"/>
    <cellStyle name="Normal 8 5 13 2 3" xfId="7792" xr:uid="{00000000-0005-0000-0000-0000ECAA0000}"/>
    <cellStyle name="Normal 8 5 13 2 3 2" xfId="15537" xr:uid="{00000000-0005-0000-0000-0000EDAA0000}"/>
    <cellStyle name="Normal 8 5 13 2 3 2 2" xfId="31129" xr:uid="{00000000-0005-0000-0000-0000EEAA0000}"/>
    <cellStyle name="Normal 8 5 13 2 3 2 3" xfId="46621" xr:uid="{00000000-0005-0000-0000-0000EFAA0000}"/>
    <cellStyle name="Normal 8 5 13 2 3 3" xfId="23389" xr:uid="{00000000-0005-0000-0000-0000F0AA0000}"/>
    <cellStyle name="Normal 8 5 13 2 3 4" xfId="38881" xr:uid="{00000000-0005-0000-0000-0000F1AA0000}"/>
    <cellStyle name="Normal 8 5 13 2 4" xfId="11667" xr:uid="{00000000-0005-0000-0000-0000F2AA0000}"/>
    <cellStyle name="Normal 8 5 13 2 4 2" xfId="27259" xr:uid="{00000000-0005-0000-0000-0000F3AA0000}"/>
    <cellStyle name="Normal 8 5 13 2 4 3" xfId="42751" xr:uid="{00000000-0005-0000-0000-0000F4AA0000}"/>
    <cellStyle name="Normal 8 5 13 2 5" xfId="19519" xr:uid="{00000000-0005-0000-0000-0000F5AA0000}"/>
    <cellStyle name="Normal 8 5 13 2 6" xfId="35011" xr:uid="{00000000-0005-0000-0000-0000F6AA0000}"/>
    <cellStyle name="Normal 8 5 13 3" xfId="4900" xr:uid="{00000000-0005-0000-0000-0000F7AA0000}"/>
    <cellStyle name="Normal 8 5 13 3 2" xfId="8771" xr:uid="{00000000-0005-0000-0000-0000F8AA0000}"/>
    <cellStyle name="Normal 8 5 13 3 2 2" xfId="16516" xr:uid="{00000000-0005-0000-0000-0000F9AA0000}"/>
    <cellStyle name="Normal 8 5 13 3 2 2 2" xfId="32108" xr:uid="{00000000-0005-0000-0000-0000FAAA0000}"/>
    <cellStyle name="Normal 8 5 13 3 2 2 3" xfId="47600" xr:uid="{00000000-0005-0000-0000-0000FBAA0000}"/>
    <cellStyle name="Normal 8 5 13 3 2 3" xfId="24368" xr:uid="{00000000-0005-0000-0000-0000FCAA0000}"/>
    <cellStyle name="Normal 8 5 13 3 2 4" xfId="39860" xr:uid="{00000000-0005-0000-0000-0000FDAA0000}"/>
    <cellStyle name="Normal 8 5 13 3 3" xfId="12646" xr:uid="{00000000-0005-0000-0000-0000FEAA0000}"/>
    <cellStyle name="Normal 8 5 13 3 3 2" xfId="28238" xr:uid="{00000000-0005-0000-0000-0000FFAA0000}"/>
    <cellStyle name="Normal 8 5 13 3 3 3" xfId="43730" xr:uid="{00000000-0005-0000-0000-000000AB0000}"/>
    <cellStyle name="Normal 8 5 13 3 4" xfId="20498" xr:uid="{00000000-0005-0000-0000-000001AB0000}"/>
    <cellStyle name="Normal 8 5 13 3 5" xfId="35990" xr:uid="{00000000-0005-0000-0000-000002AB0000}"/>
    <cellStyle name="Normal 8 5 13 4" xfId="6844" xr:uid="{00000000-0005-0000-0000-000003AB0000}"/>
    <cellStyle name="Normal 8 5 13 4 2" xfId="14589" xr:uid="{00000000-0005-0000-0000-000004AB0000}"/>
    <cellStyle name="Normal 8 5 13 4 2 2" xfId="30181" xr:uid="{00000000-0005-0000-0000-000005AB0000}"/>
    <cellStyle name="Normal 8 5 13 4 2 3" xfId="45673" xr:uid="{00000000-0005-0000-0000-000006AB0000}"/>
    <cellStyle name="Normal 8 5 13 4 3" xfId="22441" xr:uid="{00000000-0005-0000-0000-000007AB0000}"/>
    <cellStyle name="Normal 8 5 13 4 4" xfId="37933" xr:uid="{00000000-0005-0000-0000-000008AB0000}"/>
    <cellStyle name="Normal 8 5 13 5" xfId="10719" xr:uid="{00000000-0005-0000-0000-000009AB0000}"/>
    <cellStyle name="Normal 8 5 13 5 2" xfId="26311" xr:uid="{00000000-0005-0000-0000-00000AAB0000}"/>
    <cellStyle name="Normal 8 5 13 5 3" xfId="41803" xr:uid="{00000000-0005-0000-0000-00000BAB0000}"/>
    <cellStyle name="Normal 8 5 13 6" xfId="18571" xr:uid="{00000000-0005-0000-0000-00000CAB0000}"/>
    <cellStyle name="Normal 8 5 13 7" xfId="34063" xr:uid="{00000000-0005-0000-0000-00000DAB0000}"/>
    <cellStyle name="Normal 8 5 14" xfId="2941" xr:uid="{00000000-0005-0000-0000-00000EAB0000}"/>
    <cellStyle name="Normal 8 5 14 2" xfId="3945" xr:uid="{00000000-0005-0000-0000-00000FAB0000}"/>
    <cellStyle name="Normal 8 5 14 2 2" xfId="5884" xr:uid="{00000000-0005-0000-0000-000010AB0000}"/>
    <cellStyle name="Normal 8 5 14 2 2 2" xfId="9755" xr:uid="{00000000-0005-0000-0000-000011AB0000}"/>
    <cellStyle name="Normal 8 5 14 2 2 2 2" xfId="17500" xr:uid="{00000000-0005-0000-0000-000012AB0000}"/>
    <cellStyle name="Normal 8 5 14 2 2 2 2 2" xfId="33092" xr:uid="{00000000-0005-0000-0000-000013AB0000}"/>
    <cellStyle name="Normal 8 5 14 2 2 2 2 3" xfId="48584" xr:uid="{00000000-0005-0000-0000-000014AB0000}"/>
    <cellStyle name="Normal 8 5 14 2 2 2 3" xfId="25352" xr:uid="{00000000-0005-0000-0000-000015AB0000}"/>
    <cellStyle name="Normal 8 5 14 2 2 2 4" xfId="40844" xr:uid="{00000000-0005-0000-0000-000016AB0000}"/>
    <cellStyle name="Normal 8 5 14 2 2 3" xfId="13630" xr:uid="{00000000-0005-0000-0000-000017AB0000}"/>
    <cellStyle name="Normal 8 5 14 2 2 3 2" xfId="29222" xr:uid="{00000000-0005-0000-0000-000018AB0000}"/>
    <cellStyle name="Normal 8 5 14 2 2 3 3" xfId="44714" xr:uid="{00000000-0005-0000-0000-000019AB0000}"/>
    <cellStyle name="Normal 8 5 14 2 2 4" xfId="21482" xr:uid="{00000000-0005-0000-0000-00001AAB0000}"/>
    <cellStyle name="Normal 8 5 14 2 2 5" xfId="36974" xr:uid="{00000000-0005-0000-0000-00001BAB0000}"/>
    <cellStyle name="Normal 8 5 14 2 3" xfId="7828" xr:uid="{00000000-0005-0000-0000-00001CAB0000}"/>
    <cellStyle name="Normal 8 5 14 2 3 2" xfId="15573" xr:uid="{00000000-0005-0000-0000-00001DAB0000}"/>
    <cellStyle name="Normal 8 5 14 2 3 2 2" xfId="31165" xr:uid="{00000000-0005-0000-0000-00001EAB0000}"/>
    <cellStyle name="Normal 8 5 14 2 3 2 3" xfId="46657" xr:uid="{00000000-0005-0000-0000-00001FAB0000}"/>
    <cellStyle name="Normal 8 5 14 2 3 3" xfId="23425" xr:uid="{00000000-0005-0000-0000-000020AB0000}"/>
    <cellStyle name="Normal 8 5 14 2 3 4" xfId="38917" xr:uid="{00000000-0005-0000-0000-000021AB0000}"/>
    <cellStyle name="Normal 8 5 14 2 4" xfId="11703" xr:uid="{00000000-0005-0000-0000-000022AB0000}"/>
    <cellStyle name="Normal 8 5 14 2 4 2" xfId="27295" xr:uid="{00000000-0005-0000-0000-000023AB0000}"/>
    <cellStyle name="Normal 8 5 14 2 4 3" xfId="42787" xr:uid="{00000000-0005-0000-0000-000024AB0000}"/>
    <cellStyle name="Normal 8 5 14 2 5" xfId="19555" xr:uid="{00000000-0005-0000-0000-000025AB0000}"/>
    <cellStyle name="Normal 8 5 14 2 6" xfId="35047" xr:uid="{00000000-0005-0000-0000-000026AB0000}"/>
    <cellStyle name="Normal 8 5 14 3" xfId="4936" xr:uid="{00000000-0005-0000-0000-000027AB0000}"/>
    <cellStyle name="Normal 8 5 14 3 2" xfId="8807" xr:uid="{00000000-0005-0000-0000-000028AB0000}"/>
    <cellStyle name="Normal 8 5 14 3 2 2" xfId="16552" xr:uid="{00000000-0005-0000-0000-000029AB0000}"/>
    <cellStyle name="Normal 8 5 14 3 2 2 2" xfId="32144" xr:uid="{00000000-0005-0000-0000-00002AAB0000}"/>
    <cellStyle name="Normal 8 5 14 3 2 2 3" xfId="47636" xr:uid="{00000000-0005-0000-0000-00002BAB0000}"/>
    <cellStyle name="Normal 8 5 14 3 2 3" xfId="24404" xr:uid="{00000000-0005-0000-0000-00002CAB0000}"/>
    <cellStyle name="Normal 8 5 14 3 2 4" xfId="39896" xr:uid="{00000000-0005-0000-0000-00002DAB0000}"/>
    <cellStyle name="Normal 8 5 14 3 3" xfId="12682" xr:uid="{00000000-0005-0000-0000-00002EAB0000}"/>
    <cellStyle name="Normal 8 5 14 3 3 2" xfId="28274" xr:uid="{00000000-0005-0000-0000-00002FAB0000}"/>
    <cellStyle name="Normal 8 5 14 3 3 3" xfId="43766" xr:uid="{00000000-0005-0000-0000-000030AB0000}"/>
    <cellStyle name="Normal 8 5 14 3 4" xfId="20534" xr:uid="{00000000-0005-0000-0000-000031AB0000}"/>
    <cellStyle name="Normal 8 5 14 3 5" xfId="36026" xr:uid="{00000000-0005-0000-0000-000032AB0000}"/>
    <cellStyle name="Normal 8 5 14 4" xfId="6880" xr:uid="{00000000-0005-0000-0000-000033AB0000}"/>
    <cellStyle name="Normal 8 5 14 4 2" xfId="14625" xr:uid="{00000000-0005-0000-0000-000034AB0000}"/>
    <cellStyle name="Normal 8 5 14 4 2 2" xfId="30217" xr:uid="{00000000-0005-0000-0000-000035AB0000}"/>
    <cellStyle name="Normal 8 5 14 4 2 3" xfId="45709" xr:uid="{00000000-0005-0000-0000-000036AB0000}"/>
    <cellStyle name="Normal 8 5 14 4 3" xfId="22477" xr:uid="{00000000-0005-0000-0000-000037AB0000}"/>
    <cellStyle name="Normal 8 5 14 4 4" xfId="37969" xr:uid="{00000000-0005-0000-0000-000038AB0000}"/>
    <cellStyle name="Normal 8 5 14 5" xfId="10755" xr:uid="{00000000-0005-0000-0000-000039AB0000}"/>
    <cellStyle name="Normal 8 5 14 5 2" xfId="26347" xr:uid="{00000000-0005-0000-0000-00003AAB0000}"/>
    <cellStyle name="Normal 8 5 14 5 3" xfId="41839" xr:uid="{00000000-0005-0000-0000-00003BAB0000}"/>
    <cellStyle name="Normal 8 5 14 6" xfId="18607" xr:uid="{00000000-0005-0000-0000-00003CAB0000}"/>
    <cellStyle name="Normal 8 5 14 7" xfId="34099" xr:uid="{00000000-0005-0000-0000-00003DAB0000}"/>
    <cellStyle name="Normal 8 5 15" xfId="2980" xr:uid="{00000000-0005-0000-0000-00003EAB0000}"/>
    <cellStyle name="Normal 8 5 15 2" xfId="3981" xr:uid="{00000000-0005-0000-0000-00003FAB0000}"/>
    <cellStyle name="Normal 8 5 15 2 2" xfId="5920" xr:uid="{00000000-0005-0000-0000-000040AB0000}"/>
    <cellStyle name="Normal 8 5 15 2 2 2" xfId="9791" xr:uid="{00000000-0005-0000-0000-000041AB0000}"/>
    <cellStyle name="Normal 8 5 15 2 2 2 2" xfId="17536" xr:uid="{00000000-0005-0000-0000-000042AB0000}"/>
    <cellStyle name="Normal 8 5 15 2 2 2 2 2" xfId="33128" xr:uid="{00000000-0005-0000-0000-000043AB0000}"/>
    <cellStyle name="Normal 8 5 15 2 2 2 2 3" xfId="48620" xr:uid="{00000000-0005-0000-0000-000044AB0000}"/>
    <cellStyle name="Normal 8 5 15 2 2 2 3" xfId="25388" xr:uid="{00000000-0005-0000-0000-000045AB0000}"/>
    <cellStyle name="Normal 8 5 15 2 2 2 4" xfId="40880" xr:uid="{00000000-0005-0000-0000-000046AB0000}"/>
    <cellStyle name="Normal 8 5 15 2 2 3" xfId="13666" xr:uid="{00000000-0005-0000-0000-000047AB0000}"/>
    <cellStyle name="Normal 8 5 15 2 2 3 2" xfId="29258" xr:uid="{00000000-0005-0000-0000-000048AB0000}"/>
    <cellStyle name="Normal 8 5 15 2 2 3 3" xfId="44750" xr:uid="{00000000-0005-0000-0000-000049AB0000}"/>
    <cellStyle name="Normal 8 5 15 2 2 4" xfId="21518" xr:uid="{00000000-0005-0000-0000-00004AAB0000}"/>
    <cellStyle name="Normal 8 5 15 2 2 5" xfId="37010" xr:uid="{00000000-0005-0000-0000-00004BAB0000}"/>
    <cellStyle name="Normal 8 5 15 2 3" xfId="7864" xr:uid="{00000000-0005-0000-0000-00004CAB0000}"/>
    <cellStyle name="Normal 8 5 15 2 3 2" xfId="15609" xr:uid="{00000000-0005-0000-0000-00004DAB0000}"/>
    <cellStyle name="Normal 8 5 15 2 3 2 2" xfId="31201" xr:uid="{00000000-0005-0000-0000-00004EAB0000}"/>
    <cellStyle name="Normal 8 5 15 2 3 2 3" xfId="46693" xr:uid="{00000000-0005-0000-0000-00004FAB0000}"/>
    <cellStyle name="Normal 8 5 15 2 3 3" xfId="23461" xr:uid="{00000000-0005-0000-0000-000050AB0000}"/>
    <cellStyle name="Normal 8 5 15 2 3 4" xfId="38953" xr:uid="{00000000-0005-0000-0000-000051AB0000}"/>
    <cellStyle name="Normal 8 5 15 2 4" xfId="11739" xr:uid="{00000000-0005-0000-0000-000052AB0000}"/>
    <cellStyle name="Normal 8 5 15 2 4 2" xfId="27331" xr:uid="{00000000-0005-0000-0000-000053AB0000}"/>
    <cellStyle name="Normal 8 5 15 2 4 3" xfId="42823" xr:uid="{00000000-0005-0000-0000-000054AB0000}"/>
    <cellStyle name="Normal 8 5 15 2 5" xfId="19591" xr:uid="{00000000-0005-0000-0000-000055AB0000}"/>
    <cellStyle name="Normal 8 5 15 2 6" xfId="35083" xr:uid="{00000000-0005-0000-0000-000056AB0000}"/>
    <cellStyle name="Normal 8 5 15 3" xfId="4972" xr:uid="{00000000-0005-0000-0000-000057AB0000}"/>
    <cellStyle name="Normal 8 5 15 3 2" xfId="8843" xr:uid="{00000000-0005-0000-0000-000058AB0000}"/>
    <cellStyle name="Normal 8 5 15 3 2 2" xfId="16588" xr:uid="{00000000-0005-0000-0000-000059AB0000}"/>
    <cellStyle name="Normal 8 5 15 3 2 2 2" xfId="32180" xr:uid="{00000000-0005-0000-0000-00005AAB0000}"/>
    <cellStyle name="Normal 8 5 15 3 2 2 3" xfId="47672" xr:uid="{00000000-0005-0000-0000-00005BAB0000}"/>
    <cellStyle name="Normal 8 5 15 3 2 3" xfId="24440" xr:uid="{00000000-0005-0000-0000-00005CAB0000}"/>
    <cellStyle name="Normal 8 5 15 3 2 4" xfId="39932" xr:uid="{00000000-0005-0000-0000-00005DAB0000}"/>
    <cellStyle name="Normal 8 5 15 3 3" xfId="12718" xr:uid="{00000000-0005-0000-0000-00005EAB0000}"/>
    <cellStyle name="Normal 8 5 15 3 3 2" xfId="28310" xr:uid="{00000000-0005-0000-0000-00005FAB0000}"/>
    <cellStyle name="Normal 8 5 15 3 3 3" xfId="43802" xr:uid="{00000000-0005-0000-0000-000060AB0000}"/>
    <cellStyle name="Normal 8 5 15 3 4" xfId="20570" xr:uid="{00000000-0005-0000-0000-000061AB0000}"/>
    <cellStyle name="Normal 8 5 15 3 5" xfId="36062" xr:uid="{00000000-0005-0000-0000-000062AB0000}"/>
    <cellStyle name="Normal 8 5 15 4" xfId="6916" xr:uid="{00000000-0005-0000-0000-000063AB0000}"/>
    <cellStyle name="Normal 8 5 15 4 2" xfId="14661" xr:uid="{00000000-0005-0000-0000-000064AB0000}"/>
    <cellStyle name="Normal 8 5 15 4 2 2" xfId="30253" xr:uid="{00000000-0005-0000-0000-000065AB0000}"/>
    <cellStyle name="Normal 8 5 15 4 2 3" xfId="45745" xr:uid="{00000000-0005-0000-0000-000066AB0000}"/>
    <cellStyle name="Normal 8 5 15 4 3" xfId="22513" xr:uid="{00000000-0005-0000-0000-000067AB0000}"/>
    <cellStyle name="Normal 8 5 15 4 4" xfId="38005" xr:uid="{00000000-0005-0000-0000-000068AB0000}"/>
    <cellStyle name="Normal 8 5 15 5" xfId="10791" xr:uid="{00000000-0005-0000-0000-000069AB0000}"/>
    <cellStyle name="Normal 8 5 15 5 2" xfId="26383" xr:uid="{00000000-0005-0000-0000-00006AAB0000}"/>
    <cellStyle name="Normal 8 5 15 5 3" xfId="41875" xr:uid="{00000000-0005-0000-0000-00006BAB0000}"/>
    <cellStyle name="Normal 8 5 15 6" xfId="18643" xr:uid="{00000000-0005-0000-0000-00006CAB0000}"/>
    <cellStyle name="Normal 8 5 15 7" xfId="34135" xr:uid="{00000000-0005-0000-0000-00006DAB0000}"/>
    <cellStyle name="Normal 8 5 16" xfId="3020" xr:uid="{00000000-0005-0000-0000-00006EAB0000}"/>
    <cellStyle name="Normal 8 5 16 2" xfId="4017" xr:uid="{00000000-0005-0000-0000-00006FAB0000}"/>
    <cellStyle name="Normal 8 5 16 2 2" xfId="5956" xr:uid="{00000000-0005-0000-0000-000070AB0000}"/>
    <cellStyle name="Normal 8 5 16 2 2 2" xfId="9827" xr:uid="{00000000-0005-0000-0000-000071AB0000}"/>
    <cellStyle name="Normal 8 5 16 2 2 2 2" xfId="17572" xr:uid="{00000000-0005-0000-0000-000072AB0000}"/>
    <cellStyle name="Normal 8 5 16 2 2 2 2 2" xfId="33164" xr:uid="{00000000-0005-0000-0000-000073AB0000}"/>
    <cellStyle name="Normal 8 5 16 2 2 2 2 3" xfId="48656" xr:uid="{00000000-0005-0000-0000-000074AB0000}"/>
    <cellStyle name="Normal 8 5 16 2 2 2 3" xfId="25424" xr:uid="{00000000-0005-0000-0000-000075AB0000}"/>
    <cellStyle name="Normal 8 5 16 2 2 2 4" xfId="40916" xr:uid="{00000000-0005-0000-0000-000076AB0000}"/>
    <cellStyle name="Normal 8 5 16 2 2 3" xfId="13702" xr:uid="{00000000-0005-0000-0000-000077AB0000}"/>
    <cellStyle name="Normal 8 5 16 2 2 3 2" xfId="29294" xr:uid="{00000000-0005-0000-0000-000078AB0000}"/>
    <cellStyle name="Normal 8 5 16 2 2 3 3" xfId="44786" xr:uid="{00000000-0005-0000-0000-000079AB0000}"/>
    <cellStyle name="Normal 8 5 16 2 2 4" xfId="21554" xr:uid="{00000000-0005-0000-0000-00007AAB0000}"/>
    <cellStyle name="Normal 8 5 16 2 2 5" xfId="37046" xr:uid="{00000000-0005-0000-0000-00007BAB0000}"/>
    <cellStyle name="Normal 8 5 16 2 3" xfId="7900" xr:uid="{00000000-0005-0000-0000-00007CAB0000}"/>
    <cellStyle name="Normal 8 5 16 2 3 2" xfId="15645" xr:uid="{00000000-0005-0000-0000-00007DAB0000}"/>
    <cellStyle name="Normal 8 5 16 2 3 2 2" xfId="31237" xr:uid="{00000000-0005-0000-0000-00007EAB0000}"/>
    <cellStyle name="Normal 8 5 16 2 3 2 3" xfId="46729" xr:uid="{00000000-0005-0000-0000-00007FAB0000}"/>
    <cellStyle name="Normal 8 5 16 2 3 3" xfId="23497" xr:uid="{00000000-0005-0000-0000-000080AB0000}"/>
    <cellStyle name="Normal 8 5 16 2 3 4" xfId="38989" xr:uid="{00000000-0005-0000-0000-000081AB0000}"/>
    <cellStyle name="Normal 8 5 16 2 4" xfId="11775" xr:uid="{00000000-0005-0000-0000-000082AB0000}"/>
    <cellStyle name="Normal 8 5 16 2 4 2" xfId="27367" xr:uid="{00000000-0005-0000-0000-000083AB0000}"/>
    <cellStyle name="Normal 8 5 16 2 4 3" xfId="42859" xr:uid="{00000000-0005-0000-0000-000084AB0000}"/>
    <cellStyle name="Normal 8 5 16 2 5" xfId="19627" xr:uid="{00000000-0005-0000-0000-000085AB0000}"/>
    <cellStyle name="Normal 8 5 16 2 6" xfId="35119" xr:uid="{00000000-0005-0000-0000-000086AB0000}"/>
    <cellStyle name="Normal 8 5 16 3" xfId="5008" xr:uid="{00000000-0005-0000-0000-000087AB0000}"/>
    <cellStyle name="Normal 8 5 16 3 2" xfId="8879" xr:uid="{00000000-0005-0000-0000-000088AB0000}"/>
    <cellStyle name="Normal 8 5 16 3 2 2" xfId="16624" xr:uid="{00000000-0005-0000-0000-000089AB0000}"/>
    <cellStyle name="Normal 8 5 16 3 2 2 2" xfId="32216" xr:uid="{00000000-0005-0000-0000-00008AAB0000}"/>
    <cellStyle name="Normal 8 5 16 3 2 2 3" xfId="47708" xr:uid="{00000000-0005-0000-0000-00008BAB0000}"/>
    <cellStyle name="Normal 8 5 16 3 2 3" xfId="24476" xr:uid="{00000000-0005-0000-0000-00008CAB0000}"/>
    <cellStyle name="Normal 8 5 16 3 2 4" xfId="39968" xr:uid="{00000000-0005-0000-0000-00008DAB0000}"/>
    <cellStyle name="Normal 8 5 16 3 3" xfId="12754" xr:uid="{00000000-0005-0000-0000-00008EAB0000}"/>
    <cellStyle name="Normal 8 5 16 3 3 2" xfId="28346" xr:uid="{00000000-0005-0000-0000-00008FAB0000}"/>
    <cellStyle name="Normal 8 5 16 3 3 3" xfId="43838" xr:uid="{00000000-0005-0000-0000-000090AB0000}"/>
    <cellStyle name="Normal 8 5 16 3 4" xfId="20606" xr:uid="{00000000-0005-0000-0000-000091AB0000}"/>
    <cellStyle name="Normal 8 5 16 3 5" xfId="36098" xr:uid="{00000000-0005-0000-0000-000092AB0000}"/>
    <cellStyle name="Normal 8 5 16 4" xfId="6952" xr:uid="{00000000-0005-0000-0000-000093AB0000}"/>
    <cellStyle name="Normal 8 5 16 4 2" xfId="14697" xr:uid="{00000000-0005-0000-0000-000094AB0000}"/>
    <cellStyle name="Normal 8 5 16 4 2 2" xfId="30289" xr:uid="{00000000-0005-0000-0000-000095AB0000}"/>
    <cellStyle name="Normal 8 5 16 4 2 3" xfId="45781" xr:uid="{00000000-0005-0000-0000-000096AB0000}"/>
    <cellStyle name="Normal 8 5 16 4 3" xfId="22549" xr:uid="{00000000-0005-0000-0000-000097AB0000}"/>
    <cellStyle name="Normal 8 5 16 4 4" xfId="38041" xr:uid="{00000000-0005-0000-0000-000098AB0000}"/>
    <cellStyle name="Normal 8 5 16 5" xfId="10827" xr:uid="{00000000-0005-0000-0000-000099AB0000}"/>
    <cellStyle name="Normal 8 5 16 5 2" xfId="26419" xr:uid="{00000000-0005-0000-0000-00009AAB0000}"/>
    <cellStyle name="Normal 8 5 16 5 3" xfId="41911" xr:uid="{00000000-0005-0000-0000-00009BAB0000}"/>
    <cellStyle name="Normal 8 5 16 6" xfId="18679" xr:uid="{00000000-0005-0000-0000-00009CAB0000}"/>
    <cellStyle name="Normal 8 5 16 7" xfId="34171" xr:uid="{00000000-0005-0000-0000-00009DAB0000}"/>
    <cellStyle name="Normal 8 5 17" xfId="3058" xr:uid="{00000000-0005-0000-0000-00009EAB0000}"/>
    <cellStyle name="Normal 8 5 17 2" xfId="4053" xr:uid="{00000000-0005-0000-0000-00009FAB0000}"/>
    <cellStyle name="Normal 8 5 17 2 2" xfId="5992" xr:uid="{00000000-0005-0000-0000-0000A0AB0000}"/>
    <cellStyle name="Normal 8 5 17 2 2 2" xfId="9863" xr:uid="{00000000-0005-0000-0000-0000A1AB0000}"/>
    <cellStyle name="Normal 8 5 17 2 2 2 2" xfId="17608" xr:uid="{00000000-0005-0000-0000-0000A2AB0000}"/>
    <cellStyle name="Normal 8 5 17 2 2 2 2 2" xfId="33200" xr:uid="{00000000-0005-0000-0000-0000A3AB0000}"/>
    <cellStyle name="Normal 8 5 17 2 2 2 2 3" xfId="48692" xr:uid="{00000000-0005-0000-0000-0000A4AB0000}"/>
    <cellStyle name="Normal 8 5 17 2 2 2 3" xfId="25460" xr:uid="{00000000-0005-0000-0000-0000A5AB0000}"/>
    <cellStyle name="Normal 8 5 17 2 2 2 4" xfId="40952" xr:uid="{00000000-0005-0000-0000-0000A6AB0000}"/>
    <cellStyle name="Normal 8 5 17 2 2 3" xfId="13738" xr:uid="{00000000-0005-0000-0000-0000A7AB0000}"/>
    <cellStyle name="Normal 8 5 17 2 2 3 2" xfId="29330" xr:uid="{00000000-0005-0000-0000-0000A8AB0000}"/>
    <cellStyle name="Normal 8 5 17 2 2 3 3" xfId="44822" xr:uid="{00000000-0005-0000-0000-0000A9AB0000}"/>
    <cellStyle name="Normal 8 5 17 2 2 4" xfId="21590" xr:uid="{00000000-0005-0000-0000-0000AAAB0000}"/>
    <cellStyle name="Normal 8 5 17 2 2 5" xfId="37082" xr:uid="{00000000-0005-0000-0000-0000ABAB0000}"/>
    <cellStyle name="Normal 8 5 17 2 3" xfId="7936" xr:uid="{00000000-0005-0000-0000-0000ACAB0000}"/>
    <cellStyle name="Normal 8 5 17 2 3 2" xfId="15681" xr:uid="{00000000-0005-0000-0000-0000ADAB0000}"/>
    <cellStyle name="Normal 8 5 17 2 3 2 2" xfId="31273" xr:uid="{00000000-0005-0000-0000-0000AEAB0000}"/>
    <cellStyle name="Normal 8 5 17 2 3 2 3" xfId="46765" xr:uid="{00000000-0005-0000-0000-0000AFAB0000}"/>
    <cellStyle name="Normal 8 5 17 2 3 3" xfId="23533" xr:uid="{00000000-0005-0000-0000-0000B0AB0000}"/>
    <cellStyle name="Normal 8 5 17 2 3 4" xfId="39025" xr:uid="{00000000-0005-0000-0000-0000B1AB0000}"/>
    <cellStyle name="Normal 8 5 17 2 4" xfId="11811" xr:uid="{00000000-0005-0000-0000-0000B2AB0000}"/>
    <cellStyle name="Normal 8 5 17 2 4 2" xfId="27403" xr:uid="{00000000-0005-0000-0000-0000B3AB0000}"/>
    <cellStyle name="Normal 8 5 17 2 4 3" xfId="42895" xr:uid="{00000000-0005-0000-0000-0000B4AB0000}"/>
    <cellStyle name="Normal 8 5 17 2 5" xfId="19663" xr:uid="{00000000-0005-0000-0000-0000B5AB0000}"/>
    <cellStyle name="Normal 8 5 17 2 6" xfId="35155" xr:uid="{00000000-0005-0000-0000-0000B6AB0000}"/>
    <cellStyle name="Normal 8 5 17 3" xfId="5044" xr:uid="{00000000-0005-0000-0000-0000B7AB0000}"/>
    <cellStyle name="Normal 8 5 17 3 2" xfId="8915" xr:uid="{00000000-0005-0000-0000-0000B8AB0000}"/>
    <cellStyle name="Normal 8 5 17 3 2 2" xfId="16660" xr:uid="{00000000-0005-0000-0000-0000B9AB0000}"/>
    <cellStyle name="Normal 8 5 17 3 2 2 2" xfId="32252" xr:uid="{00000000-0005-0000-0000-0000BAAB0000}"/>
    <cellStyle name="Normal 8 5 17 3 2 2 3" xfId="47744" xr:uid="{00000000-0005-0000-0000-0000BBAB0000}"/>
    <cellStyle name="Normal 8 5 17 3 2 3" xfId="24512" xr:uid="{00000000-0005-0000-0000-0000BCAB0000}"/>
    <cellStyle name="Normal 8 5 17 3 2 4" xfId="40004" xr:uid="{00000000-0005-0000-0000-0000BDAB0000}"/>
    <cellStyle name="Normal 8 5 17 3 3" xfId="12790" xr:uid="{00000000-0005-0000-0000-0000BEAB0000}"/>
    <cellStyle name="Normal 8 5 17 3 3 2" xfId="28382" xr:uid="{00000000-0005-0000-0000-0000BFAB0000}"/>
    <cellStyle name="Normal 8 5 17 3 3 3" xfId="43874" xr:uid="{00000000-0005-0000-0000-0000C0AB0000}"/>
    <cellStyle name="Normal 8 5 17 3 4" xfId="20642" xr:uid="{00000000-0005-0000-0000-0000C1AB0000}"/>
    <cellStyle name="Normal 8 5 17 3 5" xfId="36134" xr:uid="{00000000-0005-0000-0000-0000C2AB0000}"/>
    <cellStyle name="Normal 8 5 17 4" xfId="6988" xr:uid="{00000000-0005-0000-0000-0000C3AB0000}"/>
    <cellStyle name="Normal 8 5 17 4 2" xfId="14733" xr:uid="{00000000-0005-0000-0000-0000C4AB0000}"/>
    <cellStyle name="Normal 8 5 17 4 2 2" xfId="30325" xr:uid="{00000000-0005-0000-0000-0000C5AB0000}"/>
    <cellStyle name="Normal 8 5 17 4 2 3" xfId="45817" xr:uid="{00000000-0005-0000-0000-0000C6AB0000}"/>
    <cellStyle name="Normal 8 5 17 4 3" xfId="22585" xr:uid="{00000000-0005-0000-0000-0000C7AB0000}"/>
    <cellStyle name="Normal 8 5 17 4 4" xfId="38077" xr:uid="{00000000-0005-0000-0000-0000C8AB0000}"/>
    <cellStyle name="Normal 8 5 17 5" xfId="10863" xr:uid="{00000000-0005-0000-0000-0000C9AB0000}"/>
    <cellStyle name="Normal 8 5 17 5 2" xfId="26455" xr:uid="{00000000-0005-0000-0000-0000CAAB0000}"/>
    <cellStyle name="Normal 8 5 17 5 3" xfId="41947" xr:uid="{00000000-0005-0000-0000-0000CBAB0000}"/>
    <cellStyle name="Normal 8 5 17 6" xfId="18715" xr:uid="{00000000-0005-0000-0000-0000CCAB0000}"/>
    <cellStyle name="Normal 8 5 17 7" xfId="34207" xr:uid="{00000000-0005-0000-0000-0000CDAB0000}"/>
    <cellStyle name="Normal 8 5 18" xfId="3095" xr:uid="{00000000-0005-0000-0000-0000CEAB0000}"/>
    <cellStyle name="Normal 8 5 18 2" xfId="4089" xr:uid="{00000000-0005-0000-0000-0000CFAB0000}"/>
    <cellStyle name="Normal 8 5 18 2 2" xfId="6028" xr:uid="{00000000-0005-0000-0000-0000D0AB0000}"/>
    <cellStyle name="Normal 8 5 18 2 2 2" xfId="9899" xr:uid="{00000000-0005-0000-0000-0000D1AB0000}"/>
    <cellStyle name="Normal 8 5 18 2 2 2 2" xfId="17644" xr:uid="{00000000-0005-0000-0000-0000D2AB0000}"/>
    <cellStyle name="Normal 8 5 18 2 2 2 2 2" xfId="33236" xr:uid="{00000000-0005-0000-0000-0000D3AB0000}"/>
    <cellStyle name="Normal 8 5 18 2 2 2 2 3" xfId="48728" xr:uid="{00000000-0005-0000-0000-0000D4AB0000}"/>
    <cellStyle name="Normal 8 5 18 2 2 2 3" xfId="25496" xr:uid="{00000000-0005-0000-0000-0000D5AB0000}"/>
    <cellStyle name="Normal 8 5 18 2 2 2 4" xfId="40988" xr:uid="{00000000-0005-0000-0000-0000D6AB0000}"/>
    <cellStyle name="Normal 8 5 18 2 2 3" xfId="13774" xr:uid="{00000000-0005-0000-0000-0000D7AB0000}"/>
    <cellStyle name="Normal 8 5 18 2 2 3 2" xfId="29366" xr:uid="{00000000-0005-0000-0000-0000D8AB0000}"/>
    <cellStyle name="Normal 8 5 18 2 2 3 3" xfId="44858" xr:uid="{00000000-0005-0000-0000-0000D9AB0000}"/>
    <cellStyle name="Normal 8 5 18 2 2 4" xfId="21626" xr:uid="{00000000-0005-0000-0000-0000DAAB0000}"/>
    <cellStyle name="Normal 8 5 18 2 2 5" xfId="37118" xr:uid="{00000000-0005-0000-0000-0000DBAB0000}"/>
    <cellStyle name="Normal 8 5 18 2 3" xfId="7972" xr:uid="{00000000-0005-0000-0000-0000DCAB0000}"/>
    <cellStyle name="Normal 8 5 18 2 3 2" xfId="15717" xr:uid="{00000000-0005-0000-0000-0000DDAB0000}"/>
    <cellStyle name="Normal 8 5 18 2 3 2 2" xfId="31309" xr:uid="{00000000-0005-0000-0000-0000DEAB0000}"/>
    <cellStyle name="Normal 8 5 18 2 3 2 3" xfId="46801" xr:uid="{00000000-0005-0000-0000-0000DFAB0000}"/>
    <cellStyle name="Normal 8 5 18 2 3 3" xfId="23569" xr:uid="{00000000-0005-0000-0000-0000E0AB0000}"/>
    <cellStyle name="Normal 8 5 18 2 3 4" xfId="39061" xr:uid="{00000000-0005-0000-0000-0000E1AB0000}"/>
    <cellStyle name="Normal 8 5 18 2 4" xfId="11847" xr:uid="{00000000-0005-0000-0000-0000E2AB0000}"/>
    <cellStyle name="Normal 8 5 18 2 4 2" xfId="27439" xr:uid="{00000000-0005-0000-0000-0000E3AB0000}"/>
    <cellStyle name="Normal 8 5 18 2 4 3" xfId="42931" xr:uid="{00000000-0005-0000-0000-0000E4AB0000}"/>
    <cellStyle name="Normal 8 5 18 2 5" xfId="19699" xr:uid="{00000000-0005-0000-0000-0000E5AB0000}"/>
    <cellStyle name="Normal 8 5 18 2 6" xfId="35191" xr:uid="{00000000-0005-0000-0000-0000E6AB0000}"/>
    <cellStyle name="Normal 8 5 18 3" xfId="5080" xr:uid="{00000000-0005-0000-0000-0000E7AB0000}"/>
    <cellStyle name="Normal 8 5 18 3 2" xfId="8951" xr:uid="{00000000-0005-0000-0000-0000E8AB0000}"/>
    <cellStyle name="Normal 8 5 18 3 2 2" xfId="16696" xr:uid="{00000000-0005-0000-0000-0000E9AB0000}"/>
    <cellStyle name="Normal 8 5 18 3 2 2 2" xfId="32288" xr:uid="{00000000-0005-0000-0000-0000EAAB0000}"/>
    <cellStyle name="Normal 8 5 18 3 2 2 3" xfId="47780" xr:uid="{00000000-0005-0000-0000-0000EBAB0000}"/>
    <cellStyle name="Normal 8 5 18 3 2 3" xfId="24548" xr:uid="{00000000-0005-0000-0000-0000ECAB0000}"/>
    <cellStyle name="Normal 8 5 18 3 2 4" xfId="40040" xr:uid="{00000000-0005-0000-0000-0000EDAB0000}"/>
    <cellStyle name="Normal 8 5 18 3 3" xfId="12826" xr:uid="{00000000-0005-0000-0000-0000EEAB0000}"/>
    <cellStyle name="Normal 8 5 18 3 3 2" xfId="28418" xr:uid="{00000000-0005-0000-0000-0000EFAB0000}"/>
    <cellStyle name="Normal 8 5 18 3 3 3" xfId="43910" xr:uid="{00000000-0005-0000-0000-0000F0AB0000}"/>
    <cellStyle name="Normal 8 5 18 3 4" xfId="20678" xr:uid="{00000000-0005-0000-0000-0000F1AB0000}"/>
    <cellStyle name="Normal 8 5 18 3 5" xfId="36170" xr:uid="{00000000-0005-0000-0000-0000F2AB0000}"/>
    <cellStyle name="Normal 8 5 18 4" xfId="7024" xr:uid="{00000000-0005-0000-0000-0000F3AB0000}"/>
    <cellStyle name="Normal 8 5 18 4 2" xfId="14769" xr:uid="{00000000-0005-0000-0000-0000F4AB0000}"/>
    <cellStyle name="Normal 8 5 18 4 2 2" xfId="30361" xr:uid="{00000000-0005-0000-0000-0000F5AB0000}"/>
    <cellStyle name="Normal 8 5 18 4 2 3" xfId="45853" xr:uid="{00000000-0005-0000-0000-0000F6AB0000}"/>
    <cellStyle name="Normal 8 5 18 4 3" xfId="22621" xr:uid="{00000000-0005-0000-0000-0000F7AB0000}"/>
    <cellStyle name="Normal 8 5 18 4 4" xfId="38113" xr:uid="{00000000-0005-0000-0000-0000F8AB0000}"/>
    <cellStyle name="Normal 8 5 18 5" xfId="10899" xr:uid="{00000000-0005-0000-0000-0000F9AB0000}"/>
    <cellStyle name="Normal 8 5 18 5 2" xfId="26491" xr:uid="{00000000-0005-0000-0000-0000FAAB0000}"/>
    <cellStyle name="Normal 8 5 18 5 3" xfId="41983" xr:uid="{00000000-0005-0000-0000-0000FBAB0000}"/>
    <cellStyle name="Normal 8 5 18 6" xfId="18751" xr:uid="{00000000-0005-0000-0000-0000FCAB0000}"/>
    <cellStyle name="Normal 8 5 18 7" xfId="34243" xr:uid="{00000000-0005-0000-0000-0000FDAB0000}"/>
    <cellStyle name="Normal 8 5 19" xfId="3142" xr:uid="{00000000-0005-0000-0000-0000FEAB0000}"/>
    <cellStyle name="Normal 8 5 19 2" xfId="4125" xr:uid="{00000000-0005-0000-0000-0000FFAB0000}"/>
    <cellStyle name="Normal 8 5 19 2 2" xfId="6064" xr:uid="{00000000-0005-0000-0000-000000AC0000}"/>
    <cellStyle name="Normal 8 5 19 2 2 2" xfId="9935" xr:uid="{00000000-0005-0000-0000-000001AC0000}"/>
    <cellStyle name="Normal 8 5 19 2 2 2 2" xfId="17680" xr:uid="{00000000-0005-0000-0000-000002AC0000}"/>
    <cellStyle name="Normal 8 5 19 2 2 2 2 2" xfId="33272" xr:uid="{00000000-0005-0000-0000-000003AC0000}"/>
    <cellStyle name="Normal 8 5 19 2 2 2 2 3" xfId="48764" xr:uid="{00000000-0005-0000-0000-000004AC0000}"/>
    <cellStyle name="Normal 8 5 19 2 2 2 3" xfId="25532" xr:uid="{00000000-0005-0000-0000-000005AC0000}"/>
    <cellStyle name="Normal 8 5 19 2 2 2 4" xfId="41024" xr:uid="{00000000-0005-0000-0000-000006AC0000}"/>
    <cellStyle name="Normal 8 5 19 2 2 3" xfId="13810" xr:uid="{00000000-0005-0000-0000-000007AC0000}"/>
    <cellStyle name="Normal 8 5 19 2 2 3 2" xfId="29402" xr:uid="{00000000-0005-0000-0000-000008AC0000}"/>
    <cellStyle name="Normal 8 5 19 2 2 3 3" xfId="44894" xr:uid="{00000000-0005-0000-0000-000009AC0000}"/>
    <cellStyle name="Normal 8 5 19 2 2 4" xfId="21662" xr:uid="{00000000-0005-0000-0000-00000AAC0000}"/>
    <cellStyle name="Normal 8 5 19 2 2 5" xfId="37154" xr:uid="{00000000-0005-0000-0000-00000BAC0000}"/>
    <cellStyle name="Normal 8 5 19 2 3" xfId="8008" xr:uid="{00000000-0005-0000-0000-00000CAC0000}"/>
    <cellStyle name="Normal 8 5 19 2 3 2" xfId="15753" xr:uid="{00000000-0005-0000-0000-00000DAC0000}"/>
    <cellStyle name="Normal 8 5 19 2 3 2 2" xfId="31345" xr:uid="{00000000-0005-0000-0000-00000EAC0000}"/>
    <cellStyle name="Normal 8 5 19 2 3 2 3" xfId="46837" xr:uid="{00000000-0005-0000-0000-00000FAC0000}"/>
    <cellStyle name="Normal 8 5 19 2 3 3" xfId="23605" xr:uid="{00000000-0005-0000-0000-000010AC0000}"/>
    <cellStyle name="Normal 8 5 19 2 3 4" xfId="39097" xr:uid="{00000000-0005-0000-0000-000011AC0000}"/>
    <cellStyle name="Normal 8 5 19 2 4" xfId="11883" xr:uid="{00000000-0005-0000-0000-000012AC0000}"/>
    <cellStyle name="Normal 8 5 19 2 4 2" xfId="27475" xr:uid="{00000000-0005-0000-0000-000013AC0000}"/>
    <cellStyle name="Normal 8 5 19 2 4 3" xfId="42967" xr:uid="{00000000-0005-0000-0000-000014AC0000}"/>
    <cellStyle name="Normal 8 5 19 2 5" xfId="19735" xr:uid="{00000000-0005-0000-0000-000015AC0000}"/>
    <cellStyle name="Normal 8 5 19 2 6" xfId="35227" xr:uid="{00000000-0005-0000-0000-000016AC0000}"/>
    <cellStyle name="Normal 8 5 19 3" xfId="5116" xr:uid="{00000000-0005-0000-0000-000017AC0000}"/>
    <cellStyle name="Normal 8 5 19 3 2" xfId="8987" xr:uid="{00000000-0005-0000-0000-000018AC0000}"/>
    <cellStyle name="Normal 8 5 19 3 2 2" xfId="16732" xr:uid="{00000000-0005-0000-0000-000019AC0000}"/>
    <cellStyle name="Normal 8 5 19 3 2 2 2" xfId="32324" xr:uid="{00000000-0005-0000-0000-00001AAC0000}"/>
    <cellStyle name="Normal 8 5 19 3 2 2 3" xfId="47816" xr:uid="{00000000-0005-0000-0000-00001BAC0000}"/>
    <cellStyle name="Normal 8 5 19 3 2 3" xfId="24584" xr:uid="{00000000-0005-0000-0000-00001CAC0000}"/>
    <cellStyle name="Normal 8 5 19 3 2 4" xfId="40076" xr:uid="{00000000-0005-0000-0000-00001DAC0000}"/>
    <cellStyle name="Normal 8 5 19 3 3" xfId="12862" xr:uid="{00000000-0005-0000-0000-00001EAC0000}"/>
    <cellStyle name="Normal 8 5 19 3 3 2" xfId="28454" xr:uid="{00000000-0005-0000-0000-00001FAC0000}"/>
    <cellStyle name="Normal 8 5 19 3 3 3" xfId="43946" xr:uid="{00000000-0005-0000-0000-000020AC0000}"/>
    <cellStyle name="Normal 8 5 19 3 4" xfId="20714" xr:uid="{00000000-0005-0000-0000-000021AC0000}"/>
    <cellStyle name="Normal 8 5 19 3 5" xfId="36206" xr:uid="{00000000-0005-0000-0000-000022AC0000}"/>
    <cellStyle name="Normal 8 5 19 4" xfId="7060" xr:uid="{00000000-0005-0000-0000-000023AC0000}"/>
    <cellStyle name="Normal 8 5 19 4 2" xfId="14805" xr:uid="{00000000-0005-0000-0000-000024AC0000}"/>
    <cellStyle name="Normal 8 5 19 4 2 2" xfId="30397" xr:uid="{00000000-0005-0000-0000-000025AC0000}"/>
    <cellStyle name="Normal 8 5 19 4 2 3" xfId="45889" xr:uid="{00000000-0005-0000-0000-000026AC0000}"/>
    <cellStyle name="Normal 8 5 19 4 3" xfId="22657" xr:uid="{00000000-0005-0000-0000-000027AC0000}"/>
    <cellStyle name="Normal 8 5 19 4 4" xfId="38149" xr:uid="{00000000-0005-0000-0000-000028AC0000}"/>
    <cellStyle name="Normal 8 5 19 5" xfId="10935" xr:uid="{00000000-0005-0000-0000-000029AC0000}"/>
    <cellStyle name="Normal 8 5 19 5 2" xfId="26527" xr:uid="{00000000-0005-0000-0000-00002AAC0000}"/>
    <cellStyle name="Normal 8 5 19 5 3" xfId="42019" xr:uid="{00000000-0005-0000-0000-00002BAC0000}"/>
    <cellStyle name="Normal 8 5 19 6" xfId="18787" xr:uid="{00000000-0005-0000-0000-00002CAC0000}"/>
    <cellStyle name="Normal 8 5 19 7" xfId="34279" xr:uid="{00000000-0005-0000-0000-00002DAC0000}"/>
    <cellStyle name="Normal 8 5 2" xfId="2205" xr:uid="{00000000-0005-0000-0000-00002EAC0000}"/>
    <cellStyle name="Normal 8 5 2 2" xfId="2537" xr:uid="{00000000-0005-0000-0000-00002FAC0000}"/>
    <cellStyle name="Normal 8 5 2 2 2" xfId="3545" xr:uid="{00000000-0005-0000-0000-000030AC0000}"/>
    <cellStyle name="Normal 8 5 2 2 2 2" xfId="5484" xr:uid="{00000000-0005-0000-0000-000031AC0000}"/>
    <cellStyle name="Normal 8 5 2 2 2 2 2" xfId="9355" xr:uid="{00000000-0005-0000-0000-000032AC0000}"/>
    <cellStyle name="Normal 8 5 2 2 2 2 2 2" xfId="17100" xr:uid="{00000000-0005-0000-0000-000033AC0000}"/>
    <cellStyle name="Normal 8 5 2 2 2 2 2 2 2" xfId="32692" xr:uid="{00000000-0005-0000-0000-000034AC0000}"/>
    <cellStyle name="Normal 8 5 2 2 2 2 2 2 3" xfId="48184" xr:uid="{00000000-0005-0000-0000-000035AC0000}"/>
    <cellStyle name="Normal 8 5 2 2 2 2 2 3" xfId="24952" xr:uid="{00000000-0005-0000-0000-000036AC0000}"/>
    <cellStyle name="Normal 8 5 2 2 2 2 2 4" xfId="40444" xr:uid="{00000000-0005-0000-0000-000037AC0000}"/>
    <cellStyle name="Normal 8 5 2 2 2 2 3" xfId="13230" xr:uid="{00000000-0005-0000-0000-000038AC0000}"/>
    <cellStyle name="Normal 8 5 2 2 2 2 3 2" xfId="28822" xr:uid="{00000000-0005-0000-0000-000039AC0000}"/>
    <cellStyle name="Normal 8 5 2 2 2 2 3 3" xfId="44314" xr:uid="{00000000-0005-0000-0000-00003AAC0000}"/>
    <cellStyle name="Normal 8 5 2 2 2 2 4" xfId="21082" xr:uid="{00000000-0005-0000-0000-00003BAC0000}"/>
    <cellStyle name="Normal 8 5 2 2 2 2 5" xfId="36574" xr:uid="{00000000-0005-0000-0000-00003CAC0000}"/>
    <cellStyle name="Normal 8 5 2 2 2 3" xfId="7428" xr:uid="{00000000-0005-0000-0000-00003DAC0000}"/>
    <cellStyle name="Normal 8 5 2 2 2 3 2" xfId="15173" xr:uid="{00000000-0005-0000-0000-00003EAC0000}"/>
    <cellStyle name="Normal 8 5 2 2 2 3 2 2" xfId="30765" xr:uid="{00000000-0005-0000-0000-00003FAC0000}"/>
    <cellStyle name="Normal 8 5 2 2 2 3 2 3" xfId="46257" xr:uid="{00000000-0005-0000-0000-000040AC0000}"/>
    <cellStyle name="Normal 8 5 2 2 2 3 3" xfId="23025" xr:uid="{00000000-0005-0000-0000-000041AC0000}"/>
    <cellStyle name="Normal 8 5 2 2 2 3 4" xfId="38517" xr:uid="{00000000-0005-0000-0000-000042AC0000}"/>
    <cellStyle name="Normal 8 5 2 2 2 4" xfId="11303" xr:uid="{00000000-0005-0000-0000-000043AC0000}"/>
    <cellStyle name="Normal 8 5 2 2 2 4 2" xfId="26895" xr:uid="{00000000-0005-0000-0000-000044AC0000}"/>
    <cellStyle name="Normal 8 5 2 2 2 4 3" xfId="42387" xr:uid="{00000000-0005-0000-0000-000045AC0000}"/>
    <cellStyle name="Normal 8 5 2 2 2 5" xfId="19155" xr:uid="{00000000-0005-0000-0000-000046AC0000}"/>
    <cellStyle name="Normal 8 5 2 2 2 6" xfId="34647" xr:uid="{00000000-0005-0000-0000-000047AC0000}"/>
    <cellStyle name="Normal 8 5 2 2 3" xfId="4536" xr:uid="{00000000-0005-0000-0000-000048AC0000}"/>
    <cellStyle name="Normal 8 5 2 2 3 2" xfId="8407" xr:uid="{00000000-0005-0000-0000-000049AC0000}"/>
    <cellStyle name="Normal 8 5 2 2 3 2 2" xfId="16152" xr:uid="{00000000-0005-0000-0000-00004AAC0000}"/>
    <cellStyle name="Normal 8 5 2 2 3 2 2 2" xfId="31744" xr:uid="{00000000-0005-0000-0000-00004BAC0000}"/>
    <cellStyle name="Normal 8 5 2 2 3 2 2 3" xfId="47236" xr:uid="{00000000-0005-0000-0000-00004CAC0000}"/>
    <cellStyle name="Normal 8 5 2 2 3 2 3" xfId="24004" xr:uid="{00000000-0005-0000-0000-00004DAC0000}"/>
    <cellStyle name="Normal 8 5 2 2 3 2 4" xfId="39496" xr:uid="{00000000-0005-0000-0000-00004EAC0000}"/>
    <cellStyle name="Normal 8 5 2 2 3 3" xfId="12282" xr:uid="{00000000-0005-0000-0000-00004FAC0000}"/>
    <cellStyle name="Normal 8 5 2 2 3 3 2" xfId="27874" xr:uid="{00000000-0005-0000-0000-000050AC0000}"/>
    <cellStyle name="Normal 8 5 2 2 3 3 3" xfId="43366" xr:uid="{00000000-0005-0000-0000-000051AC0000}"/>
    <cellStyle name="Normal 8 5 2 2 3 4" xfId="20134" xr:uid="{00000000-0005-0000-0000-000052AC0000}"/>
    <cellStyle name="Normal 8 5 2 2 3 5" xfId="35626" xr:uid="{00000000-0005-0000-0000-000053AC0000}"/>
    <cellStyle name="Normal 8 5 2 2 4" xfId="6480" xr:uid="{00000000-0005-0000-0000-000054AC0000}"/>
    <cellStyle name="Normal 8 5 2 2 4 2" xfId="14225" xr:uid="{00000000-0005-0000-0000-000055AC0000}"/>
    <cellStyle name="Normal 8 5 2 2 4 2 2" xfId="29817" xr:uid="{00000000-0005-0000-0000-000056AC0000}"/>
    <cellStyle name="Normal 8 5 2 2 4 2 3" xfId="45309" xr:uid="{00000000-0005-0000-0000-000057AC0000}"/>
    <cellStyle name="Normal 8 5 2 2 4 3" xfId="22077" xr:uid="{00000000-0005-0000-0000-000058AC0000}"/>
    <cellStyle name="Normal 8 5 2 2 4 4" xfId="37569" xr:uid="{00000000-0005-0000-0000-000059AC0000}"/>
    <cellStyle name="Normal 8 5 2 2 5" xfId="10355" xr:uid="{00000000-0005-0000-0000-00005AAC0000}"/>
    <cellStyle name="Normal 8 5 2 2 5 2" xfId="25947" xr:uid="{00000000-0005-0000-0000-00005BAC0000}"/>
    <cellStyle name="Normal 8 5 2 2 5 3" xfId="41439" xr:uid="{00000000-0005-0000-0000-00005CAC0000}"/>
    <cellStyle name="Normal 8 5 2 2 6" xfId="18207" xr:uid="{00000000-0005-0000-0000-00005DAC0000}"/>
    <cellStyle name="Normal 8 5 2 2 7" xfId="33699" xr:uid="{00000000-0005-0000-0000-00005EAC0000}"/>
    <cellStyle name="Normal 8 5 2 3" xfId="3236" xr:uid="{00000000-0005-0000-0000-00005FAC0000}"/>
    <cellStyle name="Normal 8 5 2 3 2" xfId="5175" xr:uid="{00000000-0005-0000-0000-000060AC0000}"/>
    <cellStyle name="Normal 8 5 2 3 2 2" xfId="9046" xr:uid="{00000000-0005-0000-0000-000061AC0000}"/>
    <cellStyle name="Normal 8 5 2 3 2 2 2" xfId="16791" xr:uid="{00000000-0005-0000-0000-000062AC0000}"/>
    <cellStyle name="Normal 8 5 2 3 2 2 2 2" xfId="32383" xr:uid="{00000000-0005-0000-0000-000063AC0000}"/>
    <cellStyle name="Normal 8 5 2 3 2 2 2 3" xfId="47875" xr:uid="{00000000-0005-0000-0000-000064AC0000}"/>
    <cellStyle name="Normal 8 5 2 3 2 2 3" xfId="24643" xr:uid="{00000000-0005-0000-0000-000065AC0000}"/>
    <cellStyle name="Normal 8 5 2 3 2 2 4" xfId="40135" xr:uid="{00000000-0005-0000-0000-000066AC0000}"/>
    <cellStyle name="Normal 8 5 2 3 2 3" xfId="12921" xr:uid="{00000000-0005-0000-0000-000067AC0000}"/>
    <cellStyle name="Normal 8 5 2 3 2 3 2" xfId="28513" xr:uid="{00000000-0005-0000-0000-000068AC0000}"/>
    <cellStyle name="Normal 8 5 2 3 2 3 3" xfId="44005" xr:uid="{00000000-0005-0000-0000-000069AC0000}"/>
    <cellStyle name="Normal 8 5 2 3 2 4" xfId="20773" xr:uid="{00000000-0005-0000-0000-00006AAC0000}"/>
    <cellStyle name="Normal 8 5 2 3 2 5" xfId="36265" xr:uid="{00000000-0005-0000-0000-00006BAC0000}"/>
    <cellStyle name="Normal 8 5 2 3 3" xfId="7119" xr:uid="{00000000-0005-0000-0000-00006CAC0000}"/>
    <cellStyle name="Normal 8 5 2 3 3 2" xfId="14864" xr:uid="{00000000-0005-0000-0000-00006DAC0000}"/>
    <cellStyle name="Normal 8 5 2 3 3 2 2" xfId="30456" xr:uid="{00000000-0005-0000-0000-00006EAC0000}"/>
    <cellStyle name="Normal 8 5 2 3 3 2 3" xfId="45948" xr:uid="{00000000-0005-0000-0000-00006FAC0000}"/>
    <cellStyle name="Normal 8 5 2 3 3 3" xfId="22716" xr:uid="{00000000-0005-0000-0000-000070AC0000}"/>
    <cellStyle name="Normal 8 5 2 3 3 4" xfId="38208" xr:uid="{00000000-0005-0000-0000-000071AC0000}"/>
    <cellStyle name="Normal 8 5 2 3 4" xfId="10994" xr:uid="{00000000-0005-0000-0000-000072AC0000}"/>
    <cellStyle name="Normal 8 5 2 3 4 2" xfId="26586" xr:uid="{00000000-0005-0000-0000-000073AC0000}"/>
    <cellStyle name="Normal 8 5 2 3 4 3" xfId="42078" xr:uid="{00000000-0005-0000-0000-000074AC0000}"/>
    <cellStyle name="Normal 8 5 2 3 5" xfId="18846" xr:uid="{00000000-0005-0000-0000-000075AC0000}"/>
    <cellStyle name="Normal 8 5 2 3 6" xfId="34338" xr:uid="{00000000-0005-0000-0000-000076AC0000}"/>
    <cellStyle name="Normal 8 5 2 4" xfId="4227" xr:uid="{00000000-0005-0000-0000-000077AC0000}"/>
    <cellStyle name="Normal 8 5 2 4 2" xfId="8098" xr:uid="{00000000-0005-0000-0000-000078AC0000}"/>
    <cellStyle name="Normal 8 5 2 4 2 2" xfId="15843" xr:uid="{00000000-0005-0000-0000-000079AC0000}"/>
    <cellStyle name="Normal 8 5 2 4 2 2 2" xfId="31435" xr:uid="{00000000-0005-0000-0000-00007AAC0000}"/>
    <cellStyle name="Normal 8 5 2 4 2 2 3" xfId="46927" xr:uid="{00000000-0005-0000-0000-00007BAC0000}"/>
    <cellStyle name="Normal 8 5 2 4 2 3" xfId="23695" xr:uid="{00000000-0005-0000-0000-00007CAC0000}"/>
    <cellStyle name="Normal 8 5 2 4 2 4" xfId="39187" xr:uid="{00000000-0005-0000-0000-00007DAC0000}"/>
    <cellStyle name="Normal 8 5 2 4 3" xfId="11973" xr:uid="{00000000-0005-0000-0000-00007EAC0000}"/>
    <cellStyle name="Normal 8 5 2 4 3 2" xfId="27565" xr:uid="{00000000-0005-0000-0000-00007FAC0000}"/>
    <cellStyle name="Normal 8 5 2 4 3 3" xfId="43057" xr:uid="{00000000-0005-0000-0000-000080AC0000}"/>
    <cellStyle name="Normal 8 5 2 4 4" xfId="19825" xr:uid="{00000000-0005-0000-0000-000081AC0000}"/>
    <cellStyle name="Normal 8 5 2 4 5" xfId="35317" xr:uid="{00000000-0005-0000-0000-000082AC0000}"/>
    <cellStyle name="Normal 8 5 2 5" xfId="6171" xr:uid="{00000000-0005-0000-0000-000083AC0000}"/>
    <cellStyle name="Normal 8 5 2 5 2" xfId="13916" xr:uid="{00000000-0005-0000-0000-000084AC0000}"/>
    <cellStyle name="Normal 8 5 2 5 2 2" xfId="29508" xr:uid="{00000000-0005-0000-0000-000085AC0000}"/>
    <cellStyle name="Normal 8 5 2 5 2 3" xfId="45000" xr:uid="{00000000-0005-0000-0000-000086AC0000}"/>
    <cellStyle name="Normal 8 5 2 5 3" xfId="21768" xr:uid="{00000000-0005-0000-0000-000087AC0000}"/>
    <cellStyle name="Normal 8 5 2 5 4" xfId="37260" xr:uid="{00000000-0005-0000-0000-000088AC0000}"/>
    <cellStyle name="Normal 8 5 2 6" xfId="10046" xr:uid="{00000000-0005-0000-0000-000089AC0000}"/>
    <cellStyle name="Normal 8 5 2 6 2" xfId="25638" xr:uid="{00000000-0005-0000-0000-00008AAC0000}"/>
    <cellStyle name="Normal 8 5 2 6 3" xfId="41130" xr:uid="{00000000-0005-0000-0000-00008BAC0000}"/>
    <cellStyle name="Normal 8 5 2 7" xfId="17898" xr:uid="{00000000-0005-0000-0000-00008CAC0000}"/>
    <cellStyle name="Normal 8 5 2 8" xfId="33390" xr:uid="{00000000-0005-0000-0000-00008DAC0000}"/>
    <cellStyle name="Normal 8 5 20" xfId="3201" xr:uid="{00000000-0005-0000-0000-00008EAC0000}"/>
    <cellStyle name="Normal 8 5 20 2" xfId="5140" xr:uid="{00000000-0005-0000-0000-00008FAC0000}"/>
    <cellStyle name="Normal 8 5 20 2 2" xfId="9011" xr:uid="{00000000-0005-0000-0000-000090AC0000}"/>
    <cellStyle name="Normal 8 5 20 2 2 2" xfId="16756" xr:uid="{00000000-0005-0000-0000-000091AC0000}"/>
    <cellStyle name="Normal 8 5 20 2 2 2 2" xfId="32348" xr:uid="{00000000-0005-0000-0000-000092AC0000}"/>
    <cellStyle name="Normal 8 5 20 2 2 2 3" xfId="47840" xr:uid="{00000000-0005-0000-0000-000093AC0000}"/>
    <cellStyle name="Normal 8 5 20 2 2 3" xfId="24608" xr:uid="{00000000-0005-0000-0000-000094AC0000}"/>
    <cellStyle name="Normal 8 5 20 2 2 4" xfId="40100" xr:uid="{00000000-0005-0000-0000-000095AC0000}"/>
    <cellStyle name="Normal 8 5 20 2 3" xfId="12886" xr:uid="{00000000-0005-0000-0000-000096AC0000}"/>
    <cellStyle name="Normal 8 5 20 2 3 2" xfId="28478" xr:uid="{00000000-0005-0000-0000-000097AC0000}"/>
    <cellStyle name="Normal 8 5 20 2 3 3" xfId="43970" xr:uid="{00000000-0005-0000-0000-000098AC0000}"/>
    <cellStyle name="Normal 8 5 20 2 4" xfId="20738" xr:uid="{00000000-0005-0000-0000-000099AC0000}"/>
    <cellStyle name="Normal 8 5 20 2 5" xfId="36230" xr:uid="{00000000-0005-0000-0000-00009AAC0000}"/>
    <cellStyle name="Normal 8 5 20 3" xfId="7084" xr:uid="{00000000-0005-0000-0000-00009BAC0000}"/>
    <cellStyle name="Normal 8 5 20 3 2" xfId="14829" xr:uid="{00000000-0005-0000-0000-00009CAC0000}"/>
    <cellStyle name="Normal 8 5 20 3 2 2" xfId="30421" xr:uid="{00000000-0005-0000-0000-00009DAC0000}"/>
    <cellStyle name="Normal 8 5 20 3 2 3" xfId="45913" xr:uid="{00000000-0005-0000-0000-00009EAC0000}"/>
    <cellStyle name="Normal 8 5 20 3 3" xfId="22681" xr:uid="{00000000-0005-0000-0000-00009FAC0000}"/>
    <cellStyle name="Normal 8 5 20 3 4" xfId="38173" xr:uid="{00000000-0005-0000-0000-0000A0AC0000}"/>
    <cellStyle name="Normal 8 5 20 4" xfId="10959" xr:uid="{00000000-0005-0000-0000-0000A1AC0000}"/>
    <cellStyle name="Normal 8 5 20 4 2" xfId="26551" xr:uid="{00000000-0005-0000-0000-0000A2AC0000}"/>
    <cellStyle name="Normal 8 5 20 4 3" xfId="42043" xr:uid="{00000000-0005-0000-0000-0000A3AC0000}"/>
    <cellStyle name="Normal 8 5 20 5" xfId="18811" xr:uid="{00000000-0005-0000-0000-0000A4AC0000}"/>
    <cellStyle name="Normal 8 5 20 6" xfId="34303" xr:uid="{00000000-0005-0000-0000-0000A5AC0000}"/>
    <cellStyle name="Normal 8 5 21" xfId="4146" xr:uid="{00000000-0005-0000-0000-0000A6AC0000}"/>
    <cellStyle name="Normal 8 5 21 2" xfId="6084" xr:uid="{00000000-0005-0000-0000-0000A7AC0000}"/>
    <cellStyle name="Normal 8 5 21 2 2" xfId="9955" xr:uid="{00000000-0005-0000-0000-0000A8AC0000}"/>
    <cellStyle name="Normal 8 5 21 2 2 2" xfId="17700" xr:uid="{00000000-0005-0000-0000-0000A9AC0000}"/>
    <cellStyle name="Normal 8 5 21 2 2 2 2" xfId="33292" xr:uid="{00000000-0005-0000-0000-0000AAAC0000}"/>
    <cellStyle name="Normal 8 5 21 2 2 2 3" xfId="48784" xr:uid="{00000000-0005-0000-0000-0000ABAC0000}"/>
    <cellStyle name="Normal 8 5 21 2 2 3" xfId="25552" xr:uid="{00000000-0005-0000-0000-0000ACAC0000}"/>
    <cellStyle name="Normal 8 5 21 2 2 4" xfId="41044" xr:uid="{00000000-0005-0000-0000-0000ADAC0000}"/>
    <cellStyle name="Normal 8 5 21 2 3" xfId="13830" xr:uid="{00000000-0005-0000-0000-0000AEAC0000}"/>
    <cellStyle name="Normal 8 5 21 2 3 2" xfId="29422" xr:uid="{00000000-0005-0000-0000-0000AFAC0000}"/>
    <cellStyle name="Normal 8 5 21 2 3 3" xfId="44914" xr:uid="{00000000-0005-0000-0000-0000B0AC0000}"/>
    <cellStyle name="Normal 8 5 21 2 4" xfId="21682" xr:uid="{00000000-0005-0000-0000-0000B1AC0000}"/>
    <cellStyle name="Normal 8 5 21 2 5" xfId="37174" xr:uid="{00000000-0005-0000-0000-0000B2AC0000}"/>
    <cellStyle name="Normal 8 5 21 3" xfId="8028" xr:uid="{00000000-0005-0000-0000-0000B3AC0000}"/>
    <cellStyle name="Normal 8 5 21 3 2" xfId="15773" xr:uid="{00000000-0005-0000-0000-0000B4AC0000}"/>
    <cellStyle name="Normal 8 5 21 3 2 2" xfId="31365" xr:uid="{00000000-0005-0000-0000-0000B5AC0000}"/>
    <cellStyle name="Normal 8 5 21 3 2 3" xfId="46857" xr:uid="{00000000-0005-0000-0000-0000B6AC0000}"/>
    <cellStyle name="Normal 8 5 21 3 3" xfId="23625" xr:uid="{00000000-0005-0000-0000-0000B7AC0000}"/>
    <cellStyle name="Normal 8 5 21 3 4" xfId="39117" xr:uid="{00000000-0005-0000-0000-0000B8AC0000}"/>
    <cellStyle name="Normal 8 5 21 4" xfId="11903" xr:uid="{00000000-0005-0000-0000-0000B9AC0000}"/>
    <cellStyle name="Normal 8 5 21 4 2" xfId="27495" xr:uid="{00000000-0005-0000-0000-0000BAAC0000}"/>
    <cellStyle name="Normal 8 5 21 4 3" xfId="42987" xr:uid="{00000000-0005-0000-0000-0000BBAC0000}"/>
    <cellStyle name="Normal 8 5 21 5" xfId="19755" xr:uid="{00000000-0005-0000-0000-0000BCAC0000}"/>
    <cellStyle name="Normal 8 5 21 6" xfId="35247" xr:uid="{00000000-0005-0000-0000-0000BDAC0000}"/>
    <cellStyle name="Normal 8 5 22" xfId="4171" xr:uid="{00000000-0005-0000-0000-0000BEAC0000}"/>
    <cellStyle name="Normal 8 5 22 2" xfId="6100" xr:uid="{00000000-0005-0000-0000-0000BFAC0000}"/>
    <cellStyle name="Normal 8 5 22 2 2" xfId="9971" xr:uid="{00000000-0005-0000-0000-0000C0AC0000}"/>
    <cellStyle name="Normal 8 5 22 2 2 2" xfId="17716" xr:uid="{00000000-0005-0000-0000-0000C1AC0000}"/>
    <cellStyle name="Normal 8 5 22 2 2 2 2" xfId="33308" xr:uid="{00000000-0005-0000-0000-0000C2AC0000}"/>
    <cellStyle name="Normal 8 5 22 2 2 2 3" xfId="48800" xr:uid="{00000000-0005-0000-0000-0000C3AC0000}"/>
    <cellStyle name="Normal 8 5 22 2 2 3" xfId="25568" xr:uid="{00000000-0005-0000-0000-0000C4AC0000}"/>
    <cellStyle name="Normal 8 5 22 2 2 4" xfId="41060" xr:uid="{00000000-0005-0000-0000-0000C5AC0000}"/>
    <cellStyle name="Normal 8 5 22 2 3" xfId="13846" xr:uid="{00000000-0005-0000-0000-0000C6AC0000}"/>
    <cellStyle name="Normal 8 5 22 2 3 2" xfId="29438" xr:uid="{00000000-0005-0000-0000-0000C7AC0000}"/>
    <cellStyle name="Normal 8 5 22 2 3 3" xfId="44930" xr:uid="{00000000-0005-0000-0000-0000C8AC0000}"/>
    <cellStyle name="Normal 8 5 22 2 4" xfId="21698" xr:uid="{00000000-0005-0000-0000-0000C9AC0000}"/>
    <cellStyle name="Normal 8 5 22 2 5" xfId="37190" xr:uid="{00000000-0005-0000-0000-0000CAAC0000}"/>
    <cellStyle name="Normal 8 5 22 3" xfId="8044" xr:uid="{00000000-0005-0000-0000-0000CBAC0000}"/>
    <cellStyle name="Normal 8 5 22 3 2" xfId="15789" xr:uid="{00000000-0005-0000-0000-0000CCAC0000}"/>
    <cellStyle name="Normal 8 5 22 3 2 2" xfId="31381" xr:uid="{00000000-0005-0000-0000-0000CDAC0000}"/>
    <cellStyle name="Normal 8 5 22 3 2 3" xfId="46873" xr:uid="{00000000-0005-0000-0000-0000CEAC0000}"/>
    <cellStyle name="Normal 8 5 22 3 3" xfId="23641" xr:uid="{00000000-0005-0000-0000-0000CFAC0000}"/>
    <cellStyle name="Normal 8 5 22 3 4" xfId="39133" xr:uid="{00000000-0005-0000-0000-0000D0AC0000}"/>
    <cellStyle name="Normal 8 5 22 4" xfId="11919" xr:uid="{00000000-0005-0000-0000-0000D1AC0000}"/>
    <cellStyle name="Normal 8 5 22 4 2" xfId="27511" xr:uid="{00000000-0005-0000-0000-0000D2AC0000}"/>
    <cellStyle name="Normal 8 5 22 4 3" xfId="43003" xr:uid="{00000000-0005-0000-0000-0000D3AC0000}"/>
    <cellStyle name="Normal 8 5 22 5" xfId="19771" xr:uid="{00000000-0005-0000-0000-0000D4AC0000}"/>
    <cellStyle name="Normal 8 5 22 6" xfId="35263" xr:uid="{00000000-0005-0000-0000-0000D5AC0000}"/>
    <cellStyle name="Normal 8 5 23" xfId="4192" xr:uid="{00000000-0005-0000-0000-0000D6AC0000}"/>
    <cellStyle name="Normal 8 5 23 2" xfId="8063" xr:uid="{00000000-0005-0000-0000-0000D7AC0000}"/>
    <cellStyle name="Normal 8 5 23 2 2" xfId="15808" xr:uid="{00000000-0005-0000-0000-0000D8AC0000}"/>
    <cellStyle name="Normal 8 5 23 2 2 2" xfId="31400" xr:uid="{00000000-0005-0000-0000-0000D9AC0000}"/>
    <cellStyle name="Normal 8 5 23 2 2 3" xfId="46892" xr:uid="{00000000-0005-0000-0000-0000DAAC0000}"/>
    <cellStyle name="Normal 8 5 23 2 3" xfId="23660" xr:uid="{00000000-0005-0000-0000-0000DBAC0000}"/>
    <cellStyle name="Normal 8 5 23 2 4" xfId="39152" xr:uid="{00000000-0005-0000-0000-0000DCAC0000}"/>
    <cellStyle name="Normal 8 5 23 3" xfId="11938" xr:uid="{00000000-0005-0000-0000-0000DDAC0000}"/>
    <cellStyle name="Normal 8 5 23 3 2" xfId="27530" xr:uid="{00000000-0005-0000-0000-0000DEAC0000}"/>
    <cellStyle name="Normal 8 5 23 3 3" xfId="43022" xr:uid="{00000000-0005-0000-0000-0000DFAC0000}"/>
    <cellStyle name="Normal 8 5 23 4" xfId="19790" xr:uid="{00000000-0005-0000-0000-0000E0AC0000}"/>
    <cellStyle name="Normal 8 5 23 5" xfId="35282" xr:uid="{00000000-0005-0000-0000-0000E1AC0000}"/>
    <cellStyle name="Normal 8 5 24" xfId="6116" xr:uid="{00000000-0005-0000-0000-0000E2AC0000}"/>
    <cellStyle name="Normal 8 5 24 2" xfId="9986" xr:uid="{00000000-0005-0000-0000-0000E3AC0000}"/>
    <cellStyle name="Normal 8 5 24 2 2" xfId="17731" xr:uid="{00000000-0005-0000-0000-0000E4AC0000}"/>
    <cellStyle name="Normal 8 5 24 2 2 2" xfId="33323" xr:uid="{00000000-0005-0000-0000-0000E5AC0000}"/>
    <cellStyle name="Normal 8 5 24 2 2 3" xfId="48815" xr:uid="{00000000-0005-0000-0000-0000E6AC0000}"/>
    <cellStyle name="Normal 8 5 24 2 3" xfId="25583" xr:uid="{00000000-0005-0000-0000-0000E7AC0000}"/>
    <cellStyle name="Normal 8 5 24 2 4" xfId="41075" xr:uid="{00000000-0005-0000-0000-0000E8AC0000}"/>
    <cellStyle name="Normal 8 5 24 3" xfId="13861" xr:uid="{00000000-0005-0000-0000-0000E9AC0000}"/>
    <cellStyle name="Normal 8 5 24 3 2" xfId="29453" xr:uid="{00000000-0005-0000-0000-0000EAAC0000}"/>
    <cellStyle name="Normal 8 5 24 3 3" xfId="44945" xr:uid="{00000000-0005-0000-0000-0000EBAC0000}"/>
    <cellStyle name="Normal 8 5 24 4" xfId="21713" xr:uid="{00000000-0005-0000-0000-0000ECAC0000}"/>
    <cellStyle name="Normal 8 5 24 5" xfId="37205" xr:uid="{00000000-0005-0000-0000-0000EDAC0000}"/>
    <cellStyle name="Normal 8 5 25" xfId="6136" xr:uid="{00000000-0005-0000-0000-0000EEAC0000}"/>
    <cellStyle name="Normal 8 5 25 2" xfId="13881" xr:uid="{00000000-0005-0000-0000-0000EFAC0000}"/>
    <cellStyle name="Normal 8 5 25 2 2" xfId="29473" xr:uid="{00000000-0005-0000-0000-0000F0AC0000}"/>
    <cellStyle name="Normal 8 5 25 2 3" xfId="44965" xr:uid="{00000000-0005-0000-0000-0000F1AC0000}"/>
    <cellStyle name="Normal 8 5 25 3" xfId="21733" xr:uid="{00000000-0005-0000-0000-0000F2AC0000}"/>
    <cellStyle name="Normal 8 5 25 4" xfId="37225" xr:uid="{00000000-0005-0000-0000-0000F3AC0000}"/>
    <cellStyle name="Normal 8 5 26" xfId="10011" xr:uid="{00000000-0005-0000-0000-0000F4AC0000}"/>
    <cellStyle name="Normal 8 5 26 2" xfId="25603" xr:uid="{00000000-0005-0000-0000-0000F5AC0000}"/>
    <cellStyle name="Normal 8 5 26 3" xfId="41095" xr:uid="{00000000-0005-0000-0000-0000F6AC0000}"/>
    <cellStyle name="Normal 8 5 27" xfId="17863" xr:uid="{00000000-0005-0000-0000-0000F7AC0000}"/>
    <cellStyle name="Normal 8 5 28" xfId="33355" xr:uid="{00000000-0005-0000-0000-0000F8AC0000}"/>
    <cellStyle name="Normal 8 5 29" xfId="48860" xr:uid="{00000000-0005-0000-0000-0000F9AC0000}"/>
    <cellStyle name="Normal 8 5 3" xfId="2258" xr:uid="{00000000-0005-0000-0000-0000FAAC0000}"/>
    <cellStyle name="Normal 8 5 3 2" xfId="2575" xr:uid="{00000000-0005-0000-0000-0000FBAC0000}"/>
    <cellStyle name="Normal 8 5 3 2 2" xfId="3583" xr:uid="{00000000-0005-0000-0000-0000FCAC0000}"/>
    <cellStyle name="Normal 8 5 3 2 2 2" xfId="5522" xr:uid="{00000000-0005-0000-0000-0000FDAC0000}"/>
    <cellStyle name="Normal 8 5 3 2 2 2 2" xfId="9393" xr:uid="{00000000-0005-0000-0000-0000FEAC0000}"/>
    <cellStyle name="Normal 8 5 3 2 2 2 2 2" xfId="17138" xr:uid="{00000000-0005-0000-0000-0000FFAC0000}"/>
    <cellStyle name="Normal 8 5 3 2 2 2 2 2 2" xfId="32730" xr:uid="{00000000-0005-0000-0000-000000AD0000}"/>
    <cellStyle name="Normal 8 5 3 2 2 2 2 2 3" xfId="48222" xr:uid="{00000000-0005-0000-0000-000001AD0000}"/>
    <cellStyle name="Normal 8 5 3 2 2 2 2 3" xfId="24990" xr:uid="{00000000-0005-0000-0000-000002AD0000}"/>
    <cellStyle name="Normal 8 5 3 2 2 2 2 4" xfId="40482" xr:uid="{00000000-0005-0000-0000-000003AD0000}"/>
    <cellStyle name="Normal 8 5 3 2 2 2 3" xfId="13268" xr:uid="{00000000-0005-0000-0000-000004AD0000}"/>
    <cellStyle name="Normal 8 5 3 2 2 2 3 2" xfId="28860" xr:uid="{00000000-0005-0000-0000-000005AD0000}"/>
    <cellStyle name="Normal 8 5 3 2 2 2 3 3" xfId="44352" xr:uid="{00000000-0005-0000-0000-000006AD0000}"/>
    <cellStyle name="Normal 8 5 3 2 2 2 4" xfId="21120" xr:uid="{00000000-0005-0000-0000-000007AD0000}"/>
    <cellStyle name="Normal 8 5 3 2 2 2 5" xfId="36612" xr:uid="{00000000-0005-0000-0000-000008AD0000}"/>
    <cellStyle name="Normal 8 5 3 2 2 3" xfId="7466" xr:uid="{00000000-0005-0000-0000-000009AD0000}"/>
    <cellStyle name="Normal 8 5 3 2 2 3 2" xfId="15211" xr:uid="{00000000-0005-0000-0000-00000AAD0000}"/>
    <cellStyle name="Normal 8 5 3 2 2 3 2 2" xfId="30803" xr:uid="{00000000-0005-0000-0000-00000BAD0000}"/>
    <cellStyle name="Normal 8 5 3 2 2 3 2 3" xfId="46295" xr:uid="{00000000-0005-0000-0000-00000CAD0000}"/>
    <cellStyle name="Normal 8 5 3 2 2 3 3" xfId="23063" xr:uid="{00000000-0005-0000-0000-00000DAD0000}"/>
    <cellStyle name="Normal 8 5 3 2 2 3 4" xfId="38555" xr:uid="{00000000-0005-0000-0000-00000EAD0000}"/>
    <cellStyle name="Normal 8 5 3 2 2 4" xfId="11341" xr:uid="{00000000-0005-0000-0000-00000FAD0000}"/>
    <cellStyle name="Normal 8 5 3 2 2 4 2" xfId="26933" xr:uid="{00000000-0005-0000-0000-000010AD0000}"/>
    <cellStyle name="Normal 8 5 3 2 2 4 3" xfId="42425" xr:uid="{00000000-0005-0000-0000-000011AD0000}"/>
    <cellStyle name="Normal 8 5 3 2 2 5" xfId="19193" xr:uid="{00000000-0005-0000-0000-000012AD0000}"/>
    <cellStyle name="Normal 8 5 3 2 2 6" xfId="34685" xr:uid="{00000000-0005-0000-0000-000013AD0000}"/>
    <cellStyle name="Normal 8 5 3 2 3" xfId="4574" xr:uid="{00000000-0005-0000-0000-000014AD0000}"/>
    <cellStyle name="Normal 8 5 3 2 3 2" xfId="8445" xr:uid="{00000000-0005-0000-0000-000015AD0000}"/>
    <cellStyle name="Normal 8 5 3 2 3 2 2" xfId="16190" xr:uid="{00000000-0005-0000-0000-000016AD0000}"/>
    <cellStyle name="Normal 8 5 3 2 3 2 2 2" xfId="31782" xr:uid="{00000000-0005-0000-0000-000017AD0000}"/>
    <cellStyle name="Normal 8 5 3 2 3 2 2 3" xfId="47274" xr:uid="{00000000-0005-0000-0000-000018AD0000}"/>
    <cellStyle name="Normal 8 5 3 2 3 2 3" xfId="24042" xr:uid="{00000000-0005-0000-0000-000019AD0000}"/>
    <cellStyle name="Normal 8 5 3 2 3 2 4" xfId="39534" xr:uid="{00000000-0005-0000-0000-00001AAD0000}"/>
    <cellStyle name="Normal 8 5 3 2 3 3" xfId="12320" xr:uid="{00000000-0005-0000-0000-00001BAD0000}"/>
    <cellStyle name="Normal 8 5 3 2 3 3 2" xfId="27912" xr:uid="{00000000-0005-0000-0000-00001CAD0000}"/>
    <cellStyle name="Normal 8 5 3 2 3 3 3" xfId="43404" xr:uid="{00000000-0005-0000-0000-00001DAD0000}"/>
    <cellStyle name="Normal 8 5 3 2 3 4" xfId="20172" xr:uid="{00000000-0005-0000-0000-00001EAD0000}"/>
    <cellStyle name="Normal 8 5 3 2 3 5" xfId="35664" xr:uid="{00000000-0005-0000-0000-00001FAD0000}"/>
    <cellStyle name="Normal 8 5 3 2 4" xfId="6518" xr:uid="{00000000-0005-0000-0000-000020AD0000}"/>
    <cellStyle name="Normal 8 5 3 2 4 2" xfId="14263" xr:uid="{00000000-0005-0000-0000-000021AD0000}"/>
    <cellStyle name="Normal 8 5 3 2 4 2 2" xfId="29855" xr:uid="{00000000-0005-0000-0000-000022AD0000}"/>
    <cellStyle name="Normal 8 5 3 2 4 2 3" xfId="45347" xr:uid="{00000000-0005-0000-0000-000023AD0000}"/>
    <cellStyle name="Normal 8 5 3 2 4 3" xfId="22115" xr:uid="{00000000-0005-0000-0000-000024AD0000}"/>
    <cellStyle name="Normal 8 5 3 2 4 4" xfId="37607" xr:uid="{00000000-0005-0000-0000-000025AD0000}"/>
    <cellStyle name="Normal 8 5 3 2 5" xfId="10393" xr:uid="{00000000-0005-0000-0000-000026AD0000}"/>
    <cellStyle name="Normal 8 5 3 2 5 2" xfId="25985" xr:uid="{00000000-0005-0000-0000-000027AD0000}"/>
    <cellStyle name="Normal 8 5 3 2 5 3" xfId="41477" xr:uid="{00000000-0005-0000-0000-000028AD0000}"/>
    <cellStyle name="Normal 8 5 3 2 6" xfId="18245" xr:uid="{00000000-0005-0000-0000-000029AD0000}"/>
    <cellStyle name="Normal 8 5 3 2 7" xfId="33737" xr:uid="{00000000-0005-0000-0000-00002AAD0000}"/>
    <cellStyle name="Normal 8 5 3 3" xfId="3274" xr:uid="{00000000-0005-0000-0000-00002BAD0000}"/>
    <cellStyle name="Normal 8 5 3 3 2" xfId="5213" xr:uid="{00000000-0005-0000-0000-00002CAD0000}"/>
    <cellStyle name="Normal 8 5 3 3 2 2" xfId="9084" xr:uid="{00000000-0005-0000-0000-00002DAD0000}"/>
    <cellStyle name="Normal 8 5 3 3 2 2 2" xfId="16829" xr:uid="{00000000-0005-0000-0000-00002EAD0000}"/>
    <cellStyle name="Normal 8 5 3 3 2 2 2 2" xfId="32421" xr:uid="{00000000-0005-0000-0000-00002FAD0000}"/>
    <cellStyle name="Normal 8 5 3 3 2 2 2 3" xfId="47913" xr:uid="{00000000-0005-0000-0000-000030AD0000}"/>
    <cellStyle name="Normal 8 5 3 3 2 2 3" xfId="24681" xr:uid="{00000000-0005-0000-0000-000031AD0000}"/>
    <cellStyle name="Normal 8 5 3 3 2 2 4" xfId="40173" xr:uid="{00000000-0005-0000-0000-000032AD0000}"/>
    <cellStyle name="Normal 8 5 3 3 2 3" xfId="12959" xr:uid="{00000000-0005-0000-0000-000033AD0000}"/>
    <cellStyle name="Normal 8 5 3 3 2 3 2" xfId="28551" xr:uid="{00000000-0005-0000-0000-000034AD0000}"/>
    <cellStyle name="Normal 8 5 3 3 2 3 3" xfId="44043" xr:uid="{00000000-0005-0000-0000-000035AD0000}"/>
    <cellStyle name="Normal 8 5 3 3 2 4" xfId="20811" xr:uid="{00000000-0005-0000-0000-000036AD0000}"/>
    <cellStyle name="Normal 8 5 3 3 2 5" xfId="36303" xr:uid="{00000000-0005-0000-0000-000037AD0000}"/>
    <cellStyle name="Normal 8 5 3 3 3" xfId="7157" xr:uid="{00000000-0005-0000-0000-000038AD0000}"/>
    <cellStyle name="Normal 8 5 3 3 3 2" xfId="14902" xr:uid="{00000000-0005-0000-0000-000039AD0000}"/>
    <cellStyle name="Normal 8 5 3 3 3 2 2" xfId="30494" xr:uid="{00000000-0005-0000-0000-00003AAD0000}"/>
    <cellStyle name="Normal 8 5 3 3 3 2 3" xfId="45986" xr:uid="{00000000-0005-0000-0000-00003BAD0000}"/>
    <cellStyle name="Normal 8 5 3 3 3 3" xfId="22754" xr:uid="{00000000-0005-0000-0000-00003CAD0000}"/>
    <cellStyle name="Normal 8 5 3 3 3 4" xfId="38246" xr:uid="{00000000-0005-0000-0000-00003DAD0000}"/>
    <cellStyle name="Normal 8 5 3 3 4" xfId="11032" xr:uid="{00000000-0005-0000-0000-00003EAD0000}"/>
    <cellStyle name="Normal 8 5 3 3 4 2" xfId="26624" xr:uid="{00000000-0005-0000-0000-00003FAD0000}"/>
    <cellStyle name="Normal 8 5 3 3 4 3" xfId="42116" xr:uid="{00000000-0005-0000-0000-000040AD0000}"/>
    <cellStyle name="Normal 8 5 3 3 5" xfId="18884" xr:uid="{00000000-0005-0000-0000-000041AD0000}"/>
    <cellStyle name="Normal 8 5 3 3 6" xfId="34376" xr:uid="{00000000-0005-0000-0000-000042AD0000}"/>
    <cellStyle name="Normal 8 5 3 4" xfId="4265" xr:uid="{00000000-0005-0000-0000-000043AD0000}"/>
    <cellStyle name="Normal 8 5 3 4 2" xfId="8136" xr:uid="{00000000-0005-0000-0000-000044AD0000}"/>
    <cellStyle name="Normal 8 5 3 4 2 2" xfId="15881" xr:uid="{00000000-0005-0000-0000-000045AD0000}"/>
    <cellStyle name="Normal 8 5 3 4 2 2 2" xfId="31473" xr:uid="{00000000-0005-0000-0000-000046AD0000}"/>
    <cellStyle name="Normal 8 5 3 4 2 2 3" xfId="46965" xr:uid="{00000000-0005-0000-0000-000047AD0000}"/>
    <cellStyle name="Normal 8 5 3 4 2 3" xfId="23733" xr:uid="{00000000-0005-0000-0000-000048AD0000}"/>
    <cellStyle name="Normal 8 5 3 4 2 4" xfId="39225" xr:uid="{00000000-0005-0000-0000-000049AD0000}"/>
    <cellStyle name="Normal 8 5 3 4 3" xfId="12011" xr:uid="{00000000-0005-0000-0000-00004AAD0000}"/>
    <cellStyle name="Normal 8 5 3 4 3 2" xfId="27603" xr:uid="{00000000-0005-0000-0000-00004BAD0000}"/>
    <cellStyle name="Normal 8 5 3 4 3 3" xfId="43095" xr:uid="{00000000-0005-0000-0000-00004CAD0000}"/>
    <cellStyle name="Normal 8 5 3 4 4" xfId="19863" xr:uid="{00000000-0005-0000-0000-00004DAD0000}"/>
    <cellStyle name="Normal 8 5 3 4 5" xfId="35355" xr:uid="{00000000-0005-0000-0000-00004EAD0000}"/>
    <cellStyle name="Normal 8 5 3 5" xfId="6209" xr:uid="{00000000-0005-0000-0000-00004FAD0000}"/>
    <cellStyle name="Normal 8 5 3 5 2" xfId="13954" xr:uid="{00000000-0005-0000-0000-000050AD0000}"/>
    <cellStyle name="Normal 8 5 3 5 2 2" xfId="29546" xr:uid="{00000000-0005-0000-0000-000051AD0000}"/>
    <cellStyle name="Normal 8 5 3 5 2 3" xfId="45038" xr:uid="{00000000-0005-0000-0000-000052AD0000}"/>
    <cellStyle name="Normal 8 5 3 5 3" xfId="21806" xr:uid="{00000000-0005-0000-0000-000053AD0000}"/>
    <cellStyle name="Normal 8 5 3 5 4" xfId="37298" xr:uid="{00000000-0005-0000-0000-000054AD0000}"/>
    <cellStyle name="Normal 8 5 3 6" xfId="10084" xr:uid="{00000000-0005-0000-0000-000055AD0000}"/>
    <cellStyle name="Normal 8 5 3 6 2" xfId="25676" xr:uid="{00000000-0005-0000-0000-000056AD0000}"/>
    <cellStyle name="Normal 8 5 3 6 3" xfId="41168" xr:uid="{00000000-0005-0000-0000-000057AD0000}"/>
    <cellStyle name="Normal 8 5 3 7" xfId="17936" xr:uid="{00000000-0005-0000-0000-000058AD0000}"/>
    <cellStyle name="Normal 8 5 3 8" xfId="33428" xr:uid="{00000000-0005-0000-0000-000059AD0000}"/>
    <cellStyle name="Normal 8 5 4" xfId="2295" xr:uid="{00000000-0005-0000-0000-00005AAD0000}"/>
    <cellStyle name="Normal 8 5 4 2" xfId="2611" xr:uid="{00000000-0005-0000-0000-00005BAD0000}"/>
    <cellStyle name="Normal 8 5 4 2 2" xfId="3619" xr:uid="{00000000-0005-0000-0000-00005CAD0000}"/>
    <cellStyle name="Normal 8 5 4 2 2 2" xfId="5558" xr:uid="{00000000-0005-0000-0000-00005DAD0000}"/>
    <cellStyle name="Normal 8 5 4 2 2 2 2" xfId="9429" xr:uid="{00000000-0005-0000-0000-00005EAD0000}"/>
    <cellStyle name="Normal 8 5 4 2 2 2 2 2" xfId="17174" xr:uid="{00000000-0005-0000-0000-00005FAD0000}"/>
    <cellStyle name="Normal 8 5 4 2 2 2 2 2 2" xfId="32766" xr:uid="{00000000-0005-0000-0000-000060AD0000}"/>
    <cellStyle name="Normal 8 5 4 2 2 2 2 2 3" xfId="48258" xr:uid="{00000000-0005-0000-0000-000061AD0000}"/>
    <cellStyle name="Normal 8 5 4 2 2 2 2 3" xfId="25026" xr:uid="{00000000-0005-0000-0000-000062AD0000}"/>
    <cellStyle name="Normal 8 5 4 2 2 2 2 4" xfId="40518" xr:uid="{00000000-0005-0000-0000-000063AD0000}"/>
    <cellStyle name="Normal 8 5 4 2 2 2 3" xfId="13304" xr:uid="{00000000-0005-0000-0000-000064AD0000}"/>
    <cellStyle name="Normal 8 5 4 2 2 2 3 2" xfId="28896" xr:uid="{00000000-0005-0000-0000-000065AD0000}"/>
    <cellStyle name="Normal 8 5 4 2 2 2 3 3" xfId="44388" xr:uid="{00000000-0005-0000-0000-000066AD0000}"/>
    <cellStyle name="Normal 8 5 4 2 2 2 4" xfId="21156" xr:uid="{00000000-0005-0000-0000-000067AD0000}"/>
    <cellStyle name="Normal 8 5 4 2 2 2 5" xfId="36648" xr:uid="{00000000-0005-0000-0000-000068AD0000}"/>
    <cellStyle name="Normal 8 5 4 2 2 3" xfId="7502" xr:uid="{00000000-0005-0000-0000-000069AD0000}"/>
    <cellStyle name="Normal 8 5 4 2 2 3 2" xfId="15247" xr:uid="{00000000-0005-0000-0000-00006AAD0000}"/>
    <cellStyle name="Normal 8 5 4 2 2 3 2 2" xfId="30839" xr:uid="{00000000-0005-0000-0000-00006BAD0000}"/>
    <cellStyle name="Normal 8 5 4 2 2 3 2 3" xfId="46331" xr:uid="{00000000-0005-0000-0000-00006CAD0000}"/>
    <cellStyle name="Normal 8 5 4 2 2 3 3" xfId="23099" xr:uid="{00000000-0005-0000-0000-00006DAD0000}"/>
    <cellStyle name="Normal 8 5 4 2 2 3 4" xfId="38591" xr:uid="{00000000-0005-0000-0000-00006EAD0000}"/>
    <cellStyle name="Normal 8 5 4 2 2 4" xfId="11377" xr:uid="{00000000-0005-0000-0000-00006FAD0000}"/>
    <cellStyle name="Normal 8 5 4 2 2 4 2" xfId="26969" xr:uid="{00000000-0005-0000-0000-000070AD0000}"/>
    <cellStyle name="Normal 8 5 4 2 2 4 3" xfId="42461" xr:uid="{00000000-0005-0000-0000-000071AD0000}"/>
    <cellStyle name="Normal 8 5 4 2 2 5" xfId="19229" xr:uid="{00000000-0005-0000-0000-000072AD0000}"/>
    <cellStyle name="Normal 8 5 4 2 2 6" xfId="34721" xr:uid="{00000000-0005-0000-0000-000073AD0000}"/>
    <cellStyle name="Normal 8 5 4 2 3" xfId="4610" xr:uid="{00000000-0005-0000-0000-000074AD0000}"/>
    <cellStyle name="Normal 8 5 4 2 3 2" xfId="8481" xr:uid="{00000000-0005-0000-0000-000075AD0000}"/>
    <cellStyle name="Normal 8 5 4 2 3 2 2" xfId="16226" xr:uid="{00000000-0005-0000-0000-000076AD0000}"/>
    <cellStyle name="Normal 8 5 4 2 3 2 2 2" xfId="31818" xr:uid="{00000000-0005-0000-0000-000077AD0000}"/>
    <cellStyle name="Normal 8 5 4 2 3 2 2 3" xfId="47310" xr:uid="{00000000-0005-0000-0000-000078AD0000}"/>
    <cellStyle name="Normal 8 5 4 2 3 2 3" xfId="24078" xr:uid="{00000000-0005-0000-0000-000079AD0000}"/>
    <cellStyle name="Normal 8 5 4 2 3 2 4" xfId="39570" xr:uid="{00000000-0005-0000-0000-00007AAD0000}"/>
    <cellStyle name="Normal 8 5 4 2 3 3" xfId="12356" xr:uid="{00000000-0005-0000-0000-00007BAD0000}"/>
    <cellStyle name="Normal 8 5 4 2 3 3 2" xfId="27948" xr:uid="{00000000-0005-0000-0000-00007CAD0000}"/>
    <cellStyle name="Normal 8 5 4 2 3 3 3" xfId="43440" xr:uid="{00000000-0005-0000-0000-00007DAD0000}"/>
    <cellStyle name="Normal 8 5 4 2 3 4" xfId="20208" xr:uid="{00000000-0005-0000-0000-00007EAD0000}"/>
    <cellStyle name="Normal 8 5 4 2 3 5" xfId="35700" xr:uid="{00000000-0005-0000-0000-00007FAD0000}"/>
    <cellStyle name="Normal 8 5 4 2 4" xfId="6554" xr:uid="{00000000-0005-0000-0000-000080AD0000}"/>
    <cellStyle name="Normal 8 5 4 2 4 2" xfId="14299" xr:uid="{00000000-0005-0000-0000-000081AD0000}"/>
    <cellStyle name="Normal 8 5 4 2 4 2 2" xfId="29891" xr:uid="{00000000-0005-0000-0000-000082AD0000}"/>
    <cellStyle name="Normal 8 5 4 2 4 2 3" xfId="45383" xr:uid="{00000000-0005-0000-0000-000083AD0000}"/>
    <cellStyle name="Normal 8 5 4 2 4 3" xfId="22151" xr:uid="{00000000-0005-0000-0000-000084AD0000}"/>
    <cellStyle name="Normal 8 5 4 2 4 4" xfId="37643" xr:uid="{00000000-0005-0000-0000-000085AD0000}"/>
    <cellStyle name="Normal 8 5 4 2 5" xfId="10429" xr:uid="{00000000-0005-0000-0000-000086AD0000}"/>
    <cellStyle name="Normal 8 5 4 2 5 2" xfId="26021" xr:uid="{00000000-0005-0000-0000-000087AD0000}"/>
    <cellStyle name="Normal 8 5 4 2 5 3" xfId="41513" xr:uid="{00000000-0005-0000-0000-000088AD0000}"/>
    <cellStyle name="Normal 8 5 4 2 6" xfId="18281" xr:uid="{00000000-0005-0000-0000-000089AD0000}"/>
    <cellStyle name="Normal 8 5 4 2 7" xfId="33773" xr:uid="{00000000-0005-0000-0000-00008AAD0000}"/>
    <cellStyle name="Normal 8 5 4 3" xfId="3310" xr:uid="{00000000-0005-0000-0000-00008BAD0000}"/>
    <cellStyle name="Normal 8 5 4 3 2" xfId="5249" xr:uid="{00000000-0005-0000-0000-00008CAD0000}"/>
    <cellStyle name="Normal 8 5 4 3 2 2" xfId="9120" xr:uid="{00000000-0005-0000-0000-00008DAD0000}"/>
    <cellStyle name="Normal 8 5 4 3 2 2 2" xfId="16865" xr:uid="{00000000-0005-0000-0000-00008EAD0000}"/>
    <cellStyle name="Normal 8 5 4 3 2 2 2 2" xfId="32457" xr:uid="{00000000-0005-0000-0000-00008FAD0000}"/>
    <cellStyle name="Normal 8 5 4 3 2 2 2 3" xfId="47949" xr:uid="{00000000-0005-0000-0000-000090AD0000}"/>
    <cellStyle name="Normal 8 5 4 3 2 2 3" xfId="24717" xr:uid="{00000000-0005-0000-0000-000091AD0000}"/>
    <cellStyle name="Normal 8 5 4 3 2 2 4" xfId="40209" xr:uid="{00000000-0005-0000-0000-000092AD0000}"/>
    <cellStyle name="Normal 8 5 4 3 2 3" xfId="12995" xr:uid="{00000000-0005-0000-0000-000093AD0000}"/>
    <cellStyle name="Normal 8 5 4 3 2 3 2" xfId="28587" xr:uid="{00000000-0005-0000-0000-000094AD0000}"/>
    <cellStyle name="Normal 8 5 4 3 2 3 3" xfId="44079" xr:uid="{00000000-0005-0000-0000-000095AD0000}"/>
    <cellStyle name="Normal 8 5 4 3 2 4" xfId="20847" xr:uid="{00000000-0005-0000-0000-000096AD0000}"/>
    <cellStyle name="Normal 8 5 4 3 2 5" xfId="36339" xr:uid="{00000000-0005-0000-0000-000097AD0000}"/>
    <cellStyle name="Normal 8 5 4 3 3" xfId="7193" xr:uid="{00000000-0005-0000-0000-000098AD0000}"/>
    <cellStyle name="Normal 8 5 4 3 3 2" xfId="14938" xr:uid="{00000000-0005-0000-0000-000099AD0000}"/>
    <cellStyle name="Normal 8 5 4 3 3 2 2" xfId="30530" xr:uid="{00000000-0005-0000-0000-00009AAD0000}"/>
    <cellStyle name="Normal 8 5 4 3 3 2 3" xfId="46022" xr:uid="{00000000-0005-0000-0000-00009BAD0000}"/>
    <cellStyle name="Normal 8 5 4 3 3 3" xfId="22790" xr:uid="{00000000-0005-0000-0000-00009CAD0000}"/>
    <cellStyle name="Normal 8 5 4 3 3 4" xfId="38282" xr:uid="{00000000-0005-0000-0000-00009DAD0000}"/>
    <cellStyle name="Normal 8 5 4 3 4" xfId="11068" xr:uid="{00000000-0005-0000-0000-00009EAD0000}"/>
    <cellStyle name="Normal 8 5 4 3 4 2" xfId="26660" xr:uid="{00000000-0005-0000-0000-00009FAD0000}"/>
    <cellStyle name="Normal 8 5 4 3 4 3" xfId="42152" xr:uid="{00000000-0005-0000-0000-0000A0AD0000}"/>
    <cellStyle name="Normal 8 5 4 3 5" xfId="18920" xr:uid="{00000000-0005-0000-0000-0000A1AD0000}"/>
    <cellStyle name="Normal 8 5 4 3 6" xfId="34412" xr:uid="{00000000-0005-0000-0000-0000A2AD0000}"/>
    <cellStyle name="Normal 8 5 4 4" xfId="4301" xr:uid="{00000000-0005-0000-0000-0000A3AD0000}"/>
    <cellStyle name="Normal 8 5 4 4 2" xfId="8172" xr:uid="{00000000-0005-0000-0000-0000A4AD0000}"/>
    <cellStyle name="Normal 8 5 4 4 2 2" xfId="15917" xr:uid="{00000000-0005-0000-0000-0000A5AD0000}"/>
    <cellStyle name="Normal 8 5 4 4 2 2 2" xfId="31509" xr:uid="{00000000-0005-0000-0000-0000A6AD0000}"/>
    <cellStyle name="Normal 8 5 4 4 2 2 3" xfId="47001" xr:uid="{00000000-0005-0000-0000-0000A7AD0000}"/>
    <cellStyle name="Normal 8 5 4 4 2 3" xfId="23769" xr:uid="{00000000-0005-0000-0000-0000A8AD0000}"/>
    <cellStyle name="Normal 8 5 4 4 2 4" xfId="39261" xr:uid="{00000000-0005-0000-0000-0000A9AD0000}"/>
    <cellStyle name="Normal 8 5 4 4 3" xfId="12047" xr:uid="{00000000-0005-0000-0000-0000AAAD0000}"/>
    <cellStyle name="Normal 8 5 4 4 3 2" xfId="27639" xr:uid="{00000000-0005-0000-0000-0000ABAD0000}"/>
    <cellStyle name="Normal 8 5 4 4 3 3" xfId="43131" xr:uid="{00000000-0005-0000-0000-0000ACAD0000}"/>
    <cellStyle name="Normal 8 5 4 4 4" xfId="19899" xr:uid="{00000000-0005-0000-0000-0000ADAD0000}"/>
    <cellStyle name="Normal 8 5 4 4 5" xfId="35391" xr:uid="{00000000-0005-0000-0000-0000AEAD0000}"/>
    <cellStyle name="Normal 8 5 4 5" xfId="6245" xr:uid="{00000000-0005-0000-0000-0000AFAD0000}"/>
    <cellStyle name="Normal 8 5 4 5 2" xfId="13990" xr:uid="{00000000-0005-0000-0000-0000B0AD0000}"/>
    <cellStyle name="Normal 8 5 4 5 2 2" xfId="29582" xr:uid="{00000000-0005-0000-0000-0000B1AD0000}"/>
    <cellStyle name="Normal 8 5 4 5 2 3" xfId="45074" xr:uid="{00000000-0005-0000-0000-0000B2AD0000}"/>
    <cellStyle name="Normal 8 5 4 5 3" xfId="21842" xr:uid="{00000000-0005-0000-0000-0000B3AD0000}"/>
    <cellStyle name="Normal 8 5 4 5 4" xfId="37334" xr:uid="{00000000-0005-0000-0000-0000B4AD0000}"/>
    <cellStyle name="Normal 8 5 4 6" xfId="10120" xr:uid="{00000000-0005-0000-0000-0000B5AD0000}"/>
    <cellStyle name="Normal 8 5 4 6 2" xfId="25712" xr:uid="{00000000-0005-0000-0000-0000B6AD0000}"/>
    <cellStyle name="Normal 8 5 4 6 3" xfId="41204" xr:uid="{00000000-0005-0000-0000-0000B7AD0000}"/>
    <cellStyle name="Normal 8 5 4 7" xfId="17972" xr:uid="{00000000-0005-0000-0000-0000B8AD0000}"/>
    <cellStyle name="Normal 8 5 4 8" xfId="33464" xr:uid="{00000000-0005-0000-0000-0000B9AD0000}"/>
    <cellStyle name="Normal 8 5 5" xfId="2333" xr:uid="{00000000-0005-0000-0000-0000BAAD0000}"/>
    <cellStyle name="Normal 8 5 5 2" xfId="2647" xr:uid="{00000000-0005-0000-0000-0000BBAD0000}"/>
    <cellStyle name="Normal 8 5 5 2 2" xfId="3655" xr:uid="{00000000-0005-0000-0000-0000BCAD0000}"/>
    <cellStyle name="Normal 8 5 5 2 2 2" xfId="5594" xr:uid="{00000000-0005-0000-0000-0000BDAD0000}"/>
    <cellStyle name="Normal 8 5 5 2 2 2 2" xfId="9465" xr:uid="{00000000-0005-0000-0000-0000BEAD0000}"/>
    <cellStyle name="Normal 8 5 5 2 2 2 2 2" xfId="17210" xr:uid="{00000000-0005-0000-0000-0000BFAD0000}"/>
    <cellStyle name="Normal 8 5 5 2 2 2 2 2 2" xfId="32802" xr:uid="{00000000-0005-0000-0000-0000C0AD0000}"/>
    <cellStyle name="Normal 8 5 5 2 2 2 2 2 3" xfId="48294" xr:uid="{00000000-0005-0000-0000-0000C1AD0000}"/>
    <cellStyle name="Normal 8 5 5 2 2 2 2 3" xfId="25062" xr:uid="{00000000-0005-0000-0000-0000C2AD0000}"/>
    <cellStyle name="Normal 8 5 5 2 2 2 2 4" xfId="40554" xr:uid="{00000000-0005-0000-0000-0000C3AD0000}"/>
    <cellStyle name="Normal 8 5 5 2 2 2 3" xfId="13340" xr:uid="{00000000-0005-0000-0000-0000C4AD0000}"/>
    <cellStyle name="Normal 8 5 5 2 2 2 3 2" xfId="28932" xr:uid="{00000000-0005-0000-0000-0000C5AD0000}"/>
    <cellStyle name="Normal 8 5 5 2 2 2 3 3" xfId="44424" xr:uid="{00000000-0005-0000-0000-0000C6AD0000}"/>
    <cellStyle name="Normal 8 5 5 2 2 2 4" xfId="21192" xr:uid="{00000000-0005-0000-0000-0000C7AD0000}"/>
    <cellStyle name="Normal 8 5 5 2 2 2 5" xfId="36684" xr:uid="{00000000-0005-0000-0000-0000C8AD0000}"/>
    <cellStyle name="Normal 8 5 5 2 2 3" xfId="7538" xr:uid="{00000000-0005-0000-0000-0000C9AD0000}"/>
    <cellStyle name="Normal 8 5 5 2 2 3 2" xfId="15283" xr:uid="{00000000-0005-0000-0000-0000CAAD0000}"/>
    <cellStyle name="Normal 8 5 5 2 2 3 2 2" xfId="30875" xr:uid="{00000000-0005-0000-0000-0000CBAD0000}"/>
    <cellStyle name="Normal 8 5 5 2 2 3 2 3" xfId="46367" xr:uid="{00000000-0005-0000-0000-0000CCAD0000}"/>
    <cellStyle name="Normal 8 5 5 2 2 3 3" xfId="23135" xr:uid="{00000000-0005-0000-0000-0000CDAD0000}"/>
    <cellStyle name="Normal 8 5 5 2 2 3 4" xfId="38627" xr:uid="{00000000-0005-0000-0000-0000CEAD0000}"/>
    <cellStyle name="Normal 8 5 5 2 2 4" xfId="11413" xr:uid="{00000000-0005-0000-0000-0000CFAD0000}"/>
    <cellStyle name="Normal 8 5 5 2 2 4 2" xfId="27005" xr:uid="{00000000-0005-0000-0000-0000D0AD0000}"/>
    <cellStyle name="Normal 8 5 5 2 2 4 3" xfId="42497" xr:uid="{00000000-0005-0000-0000-0000D1AD0000}"/>
    <cellStyle name="Normal 8 5 5 2 2 5" xfId="19265" xr:uid="{00000000-0005-0000-0000-0000D2AD0000}"/>
    <cellStyle name="Normal 8 5 5 2 2 6" xfId="34757" xr:uid="{00000000-0005-0000-0000-0000D3AD0000}"/>
    <cellStyle name="Normal 8 5 5 2 3" xfId="4646" xr:uid="{00000000-0005-0000-0000-0000D4AD0000}"/>
    <cellStyle name="Normal 8 5 5 2 3 2" xfId="8517" xr:uid="{00000000-0005-0000-0000-0000D5AD0000}"/>
    <cellStyle name="Normal 8 5 5 2 3 2 2" xfId="16262" xr:uid="{00000000-0005-0000-0000-0000D6AD0000}"/>
    <cellStyle name="Normal 8 5 5 2 3 2 2 2" xfId="31854" xr:uid="{00000000-0005-0000-0000-0000D7AD0000}"/>
    <cellStyle name="Normal 8 5 5 2 3 2 2 3" xfId="47346" xr:uid="{00000000-0005-0000-0000-0000D8AD0000}"/>
    <cellStyle name="Normal 8 5 5 2 3 2 3" xfId="24114" xr:uid="{00000000-0005-0000-0000-0000D9AD0000}"/>
    <cellStyle name="Normal 8 5 5 2 3 2 4" xfId="39606" xr:uid="{00000000-0005-0000-0000-0000DAAD0000}"/>
    <cellStyle name="Normal 8 5 5 2 3 3" xfId="12392" xr:uid="{00000000-0005-0000-0000-0000DBAD0000}"/>
    <cellStyle name="Normal 8 5 5 2 3 3 2" xfId="27984" xr:uid="{00000000-0005-0000-0000-0000DCAD0000}"/>
    <cellStyle name="Normal 8 5 5 2 3 3 3" xfId="43476" xr:uid="{00000000-0005-0000-0000-0000DDAD0000}"/>
    <cellStyle name="Normal 8 5 5 2 3 4" xfId="20244" xr:uid="{00000000-0005-0000-0000-0000DEAD0000}"/>
    <cellStyle name="Normal 8 5 5 2 3 5" xfId="35736" xr:uid="{00000000-0005-0000-0000-0000DFAD0000}"/>
    <cellStyle name="Normal 8 5 5 2 4" xfId="6590" xr:uid="{00000000-0005-0000-0000-0000E0AD0000}"/>
    <cellStyle name="Normal 8 5 5 2 4 2" xfId="14335" xr:uid="{00000000-0005-0000-0000-0000E1AD0000}"/>
    <cellStyle name="Normal 8 5 5 2 4 2 2" xfId="29927" xr:uid="{00000000-0005-0000-0000-0000E2AD0000}"/>
    <cellStyle name="Normal 8 5 5 2 4 2 3" xfId="45419" xr:uid="{00000000-0005-0000-0000-0000E3AD0000}"/>
    <cellStyle name="Normal 8 5 5 2 4 3" xfId="22187" xr:uid="{00000000-0005-0000-0000-0000E4AD0000}"/>
    <cellStyle name="Normal 8 5 5 2 4 4" xfId="37679" xr:uid="{00000000-0005-0000-0000-0000E5AD0000}"/>
    <cellStyle name="Normal 8 5 5 2 5" xfId="10465" xr:uid="{00000000-0005-0000-0000-0000E6AD0000}"/>
    <cellStyle name="Normal 8 5 5 2 5 2" xfId="26057" xr:uid="{00000000-0005-0000-0000-0000E7AD0000}"/>
    <cellStyle name="Normal 8 5 5 2 5 3" xfId="41549" xr:uid="{00000000-0005-0000-0000-0000E8AD0000}"/>
    <cellStyle name="Normal 8 5 5 2 6" xfId="18317" xr:uid="{00000000-0005-0000-0000-0000E9AD0000}"/>
    <cellStyle name="Normal 8 5 5 2 7" xfId="33809" xr:uid="{00000000-0005-0000-0000-0000EAAD0000}"/>
    <cellStyle name="Normal 8 5 5 3" xfId="3346" xr:uid="{00000000-0005-0000-0000-0000EBAD0000}"/>
    <cellStyle name="Normal 8 5 5 3 2" xfId="5285" xr:uid="{00000000-0005-0000-0000-0000ECAD0000}"/>
    <cellStyle name="Normal 8 5 5 3 2 2" xfId="9156" xr:uid="{00000000-0005-0000-0000-0000EDAD0000}"/>
    <cellStyle name="Normal 8 5 5 3 2 2 2" xfId="16901" xr:uid="{00000000-0005-0000-0000-0000EEAD0000}"/>
    <cellStyle name="Normal 8 5 5 3 2 2 2 2" xfId="32493" xr:uid="{00000000-0005-0000-0000-0000EFAD0000}"/>
    <cellStyle name="Normal 8 5 5 3 2 2 2 3" xfId="47985" xr:uid="{00000000-0005-0000-0000-0000F0AD0000}"/>
    <cellStyle name="Normal 8 5 5 3 2 2 3" xfId="24753" xr:uid="{00000000-0005-0000-0000-0000F1AD0000}"/>
    <cellStyle name="Normal 8 5 5 3 2 2 4" xfId="40245" xr:uid="{00000000-0005-0000-0000-0000F2AD0000}"/>
    <cellStyle name="Normal 8 5 5 3 2 3" xfId="13031" xr:uid="{00000000-0005-0000-0000-0000F3AD0000}"/>
    <cellStyle name="Normal 8 5 5 3 2 3 2" xfId="28623" xr:uid="{00000000-0005-0000-0000-0000F4AD0000}"/>
    <cellStyle name="Normal 8 5 5 3 2 3 3" xfId="44115" xr:uid="{00000000-0005-0000-0000-0000F5AD0000}"/>
    <cellStyle name="Normal 8 5 5 3 2 4" xfId="20883" xr:uid="{00000000-0005-0000-0000-0000F6AD0000}"/>
    <cellStyle name="Normal 8 5 5 3 2 5" xfId="36375" xr:uid="{00000000-0005-0000-0000-0000F7AD0000}"/>
    <cellStyle name="Normal 8 5 5 3 3" xfId="7229" xr:uid="{00000000-0005-0000-0000-0000F8AD0000}"/>
    <cellStyle name="Normal 8 5 5 3 3 2" xfId="14974" xr:uid="{00000000-0005-0000-0000-0000F9AD0000}"/>
    <cellStyle name="Normal 8 5 5 3 3 2 2" xfId="30566" xr:uid="{00000000-0005-0000-0000-0000FAAD0000}"/>
    <cellStyle name="Normal 8 5 5 3 3 2 3" xfId="46058" xr:uid="{00000000-0005-0000-0000-0000FBAD0000}"/>
    <cellStyle name="Normal 8 5 5 3 3 3" xfId="22826" xr:uid="{00000000-0005-0000-0000-0000FCAD0000}"/>
    <cellStyle name="Normal 8 5 5 3 3 4" xfId="38318" xr:uid="{00000000-0005-0000-0000-0000FDAD0000}"/>
    <cellStyle name="Normal 8 5 5 3 4" xfId="11104" xr:uid="{00000000-0005-0000-0000-0000FEAD0000}"/>
    <cellStyle name="Normal 8 5 5 3 4 2" xfId="26696" xr:uid="{00000000-0005-0000-0000-0000FFAD0000}"/>
    <cellStyle name="Normal 8 5 5 3 4 3" xfId="42188" xr:uid="{00000000-0005-0000-0000-000000AE0000}"/>
    <cellStyle name="Normal 8 5 5 3 5" xfId="18956" xr:uid="{00000000-0005-0000-0000-000001AE0000}"/>
    <cellStyle name="Normal 8 5 5 3 6" xfId="34448" xr:uid="{00000000-0005-0000-0000-000002AE0000}"/>
    <cellStyle name="Normal 8 5 5 4" xfId="4337" xr:uid="{00000000-0005-0000-0000-000003AE0000}"/>
    <cellStyle name="Normal 8 5 5 4 2" xfId="8208" xr:uid="{00000000-0005-0000-0000-000004AE0000}"/>
    <cellStyle name="Normal 8 5 5 4 2 2" xfId="15953" xr:uid="{00000000-0005-0000-0000-000005AE0000}"/>
    <cellStyle name="Normal 8 5 5 4 2 2 2" xfId="31545" xr:uid="{00000000-0005-0000-0000-000006AE0000}"/>
    <cellStyle name="Normal 8 5 5 4 2 2 3" xfId="47037" xr:uid="{00000000-0005-0000-0000-000007AE0000}"/>
    <cellStyle name="Normal 8 5 5 4 2 3" xfId="23805" xr:uid="{00000000-0005-0000-0000-000008AE0000}"/>
    <cellStyle name="Normal 8 5 5 4 2 4" xfId="39297" xr:uid="{00000000-0005-0000-0000-000009AE0000}"/>
    <cellStyle name="Normal 8 5 5 4 3" xfId="12083" xr:uid="{00000000-0005-0000-0000-00000AAE0000}"/>
    <cellStyle name="Normal 8 5 5 4 3 2" xfId="27675" xr:uid="{00000000-0005-0000-0000-00000BAE0000}"/>
    <cellStyle name="Normal 8 5 5 4 3 3" xfId="43167" xr:uid="{00000000-0005-0000-0000-00000CAE0000}"/>
    <cellStyle name="Normal 8 5 5 4 4" xfId="19935" xr:uid="{00000000-0005-0000-0000-00000DAE0000}"/>
    <cellStyle name="Normal 8 5 5 4 5" xfId="35427" xr:uid="{00000000-0005-0000-0000-00000EAE0000}"/>
    <cellStyle name="Normal 8 5 5 5" xfId="6281" xr:uid="{00000000-0005-0000-0000-00000FAE0000}"/>
    <cellStyle name="Normal 8 5 5 5 2" xfId="14026" xr:uid="{00000000-0005-0000-0000-000010AE0000}"/>
    <cellStyle name="Normal 8 5 5 5 2 2" xfId="29618" xr:uid="{00000000-0005-0000-0000-000011AE0000}"/>
    <cellStyle name="Normal 8 5 5 5 2 3" xfId="45110" xr:uid="{00000000-0005-0000-0000-000012AE0000}"/>
    <cellStyle name="Normal 8 5 5 5 3" xfId="21878" xr:uid="{00000000-0005-0000-0000-000013AE0000}"/>
    <cellStyle name="Normal 8 5 5 5 4" xfId="37370" xr:uid="{00000000-0005-0000-0000-000014AE0000}"/>
    <cellStyle name="Normal 8 5 5 6" xfId="10156" xr:uid="{00000000-0005-0000-0000-000015AE0000}"/>
    <cellStyle name="Normal 8 5 5 6 2" xfId="25748" xr:uid="{00000000-0005-0000-0000-000016AE0000}"/>
    <cellStyle name="Normal 8 5 5 6 3" xfId="41240" xr:uid="{00000000-0005-0000-0000-000017AE0000}"/>
    <cellStyle name="Normal 8 5 5 7" xfId="18008" xr:uid="{00000000-0005-0000-0000-000018AE0000}"/>
    <cellStyle name="Normal 8 5 5 8" xfId="33500" xr:uid="{00000000-0005-0000-0000-000019AE0000}"/>
    <cellStyle name="Normal 8 5 6" xfId="2370" xr:uid="{00000000-0005-0000-0000-00001AAE0000}"/>
    <cellStyle name="Normal 8 5 6 2" xfId="2683" xr:uid="{00000000-0005-0000-0000-00001BAE0000}"/>
    <cellStyle name="Normal 8 5 6 2 2" xfId="3691" xr:uid="{00000000-0005-0000-0000-00001CAE0000}"/>
    <cellStyle name="Normal 8 5 6 2 2 2" xfId="5630" xr:uid="{00000000-0005-0000-0000-00001DAE0000}"/>
    <cellStyle name="Normal 8 5 6 2 2 2 2" xfId="9501" xr:uid="{00000000-0005-0000-0000-00001EAE0000}"/>
    <cellStyle name="Normal 8 5 6 2 2 2 2 2" xfId="17246" xr:uid="{00000000-0005-0000-0000-00001FAE0000}"/>
    <cellStyle name="Normal 8 5 6 2 2 2 2 2 2" xfId="32838" xr:uid="{00000000-0005-0000-0000-000020AE0000}"/>
    <cellStyle name="Normal 8 5 6 2 2 2 2 2 3" xfId="48330" xr:uid="{00000000-0005-0000-0000-000021AE0000}"/>
    <cellStyle name="Normal 8 5 6 2 2 2 2 3" xfId="25098" xr:uid="{00000000-0005-0000-0000-000022AE0000}"/>
    <cellStyle name="Normal 8 5 6 2 2 2 2 4" xfId="40590" xr:uid="{00000000-0005-0000-0000-000023AE0000}"/>
    <cellStyle name="Normal 8 5 6 2 2 2 3" xfId="13376" xr:uid="{00000000-0005-0000-0000-000024AE0000}"/>
    <cellStyle name="Normal 8 5 6 2 2 2 3 2" xfId="28968" xr:uid="{00000000-0005-0000-0000-000025AE0000}"/>
    <cellStyle name="Normal 8 5 6 2 2 2 3 3" xfId="44460" xr:uid="{00000000-0005-0000-0000-000026AE0000}"/>
    <cellStyle name="Normal 8 5 6 2 2 2 4" xfId="21228" xr:uid="{00000000-0005-0000-0000-000027AE0000}"/>
    <cellStyle name="Normal 8 5 6 2 2 2 5" xfId="36720" xr:uid="{00000000-0005-0000-0000-000028AE0000}"/>
    <cellStyle name="Normal 8 5 6 2 2 3" xfId="7574" xr:uid="{00000000-0005-0000-0000-000029AE0000}"/>
    <cellStyle name="Normal 8 5 6 2 2 3 2" xfId="15319" xr:uid="{00000000-0005-0000-0000-00002AAE0000}"/>
    <cellStyle name="Normal 8 5 6 2 2 3 2 2" xfId="30911" xr:uid="{00000000-0005-0000-0000-00002BAE0000}"/>
    <cellStyle name="Normal 8 5 6 2 2 3 2 3" xfId="46403" xr:uid="{00000000-0005-0000-0000-00002CAE0000}"/>
    <cellStyle name="Normal 8 5 6 2 2 3 3" xfId="23171" xr:uid="{00000000-0005-0000-0000-00002DAE0000}"/>
    <cellStyle name="Normal 8 5 6 2 2 3 4" xfId="38663" xr:uid="{00000000-0005-0000-0000-00002EAE0000}"/>
    <cellStyle name="Normal 8 5 6 2 2 4" xfId="11449" xr:uid="{00000000-0005-0000-0000-00002FAE0000}"/>
    <cellStyle name="Normal 8 5 6 2 2 4 2" xfId="27041" xr:uid="{00000000-0005-0000-0000-000030AE0000}"/>
    <cellStyle name="Normal 8 5 6 2 2 4 3" xfId="42533" xr:uid="{00000000-0005-0000-0000-000031AE0000}"/>
    <cellStyle name="Normal 8 5 6 2 2 5" xfId="19301" xr:uid="{00000000-0005-0000-0000-000032AE0000}"/>
    <cellStyle name="Normal 8 5 6 2 2 6" xfId="34793" xr:uid="{00000000-0005-0000-0000-000033AE0000}"/>
    <cellStyle name="Normal 8 5 6 2 3" xfId="4682" xr:uid="{00000000-0005-0000-0000-000034AE0000}"/>
    <cellStyle name="Normal 8 5 6 2 3 2" xfId="8553" xr:uid="{00000000-0005-0000-0000-000035AE0000}"/>
    <cellStyle name="Normal 8 5 6 2 3 2 2" xfId="16298" xr:uid="{00000000-0005-0000-0000-000036AE0000}"/>
    <cellStyle name="Normal 8 5 6 2 3 2 2 2" xfId="31890" xr:uid="{00000000-0005-0000-0000-000037AE0000}"/>
    <cellStyle name="Normal 8 5 6 2 3 2 2 3" xfId="47382" xr:uid="{00000000-0005-0000-0000-000038AE0000}"/>
    <cellStyle name="Normal 8 5 6 2 3 2 3" xfId="24150" xr:uid="{00000000-0005-0000-0000-000039AE0000}"/>
    <cellStyle name="Normal 8 5 6 2 3 2 4" xfId="39642" xr:uid="{00000000-0005-0000-0000-00003AAE0000}"/>
    <cellStyle name="Normal 8 5 6 2 3 3" xfId="12428" xr:uid="{00000000-0005-0000-0000-00003BAE0000}"/>
    <cellStyle name="Normal 8 5 6 2 3 3 2" xfId="28020" xr:uid="{00000000-0005-0000-0000-00003CAE0000}"/>
    <cellStyle name="Normal 8 5 6 2 3 3 3" xfId="43512" xr:uid="{00000000-0005-0000-0000-00003DAE0000}"/>
    <cellStyle name="Normal 8 5 6 2 3 4" xfId="20280" xr:uid="{00000000-0005-0000-0000-00003EAE0000}"/>
    <cellStyle name="Normal 8 5 6 2 3 5" xfId="35772" xr:uid="{00000000-0005-0000-0000-00003FAE0000}"/>
    <cellStyle name="Normal 8 5 6 2 4" xfId="6626" xr:uid="{00000000-0005-0000-0000-000040AE0000}"/>
    <cellStyle name="Normal 8 5 6 2 4 2" xfId="14371" xr:uid="{00000000-0005-0000-0000-000041AE0000}"/>
    <cellStyle name="Normal 8 5 6 2 4 2 2" xfId="29963" xr:uid="{00000000-0005-0000-0000-000042AE0000}"/>
    <cellStyle name="Normal 8 5 6 2 4 2 3" xfId="45455" xr:uid="{00000000-0005-0000-0000-000043AE0000}"/>
    <cellStyle name="Normal 8 5 6 2 4 3" xfId="22223" xr:uid="{00000000-0005-0000-0000-000044AE0000}"/>
    <cellStyle name="Normal 8 5 6 2 4 4" xfId="37715" xr:uid="{00000000-0005-0000-0000-000045AE0000}"/>
    <cellStyle name="Normal 8 5 6 2 5" xfId="10501" xr:uid="{00000000-0005-0000-0000-000046AE0000}"/>
    <cellStyle name="Normal 8 5 6 2 5 2" xfId="26093" xr:uid="{00000000-0005-0000-0000-000047AE0000}"/>
    <cellStyle name="Normal 8 5 6 2 5 3" xfId="41585" xr:uid="{00000000-0005-0000-0000-000048AE0000}"/>
    <cellStyle name="Normal 8 5 6 2 6" xfId="18353" xr:uid="{00000000-0005-0000-0000-000049AE0000}"/>
    <cellStyle name="Normal 8 5 6 2 7" xfId="33845" xr:uid="{00000000-0005-0000-0000-00004AAE0000}"/>
    <cellStyle name="Normal 8 5 6 3" xfId="3382" xr:uid="{00000000-0005-0000-0000-00004BAE0000}"/>
    <cellStyle name="Normal 8 5 6 3 2" xfId="5321" xr:uid="{00000000-0005-0000-0000-00004CAE0000}"/>
    <cellStyle name="Normal 8 5 6 3 2 2" xfId="9192" xr:uid="{00000000-0005-0000-0000-00004DAE0000}"/>
    <cellStyle name="Normal 8 5 6 3 2 2 2" xfId="16937" xr:uid="{00000000-0005-0000-0000-00004EAE0000}"/>
    <cellStyle name="Normal 8 5 6 3 2 2 2 2" xfId="32529" xr:uid="{00000000-0005-0000-0000-00004FAE0000}"/>
    <cellStyle name="Normal 8 5 6 3 2 2 2 3" xfId="48021" xr:uid="{00000000-0005-0000-0000-000050AE0000}"/>
    <cellStyle name="Normal 8 5 6 3 2 2 3" xfId="24789" xr:uid="{00000000-0005-0000-0000-000051AE0000}"/>
    <cellStyle name="Normal 8 5 6 3 2 2 4" xfId="40281" xr:uid="{00000000-0005-0000-0000-000052AE0000}"/>
    <cellStyle name="Normal 8 5 6 3 2 3" xfId="13067" xr:uid="{00000000-0005-0000-0000-000053AE0000}"/>
    <cellStyle name="Normal 8 5 6 3 2 3 2" xfId="28659" xr:uid="{00000000-0005-0000-0000-000054AE0000}"/>
    <cellStyle name="Normal 8 5 6 3 2 3 3" xfId="44151" xr:uid="{00000000-0005-0000-0000-000055AE0000}"/>
    <cellStyle name="Normal 8 5 6 3 2 4" xfId="20919" xr:uid="{00000000-0005-0000-0000-000056AE0000}"/>
    <cellStyle name="Normal 8 5 6 3 2 5" xfId="36411" xr:uid="{00000000-0005-0000-0000-000057AE0000}"/>
    <cellStyle name="Normal 8 5 6 3 3" xfId="7265" xr:uid="{00000000-0005-0000-0000-000058AE0000}"/>
    <cellStyle name="Normal 8 5 6 3 3 2" xfId="15010" xr:uid="{00000000-0005-0000-0000-000059AE0000}"/>
    <cellStyle name="Normal 8 5 6 3 3 2 2" xfId="30602" xr:uid="{00000000-0005-0000-0000-00005AAE0000}"/>
    <cellStyle name="Normal 8 5 6 3 3 2 3" xfId="46094" xr:uid="{00000000-0005-0000-0000-00005BAE0000}"/>
    <cellStyle name="Normal 8 5 6 3 3 3" xfId="22862" xr:uid="{00000000-0005-0000-0000-00005CAE0000}"/>
    <cellStyle name="Normal 8 5 6 3 3 4" xfId="38354" xr:uid="{00000000-0005-0000-0000-00005DAE0000}"/>
    <cellStyle name="Normal 8 5 6 3 4" xfId="11140" xr:uid="{00000000-0005-0000-0000-00005EAE0000}"/>
    <cellStyle name="Normal 8 5 6 3 4 2" xfId="26732" xr:uid="{00000000-0005-0000-0000-00005FAE0000}"/>
    <cellStyle name="Normal 8 5 6 3 4 3" xfId="42224" xr:uid="{00000000-0005-0000-0000-000060AE0000}"/>
    <cellStyle name="Normal 8 5 6 3 5" xfId="18992" xr:uid="{00000000-0005-0000-0000-000061AE0000}"/>
    <cellStyle name="Normal 8 5 6 3 6" xfId="34484" xr:uid="{00000000-0005-0000-0000-000062AE0000}"/>
    <cellStyle name="Normal 8 5 6 4" xfId="4373" xr:uid="{00000000-0005-0000-0000-000063AE0000}"/>
    <cellStyle name="Normal 8 5 6 4 2" xfId="8244" xr:uid="{00000000-0005-0000-0000-000064AE0000}"/>
    <cellStyle name="Normal 8 5 6 4 2 2" xfId="15989" xr:uid="{00000000-0005-0000-0000-000065AE0000}"/>
    <cellStyle name="Normal 8 5 6 4 2 2 2" xfId="31581" xr:uid="{00000000-0005-0000-0000-000066AE0000}"/>
    <cellStyle name="Normal 8 5 6 4 2 2 3" xfId="47073" xr:uid="{00000000-0005-0000-0000-000067AE0000}"/>
    <cellStyle name="Normal 8 5 6 4 2 3" xfId="23841" xr:uid="{00000000-0005-0000-0000-000068AE0000}"/>
    <cellStyle name="Normal 8 5 6 4 2 4" xfId="39333" xr:uid="{00000000-0005-0000-0000-000069AE0000}"/>
    <cellStyle name="Normal 8 5 6 4 3" xfId="12119" xr:uid="{00000000-0005-0000-0000-00006AAE0000}"/>
    <cellStyle name="Normal 8 5 6 4 3 2" xfId="27711" xr:uid="{00000000-0005-0000-0000-00006BAE0000}"/>
    <cellStyle name="Normal 8 5 6 4 3 3" xfId="43203" xr:uid="{00000000-0005-0000-0000-00006CAE0000}"/>
    <cellStyle name="Normal 8 5 6 4 4" xfId="19971" xr:uid="{00000000-0005-0000-0000-00006DAE0000}"/>
    <cellStyle name="Normal 8 5 6 4 5" xfId="35463" xr:uid="{00000000-0005-0000-0000-00006EAE0000}"/>
    <cellStyle name="Normal 8 5 6 5" xfId="6317" xr:uid="{00000000-0005-0000-0000-00006FAE0000}"/>
    <cellStyle name="Normal 8 5 6 5 2" xfId="14062" xr:uid="{00000000-0005-0000-0000-000070AE0000}"/>
    <cellStyle name="Normal 8 5 6 5 2 2" xfId="29654" xr:uid="{00000000-0005-0000-0000-000071AE0000}"/>
    <cellStyle name="Normal 8 5 6 5 2 3" xfId="45146" xr:uid="{00000000-0005-0000-0000-000072AE0000}"/>
    <cellStyle name="Normal 8 5 6 5 3" xfId="21914" xr:uid="{00000000-0005-0000-0000-000073AE0000}"/>
    <cellStyle name="Normal 8 5 6 5 4" xfId="37406" xr:uid="{00000000-0005-0000-0000-000074AE0000}"/>
    <cellStyle name="Normal 8 5 6 6" xfId="10192" xr:uid="{00000000-0005-0000-0000-000075AE0000}"/>
    <cellStyle name="Normal 8 5 6 6 2" xfId="25784" xr:uid="{00000000-0005-0000-0000-000076AE0000}"/>
    <cellStyle name="Normal 8 5 6 6 3" xfId="41276" xr:uid="{00000000-0005-0000-0000-000077AE0000}"/>
    <cellStyle name="Normal 8 5 6 7" xfId="18044" xr:uid="{00000000-0005-0000-0000-000078AE0000}"/>
    <cellStyle name="Normal 8 5 6 8" xfId="33536" xr:uid="{00000000-0005-0000-0000-000079AE0000}"/>
    <cellStyle name="Normal 8 5 7" xfId="2408" xr:uid="{00000000-0005-0000-0000-00007AAE0000}"/>
    <cellStyle name="Normal 8 5 7 2" xfId="2719" xr:uid="{00000000-0005-0000-0000-00007BAE0000}"/>
    <cellStyle name="Normal 8 5 7 2 2" xfId="3727" xr:uid="{00000000-0005-0000-0000-00007CAE0000}"/>
    <cellStyle name="Normal 8 5 7 2 2 2" xfId="5666" xr:uid="{00000000-0005-0000-0000-00007DAE0000}"/>
    <cellStyle name="Normal 8 5 7 2 2 2 2" xfId="9537" xr:uid="{00000000-0005-0000-0000-00007EAE0000}"/>
    <cellStyle name="Normal 8 5 7 2 2 2 2 2" xfId="17282" xr:uid="{00000000-0005-0000-0000-00007FAE0000}"/>
    <cellStyle name="Normal 8 5 7 2 2 2 2 2 2" xfId="32874" xr:uid="{00000000-0005-0000-0000-000080AE0000}"/>
    <cellStyle name="Normal 8 5 7 2 2 2 2 2 3" xfId="48366" xr:uid="{00000000-0005-0000-0000-000081AE0000}"/>
    <cellStyle name="Normal 8 5 7 2 2 2 2 3" xfId="25134" xr:uid="{00000000-0005-0000-0000-000082AE0000}"/>
    <cellStyle name="Normal 8 5 7 2 2 2 2 4" xfId="40626" xr:uid="{00000000-0005-0000-0000-000083AE0000}"/>
    <cellStyle name="Normal 8 5 7 2 2 2 3" xfId="13412" xr:uid="{00000000-0005-0000-0000-000084AE0000}"/>
    <cellStyle name="Normal 8 5 7 2 2 2 3 2" xfId="29004" xr:uid="{00000000-0005-0000-0000-000085AE0000}"/>
    <cellStyle name="Normal 8 5 7 2 2 2 3 3" xfId="44496" xr:uid="{00000000-0005-0000-0000-000086AE0000}"/>
    <cellStyle name="Normal 8 5 7 2 2 2 4" xfId="21264" xr:uid="{00000000-0005-0000-0000-000087AE0000}"/>
    <cellStyle name="Normal 8 5 7 2 2 2 5" xfId="36756" xr:uid="{00000000-0005-0000-0000-000088AE0000}"/>
    <cellStyle name="Normal 8 5 7 2 2 3" xfId="7610" xr:uid="{00000000-0005-0000-0000-000089AE0000}"/>
    <cellStyle name="Normal 8 5 7 2 2 3 2" xfId="15355" xr:uid="{00000000-0005-0000-0000-00008AAE0000}"/>
    <cellStyle name="Normal 8 5 7 2 2 3 2 2" xfId="30947" xr:uid="{00000000-0005-0000-0000-00008BAE0000}"/>
    <cellStyle name="Normal 8 5 7 2 2 3 2 3" xfId="46439" xr:uid="{00000000-0005-0000-0000-00008CAE0000}"/>
    <cellStyle name="Normal 8 5 7 2 2 3 3" xfId="23207" xr:uid="{00000000-0005-0000-0000-00008DAE0000}"/>
    <cellStyle name="Normal 8 5 7 2 2 3 4" xfId="38699" xr:uid="{00000000-0005-0000-0000-00008EAE0000}"/>
    <cellStyle name="Normal 8 5 7 2 2 4" xfId="11485" xr:uid="{00000000-0005-0000-0000-00008FAE0000}"/>
    <cellStyle name="Normal 8 5 7 2 2 4 2" xfId="27077" xr:uid="{00000000-0005-0000-0000-000090AE0000}"/>
    <cellStyle name="Normal 8 5 7 2 2 4 3" xfId="42569" xr:uid="{00000000-0005-0000-0000-000091AE0000}"/>
    <cellStyle name="Normal 8 5 7 2 2 5" xfId="19337" xr:uid="{00000000-0005-0000-0000-000092AE0000}"/>
    <cellStyle name="Normal 8 5 7 2 2 6" xfId="34829" xr:uid="{00000000-0005-0000-0000-000093AE0000}"/>
    <cellStyle name="Normal 8 5 7 2 3" xfId="4718" xr:uid="{00000000-0005-0000-0000-000094AE0000}"/>
    <cellStyle name="Normal 8 5 7 2 3 2" xfId="8589" xr:uid="{00000000-0005-0000-0000-000095AE0000}"/>
    <cellStyle name="Normal 8 5 7 2 3 2 2" xfId="16334" xr:uid="{00000000-0005-0000-0000-000096AE0000}"/>
    <cellStyle name="Normal 8 5 7 2 3 2 2 2" xfId="31926" xr:uid="{00000000-0005-0000-0000-000097AE0000}"/>
    <cellStyle name="Normal 8 5 7 2 3 2 2 3" xfId="47418" xr:uid="{00000000-0005-0000-0000-000098AE0000}"/>
    <cellStyle name="Normal 8 5 7 2 3 2 3" xfId="24186" xr:uid="{00000000-0005-0000-0000-000099AE0000}"/>
    <cellStyle name="Normal 8 5 7 2 3 2 4" xfId="39678" xr:uid="{00000000-0005-0000-0000-00009AAE0000}"/>
    <cellStyle name="Normal 8 5 7 2 3 3" xfId="12464" xr:uid="{00000000-0005-0000-0000-00009BAE0000}"/>
    <cellStyle name="Normal 8 5 7 2 3 3 2" xfId="28056" xr:uid="{00000000-0005-0000-0000-00009CAE0000}"/>
    <cellStyle name="Normal 8 5 7 2 3 3 3" xfId="43548" xr:uid="{00000000-0005-0000-0000-00009DAE0000}"/>
    <cellStyle name="Normal 8 5 7 2 3 4" xfId="20316" xr:uid="{00000000-0005-0000-0000-00009EAE0000}"/>
    <cellStyle name="Normal 8 5 7 2 3 5" xfId="35808" xr:uid="{00000000-0005-0000-0000-00009FAE0000}"/>
    <cellStyle name="Normal 8 5 7 2 4" xfId="6662" xr:uid="{00000000-0005-0000-0000-0000A0AE0000}"/>
    <cellStyle name="Normal 8 5 7 2 4 2" xfId="14407" xr:uid="{00000000-0005-0000-0000-0000A1AE0000}"/>
    <cellStyle name="Normal 8 5 7 2 4 2 2" xfId="29999" xr:uid="{00000000-0005-0000-0000-0000A2AE0000}"/>
    <cellStyle name="Normal 8 5 7 2 4 2 3" xfId="45491" xr:uid="{00000000-0005-0000-0000-0000A3AE0000}"/>
    <cellStyle name="Normal 8 5 7 2 4 3" xfId="22259" xr:uid="{00000000-0005-0000-0000-0000A4AE0000}"/>
    <cellStyle name="Normal 8 5 7 2 4 4" xfId="37751" xr:uid="{00000000-0005-0000-0000-0000A5AE0000}"/>
    <cellStyle name="Normal 8 5 7 2 5" xfId="10537" xr:uid="{00000000-0005-0000-0000-0000A6AE0000}"/>
    <cellStyle name="Normal 8 5 7 2 5 2" xfId="26129" xr:uid="{00000000-0005-0000-0000-0000A7AE0000}"/>
    <cellStyle name="Normal 8 5 7 2 5 3" xfId="41621" xr:uid="{00000000-0005-0000-0000-0000A8AE0000}"/>
    <cellStyle name="Normal 8 5 7 2 6" xfId="18389" xr:uid="{00000000-0005-0000-0000-0000A9AE0000}"/>
    <cellStyle name="Normal 8 5 7 2 7" xfId="33881" xr:uid="{00000000-0005-0000-0000-0000AAAE0000}"/>
    <cellStyle name="Normal 8 5 7 3" xfId="3418" xr:uid="{00000000-0005-0000-0000-0000ABAE0000}"/>
    <cellStyle name="Normal 8 5 7 3 2" xfId="5357" xr:uid="{00000000-0005-0000-0000-0000ACAE0000}"/>
    <cellStyle name="Normal 8 5 7 3 2 2" xfId="9228" xr:uid="{00000000-0005-0000-0000-0000ADAE0000}"/>
    <cellStyle name="Normal 8 5 7 3 2 2 2" xfId="16973" xr:uid="{00000000-0005-0000-0000-0000AEAE0000}"/>
    <cellStyle name="Normal 8 5 7 3 2 2 2 2" xfId="32565" xr:uid="{00000000-0005-0000-0000-0000AFAE0000}"/>
    <cellStyle name="Normal 8 5 7 3 2 2 2 3" xfId="48057" xr:uid="{00000000-0005-0000-0000-0000B0AE0000}"/>
    <cellStyle name="Normal 8 5 7 3 2 2 3" xfId="24825" xr:uid="{00000000-0005-0000-0000-0000B1AE0000}"/>
    <cellStyle name="Normal 8 5 7 3 2 2 4" xfId="40317" xr:uid="{00000000-0005-0000-0000-0000B2AE0000}"/>
    <cellStyle name="Normal 8 5 7 3 2 3" xfId="13103" xr:uid="{00000000-0005-0000-0000-0000B3AE0000}"/>
    <cellStyle name="Normal 8 5 7 3 2 3 2" xfId="28695" xr:uid="{00000000-0005-0000-0000-0000B4AE0000}"/>
    <cellStyle name="Normal 8 5 7 3 2 3 3" xfId="44187" xr:uid="{00000000-0005-0000-0000-0000B5AE0000}"/>
    <cellStyle name="Normal 8 5 7 3 2 4" xfId="20955" xr:uid="{00000000-0005-0000-0000-0000B6AE0000}"/>
    <cellStyle name="Normal 8 5 7 3 2 5" xfId="36447" xr:uid="{00000000-0005-0000-0000-0000B7AE0000}"/>
    <cellStyle name="Normal 8 5 7 3 3" xfId="7301" xr:uid="{00000000-0005-0000-0000-0000B8AE0000}"/>
    <cellStyle name="Normal 8 5 7 3 3 2" xfId="15046" xr:uid="{00000000-0005-0000-0000-0000B9AE0000}"/>
    <cellStyle name="Normal 8 5 7 3 3 2 2" xfId="30638" xr:uid="{00000000-0005-0000-0000-0000BAAE0000}"/>
    <cellStyle name="Normal 8 5 7 3 3 2 3" xfId="46130" xr:uid="{00000000-0005-0000-0000-0000BBAE0000}"/>
    <cellStyle name="Normal 8 5 7 3 3 3" xfId="22898" xr:uid="{00000000-0005-0000-0000-0000BCAE0000}"/>
    <cellStyle name="Normal 8 5 7 3 3 4" xfId="38390" xr:uid="{00000000-0005-0000-0000-0000BDAE0000}"/>
    <cellStyle name="Normal 8 5 7 3 4" xfId="11176" xr:uid="{00000000-0005-0000-0000-0000BEAE0000}"/>
    <cellStyle name="Normal 8 5 7 3 4 2" xfId="26768" xr:uid="{00000000-0005-0000-0000-0000BFAE0000}"/>
    <cellStyle name="Normal 8 5 7 3 4 3" xfId="42260" xr:uid="{00000000-0005-0000-0000-0000C0AE0000}"/>
    <cellStyle name="Normal 8 5 7 3 5" xfId="19028" xr:uid="{00000000-0005-0000-0000-0000C1AE0000}"/>
    <cellStyle name="Normal 8 5 7 3 6" xfId="34520" xr:uid="{00000000-0005-0000-0000-0000C2AE0000}"/>
    <cellStyle name="Normal 8 5 7 4" xfId="4409" xr:uid="{00000000-0005-0000-0000-0000C3AE0000}"/>
    <cellStyle name="Normal 8 5 7 4 2" xfId="8280" xr:uid="{00000000-0005-0000-0000-0000C4AE0000}"/>
    <cellStyle name="Normal 8 5 7 4 2 2" xfId="16025" xr:uid="{00000000-0005-0000-0000-0000C5AE0000}"/>
    <cellStyle name="Normal 8 5 7 4 2 2 2" xfId="31617" xr:uid="{00000000-0005-0000-0000-0000C6AE0000}"/>
    <cellStyle name="Normal 8 5 7 4 2 2 3" xfId="47109" xr:uid="{00000000-0005-0000-0000-0000C7AE0000}"/>
    <cellStyle name="Normal 8 5 7 4 2 3" xfId="23877" xr:uid="{00000000-0005-0000-0000-0000C8AE0000}"/>
    <cellStyle name="Normal 8 5 7 4 2 4" xfId="39369" xr:uid="{00000000-0005-0000-0000-0000C9AE0000}"/>
    <cellStyle name="Normal 8 5 7 4 3" xfId="12155" xr:uid="{00000000-0005-0000-0000-0000CAAE0000}"/>
    <cellStyle name="Normal 8 5 7 4 3 2" xfId="27747" xr:uid="{00000000-0005-0000-0000-0000CBAE0000}"/>
    <cellStyle name="Normal 8 5 7 4 3 3" xfId="43239" xr:uid="{00000000-0005-0000-0000-0000CCAE0000}"/>
    <cellStyle name="Normal 8 5 7 4 4" xfId="20007" xr:uid="{00000000-0005-0000-0000-0000CDAE0000}"/>
    <cellStyle name="Normal 8 5 7 4 5" xfId="35499" xr:uid="{00000000-0005-0000-0000-0000CEAE0000}"/>
    <cellStyle name="Normal 8 5 7 5" xfId="6353" xr:uid="{00000000-0005-0000-0000-0000CFAE0000}"/>
    <cellStyle name="Normal 8 5 7 5 2" xfId="14098" xr:uid="{00000000-0005-0000-0000-0000D0AE0000}"/>
    <cellStyle name="Normal 8 5 7 5 2 2" xfId="29690" xr:uid="{00000000-0005-0000-0000-0000D1AE0000}"/>
    <cellStyle name="Normal 8 5 7 5 2 3" xfId="45182" xr:uid="{00000000-0005-0000-0000-0000D2AE0000}"/>
    <cellStyle name="Normal 8 5 7 5 3" xfId="21950" xr:uid="{00000000-0005-0000-0000-0000D3AE0000}"/>
    <cellStyle name="Normal 8 5 7 5 4" xfId="37442" xr:uid="{00000000-0005-0000-0000-0000D4AE0000}"/>
    <cellStyle name="Normal 8 5 7 6" xfId="10228" xr:uid="{00000000-0005-0000-0000-0000D5AE0000}"/>
    <cellStyle name="Normal 8 5 7 6 2" xfId="25820" xr:uid="{00000000-0005-0000-0000-0000D6AE0000}"/>
    <cellStyle name="Normal 8 5 7 6 3" xfId="41312" xr:uid="{00000000-0005-0000-0000-0000D7AE0000}"/>
    <cellStyle name="Normal 8 5 7 7" xfId="18080" xr:uid="{00000000-0005-0000-0000-0000D8AE0000}"/>
    <cellStyle name="Normal 8 5 7 8" xfId="33572" xr:uid="{00000000-0005-0000-0000-0000D9AE0000}"/>
    <cellStyle name="Normal 8 5 8" xfId="2445" xr:uid="{00000000-0005-0000-0000-0000DAAE0000}"/>
    <cellStyle name="Normal 8 5 8 2" xfId="2755" xr:uid="{00000000-0005-0000-0000-0000DBAE0000}"/>
    <cellStyle name="Normal 8 5 8 2 2" xfId="3763" xr:uid="{00000000-0005-0000-0000-0000DCAE0000}"/>
    <cellStyle name="Normal 8 5 8 2 2 2" xfId="5702" xr:uid="{00000000-0005-0000-0000-0000DDAE0000}"/>
    <cellStyle name="Normal 8 5 8 2 2 2 2" xfId="9573" xr:uid="{00000000-0005-0000-0000-0000DEAE0000}"/>
    <cellStyle name="Normal 8 5 8 2 2 2 2 2" xfId="17318" xr:uid="{00000000-0005-0000-0000-0000DFAE0000}"/>
    <cellStyle name="Normal 8 5 8 2 2 2 2 2 2" xfId="32910" xr:uid="{00000000-0005-0000-0000-0000E0AE0000}"/>
    <cellStyle name="Normal 8 5 8 2 2 2 2 2 3" xfId="48402" xr:uid="{00000000-0005-0000-0000-0000E1AE0000}"/>
    <cellStyle name="Normal 8 5 8 2 2 2 2 3" xfId="25170" xr:uid="{00000000-0005-0000-0000-0000E2AE0000}"/>
    <cellStyle name="Normal 8 5 8 2 2 2 2 4" xfId="40662" xr:uid="{00000000-0005-0000-0000-0000E3AE0000}"/>
    <cellStyle name="Normal 8 5 8 2 2 2 3" xfId="13448" xr:uid="{00000000-0005-0000-0000-0000E4AE0000}"/>
    <cellStyle name="Normal 8 5 8 2 2 2 3 2" xfId="29040" xr:uid="{00000000-0005-0000-0000-0000E5AE0000}"/>
    <cellStyle name="Normal 8 5 8 2 2 2 3 3" xfId="44532" xr:uid="{00000000-0005-0000-0000-0000E6AE0000}"/>
    <cellStyle name="Normal 8 5 8 2 2 2 4" xfId="21300" xr:uid="{00000000-0005-0000-0000-0000E7AE0000}"/>
    <cellStyle name="Normal 8 5 8 2 2 2 5" xfId="36792" xr:uid="{00000000-0005-0000-0000-0000E8AE0000}"/>
    <cellStyle name="Normal 8 5 8 2 2 3" xfId="7646" xr:uid="{00000000-0005-0000-0000-0000E9AE0000}"/>
    <cellStyle name="Normal 8 5 8 2 2 3 2" xfId="15391" xr:uid="{00000000-0005-0000-0000-0000EAAE0000}"/>
    <cellStyle name="Normal 8 5 8 2 2 3 2 2" xfId="30983" xr:uid="{00000000-0005-0000-0000-0000EBAE0000}"/>
    <cellStyle name="Normal 8 5 8 2 2 3 2 3" xfId="46475" xr:uid="{00000000-0005-0000-0000-0000ECAE0000}"/>
    <cellStyle name="Normal 8 5 8 2 2 3 3" xfId="23243" xr:uid="{00000000-0005-0000-0000-0000EDAE0000}"/>
    <cellStyle name="Normal 8 5 8 2 2 3 4" xfId="38735" xr:uid="{00000000-0005-0000-0000-0000EEAE0000}"/>
    <cellStyle name="Normal 8 5 8 2 2 4" xfId="11521" xr:uid="{00000000-0005-0000-0000-0000EFAE0000}"/>
    <cellStyle name="Normal 8 5 8 2 2 4 2" xfId="27113" xr:uid="{00000000-0005-0000-0000-0000F0AE0000}"/>
    <cellStyle name="Normal 8 5 8 2 2 4 3" xfId="42605" xr:uid="{00000000-0005-0000-0000-0000F1AE0000}"/>
    <cellStyle name="Normal 8 5 8 2 2 5" xfId="19373" xr:uid="{00000000-0005-0000-0000-0000F2AE0000}"/>
    <cellStyle name="Normal 8 5 8 2 2 6" xfId="34865" xr:uid="{00000000-0005-0000-0000-0000F3AE0000}"/>
    <cellStyle name="Normal 8 5 8 2 3" xfId="4754" xr:uid="{00000000-0005-0000-0000-0000F4AE0000}"/>
    <cellStyle name="Normal 8 5 8 2 3 2" xfId="8625" xr:uid="{00000000-0005-0000-0000-0000F5AE0000}"/>
    <cellStyle name="Normal 8 5 8 2 3 2 2" xfId="16370" xr:uid="{00000000-0005-0000-0000-0000F6AE0000}"/>
    <cellStyle name="Normal 8 5 8 2 3 2 2 2" xfId="31962" xr:uid="{00000000-0005-0000-0000-0000F7AE0000}"/>
    <cellStyle name="Normal 8 5 8 2 3 2 2 3" xfId="47454" xr:uid="{00000000-0005-0000-0000-0000F8AE0000}"/>
    <cellStyle name="Normal 8 5 8 2 3 2 3" xfId="24222" xr:uid="{00000000-0005-0000-0000-0000F9AE0000}"/>
    <cellStyle name="Normal 8 5 8 2 3 2 4" xfId="39714" xr:uid="{00000000-0005-0000-0000-0000FAAE0000}"/>
    <cellStyle name="Normal 8 5 8 2 3 3" xfId="12500" xr:uid="{00000000-0005-0000-0000-0000FBAE0000}"/>
    <cellStyle name="Normal 8 5 8 2 3 3 2" xfId="28092" xr:uid="{00000000-0005-0000-0000-0000FCAE0000}"/>
    <cellStyle name="Normal 8 5 8 2 3 3 3" xfId="43584" xr:uid="{00000000-0005-0000-0000-0000FDAE0000}"/>
    <cellStyle name="Normal 8 5 8 2 3 4" xfId="20352" xr:uid="{00000000-0005-0000-0000-0000FEAE0000}"/>
    <cellStyle name="Normal 8 5 8 2 3 5" xfId="35844" xr:uid="{00000000-0005-0000-0000-0000FFAE0000}"/>
    <cellStyle name="Normal 8 5 8 2 4" xfId="6698" xr:uid="{00000000-0005-0000-0000-000000AF0000}"/>
    <cellStyle name="Normal 8 5 8 2 4 2" xfId="14443" xr:uid="{00000000-0005-0000-0000-000001AF0000}"/>
    <cellStyle name="Normal 8 5 8 2 4 2 2" xfId="30035" xr:uid="{00000000-0005-0000-0000-000002AF0000}"/>
    <cellStyle name="Normal 8 5 8 2 4 2 3" xfId="45527" xr:uid="{00000000-0005-0000-0000-000003AF0000}"/>
    <cellStyle name="Normal 8 5 8 2 4 3" xfId="22295" xr:uid="{00000000-0005-0000-0000-000004AF0000}"/>
    <cellStyle name="Normal 8 5 8 2 4 4" xfId="37787" xr:uid="{00000000-0005-0000-0000-000005AF0000}"/>
    <cellStyle name="Normal 8 5 8 2 5" xfId="10573" xr:uid="{00000000-0005-0000-0000-000006AF0000}"/>
    <cellStyle name="Normal 8 5 8 2 5 2" xfId="26165" xr:uid="{00000000-0005-0000-0000-000007AF0000}"/>
    <cellStyle name="Normal 8 5 8 2 5 3" xfId="41657" xr:uid="{00000000-0005-0000-0000-000008AF0000}"/>
    <cellStyle name="Normal 8 5 8 2 6" xfId="18425" xr:uid="{00000000-0005-0000-0000-000009AF0000}"/>
    <cellStyle name="Normal 8 5 8 2 7" xfId="33917" xr:uid="{00000000-0005-0000-0000-00000AAF0000}"/>
    <cellStyle name="Normal 8 5 8 3" xfId="3454" xr:uid="{00000000-0005-0000-0000-00000BAF0000}"/>
    <cellStyle name="Normal 8 5 8 3 2" xfId="5393" xr:uid="{00000000-0005-0000-0000-00000CAF0000}"/>
    <cellStyle name="Normal 8 5 8 3 2 2" xfId="9264" xr:uid="{00000000-0005-0000-0000-00000DAF0000}"/>
    <cellStyle name="Normal 8 5 8 3 2 2 2" xfId="17009" xr:uid="{00000000-0005-0000-0000-00000EAF0000}"/>
    <cellStyle name="Normal 8 5 8 3 2 2 2 2" xfId="32601" xr:uid="{00000000-0005-0000-0000-00000FAF0000}"/>
    <cellStyle name="Normal 8 5 8 3 2 2 2 3" xfId="48093" xr:uid="{00000000-0005-0000-0000-000010AF0000}"/>
    <cellStyle name="Normal 8 5 8 3 2 2 3" xfId="24861" xr:uid="{00000000-0005-0000-0000-000011AF0000}"/>
    <cellStyle name="Normal 8 5 8 3 2 2 4" xfId="40353" xr:uid="{00000000-0005-0000-0000-000012AF0000}"/>
    <cellStyle name="Normal 8 5 8 3 2 3" xfId="13139" xr:uid="{00000000-0005-0000-0000-000013AF0000}"/>
    <cellStyle name="Normal 8 5 8 3 2 3 2" xfId="28731" xr:uid="{00000000-0005-0000-0000-000014AF0000}"/>
    <cellStyle name="Normal 8 5 8 3 2 3 3" xfId="44223" xr:uid="{00000000-0005-0000-0000-000015AF0000}"/>
    <cellStyle name="Normal 8 5 8 3 2 4" xfId="20991" xr:uid="{00000000-0005-0000-0000-000016AF0000}"/>
    <cellStyle name="Normal 8 5 8 3 2 5" xfId="36483" xr:uid="{00000000-0005-0000-0000-000017AF0000}"/>
    <cellStyle name="Normal 8 5 8 3 3" xfId="7337" xr:uid="{00000000-0005-0000-0000-000018AF0000}"/>
    <cellStyle name="Normal 8 5 8 3 3 2" xfId="15082" xr:uid="{00000000-0005-0000-0000-000019AF0000}"/>
    <cellStyle name="Normal 8 5 8 3 3 2 2" xfId="30674" xr:uid="{00000000-0005-0000-0000-00001AAF0000}"/>
    <cellStyle name="Normal 8 5 8 3 3 2 3" xfId="46166" xr:uid="{00000000-0005-0000-0000-00001BAF0000}"/>
    <cellStyle name="Normal 8 5 8 3 3 3" xfId="22934" xr:uid="{00000000-0005-0000-0000-00001CAF0000}"/>
    <cellStyle name="Normal 8 5 8 3 3 4" xfId="38426" xr:uid="{00000000-0005-0000-0000-00001DAF0000}"/>
    <cellStyle name="Normal 8 5 8 3 4" xfId="11212" xr:uid="{00000000-0005-0000-0000-00001EAF0000}"/>
    <cellStyle name="Normal 8 5 8 3 4 2" xfId="26804" xr:uid="{00000000-0005-0000-0000-00001FAF0000}"/>
    <cellStyle name="Normal 8 5 8 3 4 3" xfId="42296" xr:uid="{00000000-0005-0000-0000-000020AF0000}"/>
    <cellStyle name="Normal 8 5 8 3 5" xfId="19064" xr:uid="{00000000-0005-0000-0000-000021AF0000}"/>
    <cellStyle name="Normal 8 5 8 3 6" xfId="34556" xr:uid="{00000000-0005-0000-0000-000022AF0000}"/>
    <cellStyle name="Normal 8 5 8 4" xfId="4445" xr:uid="{00000000-0005-0000-0000-000023AF0000}"/>
    <cellStyle name="Normal 8 5 8 4 2" xfId="8316" xr:uid="{00000000-0005-0000-0000-000024AF0000}"/>
    <cellStyle name="Normal 8 5 8 4 2 2" xfId="16061" xr:uid="{00000000-0005-0000-0000-000025AF0000}"/>
    <cellStyle name="Normal 8 5 8 4 2 2 2" xfId="31653" xr:uid="{00000000-0005-0000-0000-000026AF0000}"/>
    <cellStyle name="Normal 8 5 8 4 2 2 3" xfId="47145" xr:uid="{00000000-0005-0000-0000-000027AF0000}"/>
    <cellStyle name="Normal 8 5 8 4 2 3" xfId="23913" xr:uid="{00000000-0005-0000-0000-000028AF0000}"/>
    <cellStyle name="Normal 8 5 8 4 2 4" xfId="39405" xr:uid="{00000000-0005-0000-0000-000029AF0000}"/>
    <cellStyle name="Normal 8 5 8 4 3" xfId="12191" xr:uid="{00000000-0005-0000-0000-00002AAF0000}"/>
    <cellStyle name="Normal 8 5 8 4 3 2" xfId="27783" xr:uid="{00000000-0005-0000-0000-00002BAF0000}"/>
    <cellStyle name="Normal 8 5 8 4 3 3" xfId="43275" xr:uid="{00000000-0005-0000-0000-00002CAF0000}"/>
    <cellStyle name="Normal 8 5 8 4 4" xfId="20043" xr:uid="{00000000-0005-0000-0000-00002DAF0000}"/>
    <cellStyle name="Normal 8 5 8 4 5" xfId="35535" xr:uid="{00000000-0005-0000-0000-00002EAF0000}"/>
    <cellStyle name="Normal 8 5 8 5" xfId="6389" xr:uid="{00000000-0005-0000-0000-00002FAF0000}"/>
    <cellStyle name="Normal 8 5 8 5 2" xfId="14134" xr:uid="{00000000-0005-0000-0000-000030AF0000}"/>
    <cellStyle name="Normal 8 5 8 5 2 2" xfId="29726" xr:uid="{00000000-0005-0000-0000-000031AF0000}"/>
    <cellStyle name="Normal 8 5 8 5 2 3" xfId="45218" xr:uid="{00000000-0005-0000-0000-000032AF0000}"/>
    <cellStyle name="Normal 8 5 8 5 3" xfId="21986" xr:uid="{00000000-0005-0000-0000-000033AF0000}"/>
    <cellStyle name="Normal 8 5 8 5 4" xfId="37478" xr:uid="{00000000-0005-0000-0000-000034AF0000}"/>
    <cellStyle name="Normal 8 5 8 6" xfId="10264" xr:uid="{00000000-0005-0000-0000-000035AF0000}"/>
    <cellStyle name="Normal 8 5 8 6 2" xfId="25856" xr:uid="{00000000-0005-0000-0000-000036AF0000}"/>
    <cellStyle name="Normal 8 5 8 6 3" xfId="41348" xr:uid="{00000000-0005-0000-0000-000037AF0000}"/>
    <cellStyle name="Normal 8 5 8 7" xfId="18116" xr:uid="{00000000-0005-0000-0000-000038AF0000}"/>
    <cellStyle name="Normal 8 5 8 8" xfId="33608" xr:uid="{00000000-0005-0000-0000-000039AF0000}"/>
    <cellStyle name="Normal 8 5 9" xfId="2482" xr:uid="{00000000-0005-0000-0000-00003AAF0000}"/>
    <cellStyle name="Normal 8 5 9 2" xfId="2791" xr:uid="{00000000-0005-0000-0000-00003BAF0000}"/>
    <cellStyle name="Normal 8 5 9 2 2" xfId="3799" xr:uid="{00000000-0005-0000-0000-00003CAF0000}"/>
    <cellStyle name="Normal 8 5 9 2 2 2" xfId="5738" xr:uid="{00000000-0005-0000-0000-00003DAF0000}"/>
    <cellStyle name="Normal 8 5 9 2 2 2 2" xfId="9609" xr:uid="{00000000-0005-0000-0000-00003EAF0000}"/>
    <cellStyle name="Normal 8 5 9 2 2 2 2 2" xfId="17354" xr:uid="{00000000-0005-0000-0000-00003FAF0000}"/>
    <cellStyle name="Normal 8 5 9 2 2 2 2 2 2" xfId="32946" xr:uid="{00000000-0005-0000-0000-000040AF0000}"/>
    <cellStyle name="Normal 8 5 9 2 2 2 2 2 3" xfId="48438" xr:uid="{00000000-0005-0000-0000-000041AF0000}"/>
    <cellStyle name="Normal 8 5 9 2 2 2 2 3" xfId="25206" xr:uid="{00000000-0005-0000-0000-000042AF0000}"/>
    <cellStyle name="Normal 8 5 9 2 2 2 2 4" xfId="40698" xr:uid="{00000000-0005-0000-0000-000043AF0000}"/>
    <cellStyle name="Normal 8 5 9 2 2 2 3" xfId="13484" xr:uid="{00000000-0005-0000-0000-000044AF0000}"/>
    <cellStyle name="Normal 8 5 9 2 2 2 3 2" xfId="29076" xr:uid="{00000000-0005-0000-0000-000045AF0000}"/>
    <cellStyle name="Normal 8 5 9 2 2 2 3 3" xfId="44568" xr:uid="{00000000-0005-0000-0000-000046AF0000}"/>
    <cellStyle name="Normal 8 5 9 2 2 2 4" xfId="21336" xr:uid="{00000000-0005-0000-0000-000047AF0000}"/>
    <cellStyle name="Normal 8 5 9 2 2 2 5" xfId="36828" xr:uid="{00000000-0005-0000-0000-000048AF0000}"/>
    <cellStyle name="Normal 8 5 9 2 2 3" xfId="7682" xr:uid="{00000000-0005-0000-0000-000049AF0000}"/>
    <cellStyle name="Normal 8 5 9 2 2 3 2" xfId="15427" xr:uid="{00000000-0005-0000-0000-00004AAF0000}"/>
    <cellStyle name="Normal 8 5 9 2 2 3 2 2" xfId="31019" xr:uid="{00000000-0005-0000-0000-00004BAF0000}"/>
    <cellStyle name="Normal 8 5 9 2 2 3 2 3" xfId="46511" xr:uid="{00000000-0005-0000-0000-00004CAF0000}"/>
    <cellStyle name="Normal 8 5 9 2 2 3 3" xfId="23279" xr:uid="{00000000-0005-0000-0000-00004DAF0000}"/>
    <cellStyle name="Normal 8 5 9 2 2 3 4" xfId="38771" xr:uid="{00000000-0005-0000-0000-00004EAF0000}"/>
    <cellStyle name="Normal 8 5 9 2 2 4" xfId="11557" xr:uid="{00000000-0005-0000-0000-00004FAF0000}"/>
    <cellStyle name="Normal 8 5 9 2 2 4 2" xfId="27149" xr:uid="{00000000-0005-0000-0000-000050AF0000}"/>
    <cellStyle name="Normal 8 5 9 2 2 4 3" xfId="42641" xr:uid="{00000000-0005-0000-0000-000051AF0000}"/>
    <cellStyle name="Normal 8 5 9 2 2 5" xfId="19409" xr:uid="{00000000-0005-0000-0000-000052AF0000}"/>
    <cellStyle name="Normal 8 5 9 2 2 6" xfId="34901" xr:uid="{00000000-0005-0000-0000-000053AF0000}"/>
    <cellStyle name="Normal 8 5 9 2 3" xfId="4790" xr:uid="{00000000-0005-0000-0000-000054AF0000}"/>
    <cellStyle name="Normal 8 5 9 2 3 2" xfId="8661" xr:uid="{00000000-0005-0000-0000-000055AF0000}"/>
    <cellStyle name="Normal 8 5 9 2 3 2 2" xfId="16406" xr:uid="{00000000-0005-0000-0000-000056AF0000}"/>
    <cellStyle name="Normal 8 5 9 2 3 2 2 2" xfId="31998" xr:uid="{00000000-0005-0000-0000-000057AF0000}"/>
    <cellStyle name="Normal 8 5 9 2 3 2 2 3" xfId="47490" xr:uid="{00000000-0005-0000-0000-000058AF0000}"/>
    <cellStyle name="Normal 8 5 9 2 3 2 3" xfId="24258" xr:uid="{00000000-0005-0000-0000-000059AF0000}"/>
    <cellStyle name="Normal 8 5 9 2 3 2 4" xfId="39750" xr:uid="{00000000-0005-0000-0000-00005AAF0000}"/>
    <cellStyle name="Normal 8 5 9 2 3 3" xfId="12536" xr:uid="{00000000-0005-0000-0000-00005BAF0000}"/>
    <cellStyle name="Normal 8 5 9 2 3 3 2" xfId="28128" xr:uid="{00000000-0005-0000-0000-00005CAF0000}"/>
    <cellStyle name="Normal 8 5 9 2 3 3 3" xfId="43620" xr:uid="{00000000-0005-0000-0000-00005DAF0000}"/>
    <cellStyle name="Normal 8 5 9 2 3 4" xfId="20388" xr:uid="{00000000-0005-0000-0000-00005EAF0000}"/>
    <cellStyle name="Normal 8 5 9 2 3 5" xfId="35880" xr:uid="{00000000-0005-0000-0000-00005FAF0000}"/>
    <cellStyle name="Normal 8 5 9 2 4" xfId="6734" xr:uid="{00000000-0005-0000-0000-000060AF0000}"/>
    <cellStyle name="Normal 8 5 9 2 4 2" xfId="14479" xr:uid="{00000000-0005-0000-0000-000061AF0000}"/>
    <cellStyle name="Normal 8 5 9 2 4 2 2" xfId="30071" xr:uid="{00000000-0005-0000-0000-000062AF0000}"/>
    <cellStyle name="Normal 8 5 9 2 4 2 3" xfId="45563" xr:uid="{00000000-0005-0000-0000-000063AF0000}"/>
    <cellStyle name="Normal 8 5 9 2 4 3" xfId="22331" xr:uid="{00000000-0005-0000-0000-000064AF0000}"/>
    <cellStyle name="Normal 8 5 9 2 4 4" xfId="37823" xr:uid="{00000000-0005-0000-0000-000065AF0000}"/>
    <cellStyle name="Normal 8 5 9 2 5" xfId="10609" xr:uid="{00000000-0005-0000-0000-000066AF0000}"/>
    <cellStyle name="Normal 8 5 9 2 5 2" xfId="26201" xr:uid="{00000000-0005-0000-0000-000067AF0000}"/>
    <cellStyle name="Normal 8 5 9 2 5 3" xfId="41693" xr:uid="{00000000-0005-0000-0000-000068AF0000}"/>
    <cellStyle name="Normal 8 5 9 2 6" xfId="18461" xr:uid="{00000000-0005-0000-0000-000069AF0000}"/>
    <cellStyle name="Normal 8 5 9 2 7" xfId="33953" xr:uid="{00000000-0005-0000-0000-00006AAF0000}"/>
    <cellStyle name="Normal 8 5 9 3" xfId="3490" xr:uid="{00000000-0005-0000-0000-00006BAF0000}"/>
    <cellStyle name="Normal 8 5 9 3 2" xfId="5429" xr:uid="{00000000-0005-0000-0000-00006CAF0000}"/>
    <cellStyle name="Normal 8 5 9 3 2 2" xfId="9300" xr:uid="{00000000-0005-0000-0000-00006DAF0000}"/>
    <cellStyle name="Normal 8 5 9 3 2 2 2" xfId="17045" xr:uid="{00000000-0005-0000-0000-00006EAF0000}"/>
    <cellStyle name="Normal 8 5 9 3 2 2 2 2" xfId="32637" xr:uid="{00000000-0005-0000-0000-00006FAF0000}"/>
    <cellStyle name="Normal 8 5 9 3 2 2 2 3" xfId="48129" xr:uid="{00000000-0005-0000-0000-000070AF0000}"/>
    <cellStyle name="Normal 8 5 9 3 2 2 3" xfId="24897" xr:uid="{00000000-0005-0000-0000-000071AF0000}"/>
    <cellStyle name="Normal 8 5 9 3 2 2 4" xfId="40389" xr:uid="{00000000-0005-0000-0000-000072AF0000}"/>
    <cellStyle name="Normal 8 5 9 3 2 3" xfId="13175" xr:uid="{00000000-0005-0000-0000-000073AF0000}"/>
    <cellStyle name="Normal 8 5 9 3 2 3 2" xfId="28767" xr:uid="{00000000-0005-0000-0000-000074AF0000}"/>
    <cellStyle name="Normal 8 5 9 3 2 3 3" xfId="44259" xr:uid="{00000000-0005-0000-0000-000075AF0000}"/>
    <cellStyle name="Normal 8 5 9 3 2 4" xfId="21027" xr:uid="{00000000-0005-0000-0000-000076AF0000}"/>
    <cellStyle name="Normal 8 5 9 3 2 5" xfId="36519" xr:uid="{00000000-0005-0000-0000-000077AF0000}"/>
    <cellStyle name="Normal 8 5 9 3 3" xfId="7373" xr:uid="{00000000-0005-0000-0000-000078AF0000}"/>
    <cellStyle name="Normal 8 5 9 3 3 2" xfId="15118" xr:uid="{00000000-0005-0000-0000-000079AF0000}"/>
    <cellStyle name="Normal 8 5 9 3 3 2 2" xfId="30710" xr:uid="{00000000-0005-0000-0000-00007AAF0000}"/>
    <cellStyle name="Normal 8 5 9 3 3 2 3" xfId="46202" xr:uid="{00000000-0005-0000-0000-00007BAF0000}"/>
    <cellStyle name="Normal 8 5 9 3 3 3" xfId="22970" xr:uid="{00000000-0005-0000-0000-00007CAF0000}"/>
    <cellStyle name="Normal 8 5 9 3 3 4" xfId="38462" xr:uid="{00000000-0005-0000-0000-00007DAF0000}"/>
    <cellStyle name="Normal 8 5 9 3 4" xfId="11248" xr:uid="{00000000-0005-0000-0000-00007EAF0000}"/>
    <cellStyle name="Normal 8 5 9 3 4 2" xfId="26840" xr:uid="{00000000-0005-0000-0000-00007FAF0000}"/>
    <cellStyle name="Normal 8 5 9 3 4 3" xfId="42332" xr:uid="{00000000-0005-0000-0000-000080AF0000}"/>
    <cellStyle name="Normal 8 5 9 3 5" xfId="19100" xr:uid="{00000000-0005-0000-0000-000081AF0000}"/>
    <cellStyle name="Normal 8 5 9 3 6" xfId="34592" xr:uid="{00000000-0005-0000-0000-000082AF0000}"/>
    <cellStyle name="Normal 8 5 9 4" xfId="4481" xr:uid="{00000000-0005-0000-0000-000083AF0000}"/>
    <cellStyle name="Normal 8 5 9 4 2" xfId="8352" xr:uid="{00000000-0005-0000-0000-000084AF0000}"/>
    <cellStyle name="Normal 8 5 9 4 2 2" xfId="16097" xr:uid="{00000000-0005-0000-0000-000085AF0000}"/>
    <cellStyle name="Normal 8 5 9 4 2 2 2" xfId="31689" xr:uid="{00000000-0005-0000-0000-000086AF0000}"/>
    <cellStyle name="Normal 8 5 9 4 2 2 3" xfId="47181" xr:uid="{00000000-0005-0000-0000-000087AF0000}"/>
    <cellStyle name="Normal 8 5 9 4 2 3" xfId="23949" xr:uid="{00000000-0005-0000-0000-000088AF0000}"/>
    <cellStyle name="Normal 8 5 9 4 2 4" xfId="39441" xr:uid="{00000000-0005-0000-0000-000089AF0000}"/>
    <cellStyle name="Normal 8 5 9 4 3" xfId="12227" xr:uid="{00000000-0005-0000-0000-00008AAF0000}"/>
    <cellStyle name="Normal 8 5 9 4 3 2" xfId="27819" xr:uid="{00000000-0005-0000-0000-00008BAF0000}"/>
    <cellStyle name="Normal 8 5 9 4 3 3" xfId="43311" xr:uid="{00000000-0005-0000-0000-00008CAF0000}"/>
    <cellStyle name="Normal 8 5 9 4 4" xfId="20079" xr:uid="{00000000-0005-0000-0000-00008DAF0000}"/>
    <cellStyle name="Normal 8 5 9 4 5" xfId="35571" xr:uid="{00000000-0005-0000-0000-00008EAF0000}"/>
    <cellStyle name="Normal 8 5 9 5" xfId="6425" xr:uid="{00000000-0005-0000-0000-00008FAF0000}"/>
    <cellStyle name="Normal 8 5 9 5 2" xfId="14170" xr:uid="{00000000-0005-0000-0000-000090AF0000}"/>
    <cellStyle name="Normal 8 5 9 5 2 2" xfId="29762" xr:uid="{00000000-0005-0000-0000-000091AF0000}"/>
    <cellStyle name="Normal 8 5 9 5 2 3" xfId="45254" xr:uid="{00000000-0005-0000-0000-000092AF0000}"/>
    <cellStyle name="Normal 8 5 9 5 3" xfId="22022" xr:uid="{00000000-0005-0000-0000-000093AF0000}"/>
    <cellStyle name="Normal 8 5 9 5 4" xfId="37514" xr:uid="{00000000-0005-0000-0000-000094AF0000}"/>
    <cellStyle name="Normal 8 5 9 6" xfId="10300" xr:uid="{00000000-0005-0000-0000-000095AF0000}"/>
    <cellStyle name="Normal 8 5 9 6 2" xfId="25892" xr:uid="{00000000-0005-0000-0000-000096AF0000}"/>
    <cellStyle name="Normal 8 5 9 6 3" xfId="41384" xr:uid="{00000000-0005-0000-0000-000097AF0000}"/>
    <cellStyle name="Normal 8 5 9 7" xfId="18152" xr:uid="{00000000-0005-0000-0000-000098AF0000}"/>
    <cellStyle name="Normal 8 5 9 8" xfId="33644" xr:uid="{00000000-0005-0000-0000-000099AF0000}"/>
    <cellStyle name="Normal 8 6" xfId="17789" xr:uid="{00000000-0005-0000-0000-00009AAF0000}"/>
    <cellStyle name="Normal 9" xfId="2081" xr:uid="{00000000-0005-0000-0000-00009BAF0000}"/>
    <cellStyle name="Normal 9 2" xfId="2082" xr:uid="{00000000-0005-0000-0000-00009CAF0000}"/>
    <cellStyle name="Normal 9 2 10" xfId="2503" xr:uid="{00000000-0005-0000-0000-00009DAF0000}"/>
    <cellStyle name="Normal 9 2 10 2" xfId="3511" xr:uid="{00000000-0005-0000-0000-00009EAF0000}"/>
    <cellStyle name="Normal 9 2 10 2 2" xfId="5450" xr:uid="{00000000-0005-0000-0000-00009FAF0000}"/>
    <cellStyle name="Normal 9 2 10 2 2 2" xfId="9321" xr:uid="{00000000-0005-0000-0000-0000A0AF0000}"/>
    <cellStyle name="Normal 9 2 10 2 2 2 2" xfId="17066" xr:uid="{00000000-0005-0000-0000-0000A1AF0000}"/>
    <cellStyle name="Normal 9 2 10 2 2 2 2 2" xfId="32658" xr:uid="{00000000-0005-0000-0000-0000A2AF0000}"/>
    <cellStyle name="Normal 9 2 10 2 2 2 2 3" xfId="48150" xr:uid="{00000000-0005-0000-0000-0000A3AF0000}"/>
    <cellStyle name="Normal 9 2 10 2 2 2 3" xfId="24918" xr:uid="{00000000-0005-0000-0000-0000A4AF0000}"/>
    <cellStyle name="Normal 9 2 10 2 2 2 4" xfId="40410" xr:uid="{00000000-0005-0000-0000-0000A5AF0000}"/>
    <cellStyle name="Normal 9 2 10 2 2 3" xfId="13196" xr:uid="{00000000-0005-0000-0000-0000A6AF0000}"/>
    <cellStyle name="Normal 9 2 10 2 2 3 2" xfId="28788" xr:uid="{00000000-0005-0000-0000-0000A7AF0000}"/>
    <cellStyle name="Normal 9 2 10 2 2 3 3" xfId="44280" xr:uid="{00000000-0005-0000-0000-0000A8AF0000}"/>
    <cellStyle name="Normal 9 2 10 2 2 4" xfId="21048" xr:uid="{00000000-0005-0000-0000-0000A9AF0000}"/>
    <cellStyle name="Normal 9 2 10 2 2 5" xfId="36540" xr:uid="{00000000-0005-0000-0000-0000AAAF0000}"/>
    <cellStyle name="Normal 9 2 10 2 3" xfId="7394" xr:uid="{00000000-0005-0000-0000-0000ABAF0000}"/>
    <cellStyle name="Normal 9 2 10 2 3 2" xfId="15139" xr:uid="{00000000-0005-0000-0000-0000ACAF0000}"/>
    <cellStyle name="Normal 9 2 10 2 3 2 2" xfId="30731" xr:uid="{00000000-0005-0000-0000-0000ADAF0000}"/>
    <cellStyle name="Normal 9 2 10 2 3 2 3" xfId="46223" xr:uid="{00000000-0005-0000-0000-0000AEAF0000}"/>
    <cellStyle name="Normal 9 2 10 2 3 3" xfId="22991" xr:uid="{00000000-0005-0000-0000-0000AFAF0000}"/>
    <cellStyle name="Normal 9 2 10 2 3 4" xfId="38483" xr:uid="{00000000-0005-0000-0000-0000B0AF0000}"/>
    <cellStyle name="Normal 9 2 10 2 4" xfId="11269" xr:uid="{00000000-0005-0000-0000-0000B1AF0000}"/>
    <cellStyle name="Normal 9 2 10 2 4 2" xfId="26861" xr:uid="{00000000-0005-0000-0000-0000B2AF0000}"/>
    <cellStyle name="Normal 9 2 10 2 4 3" xfId="42353" xr:uid="{00000000-0005-0000-0000-0000B3AF0000}"/>
    <cellStyle name="Normal 9 2 10 2 5" xfId="19121" xr:uid="{00000000-0005-0000-0000-0000B4AF0000}"/>
    <cellStyle name="Normal 9 2 10 2 6" xfId="34613" xr:uid="{00000000-0005-0000-0000-0000B5AF0000}"/>
    <cellStyle name="Normal 9 2 10 3" xfId="4502" xr:uid="{00000000-0005-0000-0000-0000B6AF0000}"/>
    <cellStyle name="Normal 9 2 10 3 2" xfId="8373" xr:uid="{00000000-0005-0000-0000-0000B7AF0000}"/>
    <cellStyle name="Normal 9 2 10 3 2 2" xfId="16118" xr:uid="{00000000-0005-0000-0000-0000B8AF0000}"/>
    <cellStyle name="Normal 9 2 10 3 2 2 2" xfId="31710" xr:uid="{00000000-0005-0000-0000-0000B9AF0000}"/>
    <cellStyle name="Normal 9 2 10 3 2 2 3" xfId="47202" xr:uid="{00000000-0005-0000-0000-0000BAAF0000}"/>
    <cellStyle name="Normal 9 2 10 3 2 3" xfId="23970" xr:uid="{00000000-0005-0000-0000-0000BBAF0000}"/>
    <cellStyle name="Normal 9 2 10 3 2 4" xfId="39462" xr:uid="{00000000-0005-0000-0000-0000BCAF0000}"/>
    <cellStyle name="Normal 9 2 10 3 3" xfId="12248" xr:uid="{00000000-0005-0000-0000-0000BDAF0000}"/>
    <cellStyle name="Normal 9 2 10 3 3 2" xfId="27840" xr:uid="{00000000-0005-0000-0000-0000BEAF0000}"/>
    <cellStyle name="Normal 9 2 10 3 3 3" xfId="43332" xr:uid="{00000000-0005-0000-0000-0000BFAF0000}"/>
    <cellStyle name="Normal 9 2 10 3 4" xfId="20100" xr:uid="{00000000-0005-0000-0000-0000C0AF0000}"/>
    <cellStyle name="Normal 9 2 10 3 5" xfId="35592" xr:uid="{00000000-0005-0000-0000-0000C1AF0000}"/>
    <cellStyle name="Normal 9 2 10 4" xfId="6446" xr:uid="{00000000-0005-0000-0000-0000C2AF0000}"/>
    <cellStyle name="Normal 9 2 10 4 2" xfId="14191" xr:uid="{00000000-0005-0000-0000-0000C3AF0000}"/>
    <cellStyle name="Normal 9 2 10 4 2 2" xfId="29783" xr:uid="{00000000-0005-0000-0000-0000C4AF0000}"/>
    <cellStyle name="Normal 9 2 10 4 2 3" xfId="45275" xr:uid="{00000000-0005-0000-0000-0000C5AF0000}"/>
    <cellStyle name="Normal 9 2 10 4 3" xfId="22043" xr:uid="{00000000-0005-0000-0000-0000C6AF0000}"/>
    <cellStyle name="Normal 9 2 10 4 4" xfId="37535" xr:uid="{00000000-0005-0000-0000-0000C7AF0000}"/>
    <cellStyle name="Normal 9 2 10 5" xfId="10321" xr:uid="{00000000-0005-0000-0000-0000C8AF0000}"/>
    <cellStyle name="Normal 9 2 10 5 2" xfId="25913" xr:uid="{00000000-0005-0000-0000-0000C9AF0000}"/>
    <cellStyle name="Normal 9 2 10 5 3" xfId="41405" xr:uid="{00000000-0005-0000-0000-0000CAAF0000}"/>
    <cellStyle name="Normal 9 2 10 6" xfId="18173" xr:uid="{00000000-0005-0000-0000-0000CBAF0000}"/>
    <cellStyle name="Normal 9 2 10 7" xfId="33665" xr:uid="{00000000-0005-0000-0000-0000CCAF0000}"/>
    <cellStyle name="Normal 9 2 11" xfId="2829" xr:uid="{00000000-0005-0000-0000-0000CDAF0000}"/>
    <cellStyle name="Normal 9 2 11 2" xfId="3836" xr:uid="{00000000-0005-0000-0000-0000CEAF0000}"/>
    <cellStyle name="Normal 9 2 11 2 2" xfId="5775" xr:uid="{00000000-0005-0000-0000-0000CFAF0000}"/>
    <cellStyle name="Normal 9 2 11 2 2 2" xfId="9646" xr:uid="{00000000-0005-0000-0000-0000D0AF0000}"/>
    <cellStyle name="Normal 9 2 11 2 2 2 2" xfId="17391" xr:uid="{00000000-0005-0000-0000-0000D1AF0000}"/>
    <cellStyle name="Normal 9 2 11 2 2 2 2 2" xfId="32983" xr:uid="{00000000-0005-0000-0000-0000D2AF0000}"/>
    <cellStyle name="Normal 9 2 11 2 2 2 2 3" xfId="48475" xr:uid="{00000000-0005-0000-0000-0000D3AF0000}"/>
    <cellStyle name="Normal 9 2 11 2 2 2 3" xfId="25243" xr:uid="{00000000-0005-0000-0000-0000D4AF0000}"/>
    <cellStyle name="Normal 9 2 11 2 2 2 4" xfId="40735" xr:uid="{00000000-0005-0000-0000-0000D5AF0000}"/>
    <cellStyle name="Normal 9 2 11 2 2 3" xfId="13521" xr:uid="{00000000-0005-0000-0000-0000D6AF0000}"/>
    <cellStyle name="Normal 9 2 11 2 2 3 2" xfId="29113" xr:uid="{00000000-0005-0000-0000-0000D7AF0000}"/>
    <cellStyle name="Normal 9 2 11 2 2 3 3" xfId="44605" xr:uid="{00000000-0005-0000-0000-0000D8AF0000}"/>
    <cellStyle name="Normal 9 2 11 2 2 4" xfId="21373" xr:uid="{00000000-0005-0000-0000-0000D9AF0000}"/>
    <cellStyle name="Normal 9 2 11 2 2 5" xfId="36865" xr:uid="{00000000-0005-0000-0000-0000DAAF0000}"/>
    <cellStyle name="Normal 9 2 11 2 3" xfId="7719" xr:uid="{00000000-0005-0000-0000-0000DBAF0000}"/>
    <cellStyle name="Normal 9 2 11 2 3 2" xfId="15464" xr:uid="{00000000-0005-0000-0000-0000DCAF0000}"/>
    <cellStyle name="Normal 9 2 11 2 3 2 2" xfId="31056" xr:uid="{00000000-0005-0000-0000-0000DDAF0000}"/>
    <cellStyle name="Normal 9 2 11 2 3 2 3" xfId="46548" xr:uid="{00000000-0005-0000-0000-0000DEAF0000}"/>
    <cellStyle name="Normal 9 2 11 2 3 3" xfId="23316" xr:uid="{00000000-0005-0000-0000-0000DFAF0000}"/>
    <cellStyle name="Normal 9 2 11 2 3 4" xfId="38808" xr:uid="{00000000-0005-0000-0000-0000E0AF0000}"/>
    <cellStyle name="Normal 9 2 11 2 4" xfId="11594" xr:uid="{00000000-0005-0000-0000-0000E1AF0000}"/>
    <cellStyle name="Normal 9 2 11 2 4 2" xfId="27186" xr:uid="{00000000-0005-0000-0000-0000E2AF0000}"/>
    <cellStyle name="Normal 9 2 11 2 4 3" xfId="42678" xr:uid="{00000000-0005-0000-0000-0000E3AF0000}"/>
    <cellStyle name="Normal 9 2 11 2 5" xfId="19446" xr:uid="{00000000-0005-0000-0000-0000E4AF0000}"/>
    <cellStyle name="Normal 9 2 11 2 6" xfId="34938" xr:uid="{00000000-0005-0000-0000-0000E5AF0000}"/>
    <cellStyle name="Normal 9 2 11 3" xfId="4827" xr:uid="{00000000-0005-0000-0000-0000E6AF0000}"/>
    <cellStyle name="Normal 9 2 11 3 2" xfId="8698" xr:uid="{00000000-0005-0000-0000-0000E7AF0000}"/>
    <cellStyle name="Normal 9 2 11 3 2 2" xfId="16443" xr:uid="{00000000-0005-0000-0000-0000E8AF0000}"/>
    <cellStyle name="Normal 9 2 11 3 2 2 2" xfId="32035" xr:uid="{00000000-0005-0000-0000-0000E9AF0000}"/>
    <cellStyle name="Normal 9 2 11 3 2 2 3" xfId="47527" xr:uid="{00000000-0005-0000-0000-0000EAAF0000}"/>
    <cellStyle name="Normal 9 2 11 3 2 3" xfId="24295" xr:uid="{00000000-0005-0000-0000-0000EBAF0000}"/>
    <cellStyle name="Normal 9 2 11 3 2 4" xfId="39787" xr:uid="{00000000-0005-0000-0000-0000ECAF0000}"/>
    <cellStyle name="Normal 9 2 11 3 3" xfId="12573" xr:uid="{00000000-0005-0000-0000-0000EDAF0000}"/>
    <cellStyle name="Normal 9 2 11 3 3 2" xfId="28165" xr:uid="{00000000-0005-0000-0000-0000EEAF0000}"/>
    <cellStyle name="Normal 9 2 11 3 3 3" xfId="43657" xr:uid="{00000000-0005-0000-0000-0000EFAF0000}"/>
    <cellStyle name="Normal 9 2 11 3 4" xfId="20425" xr:uid="{00000000-0005-0000-0000-0000F0AF0000}"/>
    <cellStyle name="Normal 9 2 11 3 5" xfId="35917" xr:uid="{00000000-0005-0000-0000-0000F1AF0000}"/>
    <cellStyle name="Normal 9 2 11 4" xfId="6771" xr:uid="{00000000-0005-0000-0000-0000F2AF0000}"/>
    <cellStyle name="Normal 9 2 11 4 2" xfId="14516" xr:uid="{00000000-0005-0000-0000-0000F3AF0000}"/>
    <cellStyle name="Normal 9 2 11 4 2 2" xfId="30108" xr:uid="{00000000-0005-0000-0000-0000F4AF0000}"/>
    <cellStyle name="Normal 9 2 11 4 2 3" xfId="45600" xr:uid="{00000000-0005-0000-0000-0000F5AF0000}"/>
    <cellStyle name="Normal 9 2 11 4 3" xfId="22368" xr:uid="{00000000-0005-0000-0000-0000F6AF0000}"/>
    <cellStyle name="Normal 9 2 11 4 4" xfId="37860" xr:uid="{00000000-0005-0000-0000-0000F7AF0000}"/>
    <cellStyle name="Normal 9 2 11 5" xfId="10646" xr:uid="{00000000-0005-0000-0000-0000F8AF0000}"/>
    <cellStyle name="Normal 9 2 11 5 2" xfId="26238" xr:uid="{00000000-0005-0000-0000-0000F9AF0000}"/>
    <cellStyle name="Normal 9 2 11 5 3" xfId="41730" xr:uid="{00000000-0005-0000-0000-0000FAAF0000}"/>
    <cellStyle name="Normal 9 2 11 6" xfId="18498" xr:uid="{00000000-0005-0000-0000-0000FBAF0000}"/>
    <cellStyle name="Normal 9 2 11 7" xfId="33990" xr:uid="{00000000-0005-0000-0000-0000FCAF0000}"/>
    <cellStyle name="Normal 9 2 12" xfId="2868" xr:uid="{00000000-0005-0000-0000-0000FDAF0000}"/>
    <cellStyle name="Normal 9 2 12 2" xfId="3874" xr:uid="{00000000-0005-0000-0000-0000FEAF0000}"/>
    <cellStyle name="Normal 9 2 12 2 2" xfId="5813" xr:uid="{00000000-0005-0000-0000-0000FFAF0000}"/>
    <cellStyle name="Normal 9 2 12 2 2 2" xfId="9684" xr:uid="{00000000-0005-0000-0000-000000B00000}"/>
    <cellStyle name="Normal 9 2 12 2 2 2 2" xfId="17429" xr:uid="{00000000-0005-0000-0000-000001B00000}"/>
    <cellStyle name="Normal 9 2 12 2 2 2 2 2" xfId="33021" xr:uid="{00000000-0005-0000-0000-000002B00000}"/>
    <cellStyle name="Normal 9 2 12 2 2 2 2 3" xfId="48513" xr:uid="{00000000-0005-0000-0000-000003B00000}"/>
    <cellStyle name="Normal 9 2 12 2 2 2 3" xfId="25281" xr:uid="{00000000-0005-0000-0000-000004B00000}"/>
    <cellStyle name="Normal 9 2 12 2 2 2 4" xfId="40773" xr:uid="{00000000-0005-0000-0000-000005B00000}"/>
    <cellStyle name="Normal 9 2 12 2 2 3" xfId="13559" xr:uid="{00000000-0005-0000-0000-000006B00000}"/>
    <cellStyle name="Normal 9 2 12 2 2 3 2" xfId="29151" xr:uid="{00000000-0005-0000-0000-000007B00000}"/>
    <cellStyle name="Normal 9 2 12 2 2 3 3" xfId="44643" xr:uid="{00000000-0005-0000-0000-000008B00000}"/>
    <cellStyle name="Normal 9 2 12 2 2 4" xfId="21411" xr:uid="{00000000-0005-0000-0000-000009B00000}"/>
    <cellStyle name="Normal 9 2 12 2 2 5" xfId="36903" xr:uid="{00000000-0005-0000-0000-00000AB00000}"/>
    <cellStyle name="Normal 9 2 12 2 3" xfId="7757" xr:uid="{00000000-0005-0000-0000-00000BB00000}"/>
    <cellStyle name="Normal 9 2 12 2 3 2" xfId="15502" xr:uid="{00000000-0005-0000-0000-00000CB00000}"/>
    <cellStyle name="Normal 9 2 12 2 3 2 2" xfId="31094" xr:uid="{00000000-0005-0000-0000-00000DB00000}"/>
    <cellStyle name="Normal 9 2 12 2 3 2 3" xfId="46586" xr:uid="{00000000-0005-0000-0000-00000EB00000}"/>
    <cellStyle name="Normal 9 2 12 2 3 3" xfId="23354" xr:uid="{00000000-0005-0000-0000-00000FB00000}"/>
    <cellStyle name="Normal 9 2 12 2 3 4" xfId="38846" xr:uid="{00000000-0005-0000-0000-000010B00000}"/>
    <cellStyle name="Normal 9 2 12 2 4" xfId="11632" xr:uid="{00000000-0005-0000-0000-000011B00000}"/>
    <cellStyle name="Normal 9 2 12 2 4 2" xfId="27224" xr:uid="{00000000-0005-0000-0000-000012B00000}"/>
    <cellStyle name="Normal 9 2 12 2 4 3" xfId="42716" xr:uid="{00000000-0005-0000-0000-000013B00000}"/>
    <cellStyle name="Normal 9 2 12 2 5" xfId="19484" xr:uid="{00000000-0005-0000-0000-000014B00000}"/>
    <cellStyle name="Normal 9 2 12 2 6" xfId="34976" xr:uid="{00000000-0005-0000-0000-000015B00000}"/>
    <cellStyle name="Normal 9 2 12 3" xfId="4865" xr:uid="{00000000-0005-0000-0000-000016B00000}"/>
    <cellStyle name="Normal 9 2 12 3 2" xfId="8736" xr:uid="{00000000-0005-0000-0000-000017B00000}"/>
    <cellStyle name="Normal 9 2 12 3 2 2" xfId="16481" xr:uid="{00000000-0005-0000-0000-000018B00000}"/>
    <cellStyle name="Normal 9 2 12 3 2 2 2" xfId="32073" xr:uid="{00000000-0005-0000-0000-000019B00000}"/>
    <cellStyle name="Normal 9 2 12 3 2 2 3" xfId="47565" xr:uid="{00000000-0005-0000-0000-00001AB00000}"/>
    <cellStyle name="Normal 9 2 12 3 2 3" xfId="24333" xr:uid="{00000000-0005-0000-0000-00001BB00000}"/>
    <cellStyle name="Normal 9 2 12 3 2 4" xfId="39825" xr:uid="{00000000-0005-0000-0000-00001CB00000}"/>
    <cellStyle name="Normal 9 2 12 3 3" xfId="12611" xr:uid="{00000000-0005-0000-0000-00001DB00000}"/>
    <cellStyle name="Normal 9 2 12 3 3 2" xfId="28203" xr:uid="{00000000-0005-0000-0000-00001EB00000}"/>
    <cellStyle name="Normal 9 2 12 3 3 3" xfId="43695" xr:uid="{00000000-0005-0000-0000-00001FB00000}"/>
    <cellStyle name="Normal 9 2 12 3 4" xfId="20463" xr:uid="{00000000-0005-0000-0000-000020B00000}"/>
    <cellStyle name="Normal 9 2 12 3 5" xfId="35955" xr:uid="{00000000-0005-0000-0000-000021B00000}"/>
    <cellStyle name="Normal 9 2 12 4" xfId="6809" xr:uid="{00000000-0005-0000-0000-000022B00000}"/>
    <cellStyle name="Normal 9 2 12 4 2" xfId="14554" xr:uid="{00000000-0005-0000-0000-000023B00000}"/>
    <cellStyle name="Normal 9 2 12 4 2 2" xfId="30146" xr:uid="{00000000-0005-0000-0000-000024B00000}"/>
    <cellStyle name="Normal 9 2 12 4 2 3" xfId="45638" xr:uid="{00000000-0005-0000-0000-000025B00000}"/>
    <cellStyle name="Normal 9 2 12 4 3" xfId="22406" xr:uid="{00000000-0005-0000-0000-000026B00000}"/>
    <cellStyle name="Normal 9 2 12 4 4" xfId="37898" xr:uid="{00000000-0005-0000-0000-000027B00000}"/>
    <cellStyle name="Normal 9 2 12 5" xfId="10684" xr:uid="{00000000-0005-0000-0000-000028B00000}"/>
    <cellStyle name="Normal 9 2 12 5 2" xfId="26276" xr:uid="{00000000-0005-0000-0000-000029B00000}"/>
    <cellStyle name="Normal 9 2 12 5 3" xfId="41768" xr:uid="{00000000-0005-0000-0000-00002AB00000}"/>
    <cellStyle name="Normal 9 2 12 6" xfId="18536" xr:uid="{00000000-0005-0000-0000-00002BB00000}"/>
    <cellStyle name="Normal 9 2 12 7" xfId="34028" xr:uid="{00000000-0005-0000-0000-00002CB00000}"/>
    <cellStyle name="Normal 9 2 13" xfId="2905" xr:uid="{00000000-0005-0000-0000-00002DB00000}"/>
    <cellStyle name="Normal 9 2 13 2" xfId="3910" xr:uid="{00000000-0005-0000-0000-00002EB00000}"/>
    <cellStyle name="Normal 9 2 13 2 2" xfId="5849" xr:uid="{00000000-0005-0000-0000-00002FB00000}"/>
    <cellStyle name="Normal 9 2 13 2 2 2" xfId="9720" xr:uid="{00000000-0005-0000-0000-000030B00000}"/>
    <cellStyle name="Normal 9 2 13 2 2 2 2" xfId="17465" xr:uid="{00000000-0005-0000-0000-000031B00000}"/>
    <cellStyle name="Normal 9 2 13 2 2 2 2 2" xfId="33057" xr:uid="{00000000-0005-0000-0000-000032B00000}"/>
    <cellStyle name="Normal 9 2 13 2 2 2 2 3" xfId="48549" xr:uid="{00000000-0005-0000-0000-000033B00000}"/>
    <cellStyle name="Normal 9 2 13 2 2 2 3" xfId="25317" xr:uid="{00000000-0005-0000-0000-000034B00000}"/>
    <cellStyle name="Normal 9 2 13 2 2 2 4" xfId="40809" xr:uid="{00000000-0005-0000-0000-000035B00000}"/>
    <cellStyle name="Normal 9 2 13 2 2 3" xfId="13595" xr:uid="{00000000-0005-0000-0000-000036B00000}"/>
    <cellStyle name="Normal 9 2 13 2 2 3 2" xfId="29187" xr:uid="{00000000-0005-0000-0000-000037B00000}"/>
    <cellStyle name="Normal 9 2 13 2 2 3 3" xfId="44679" xr:uid="{00000000-0005-0000-0000-000038B00000}"/>
    <cellStyle name="Normal 9 2 13 2 2 4" xfId="21447" xr:uid="{00000000-0005-0000-0000-000039B00000}"/>
    <cellStyle name="Normal 9 2 13 2 2 5" xfId="36939" xr:uid="{00000000-0005-0000-0000-00003AB00000}"/>
    <cellStyle name="Normal 9 2 13 2 3" xfId="7793" xr:uid="{00000000-0005-0000-0000-00003BB00000}"/>
    <cellStyle name="Normal 9 2 13 2 3 2" xfId="15538" xr:uid="{00000000-0005-0000-0000-00003CB00000}"/>
    <cellStyle name="Normal 9 2 13 2 3 2 2" xfId="31130" xr:uid="{00000000-0005-0000-0000-00003DB00000}"/>
    <cellStyle name="Normal 9 2 13 2 3 2 3" xfId="46622" xr:uid="{00000000-0005-0000-0000-00003EB00000}"/>
    <cellStyle name="Normal 9 2 13 2 3 3" xfId="23390" xr:uid="{00000000-0005-0000-0000-00003FB00000}"/>
    <cellStyle name="Normal 9 2 13 2 3 4" xfId="38882" xr:uid="{00000000-0005-0000-0000-000040B00000}"/>
    <cellStyle name="Normal 9 2 13 2 4" xfId="11668" xr:uid="{00000000-0005-0000-0000-000041B00000}"/>
    <cellStyle name="Normal 9 2 13 2 4 2" xfId="27260" xr:uid="{00000000-0005-0000-0000-000042B00000}"/>
    <cellStyle name="Normal 9 2 13 2 4 3" xfId="42752" xr:uid="{00000000-0005-0000-0000-000043B00000}"/>
    <cellStyle name="Normal 9 2 13 2 5" xfId="19520" xr:uid="{00000000-0005-0000-0000-000044B00000}"/>
    <cellStyle name="Normal 9 2 13 2 6" xfId="35012" xr:uid="{00000000-0005-0000-0000-000045B00000}"/>
    <cellStyle name="Normal 9 2 13 3" xfId="4901" xr:uid="{00000000-0005-0000-0000-000046B00000}"/>
    <cellStyle name="Normal 9 2 13 3 2" xfId="8772" xr:uid="{00000000-0005-0000-0000-000047B00000}"/>
    <cellStyle name="Normal 9 2 13 3 2 2" xfId="16517" xr:uid="{00000000-0005-0000-0000-000048B00000}"/>
    <cellStyle name="Normal 9 2 13 3 2 2 2" xfId="32109" xr:uid="{00000000-0005-0000-0000-000049B00000}"/>
    <cellStyle name="Normal 9 2 13 3 2 2 3" xfId="47601" xr:uid="{00000000-0005-0000-0000-00004AB00000}"/>
    <cellStyle name="Normal 9 2 13 3 2 3" xfId="24369" xr:uid="{00000000-0005-0000-0000-00004BB00000}"/>
    <cellStyle name="Normal 9 2 13 3 2 4" xfId="39861" xr:uid="{00000000-0005-0000-0000-00004CB00000}"/>
    <cellStyle name="Normal 9 2 13 3 3" xfId="12647" xr:uid="{00000000-0005-0000-0000-00004DB00000}"/>
    <cellStyle name="Normal 9 2 13 3 3 2" xfId="28239" xr:uid="{00000000-0005-0000-0000-00004EB00000}"/>
    <cellStyle name="Normal 9 2 13 3 3 3" xfId="43731" xr:uid="{00000000-0005-0000-0000-00004FB00000}"/>
    <cellStyle name="Normal 9 2 13 3 4" xfId="20499" xr:uid="{00000000-0005-0000-0000-000050B00000}"/>
    <cellStyle name="Normal 9 2 13 3 5" xfId="35991" xr:uid="{00000000-0005-0000-0000-000051B00000}"/>
    <cellStyle name="Normal 9 2 13 4" xfId="6845" xr:uid="{00000000-0005-0000-0000-000052B00000}"/>
    <cellStyle name="Normal 9 2 13 4 2" xfId="14590" xr:uid="{00000000-0005-0000-0000-000053B00000}"/>
    <cellStyle name="Normal 9 2 13 4 2 2" xfId="30182" xr:uid="{00000000-0005-0000-0000-000054B00000}"/>
    <cellStyle name="Normal 9 2 13 4 2 3" xfId="45674" xr:uid="{00000000-0005-0000-0000-000055B00000}"/>
    <cellStyle name="Normal 9 2 13 4 3" xfId="22442" xr:uid="{00000000-0005-0000-0000-000056B00000}"/>
    <cellStyle name="Normal 9 2 13 4 4" xfId="37934" xr:uid="{00000000-0005-0000-0000-000057B00000}"/>
    <cellStyle name="Normal 9 2 13 5" xfId="10720" xr:uid="{00000000-0005-0000-0000-000058B00000}"/>
    <cellStyle name="Normal 9 2 13 5 2" xfId="26312" xr:uid="{00000000-0005-0000-0000-000059B00000}"/>
    <cellStyle name="Normal 9 2 13 5 3" xfId="41804" xr:uid="{00000000-0005-0000-0000-00005AB00000}"/>
    <cellStyle name="Normal 9 2 13 6" xfId="18572" xr:uid="{00000000-0005-0000-0000-00005BB00000}"/>
    <cellStyle name="Normal 9 2 13 7" xfId="34064" xr:uid="{00000000-0005-0000-0000-00005CB00000}"/>
    <cellStyle name="Normal 9 2 14" xfId="2942" xr:uid="{00000000-0005-0000-0000-00005DB00000}"/>
    <cellStyle name="Normal 9 2 14 2" xfId="3946" xr:uid="{00000000-0005-0000-0000-00005EB00000}"/>
    <cellStyle name="Normal 9 2 14 2 2" xfId="5885" xr:uid="{00000000-0005-0000-0000-00005FB00000}"/>
    <cellStyle name="Normal 9 2 14 2 2 2" xfId="9756" xr:uid="{00000000-0005-0000-0000-000060B00000}"/>
    <cellStyle name="Normal 9 2 14 2 2 2 2" xfId="17501" xr:uid="{00000000-0005-0000-0000-000061B00000}"/>
    <cellStyle name="Normal 9 2 14 2 2 2 2 2" xfId="33093" xr:uid="{00000000-0005-0000-0000-000062B00000}"/>
    <cellStyle name="Normal 9 2 14 2 2 2 2 3" xfId="48585" xr:uid="{00000000-0005-0000-0000-000063B00000}"/>
    <cellStyle name="Normal 9 2 14 2 2 2 3" xfId="25353" xr:uid="{00000000-0005-0000-0000-000064B00000}"/>
    <cellStyle name="Normal 9 2 14 2 2 2 4" xfId="40845" xr:uid="{00000000-0005-0000-0000-000065B00000}"/>
    <cellStyle name="Normal 9 2 14 2 2 3" xfId="13631" xr:uid="{00000000-0005-0000-0000-000066B00000}"/>
    <cellStyle name="Normal 9 2 14 2 2 3 2" xfId="29223" xr:uid="{00000000-0005-0000-0000-000067B00000}"/>
    <cellStyle name="Normal 9 2 14 2 2 3 3" xfId="44715" xr:uid="{00000000-0005-0000-0000-000068B00000}"/>
    <cellStyle name="Normal 9 2 14 2 2 4" xfId="21483" xr:uid="{00000000-0005-0000-0000-000069B00000}"/>
    <cellStyle name="Normal 9 2 14 2 2 5" xfId="36975" xr:uid="{00000000-0005-0000-0000-00006AB00000}"/>
    <cellStyle name="Normal 9 2 14 2 3" xfId="7829" xr:uid="{00000000-0005-0000-0000-00006BB00000}"/>
    <cellStyle name="Normal 9 2 14 2 3 2" xfId="15574" xr:uid="{00000000-0005-0000-0000-00006CB00000}"/>
    <cellStyle name="Normal 9 2 14 2 3 2 2" xfId="31166" xr:uid="{00000000-0005-0000-0000-00006DB00000}"/>
    <cellStyle name="Normal 9 2 14 2 3 2 3" xfId="46658" xr:uid="{00000000-0005-0000-0000-00006EB00000}"/>
    <cellStyle name="Normal 9 2 14 2 3 3" xfId="23426" xr:uid="{00000000-0005-0000-0000-00006FB00000}"/>
    <cellStyle name="Normal 9 2 14 2 3 4" xfId="38918" xr:uid="{00000000-0005-0000-0000-000070B00000}"/>
    <cellStyle name="Normal 9 2 14 2 4" xfId="11704" xr:uid="{00000000-0005-0000-0000-000071B00000}"/>
    <cellStyle name="Normal 9 2 14 2 4 2" xfId="27296" xr:uid="{00000000-0005-0000-0000-000072B00000}"/>
    <cellStyle name="Normal 9 2 14 2 4 3" xfId="42788" xr:uid="{00000000-0005-0000-0000-000073B00000}"/>
    <cellStyle name="Normal 9 2 14 2 5" xfId="19556" xr:uid="{00000000-0005-0000-0000-000074B00000}"/>
    <cellStyle name="Normal 9 2 14 2 6" xfId="35048" xr:uid="{00000000-0005-0000-0000-000075B00000}"/>
    <cellStyle name="Normal 9 2 14 3" xfId="4937" xr:uid="{00000000-0005-0000-0000-000076B00000}"/>
    <cellStyle name="Normal 9 2 14 3 2" xfId="8808" xr:uid="{00000000-0005-0000-0000-000077B00000}"/>
    <cellStyle name="Normal 9 2 14 3 2 2" xfId="16553" xr:uid="{00000000-0005-0000-0000-000078B00000}"/>
    <cellStyle name="Normal 9 2 14 3 2 2 2" xfId="32145" xr:uid="{00000000-0005-0000-0000-000079B00000}"/>
    <cellStyle name="Normal 9 2 14 3 2 2 3" xfId="47637" xr:uid="{00000000-0005-0000-0000-00007AB00000}"/>
    <cellStyle name="Normal 9 2 14 3 2 3" xfId="24405" xr:uid="{00000000-0005-0000-0000-00007BB00000}"/>
    <cellStyle name="Normal 9 2 14 3 2 4" xfId="39897" xr:uid="{00000000-0005-0000-0000-00007CB00000}"/>
    <cellStyle name="Normal 9 2 14 3 3" xfId="12683" xr:uid="{00000000-0005-0000-0000-00007DB00000}"/>
    <cellStyle name="Normal 9 2 14 3 3 2" xfId="28275" xr:uid="{00000000-0005-0000-0000-00007EB00000}"/>
    <cellStyle name="Normal 9 2 14 3 3 3" xfId="43767" xr:uid="{00000000-0005-0000-0000-00007FB00000}"/>
    <cellStyle name="Normal 9 2 14 3 4" xfId="20535" xr:uid="{00000000-0005-0000-0000-000080B00000}"/>
    <cellStyle name="Normal 9 2 14 3 5" xfId="36027" xr:uid="{00000000-0005-0000-0000-000081B00000}"/>
    <cellStyle name="Normal 9 2 14 4" xfId="6881" xr:uid="{00000000-0005-0000-0000-000082B00000}"/>
    <cellStyle name="Normal 9 2 14 4 2" xfId="14626" xr:uid="{00000000-0005-0000-0000-000083B00000}"/>
    <cellStyle name="Normal 9 2 14 4 2 2" xfId="30218" xr:uid="{00000000-0005-0000-0000-000084B00000}"/>
    <cellStyle name="Normal 9 2 14 4 2 3" xfId="45710" xr:uid="{00000000-0005-0000-0000-000085B00000}"/>
    <cellStyle name="Normal 9 2 14 4 3" xfId="22478" xr:uid="{00000000-0005-0000-0000-000086B00000}"/>
    <cellStyle name="Normal 9 2 14 4 4" xfId="37970" xr:uid="{00000000-0005-0000-0000-000087B00000}"/>
    <cellStyle name="Normal 9 2 14 5" xfId="10756" xr:uid="{00000000-0005-0000-0000-000088B00000}"/>
    <cellStyle name="Normal 9 2 14 5 2" xfId="26348" xr:uid="{00000000-0005-0000-0000-000089B00000}"/>
    <cellStyle name="Normal 9 2 14 5 3" xfId="41840" xr:uid="{00000000-0005-0000-0000-00008AB00000}"/>
    <cellStyle name="Normal 9 2 14 6" xfId="18608" xr:uid="{00000000-0005-0000-0000-00008BB00000}"/>
    <cellStyle name="Normal 9 2 14 7" xfId="34100" xr:uid="{00000000-0005-0000-0000-00008CB00000}"/>
    <cellStyle name="Normal 9 2 15" xfId="2981" xr:uid="{00000000-0005-0000-0000-00008DB00000}"/>
    <cellStyle name="Normal 9 2 15 2" xfId="3982" xr:uid="{00000000-0005-0000-0000-00008EB00000}"/>
    <cellStyle name="Normal 9 2 15 2 2" xfId="5921" xr:uid="{00000000-0005-0000-0000-00008FB00000}"/>
    <cellStyle name="Normal 9 2 15 2 2 2" xfId="9792" xr:uid="{00000000-0005-0000-0000-000090B00000}"/>
    <cellStyle name="Normal 9 2 15 2 2 2 2" xfId="17537" xr:uid="{00000000-0005-0000-0000-000091B00000}"/>
    <cellStyle name="Normal 9 2 15 2 2 2 2 2" xfId="33129" xr:uid="{00000000-0005-0000-0000-000092B00000}"/>
    <cellStyle name="Normal 9 2 15 2 2 2 2 3" xfId="48621" xr:uid="{00000000-0005-0000-0000-000093B00000}"/>
    <cellStyle name="Normal 9 2 15 2 2 2 3" xfId="25389" xr:uid="{00000000-0005-0000-0000-000094B00000}"/>
    <cellStyle name="Normal 9 2 15 2 2 2 4" xfId="40881" xr:uid="{00000000-0005-0000-0000-000095B00000}"/>
    <cellStyle name="Normal 9 2 15 2 2 3" xfId="13667" xr:uid="{00000000-0005-0000-0000-000096B00000}"/>
    <cellStyle name="Normal 9 2 15 2 2 3 2" xfId="29259" xr:uid="{00000000-0005-0000-0000-000097B00000}"/>
    <cellStyle name="Normal 9 2 15 2 2 3 3" xfId="44751" xr:uid="{00000000-0005-0000-0000-000098B00000}"/>
    <cellStyle name="Normal 9 2 15 2 2 4" xfId="21519" xr:uid="{00000000-0005-0000-0000-000099B00000}"/>
    <cellStyle name="Normal 9 2 15 2 2 5" xfId="37011" xr:uid="{00000000-0005-0000-0000-00009AB00000}"/>
    <cellStyle name="Normal 9 2 15 2 3" xfId="7865" xr:uid="{00000000-0005-0000-0000-00009BB00000}"/>
    <cellStyle name="Normal 9 2 15 2 3 2" xfId="15610" xr:uid="{00000000-0005-0000-0000-00009CB00000}"/>
    <cellStyle name="Normal 9 2 15 2 3 2 2" xfId="31202" xr:uid="{00000000-0005-0000-0000-00009DB00000}"/>
    <cellStyle name="Normal 9 2 15 2 3 2 3" xfId="46694" xr:uid="{00000000-0005-0000-0000-00009EB00000}"/>
    <cellStyle name="Normal 9 2 15 2 3 3" xfId="23462" xr:uid="{00000000-0005-0000-0000-00009FB00000}"/>
    <cellStyle name="Normal 9 2 15 2 3 4" xfId="38954" xr:uid="{00000000-0005-0000-0000-0000A0B00000}"/>
    <cellStyle name="Normal 9 2 15 2 4" xfId="11740" xr:uid="{00000000-0005-0000-0000-0000A1B00000}"/>
    <cellStyle name="Normal 9 2 15 2 4 2" xfId="27332" xr:uid="{00000000-0005-0000-0000-0000A2B00000}"/>
    <cellStyle name="Normal 9 2 15 2 4 3" xfId="42824" xr:uid="{00000000-0005-0000-0000-0000A3B00000}"/>
    <cellStyle name="Normal 9 2 15 2 5" xfId="19592" xr:uid="{00000000-0005-0000-0000-0000A4B00000}"/>
    <cellStyle name="Normal 9 2 15 2 6" xfId="35084" xr:uid="{00000000-0005-0000-0000-0000A5B00000}"/>
    <cellStyle name="Normal 9 2 15 3" xfId="4973" xr:uid="{00000000-0005-0000-0000-0000A6B00000}"/>
    <cellStyle name="Normal 9 2 15 3 2" xfId="8844" xr:uid="{00000000-0005-0000-0000-0000A7B00000}"/>
    <cellStyle name="Normal 9 2 15 3 2 2" xfId="16589" xr:uid="{00000000-0005-0000-0000-0000A8B00000}"/>
    <cellStyle name="Normal 9 2 15 3 2 2 2" xfId="32181" xr:uid="{00000000-0005-0000-0000-0000A9B00000}"/>
    <cellStyle name="Normal 9 2 15 3 2 2 3" xfId="47673" xr:uid="{00000000-0005-0000-0000-0000AAB00000}"/>
    <cellStyle name="Normal 9 2 15 3 2 3" xfId="24441" xr:uid="{00000000-0005-0000-0000-0000ABB00000}"/>
    <cellStyle name="Normal 9 2 15 3 2 4" xfId="39933" xr:uid="{00000000-0005-0000-0000-0000ACB00000}"/>
    <cellStyle name="Normal 9 2 15 3 3" xfId="12719" xr:uid="{00000000-0005-0000-0000-0000ADB00000}"/>
    <cellStyle name="Normal 9 2 15 3 3 2" xfId="28311" xr:uid="{00000000-0005-0000-0000-0000AEB00000}"/>
    <cellStyle name="Normal 9 2 15 3 3 3" xfId="43803" xr:uid="{00000000-0005-0000-0000-0000AFB00000}"/>
    <cellStyle name="Normal 9 2 15 3 4" xfId="20571" xr:uid="{00000000-0005-0000-0000-0000B0B00000}"/>
    <cellStyle name="Normal 9 2 15 3 5" xfId="36063" xr:uid="{00000000-0005-0000-0000-0000B1B00000}"/>
    <cellStyle name="Normal 9 2 15 4" xfId="6917" xr:uid="{00000000-0005-0000-0000-0000B2B00000}"/>
    <cellStyle name="Normal 9 2 15 4 2" xfId="14662" xr:uid="{00000000-0005-0000-0000-0000B3B00000}"/>
    <cellStyle name="Normal 9 2 15 4 2 2" xfId="30254" xr:uid="{00000000-0005-0000-0000-0000B4B00000}"/>
    <cellStyle name="Normal 9 2 15 4 2 3" xfId="45746" xr:uid="{00000000-0005-0000-0000-0000B5B00000}"/>
    <cellStyle name="Normal 9 2 15 4 3" xfId="22514" xr:uid="{00000000-0005-0000-0000-0000B6B00000}"/>
    <cellStyle name="Normal 9 2 15 4 4" xfId="38006" xr:uid="{00000000-0005-0000-0000-0000B7B00000}"/>
    <cellStyle name="Normal 9 2 15 5" xfId="10792" xr:uid="{00000000-0005-0000-0000-0000B8B00000}"/>
    <cellStyle name="Normal 9 2 15 5 2" xfId="26384" xr:uid="{00000000-0005-0000-0000-0000B9B00000}"/>
    <cellStyle name="Normal 9 2 15 5 3" xfId="41876" xr:uid="{00000000-0005-0000-0000-0000BAB00000}"/>
    <cellStyle name="Normal 9 2 15 6" xfId="18644" xr:uid="{00000000-0005-0000-0000-0000BBB00000}"/>
    <cellStyle name="Normal 9 2 15 7" xfId="34136" xr:uid="{00000000-0005-0000-0000-0000BCB00000}"/>
    <cellStyle name="Normal 9 2 16" xfId="3021" xr:uid="{00000000-0005-0000-0000-0000BDB00000}"/>
    <cellStyle name="Normal 9 2 16 2" xfId="4018" xr:uid="{00000000-0005-0000-0000-0000BEB00000}"/>
    <cellStyle name="Normal 9 2 16 2 2" xfId="5957" xr:uid="{00000000-0005-0000-0000-0000BFB00000}"/>
    <cellStyle name="Normal 9 2 16 2 2 2" xfId="9828" xr:uid="{00000000-0005-0000-0000-0000C0B00000}"/>
    <cellStyle name="Normal 9 2 16 2 2 2 2" xfId="17573" xr:uid="{00000000-0005-0000-0000-0000C1B00000}"/>
    <cellStyle name="Normal 9 2 16 2 2 2 2 2" xfId="33165" xr:uid="{00000000-0005-0000-0000-0000C2B00000}"/>
    <cellStyle name="Normal 9 2 16 2 2 2 2 3" xfId="48657" xr:uid="{00000000-0005-0000-0000-0000C3B00000}"/>
    <cellStyle name="Normal 9 2 16 2 2 2 3" xfId="25425" xr:uid="{00000000-0005-0000-0000-0000C4B00000}"/>
    <cellStyle name="Normal 9 2 16 2 2 2 4" xfId="40917" xr:uid="{00000000-0005-0000-0000-0000C5B00000}"/>
    <cellStyle name="Normal 9 2 16 2 2 3" xfId="13703" xr:uid="{00000000-0005-0000-0000-0000C6B00000}"/>
    <cellStyle name="Normal 9 2 16 2 2 3 2" xfId="29295" xr:uid="{00000000-0005-0000-0000-0000C7B00000}"/>
    <cellStyle name="Normal 9 2 16 2 2 3 3" xfId="44787" xr:uid="{00000000-0005-0000-0000-0000C8B00000}"/>
    <cellStyle name="Normal 9 2 16 2 2 4" xfId="21555" xr:uid="{00000000-0005-0000-0000-0000C9B00000}"/>
    <cellStyle name="Normal 9 2 16 2 2 5" xfId="37047" xr:uid="{00000000-0005-0000-0000-0000CAB00000}"/>
    <cellStyle name="Normal 9 2 16 2 3" xfId="7901" xr:uid="{00000000-0005-0000-0000-0000CBB00000}"/>
    <cellStyle name="Normal 9 2 16 2 3 2" xfId="15646" xr:uid="{00000000-0005-0000-0000-0000CCB00000}"/>
    <cellStyle name="Normal 9 2 16 2 3 2 2" xfId="31238" xr:uid="{00000000-0005-0000-0000-0000CDB00000}"/>
    <cellStyle name="Normal 9 2 16 2 3 2 3" xfId="46730" xr:uid="{00000000-0005-0000-0000-0000CEB00000}"/>
    <cellStyle name="Normal 9 2 16 2 3 3" xfId="23498" xr:uid="{00000000-0005-0000-0000-0000CFB00000}"/>
    <cellStyle name="Normal 9 2 16 2 3 4" xfId="38990" xr:uid="{00000000-0005-0000-0000-0000D0B00000}"/>
    <cellStyle name="Normal 9 2 16 2 4" xfId="11776" xr:uid="{00000000-0005-0000-0000-0000D1B00000}"/>
    <cellStyle name="Normal 9 2 16 2 4 2" xfId="27368" xr:uid="{00000000-0005-0000-0000-0000D2B00000}"/>
    <cellStyle name="Normal 9 2 16 2 4 3" xfId="42860" xr:uid="{00000000-0005-0000-0000-0000D3B00000}"/>
    <cellStyle name="Normal 9 2 16 2 5" xfId="19628" xr:uid="{00000000-0005-0000-0000-0000D4B00000}"/>
    <cellStyle name="Normal 9 2 16 2 6" xfId="35120" xr:uid="{00000000-0005-0000-0000-0000D5B00000}"/>
    <cellStyle name="Normal 9 2 16 3" xfId="5009" xr:uid="{00000000-0005-0000-0000-0000D6B00000}"/>
    <cellStyle name="Normal 9 2 16 3 2" xfId="8880" xr:uid="{00000000-0005-0000-0000-0000D7B00000}"/>
    <cellStyle name="Normal 9 2 16 3 2 2" xfId="16625" xr:uid="{00000000-0005-0000-0000-0000D8B00000}"/>
    <cellStyle name="Normal 9 2 16 3 2 2 2" xfId="32217" xr:uid="{00000000-0005-0000-0000-0000D9B00000}"/>
    <cellStyle name="Normal 9 2 16 3 2 2 3" xfId="47709" xr:uid="{00000000-0005-0000-0000-0000DAB00000}"/>
    <cellStyle name="Normal 9 2 16 3 2 3" xfId="24477" xr:uid="{00000000-0005-0000-0000-0000DBB00000}"/>
    <cellStyle name="Normal 9 2 16 3 2 4" xfId="39969" xr:uid="{00000000-0005-0000-0000-0000DCB00000}"/>
    <cellStyle name="Normal 9 2 16 3 3" xfId="12755" xr:uid="{00000000-0005-0000-0000-0000DDB00000}"/>
    <cellStyle name="Normal 9 2 16 3 3 2" xfId="28347" xr:uid="{00000000-0005-0000-0000-0000DEB00000}"/>
    <cellStyle name="Normal 9 2 16 3 3 3" xfId="43839" xr:uid="{00000000-0005-0000-0000-0000DFB00000}"/>
    <cellStyle name="Normal 9 2 16 3 4" xfId="20607" xr:uid="{00000000-0005-0000-0000-0000E0B00000}"/>
    <cellStyle name="Normal 9 2 16 3 5" xfId="36099" xr:uid="{00000000-0005-0000-0000-0000E1B00000}"/>
    <cellStyle name="Normal 9 2 16 4" xfId="6953" xr:uid="{00000000-0005-0000-0000-0000E2B00000}"/>
    <cellStyle name="Normal 9 2 16 4 2" xfId="14698" xr:uid="{00000000-0005-0000-0000-0000E3B00000}"/>
    <cellStyle name="Normal 9 2 16 4 2 2" xfId="30290" xr:uid="{00000000-0005-0000-0000-0000E4B00000}"/>
    <cellStyle name="Normal 9 2 16 4 2 3" xfId="45782" xr:uid="{00000000-0005-0000-0000-0000E5B00000}"/>
    <cellStyle name="Normal 9 2 16 4 3" xfId="22550" xr:uid="{00000000-0005-0000-0000-0000E6B00000}"/>
    <cellStyle name="Normal 9 2 16 4 4" xfId="38042" xr:uid="{00000000-0005-0000-0000-0000E7B00000}"/>
    <cellStyle name="Normal 9 2 16 5" xfId="10828" xr:uid="{00000000-0005-0000-0000-0000E8B00000}"/>
    <cellStyle name="Normal 9 2 16 5 2" xfId="26420" xr:uid="{00000000-0005-0000-0000-0000E9B00000}"/>
    <cellStyle name="Normal 9 2 16 5 3" xfId="41912" xr:uid="{00000000-0005-0000-0000-0000EAB00000}"/>
    <cellStyle name="Normal 9 2 16 6" xfId="18680" xr:uid="{00000000-0005-0000-0000-0000EBB00000}"/>
    <cellStyle name="Normal 9 2 16 7" xfId="34172" xr:uid="{00000000-0005-0000-0000-0000ECB00000}"/>
    <cellStyle name="Normal 9 2 17" xfId="3059" xr:uid="{00000000-0005-0000-0000-0000EDB00000}"/>
    <cellStyle name="Normal 9 2 17 2" xfId="4054" xr:uid="{00000000-0005-0000-0000-0000EEB00000}"/>
    <cellStyle name="Normal 9 2 17 2 2" xfId="5993" xr:uid="{00000000-0005-0000-0000-0000EFB00000}"/>
    <cellStyle name="Normal 9 2 17 2 2 2" xfId="9864" xr:uid="{00000000-0005-0000-0000-0000F0B00000}"/>
    <cellStyle name="Normal 9 2 17 2 2 2 2" xfId="17609" xr:uid="{00000000-0005-0000-0000-0000F1B00000}"/>
    <cellStyle name="Normal 9 2 17 2 2 2 2 2" xfId="33201" xr:uid="{00000000-0005-0000-0000-0000F2B00000}"/>
    <cellStyle name="Normal 9 2 17 2 2 2 2 3" xfId="48693" xr:uid="{00000000-0005-0000-0000-0000F3B00000}"/>
    <cellStyle name="Normal 9 2 17 2 2 2 3" xfId="25461" xr:uid="{00000000-0005-0000-0000-0000F4B00000}"/>
    <cellStyle name="Normal 9 2 17 2 2 2 4" xfId="40953" xr:uid="{00000000-0005-0000-0000-0000F5B00000}"/>
    <cellStyle name="Normal 9 2 17 2 2 3" xfId="13739" xr:uid="{00000000-0005-0000-0000-0000F6B00000}"/>
    <cellStyle name="Normal 9 2 17 2 2 3 2" xfId="29331" xr:uid="{00000000-0005-0000-0000-0000F7B00000}"/>
    <cellStyle name="Normal 9 2 17 2 2 3 3" xfId="44823" xr:uid="{00000000-0005-0000-0000-0000F8B00000}"/>
    <cellStyle name="Normal 9 2 17 2 2 4" xfId="21591" xr:uid="{00000000-0005-0000-0000-0000F9B00000}"/>
    <cellStyle name="Normal 9 2 17 2 2 5" xfId="37083" xr:uid="{00000000-0005-0000-0000-0000FAB00000}"/>
    <cellStyle name="Normal 9 2 17 2 3" xfId="7937" xr:uid="{00000000-0005-0000-0000-0000FBB00000}"/>
    <cellStyle name="Normal 9 2 17 2 3 2" xfId="15682" xr:uid="{00000000-0005-0000-0000-0000FCB00000}"/>
    <cellStyle name="Normal 9 2 17 2 3 2 2" xfId="31274" xr:uid="{00000000-0005-0000-0000-0000FDB00000}"/>
    <cellStyle name="Normal 9 2 17 2 3 2 3" xfId="46766" xr:uid="{00000000-0005-0000-0000-0000FEB00000}"/>
    <cellStyle name="Normal 9 2 17 2 3 3" xfId="23534" xr:uid="{00000000-0005-0000-0000-0000FFB00000}"/>
    <cellStyle name="Normal 9 2 17 2 3 4" xfId="39026" xr:uid="{00000000-0005-0000-0000-000000B10000}"/>
    <cellStyle name="Normal 9 2 17 2 4" xfId="11812" xr:uid="{00000000-0005-0000-0000-000001B10000}"/>
    <cellStyle name="Normal 9 2 17 2 4 2" xfId="27404" xr:uid="{00000000-0005-0000-0000-000002B10000}"/>
    <cellStyle name="Normal 9 2 17 2 4 3" xfId="42896" xr:uid="{00000000-0005-0000-0000-000003B10000}"/>
    <cellStyle name="Normal 9 2 17 2 5" xfId="19664" xr:uid="{00000000-0005-0000-0000-000004B10000}"/>
    <cellStyle name="Normal 9 2 17 2 6" xfId="35156" xr:uid="{00000000-0005-0000-0000-000005B10000}"/>
    <cellStyle name="Normal 9 2 17 3" xfId="5045" xr:uid="{00000000-0005-0000-0000-000006B10000}"/>
    <cellStyle name="Normal 9 2 17 3 2" xfId="8916" xr:uid="{00000000-0005-0000-0000-000007B10000}"/>
    <cellStyle name="Normal 9 2 17 3 2 2" xfId="16661" xr:uid="{00000000-0005-0000-0000-000008B10000}"/>
    <cellStyle name="Normal 9 2 17 3 2 2 2" xfId="32253" xr:uid="{00000000-0005-0000-0000-000009B10000}"/>
    <cellStyle name="Normal 9 2 17 3 2 2 3" xfId="47745" xr:uid="{00000000-0005-0000-0000-00000AB10000}"/>
    <cellStyle name="Normal 9 2 17 3 2 3" xfId="24513" xr:uid="{00000000-0005-0000-0000-00000BB10000}"/>
    <cellStyle name="Normal 9 2 17 3 2 4" xfId="40005" xr:uid="{00000000-0005-0000-0000-00000CB10000}"/>
    <cellStyle name="Normal 9 2 17 3 3" xfId="12791" xr:uid="{00000000-0005-0000-0000-00000DB10000}"/>
    <cellStyle name="Normal 9 2 17 3 3 2" xfId="28383" xr:uid="{00000000-0005-0000-0000-00000EB10000}"/>
    <cellStyle name="Normal 9 2 17 3 3 3" xfId="43875" xr:uid="{00000000-0005-0000-0000-00000FB10000}"/>
    <cellStyle name="Normal 9 2 17 3 4" xfId="20643" xr:uid="{00000000-0005-0000-0000-000010B10000}"/>
    <cellStyle name="Normal 9 2 17 3 5" xfId="36135" xr:uid="{00000000-0005-0000-0000-000011B10000}"/>
    <cellStyle name="Normal 9 2 17 4" xfId="6989" xr:uid="{00000000-0005-0000-0000-000012B10000}"/>
    <cellStyle name="Normal 9 2 17 4 2" xfId="14734" xr:uid="{00000000-0005-0000-0000-000013B10000}"/>
    <cellStyle name="Normal 9 2 17 4 2 2" xfId="30326" xr:uid="{00000000-0005-0000-0000-000014B10000}"/>
    <cellStyle name="Normal 9 2 17 4 2 3" xfId="45818" xr:uid="{00000000-0005-0000-0000-000015B10000}"/>
    <cellStyle name="Normal 9 2 17 4 3" xfId="22586" xr:uid="{00000000-0005-0000-0000-000016B10000}"/>
    <cellStyle name="Normal 9 2 17 4 4" xfId="38078" xr:uid="{00000000-0005-0000-0000-000017B10000}"/>
    <cellStyle name="Normal 9 2 17 5" xfId="10864" xr:uid="{00000000-0005-0000-0000-000018B10000}"/>
    <cellStyle name="Normal 9 2 17 5 2" xfId="26456" xr:uid="{00000000-0005-0000-0000-000019B10000}"/>
    <cellStyle name="Normal 9 2 17 5 3" xfId="41948" xr:uid="{00000000-0005-0000-0000-00001AB10000}"/>
    <cellStyle name="Normal 9 2 17 6" xfId="18716" xr:uid="{00000000-0005-0000-0000-00001BB10000}"/>
    <cellStyle name="Normal 9 2 17 7" xfId="34208" xr:uid="{00000000-0005-0000-0000-00001CB10000}"/>
    <cellStyle name="Normal 9 2 18" xfId="3096" xr:uid="{00000000-0005-0000-0000-00001DB10000}"/>
    <cellStyle name="Normal 9 2 18 2" xfId="4090" xr:uid="{00000000-0005-0000-0000-00001EB10000}"/>
    <cellStyle name="Normal 9 2 18 2 2" xfId="6029" xr:uid="{00000000-0005-0000-0000-00001FB10000}"/>
    <cellStyle name="Normal 9 2 18 2 2 2" xfId="9900" xr:uid="{00000000-0005-0000-0000-000020B10000}"/>
    <cellStyle name="Normal 9 2 18 2 2 2 2" xfId="17645" xr:uid="{00000000-0005-0000-0000-000021B10000}"/>
    <cellStyle name="Normal 9 2 18 2 2 2 2 2" xfId="33237" xr:uid="{00000000-0005-0000-0000-000022B10000}"/>
    <cellStyle name="Normal 9 2 18 2 2 2 2 3" xfId="48729" xr:uid="{00000000-0005-0000-0000-000023B10000}"/>
    <cellStyle name="Normal 9 2 18 2 2 2 3" xfId="25497" xr:uid="{00000000-0005-0000-0000-000024B10000}"/>
    <cellStyle name="Normal 9 2 18 2 2 2 4" xfId="40989" xr:uid="{00000000-0005-0000-0000-000025B10000}"/>
    <cellStyle name="Normal 9 2 18 2 2 3" xfId="13775" xr:uid="{00000000-0005-0000-0000-000026B10000}"/>
    <cellStyle name="Normal 9 2 18 2 2 3 2" xfId="29367" xr:uid="{00000000-0005-0000-0000-000027B10000}"/>
    <cellStyle name="Normal 9 2 18 2 2 3 3" xfId="44859" xr:uid="{00000000-0005-0000-0000-000028B10000}"/>
    <cellStyle name="Normal 9 2 18 2 2 4" xfId="21627" xr:uid="{00000000-0005-0000-0000-000029B10000}"/>
    <cellStyle name="Normal 9 2 18 2 2 5" xfId="37119" xr:uid="{00000000-0005-0000-0000-00002AB10000}"/>
    <cellStyle name="Normal 9 2 18 2 3" xfId="7973" xr:uid="{00000000-0005-0000-0000-00002BB10000}"/>
    <cellStyle name="Normal 9 2 18 2 3 2" xfId="15718" xr:uid="{00000000-0005-0000-0000-00002CB10000}"/>
    <cellStyle name="Normal 9 2 18 2 3 2 2" xfId="31310" xr:uid="{00000000-0005-0000-0000-00002DB10000}"/>
    <cellStyle name="Normal 9 2 18 2 3 2 3" xfId="46802" xr:uid="{00000000-0005-0000-0000-00002EB10000}"/>
    <cellStyle name="Normal 9 2 18 2 3 3" xfId="23570" xr:uid="{00000000-0005-0000-0000-00002FB10000}"/>
    <cellStyle name="Normal 9 2 18 2 3 4" xfId="39062" xr:uid="{00000000-0005-0000-0000-000030B10000}"/>
    <cellStyle name="Normal 9 2 18 2 4" xfId="11848" xr:uid="{00000000-0005-0000-0000-000031B10000}"/>
    <cellStyle name="Normal 9 2 18 2 4 2" xfId="27440" xr:uid="{00000000-0005-0000-0000-000032B10000}"/>
    <cellStyle name="Normal 9 2 18 2 4 3" xfId="42932" xr:uid="{00000000-0005-0000-0000-000033B10000}"/>
    <cellStyle name="Normal 9 2 18 2 5" xfId="19700" xr:uid="{00000000-0005-0000-0000-000034B10000}"/>
    <cellStyle name="Normal 9 2 18 2 6" xfId="35192" xr:uid="{00000000-0005-0000-0000-000035B10000}"/>
    <cellStyle name="Normal 9 2 18 3" xfId="5081" xr:uid="{00000000-0005-0000-0000-000036B10000}"/>
    <cellStyle name="Normal 9 2 18 3 2" xfId="8952" xr:uid="{00000000-0005-0000-0000-000037B10000}"/>
    <cellStyle name="Normal 9 2 18 3 2 2" xfId="16697" xr:uid="{00000000-0005-0000-0000-000038B10000}"/>
    <cellStyle name="Normal 9 2 18 3 2 2 2" xfId="32289" xr:uid="{00000000-0005-0000-0000-000039B10000}"/>
    <cellStyle name="Normal 9 2 18 3 2 2 3" xfId="47781" xr:uid="{00000000-0005-0000-0000-00003AB10000}"/>
    <cellStyle name="Normal 9 2 18 3 2 3" xfId="24549" xr:uid="{00000000-0005-0000-0000-00003BB10000}"/>
    <cellStyle name="Normal 9 2 18 3 2 4" xfId="40041" xr:uid="{00000000-0005-0000-0000-00003CB10000}"/>
    <cellStyle name="Normal 9 2 18 3 3" xfId="12827" xr:uid="{00000000-0005-0000-0000-00003DB10000}"/>
    <cellStyle name="Normal 9 2 18 3 3 2" xfId="28419" xr:uid="{00000000-0005-0000-0000-00003EB10000}"/>
    <cellStyle name="Normal 9 2 18 3 3 3" xfId="43911" xr:uid="{00000000-0005-0000-0000-00003FB10000}"/>
    <cellStyle name="Normal 9 2 18 3 4" xfId="20679" xr:uid="{00000000-0005-0000-0000-000040B10000}"/>
    <cellStyle name="Normal 9 2 18 3 5" xfId="36171" xr:uid="{00000000-0005-0000-0000-000041B10000}"/>
    <cellStyle name="Normal 9 2 18 4" xfId="7025" xr:uid="{00000000-0005-0000-0000-000042B10000}"/>
    <cellStyle name="Normal 9 2 18 4 2" xfId="14770" xr:uid="{00000000-0005-0000-0000-000043B10000}"/>
    <cellStyle name="Normal 9 2 18 4 2 2" xfId="30362" xr:uid="{00000000-0005-0000-0000-000044B10000}"/>
    <cellStyle name="Normal 9 2 18 4 2 3" xfId="45854" xr:uid="{00000000-0005-0000-0000-000045B10000}"/>
    <cellStyle name="Normal 9 2 18 4 3" xfId="22622" xr:uid="{00000000-0005-0000-0000-000046B10000}"/>
    <cellStyle name="Normal 9 2 18 4 4" xfId="38114" xr:uid="{00000000-0005-0000-0000-000047B10000}"/>
    <cellStyle name="Normal 9 2 18 5" xfId="10900" xr:uid="{00000000-0005-0000-0000-000048B10000}"/>
    <cellStyle name="Normal 9 2 18 5 2" xfId="26492" xr:uid="{00000000-0005-0000-0000-000049B10000}"/>
    <cellStyle name="Normal 9 2 18 5 3" xfId="41984" xr:uid="{00000000-0005-0000-0000-00004AB10000}"/>
    <cellStyle name="Normal 9 2 18 6" xfId="18752" xr:uid="{00000000-0005-0000-0000-00004BB10000}"/>
    <cellStyle name="Normal 9 2 18 7" xfId="34244" xr:uid="{00000000-0005-0000-0000-00004CB10000}"/>
    <cellStyle name="Normal 9 2 19" xfId="3143" xr:uid="{00000000-0005-0000-0000-00004DB10000}"/>
    <cellStyle name="Normal 9 2 19 2" xfId="4126" xr:uid="{00000000-0005-0000-0000-00004EB10000}"/>
    <cellStyle name="Normal 9 2 19 2 2" xfId="6065" xr:uid="{00000000-0005-0000-0000-00004FB10000}"/>
    <cellStyle name="Normal 9 2 19 2 2 2" xfId="9936" xr:uid="{00000000-0005-0000-0000-000050B10000}"/>
    <cellStyle name="Normal 9 2 19 2 2 2 2" xfId="17681" xr:uid="{00000000-0005-0000-0000-000051B10000}"/>
    <cellStyle name="Normal 9 2 19 2 2 2 2 2" xfId="33273" xr:uid="{00000000-0005-0000-0000-000052B10000}"/>
    <cellStyle name="Normal 9 2 19 2 2 2 2 3" xfId="48765" xr:uid="{00000000-0005-0000-0000-000053B10000}"/>
    <cellStyle name="Normal 9 2 19 2 2 2 3" xfId="25533" xr:uid="{00000000-0005-0000-0000-000054B10000}"/>
    <cellStyle name="Normal 9 2 19 2 2 2 4" xfId="41025" xr:uid="{00000000-0005-0000-0000-000055B10000}"/>
    <cellStyle name="Normal 9 2 19 2 2 3" xfId="13811" xr:uid="{00000000-0005-0000-0000-000056B10000}"/>
    <cellStyle name="Normal 9 2 19 2 2 3 2" xfId="29403" xr:uid="{00000000-0005-0000-0000-000057B10000}"/>
    <cellStyle name="Normal 9 2 19 2 2 3 3" xfId="44895" xr:uid="{00000000-0005-0000-0000-000058B10000}"/>
    <cellStyle name="Normal 9 2 19 2 2 4" xfId="21663" xr:uid="{00000000-0005-0000-0000-000059B10000}"/>
    <cellStyle name="Normal 9 2 19 2 2 5" xfId="37155" xr:uid="{00000000-0005-0000-0000-00005AB10000}"/>
    <cellStyle name="Normal 9 2 19 2 3" xfId="8009" xr:uid="{00000000-0005-0000-0000-00005BB10000}"/>
    <cellStyle name="Normal 9 2 19 2 3 2" xfId="15754" xr:uid="{00000000-0005-0000-0000-00005CB10000}"/>
    <cellStyle name="Normal 9 2 19 2 3 2 2" xfId="31346" xr:uid="{00000000-0005-0000-0000-00005DB10000}"/>
    <cellStyle name="Normal 9 2 19 2 3 2 3" xfId="46838" xr:uid="{00000000-0005-0000-0000-00005EB10000}"/>
    <cellStyle name="Normal 9 2 19 2 3 3" xfId="23606" xr:uid="{00000000-0005-0000-0000-00005FB10000}"/>
    <cellStyle name="Normal 9 2 19 2 3 4" xfId="39098" xr:uid="{00000000-0005-0000-0000-000060B10000}"/>
    <cellStyle name="Normal 9 2 19 2 4" xfId="11884" xr:uid="{00000000-0005-0000-0000-000061B10000}"/>
    <cellStyle name="Normal 9 2 19 2 4 2" xfId="27476" xr:uid="{00000000-0005-0000-0000-000062B10000}"/>
    <cellStyle name="Normal 9 2 19 2 4 3" xfId="42968" xr:uid="{00000000-0005-0000-0000-000063B10000}"/>
    <cellStyle name="Normal 9 2 19 2 5" xfId="19736" xr:uid="{00000000-0005-0000-0000-000064B10000}"/>
    <cellStyle name="Normal 9 2 19 2 6" xfId="35228" xr:uid="{00000000-0005-0000-0000-000065B10000}"/>
    <cellStyle name="Normal 9 2 19 3" xfId="5117" xr:uid="{00000000-0005-0000-0000-000066B10000}"/>
    <cellStyle name="Normal 9 2 19 3 2" xfId="8988" xr:uid="{00000000-0005-0000-0000-000067B10000}"/>
    <cellStyle name="Normal 9 2 19 3 2 2" xfId="16733" xr:uid="{00000000-0005-0000-0000-000068B10000}"/>
    <cellStyle name="Normal 9 2 19 3 2 2 2" xfId="32325" xr:uid="{00000000-0005-0000-0000-000069B10000}"/>
    <cellStyle name="Normal 9 2 19 3 2 2 3" xfId="47817" xr:uid="{00000000-0005-0000-0000-00006AB10000}"/>
    <cellStyle name="Normal 9 2 19 3 2 3" xfId="24585" xr:uid="{00000000-0005-0000-0000-00006BB10000}"/>
    <cellStyle name="Normal 9 2 19 3 2 4" xfId="40077" xr:uid="{00000000-0005-0000-0000-00006CB10000}"/>
    <cellStyle name="Normal 9 2 19 3 3" xfId="12863" xr:uid="{00000000-0005-0000-0000-00006DB10000}"/>
    <cellStyle name="Normal 9 2 19 3 3 2" xfId="28455" xr:uid="{00000000-0005-0000-0000-00006EB10000}"/>
    <cellStyle name="Normal 9 2 19 3 3 3" xfId="43947" xr:uid="{00000000-0005-0000-0000-00006FB10000}"/>
    <cellStyle name="Normal 9 2 19 3 4" xfId="20715" xr:uid="{00000000-0005-0000-0000-000070B10000}"/>
    <cellStyle name="Normal 9 2 19 3 5" xfId="36207" xr:uid="{00000000-0005-0000-0000-000071B10000}"/>
    <cellStyle name="Normal 9 2 19 4" xfId="7061" xr:uid="{00000000-0005-0000-0000-000072B10000}"/>
    <cellStyle name="Normal 9 2 19 4 2" xfId="14806" xr:uid="{00000000-0005-0000-0000-000073B10000}"/>
    <cellStyle name="Normal 9 2 19 4 2 2" xfId="30398" xr:uid="{00000000-0005-0000-0000-000074B10000}"/>
    <cellStyle name="Normal 9 2 19 4 2 3" xfId="45890" xr:uid="{00000000-0005-0000-0000-000075B10000}"/>
    <cellStyle name="Normal 9 2 19 4 3" xfId="22658" xr:uid="{00000000-0005-0000-0000-000076B10000}"/>
    <cellStyle name="Normal 9 2 19 4 4" xfId="38150" xr:uid="{00000000-0005-0000-0000-000077B10000}"/>
    <cellStyle name="Normal 9 2 19 5" xfId="10936" xr:uid="{00000000-0005-0000-0000-000078B10000}"/>
    <cellStyle name="Normal 9 2 19 5 2" xfId="26528" xr:uid="{00000000-0005-0000-0000-000079B10000}"/>
    <cellStyle name="Normal 9 2 19 5 3" xfId="42020" xr:uid="{00000000-0005-0000-0000-00007AB10000}"/>
    <cellStyle name="Normal 9 2 19 6" xfId="18788" xr:uid="{00000000-0005-0000-0000-00007BB10000}"/>
    <cellStyle name="Normal 9 2 19 7" xfId="34280" xr:uid="{00000000-0005-0000-0000-00007CB10000}"/>
    <cellStyle name="Normal 9 2 2" xfId="2206" xr:uid="{00000000-0005-0000-0000-00007DB10000}"/>
    <cellStyle name="Normal 9 2 2 2" xfId="2538" xr:uid="{00000000-0005-0000-0000-00007EB10000}"/>
    <cellStyle name="Normal 9 2 2 2 2" xfId="3546" xr:uid="{00000000-0005-0000-0000-00007FB10000}"/>
    <cellStyle name="Normal 9 2 2 2 2 2" xfId="5485" xr:uid="{00000000-0005-0000-0000-000080B10000}"/>
    <cellStyle name="Normal 9 2 2 2 2 2 2" xfId="9356" xr:uid="{00000000-0005-0000-0000-000081B10000}"/>
    <cellStyle name="Normal 9 2 2 2 2 2 2 2" xfId="17101" xr:uid="{00000000-0005-0000-0000-000082B10000}"/>
    <cellStyle name="Normal 9 2 2 2 2 2 2 2 2" xfId="32693" xr:uid="{00000000-0005-0000-0000-000083B10000}"/>
    <cellStyle name="Normal 9 2 2 2 2 2 2 2 3" xfId="48185" xr:uid="{00000000-0005-0000-0000-000084B10000}"/>
    <cellStyle name="Normal 9 2 2 2 2 2 2 3" xfId="24953" xr:uid="{00000000-0005-0000-0000-000085B10000}"/>
    <cellStyle name="Normal 9 2 2 2 2 2 2 4" xfId="40445" xr:uid="{00000000-0005-0000-0000-000086B10000}"/>
    <cellStyle name="Normal 9 2 2 2 2 2 3" xfId="13231" xr:uid="{00000000-0005-0000-0000-000087B10000}"/>
    <cellStyle name="Normal 9 2 2 2 2 2 3 2" xfId="28823" xr:uid="{00000000-0005-0000-0000-000088B10000}"/>
    <cellStyle name="Normal 9 2 2 2 2 2 3 3" xfId="44315" xr:uid="{00000000-0005-0000-0000-000089B10000}"/>
    <cellStyle name="Normal 9 2 2 2 2 2 4" xfId="21083" xr:uid="{00000000-0005-0000-0000-00008AB10000}"/>
    <cellStyle name="Normal 9 2 2 2 2 2 5" xfId="36575" xr:uid="{00000000-0005-0000-0000-00008BB10000}"/>
    <cellStyle name="Normal 9 2 2 2 2 3" xfId="7429" xr:uid="{00000000-0005-0000-0000-00008CB10000}"/>
    <cellStyle name="Normal 9 2 2 2 2 3 2" xfId="15174" xr:uid="{00000000-0005-0000-0000-00008DB10000}"/>
    <cellStyle name="Normal 9 2 2 2 2 3 2 2" xfId="30766" xr:uid="{00000000-0005-0000-0000-00008EB10000}"/>
    <cellStyle name="Normal 9 2 2 2 2 3 2 3" xfId="46258" xr:uid="{00000000-0005-0000-0000-00008FB10000}"/>
    <cellStyle name="Normal 9 2 2 2 2 3 3" xfId="23026" xr:uid="{00000000-0005-0000-0000-000090B10000}"/>
    <cellStyle name="Normal 9 2 2 2 2 3 4" xfId="38518" xr:uid="{00000000-0005-0000-0000-000091B10000}"/>
    <cellStyle name="Normal 9 2 2 2 2 4" xfId="11304" xr:uid="{00000000-0005-0000-0000-000092B10000}"/>
    <cellStyle name="Normal 9 2 2 2 2 4 2" xfId="26896" xr:uid="{00000000-0005-0000-0000-000093B10000}"/>
    <cellStyle name="Normal 9 2 2 2 2 4 3" xfId="42388" xr:uid="{00000000-0005-0000-0000-000094B10000}"/>
    <cellStyle name="Normal 9 2 2 2 2 5" xfId="19156" xr:uid="{00000000-0005-0000-0000-000095B10000}"/>
    <cellStyle name="Normal 9 2 2 2 2 6" xfId="34648" xr:uid="{00000000-0005-0000-0000-000096B10000}"/>
    <cellStyle name="Normal 9 2 2 2 3" xfId="4537" xr:uid="{00000000-0005-0000-0000-000097B10000}"/>
    <cellStyle name="Normal 9 2 2 2 3 2" xfId="8408" xr:uid="{00000000-0005-0000-0000-000098B10000}"/>
    <cellStyle name="Normal 9 2 2 2 3 2 2" xfId="16153" xr:uid="{00000000-0005-0000-0000-000099B10000}"/>
    <cellStyle name="Normal 9 2 2 2 3 2 2 2" xfId="31745" xr:uid="{00000000-0005-0000-0000-00009AB10000}"/>
    <cellStyle name="Normal 9 2 2 2 3 2 2 3" xfId="47237" xr:uid="{00000000-0005-0000-0000-00009BB10000}"/>
    <cellStyle name="Normal 9 2 2 2 3 2 3" xfId="24005" xr:uid="{00000000-0005-0000-0000-00009CB10000}"/>
    <cellStyle name="Normal 9 2 2 2 3 2 4" xfId="39497" xr:uid="{00000000-0005-0000-0000-00009DB10000}"/>
    <cellStyle name="Normal 9 2 2 2 3 3" xfId="12283" xr:uid="{00000000-0005-0000-0000-00009EB10000}"/>
    <cellStyle name="Normal 9 2 2 2 3 3 2" xfId="27875" xr:uid="{00000000-0005-0000-0000-00009FB10000}"/>
    <cellStyle name="Normal 9 2 2 2 3 3 3" xfId="43367" xr:uid="{00000000-0005-0000-0000-0000A0B10000}"/>
    <cellStyle name="Normal 9 2 2 2 3 4" xfId="20135" xr:uid="{00000000-0005-0000-0000-0000A1B10000}"/>
    <cellStyle name="Normal 9 2 2 2 3 5" xfId="35627" xr:uid="{00000000-0005-0000-0000-0000A2B10000}"/>
    <cellStyle name="Normal 9 2 2 2 4" xfId="6481" xr:uid="{00000000-0005-0000-0000-0000A3B10000}"/>
    <cellStyle name="Normal 9 2 2 2 4 2" xfId="14226" xr:uid="{00000000-0005-0000-0000-0000A4B10000}"/>
    <cellStyle name="Normal 9 2 2 2 4 2 2" xfId="29818" xr:uid="{00000000-0005-0000-0000-0000A5B10000}"/>
    <cellStyle name="Normal 9 2 2 2 4 2 3" xfId="45310" xr:uid="{00000000-0005-0000-0000-0000A6B10000}"/>
    <cellStyle name="Normal 9 2 2 2 4 3" xfId="22078" xr:uid="{00000000-0005-0000-0000-0000A7B10000}"/>
    <cellStyle name="Normal 9 2 2 2 4 4" xfId="37570" xr:uid="{00000000-0005-0000-0000-0000A8B10000}"/>
    <cellStyle name="Normal 9 2 2 2 5" xfId="10356" xr:uid="{00000000-0005-0000-0000-0000A9B10000}"/>
    <cellStyle name="Normal 9 2 2 2 5 2" xfId="25948" xr:uid="{00000000-0005-0000-0000-0000AAB10000}"/>
    <cellStyle name="Normal 9 2 2 2 5 3" xfId="41440" xr:uid="{00000000-0005-0000-0000-0000ABB10000}"/>
    <cellStyle name="Normal 9 2 2 2 6" xfId="18208" xr:uid="{00000000-0005-0000-0000-0000ACB10000}"/>
    <cellStyle name="Normal 9 2 2 2 7" xfId="33700" xr:uid="{00000000-0005-0000-0000-0000ADB10000}"/>
    <cellStyle name="Normal 9 2 2 3" xfId="3237" xr:uid="{00000000-0005-0000-0000-0000AEB10000}"/>
    <cellStyle name="Normal 9 2 2 3 2" xfId="5176" xr:uid="{00000000-0005-0000-0000-0000AFB10000}"/>
    <cellStyle name="Normal 9 2 2 3 2 2" xfId="9047" xr:uid="{00000000-0005-0000-0000-0000B0B10000}"/>
    <cellStyle name="Normal 9 2 2 3 2 2 2" xfId="16792" xr:uid="{00000000-0005-0000-0000-0000B1B10000}"/>
    <cellStyle name="Normal 9 2 2 3 2 2 2 2" xfId="32384" xr:uid="{00000000-0005-0000-0000-0000B2B10000}"/>
    <cellStyle name="Normal 9 2 2 3 2 2 2 3" xfId="47876" xr:uid="{00000000-0005-0000-0000-0000B3B10000}"/>
    <cellStyle name="Normal 9 2 2 3 2 2 3" xfId="24644" xr:uid="{00000000-0005-0000-0000-0000B4B10000}"/>
    <cellStyle name="Normal 9 2 2 3 2 2 4" xfId="40136" xr:uid="{00000000-0005-0000-0000-0000B5B10000}"/>
    <cellStyle name="Normal 9 2 2 3 2 3" xfId="12922" xr:uid="{00000000-0005-0000-0000-0000B6B10000}"/>
    <cellStyle name="Normal 9 2 2 3 2 3 2" xfId="28514" xr:uid="{00000000-0005-0000-0000-0000B7B10000}"/>
    <cellStyle name="Normal 9 2 2 3 2 3 3" xfId="44006" xr:uid="{00000000-0005-0000-0000-0000B8B10000}"/>
    <cellStyle name="Normal 9 2 2 3 2 4" xfId="20774" xr:uid="{00000000-0005-0000-0000-0000B9B10000}"/>
    <cellStyle name="Normal 9 2 2 3 2 5" xfId="36266" xr:uid="{00000000-0005-0000-0000-0000BAB10000}"/>
    <cellStyle name="Normal 9 2 2 3 3" xfId="7120" xr:uid="{00000000-0005-0000-0000-0000BBB10000}"/>
    <cellStyle name="Normal 9 2 2 3 3 2" xfId="14865" xr:uid="{00000000-0005-0000-0000-0000BCB10000}"/>
    <cellStyle name="Normal 9 2 2 3 3 2 2" xfId="30457" xr:uid="{00000000-0005-0000-0000-0000BDB10000}"/>
    <cellStyle name="Normal 9 2 2 3 3 2 3" xfId="45949" xr:uid="{00000000-0005-0000-0000-0000BEB10000}"/>
    <cellStyle name="Normal 9 2 2 3 3 3" xfId="22717" xr:uid="{00000000-0005-0000-0000-0000BFB10000}"/>
    <cellStyle name="Normal 9 2 2 3 3 4" xfId="38209" xr:uid="{00000000-0005-0000-0000-0000C0B10000}"/>
    <cellStyle name="Normal 9 2 2 3 4" xfId="10995" xr:uid="{00000000-0005-0000-0000-0000C1B10000}"/>
    <cellStyle name="Normal 9 2 2 3 4 2" xfId="26587" xr:uid="{00000000-0005-0000-0000-0000C2B10000}"/>
    <cellStyle name="Normal 9 2 2 3 4 3" xfId="42079" xr:uid="{00000000-0005-0000-0000-0000C3B10000}"/>
    <cellStyle name="Normal 9 2 2 3 5" xfId="18847" xr:uid="{00000000-0005-0000-0000-0000C4B10000}"/>
    <cellStyle name="Normal 9 2 2 3 6" xfId="34339" xr:uid="{00000000-0005-0000-0000-0000C5B10000}"/>
    <cellStyle name="Normal 9 2 2 4" xfId="4228" xr:uid="{00000000-0005-0000-0000-0000C6B10000}"/>
    <cellStyle name="Normal 9 2 2 4 2" xfId="8099" xr:uid="{00000000-0005-0000-0000-0000C7B10000}"/>
    <cellStyle name="Normal 9 2 2 4 2 2" xfId="15844" xr:uid="{00000000-0005-0000-0000-0000C8B10000}"/>
    <cellStyle name="Normal 9 2 2 4 2 2 2" xfId="31436" xr:uid="{00000000-0005-0000-0000-0000C9B10000}"/>
    <cellStyle name="Normal 9 2 2 4 2 2 3" xfId="46928" xr:uid="{00000000-0005-0000-0000-0000CAB10000}"/>
    <cellStyle name="Normal 9 2 2 4 2 3" xfId="23696" xr:uid="{00000000-0005-0000-0000-0000CBB10000}"/>
    <cellStyle name="Normal 9 2 2 4 2 4" xfId="39188" xr:uid="{00000000-0005-0000-0000-0000CCB10000}"/>
    <cellStyle name="Normal 9 2 2 4 3" xfId="11974" xr:uid="{00000000-0005-0000-0000-0000CDB10000}"/>
    <cellStyle name="Normal 9 2 2 4 3 2" xfId="27566" xr:uid="{00000000-0005-0000-0000-0000CEB10000}"/>
    <cellStyle name="Normal 9 2 2 4 3 3" xfId="43058" xr:uid="{00000000-0005-0000-0000-0000CFB10000}"/>
    <cellStyle name="Normal 9 2 2 4 4" xfId="19826" xr:uid="{00000000-0005-0000-0000-0000D0B10000}"/>
    <cellStyle name="Normal 9 2 2 4 5" xfId="35318" xr:uid="{00000000-0005-0000-0000-0000D1B10000}"/>
    <cellStyle name="Normal 9 2 2 5" xfId="6172" xr:uid="{00000000-0005-0000-0000-0000D2B10000}"/>
    <cellStyle name="Normal 9 2 2 5 2" xfId="13917" xr:uid="{00000000-0005-0000-0000-0000D3B10000}"/>
    <cellStyle name="Normal 9 2 2 5 2 2" xfId="29509" xr:uid="{00000000-0005-0000-0000-0000D4B10000}"/>
    <cellStyle name="Normal 9 2 2 5 2 3" xfId="45001" xr:uid="{00000000-0005-0000-0000-0000D5B10000}"/>
    <cellStyle name="Normal 9 2 2 5 3" xfId="21769" xr:uid="{00000000-0005-0000-0000-0000D6B10000}"/>
    <cellStyle name="Normal 9 2 2 5 4" xfId="37261" xr:uid="{00000000-0005-0000-0000-0000D7B10000}"/>
    <cellStyle name="Normal 9 2 2 6" xfId="10047" xr:uid="{00000000-0005-0000-0000-0000D8B10000}"/>
    <cellStyle name="Normal 9 2 2 6 2" xfId="25639" xr:uid="{00000000-0005-0000-0000-0000D9B10000}"/>
    <cellStyle name="Normal 9 2 2 6 3" xfId="41131" xr:uid="{00000000-0005-0000-0000-0000DAB10000}"/>
    <cellStyle name="Normal 9 2 2 7" xfId="17899" xr:uid="{00000000-0005-0000-0000-0000DBB10000}"/>
    <cellStyle name="Normal 9 2 2 8" xfId="33391" xr:uid="{00000000-0005-0000-0000-0000DCB10000}"/>
    <cellStyle name="Normal 9 2 20" xfId="3202" xr:uid="{00000000-0005-0000-0000-0000DDB10000}"/>
    <cellStyle name="Normal 9 2 20 2" xfId="5141" xr:uid="{00000000-0005-0000-0000-0000DEB10000}"/>
    <cellStyle name="Normal 9 2 20 2 2" xfId="9012" xr:uid="{00000000-0005-0000-0000-0000DFB10000}"/>
    <cellStyle name="Normal 9 2 20 2 2 2" xfId="16757" xr:uid="{00000000-0005-0000-0000-0000E0B10000}"/>
    <cellStyle name="Normal 9 2 20 2 2 2 2" xfId="32349" xr:uid="{00000000-0005-0000-0000-0000E1B10000}"/>
    <cellStyle name="Normal 9 2 20 2 2 2 3" xfId="47841" xr:uid="{00000000-0005-0000-0000-0000E2B10000}"/>
    <cellStyle name="Normal 9 2 20 2 2 3" xfId="24609" xr:uid="{00000000-0005-0000-0000-0000E3B10000}"/>
    <cellStyle name="Normal 9 2 20 2 2 4" xfId="40101" xr:uid="{00000000-0005-0000-0000-0000E4B10000}"/>
    <cellStyle name="Normal 9 2 20 2 3" xfId="12887" xr:uid="{00000000-0005-0000-0000-0000E5B10000}"/>
    <cellStyle name="Normal 9 2 20 2 3 2" xfId="28479" xr:uid="{00000000-0005-0000-0000-0000E6B10000}"/>
    <cellStyle name="Normal 9 2 20 2 3 3" xfId="43971" xr:uid="{00000000-0005-0000-0000-0000E7B10000}"/>
    <cellStyle name="Normal 9 2 20 2 4" xfId="20739" xr:uid="{00000000-0005-0000-0000-0000E8B10000}"/>
    <cellStyle name="Normal 9 2 20 2 5" xfId="36231" xr:uid="{00000000-0005-0000-0000-0000E9B10000}"/>
    <cellStyle name="Normal 9 2 20 3" xfId="7085" xr:uid="{00000000-0005-0000-0000-0000EAB10000}"/>
    <cellStyle name="Normal 9 2 20 3 2" xfId="14830" xr:uid="{00000000-0005-0000-0000-0000EBB10000}"/>
    <cellStyle name="Normal 9 2 20 3 2 2" xfId="30422" xr:uid="{00000000-0005-0000-0000-0000ECB10000}"/>
    <cellStyle name="Normal 9 2 20 3 2 3" xfId="45914" xr:uid="{00000000-0005-0000-0000-0000EDB10000}"/>
    <cellStyle name="Normal 9 2 20 3 3" xfId="22682" xr:uid="{00000000-0005-0000-0000-0000EEB10000}"/>
    <cellStyle name="Normal 9 2 20 3 4" xfId="38174" xr:uid="{00000000-0005-0000-0000-0000EFB10000}"/>
    <cellStyle name="Normal 9 2 20 4" xfId="10960" xr:uid="{00000000-0005-0000-0000-0000F0B10000}"/>
    <cellStyle name="Normal 9 2 20 4 2" xfId="26552" xr:uid="{00000000-0005-0000-0000-0000F1B10000}"/>
    <cellStyle name="Normal 9 2 20 4 3" xfId="42044" xr:uid="{00000000-0005-0000-0000-0000F2B10000}"/>
    <cellStyle name="Normal 9 2 20 5" xfId="18812" xr:uid="{00000000-0005-0000-0000-0000F3B10000}"/>
    <cellStyle name="Normal 9 2 20 6" xfId="34304" xr:uid="{00000000-0005-0000-0000-0000F4B10000}"/>
    <cellStyle name="Normal 9 2 21" xfId="4147" xr:uid="{00000000-0005-0000-0000-0000F5B10000}"/>
    <cellStyle name="Normal 9 2 21 2" xfId="6085" xr:uid="{00000000-0005-0000-0000-0000F6B10000}"/>
    <cellStyle name="Normal 9 2 21 2 2" xfId="9956" xr:uid="{00000000-0005-0000-0000-0000F7B10000}"/>
    <cellStyle name="Normal 9 2 21 2 2 2" xfId="17701" xr:uid="{00000000-0005-0000-0000-0000F8B10000}"/>
    <cellStyle name="Normal 9 2 21 2 2 2 2" xfId="33293" xr:uid="{00000000-0005-0000-0000-0000F9B10000}"/>
    <cellStyle name="Normal 9 2 21 2 2 2 3" xfId="48785" xr:uid="{00000000-0005-0000-0000-0000FAB10000}"/>
    <cellStyle name="Normal 9 2 21 2 2 3" xfId="25553" xr:uid="{00000000-0005-0000-0000-0000FBB10000}"/>
    <cellStyle name="Normal 9 2 21 2 2 4" xfId="41045" xr:uid="{00000000-0005-0000-0000-0000FCB10000}"/>
    <cellStyle name="Normal 9 2 21 2 3" xfId="13831" xr:uid="{00000000-0005-0000-0000-0000FDB10000}"/>
    <cellStyle name="Normal 9 2 21 2 3 2" xfId="29423" xr:uid="{00000000-0005-0000-0000-0000FEB10000}"/>
    <cellStyle name="Normal 9 2 21 2 3 3" xfId="44915" xr:uid="{00000000-0005-0000-0000-0000FFB10000}"/>
    <cellStyle name="Normal 9 2 21 2 4" xfId="21683" xr:uid="{00000000-0005-0000-0000-000000B20000}"/>
    <cellStyle name="Normal 9 2 21 2 5" xfId="37175" xr:uid="{00000000-0005-0000-0000-000001B20000}"/>
    <cellStyle name="Normal 9 2 21 3" xfId="8029" xr:uid="{00000000-0005-0000-0000-000002B20000}"/>
    <cellStyle name="Normal 9 2 21 3 2" xfId="15774" xr:uid="{00000000-0005-0000-0000-000003B20000}"/>
    <cellStyle name="Normal 9 2 21 3 2 2" xfId="31366" xr:uid="{00000000-0005-0000-0000-000004B20000}"/>
    <cellStyle name="Normal 9 2 21 3 2 3" xfId="46858" xr:uid="{00000000-0005-0000-0000-000005B20000}"/>
    <cellStyle name="Normal 9 2 21 3 3" xfId="23626" xr:uid="{00000000-0005-0000-0000-000006B20000}"/>
    <cellStyle name="Normal 9 2 21 3 4" xfId="39118" xr:uid="{00000000-0005-0000-0000-000007B20000}"/>
    <cellStyle name="Normal 9 2 21 4" xfId="11904" xr:uid="{00000000-0005-0000-0000-000008B20000}"/>
    <cellStyle name="Normal 9 2 21 4 2" xfId="27496" xr:uid="{00000000-0005-0000-0000-000009B20000}"/>
    <cellStyle name="Normal 9 2 21 4 3" xfId="42988" xr:uid="{00000000-0005-0000-0000-00000AB20000}"/>
    <cellStyle name="Normal 9 2 21 5" xfId="19756" xr:uid="{00000000-0005-0000-0000-00000BB20000}"/>
    <cellStyle name="Normal 9 2 21 6" xfId="35248" xr:uid="{00000000-0005-0000-0000-00000CB20000}"/>
    <cellStyle name="Normal 9 2 22" xfId="4172" xr:uid="{00000000-0005-0000-0000-00000DB20000}"/>
    <cellStyle name="Normal 9 2 22 2" xfId="6101" xr:uid="{00000000-0005-0000-0000-00000EB20000}"/>
    <cellStyle name="Normal 9 2 22 2 2" xfId="9972" xr:uid="{00000000-0005-0000-0000-00000FB20000}"/>
    <cellStyle name="Normal 9 2 22 2 2 2" xfId="17717" xr:uid="{00000000-0005-0000-0000-000010B20000}"/>
    <cellStyle name="Normal 9 2 22 2 2 2 2" xfId="33309" xr:uid="{00000000-0005-0000-0000-000011B20000}"/>
    <cellStyle name="Normal 9 2 22 2 2 2 3" xfId="48801" xr:uid="{00000000-0005-0000-0000-000012B20000}"/>
    <cellStyle name="Normal 9 2 22 2 2 3" xfId="25569" xr:uid="{00000000-0005-0000-0000-000013B20000}"/>
    <cellStyle name="Normal 9 2 22 2 2 4" xfId="41061" xr:uid="{00000000-0005-0000-0000-000014B20000}"/>
    <cellStyle name="Normal 9 2 22 2 3" xfId="13847" xr:uid="{00000000-0005-0000-0000-000015B20000}"/>
    <cellStyle name="Normal 9 2 22 2 3 2" xfId="29439" xr:uid="{00000000-0005-0000-0000-000016B20000}"/>
    <cellStyle name="Normal 9 2 22 2 3 3" xfId="44931" xr:uid="{00000000-0005-0000-0000-000017B20000}"/>
    <cellStyle name="Normal 9 2 22 2 4" xfId="21699" xr:uid="{00000000-0005-0000-0000-000018B20000}"/>
    <cellStyle name="Normal 9 2 22 2 5" xfId="37191" xr:uid="{00000000-0005-0000-0000-000019B20000}"/>
    <cellStyle name="Normal 9 2 22 3" xfId="8045" xr:uid="{00000000-0005-0000-0000-00001AB20000}"/>
    <cellStyle name="Normal 9 2 22 3 2" xfId="15790" xr:uid="{00000000-0005-0000-0000-00001BB20000}"/>
    <cellStyle name="Normal 9 2 22 3 2 2" xfId="31382" xr:uid="{00000000-0005-0000-0000-00001CB20000}"/>
    <cellStyle name="Normal 9 2 22 3 2 3" xfId="46874" xr:uid="{00000000-0005-0000-0000-00001DB20000}"/>
    <cellStyle name="Normal 9 2 22 3 3" xfId="23642" xr:uid="{00000000-0005-0000-0000-00001EB20000}"/>
    <cellStyle name="Normal 9 2 22 3 4" xfId="39134" xr:uid="{00000000-0005-0000-0000-00001FB20000}"/>
    <cellStyle name="Normal 9 2 22 4" xfId="11920" xr:uid="{00000000-0005-0000-0000-000020B20000}"/>
    <cellStyle name="Normal 9 2 22 4 2" xfId="27512" xr:uid="{00000000-0005-0000-0000-000021B20000}"/>
    <cellStyle name="Normal 9 2 22 4 3" xfId="43004" xr:uid="{00000000-0005-0000-0000-000022B20000}"/>
    <cellStyle name="Normal 9 2 22 5" xfId="19772" xr:uid="{00000000-0005-0000-0000-000023B20000}"/>
    <cellStyle name="Normal 9 2 22 6" xfId="35264" xr:uid="{00000000-0005-0000-0000-000024B20000}"/>
    <cellStyle name="Normal 9 2 23" xfId="4193" xr:uid="{00000000-0005-0000-0000-000025B20000}"/>
    <cellStyle name="Normal 9 2 23 2" xfId="8064" xr:uid="{00000000-0005-0000-0000-000026B20000}"/>
    <cellStyle name="Normal 9 2 23 2 2" xfId="15809" xr:uid="{00000000-0005-0000-0000-000027B20000}"/>
    <cellStyle name="Normal 9 2 23 2 2 2" xfId="31401" xr:uid="{00000000-0005-0000-0000-000028B20000}"/>
    <cellStyle name="Normal 9 2 23 2 2 3" xfId="46893" xr:uid="{00000000-0005-0000-0000-000029B20000}"/>
    <cellStyle name="Normal 9 2 23 2 3" xfId="23661" xr:uid="{00000000-0005-0000-0000-00002AB20000}"/>
    <cellStyle name="Normal 9 2 23 2 4" xfId="39153" xr:uid="{00000000-0005-0000-0000-00002BB20000}"/>
    <cellStyle name="Normal 9 2 23 3" xfId="11939" xr:uid="{00000000-0005-0000-0000-00002CB20000}"/>
    <cellStyle name="Normal 9 2 23 3 2" xfId="27531" xr:uid="{00000000-0005-0000-0000-00002DB20000}"/>
    <cellStyle name="Normal 9 2 23 3 3" xfId="43023" xr:uid="{00000000-0005-0000-0000-00002EB20000}"/>
    <cellStyle name="Normal 9 2 23 4" xfId="19791" xr:uid="{00000000-0005-0000-0000-00002FB20000}"/>
    <cellStyle name="Normal 9 2 23 5" xfId="35283" xr:uid="{00000000-0005-0000-0000-000030B20000}"/>
    <cellStyle name="Normal 9 2 24" xfId="6117" xr:uid="{00000000-0005-0000-0000-000031B20000}"/>
    <cellStyle name="Normal 9 2 24 2" xfId="9987" xr:uid="{00000000-0005-0000-0000-000032B20000}"/>
    <cellStyle name="Normal 9 2 24 2 2" xfId="17732" xr:uid="{00000000-0005-0000-0000-000033B20000}"/>
    <cellStyle name="Normal 9 2 24 2 2 2" xfId="33324" xr:uid="{00000000-0005-0000-0000-000034B20000}"/>
    <cellStyle name="Normal 9 2 24 2 2 3" xfId="48816" xr:uid="{00000000-0005-0000-0000-000035B20000}"/>
    <cellStyle name="Normal 9 2 24 2 3" xfId="25584" xr:uid="{00000000-0005-0000-0000-000036B20000}"/>
    <cellStyle name="Normal 9 2 24 2 4" xfId="41076" xr:uid="{00000000-0005-0000-0000-000037B20000}"/>
    <cellStyle name="Normal 9 2 24 3" xfId="13862" xr:uid="{00000000-0005-0000-0000-000038B20000}"/>
    <cellStyle name="Normal 9 2 24 3 2" xfId="29454" xr:uid="{00000000-0005-0000-0000-000039B20000}"/>
    <cellStyle name="Normal 9 2 24 3 3" xfId="44946" xr:uid="{00000000-0005-0000-0000-00003AB20000}"/>
    <cellStyle name="Normal 9 2 24 4" xfId="21714" xr:uid="{00000000-0005-0000-0000-00003BB20000}"/>
    <cellStyle name="Normal 9 2 24 5" xfId="37206" xr:uid="{00000000-0005-0000-0000-00003CB20000}"/>
    <cellStyle name="Normal 9 2 25" xfId="6137" xr:uid="{00000000-0005-0000-0000-00003DB20000}"/>
    <cellStyle name="Normal 9 2 25 2" xfId="13882" xr:uid="{00000000-0005-0000-0000-00003EB20000}"/>
    <cellStyle name="Normal 9 2 25 2 2" xfId="29474" xr:uid="{00000000-0005-0000-0000-00003FB20000}"/>
    <cellStyle name="Normal 9 2 25 2 3" xfId="44966" xr:uid="{00000000-0005-0000-0000-000040B20000}"/>
    <cellStyle name="Normal 9 2 25 3" xfId="21734" xr:uid="{00000000-0005-0000-0000-000041B20000}"/>
    <cellStyle name="Normal 9 2 25 4" xfId="37226" xr:uid="{00000000-0005-0000-0000-000042B20000}"/>
    <cellStyle name="Normal 9 2 26" xfId="10012" xr:uid="{00000000-0005-0000-0000-000043B20000}"/>
    <cellStyle name="Normal 9 2 26 2" xfId="25604" xr:uid="{00000000-0005-0000-0000-000044B20000}"/>
    <cellStyle name="Normal 9 2 26 3" xfId="41096" xr:uid="{00000000-0005-0000-0000-000045B20000}"/>
    <cellStyle name="Normal 9 2 27" xfId="17864" xr:uid="{00000000-0005-0000-0000-000046B20000}"/>
    <cellStyle name="Normal 9 2 28" xfId="33356" xr:uid="{00000000-0005-0000-0000-000047B20000}"/>
    <cellStyle name="Normal 9 2 29" xfId="48861" xr:uid="{00000000-0005-0000-0000-000048B20000}"/>
    <cellStyle name="Normal 9 2 3" xfId="2259" xr:uid="{00000000-0005-0000-0000-000049B20000}"/>
    <cellStyle name="Normal 9 2 3 2" xfId="2576" xr:uid="{00000000-0005-0000-0000-00004AB20000}"/>
    <cellStyle name="Normal 9 2 3 2 2" xfId="3584" xr:uid="{00000000-0005-0000-0000-00004BB20000}"/>
    <cellStyle name="Normal 9 2 3 2 2 2" xfId="5523" xr:uid="{00000000-0005-0000-0000-00004CB20000}"/>
    <cellStyle name="Normal 9 2 3 2 2 2 2" xfId="9394" xr:uid="{00000000-0005-0000-0000-00004DB20000}"/>
    <cellStyle name="Normal 9 2 3 2 2 2 2 2" xfId="17139" xr:uid="{00000000-0005-0000-0000-00004EB20000}"/>
    <cellStyle name="Normal 9 2 3 2 2 2 2 2 2" xfId="32731" xr:uid="{00000000-0005-0000-0000-00004FB20000}"/>
    <cellStyle name="Normal 9 2 3 2 2 2 2 2 3" xfId="48223" xr:uid="{00000000-0005-0000-0000-000050B20000}"/>
    <cellStyle name="Normal 9 2 3 2 2 2 2 3" xfId="24991" xr:uid="{00000000-0005-0000-0000-000051B20000}"/>
    <cellStyle name="Normal 9 2 3 2 2 2 2 4" xfId="40483" xr:uid="{00000000-0005-0000-0000-000052B20000}"/>
    <cellStyle name="Normal 9 2 3 2 2 2 3" xfId="13269" xr:uid="{00000000-0005-0000-0000-000053B20000}"/>
    <cellStyle name="Normal 9 2 3 2 2 2 3 2" xfId="28861" xr:uid="{00000000-0005-0000-0000-000054B20000}"/>
    <cellStyle name="Normal 9 2 3 2 2 2 3 3" xfId="44353" xr:uid="{00000000-0005-0000-0000-000055B20000}"/>
    <cellStyle name="Normal 9 2 3 2 2 2 4" xfId="21121" xr:uid="{00000000-0005-0000-0000-000056B20000}"/>
    <cellStyle name="Normal 9 2 3 2 2 2 5" xfId="36613" xr:uid="{00000000-0005-0000-0000-000057B20000}"/>
    <cellStyle name="Normal 9 2 3 2 2 3" xfId="7467" xr:uid="{00000000-0005-0000-0000-000058B20000}"/>
    <cellStyle name="Normal 9 2 3 2 2 3 2" xfId="15212" xr:uid="{00000000-0005-0000-0000-000059B20000}"/>
    <cellStyle name="Normal 9 2 3 2 2 3 2 2" xfId="30804" xr:uid="{00000000-0005-0000-0000-00005AB20000}"/>
    <cellStyle name="Normal 9 2 3 2 2 3 2 3" xfId="46296" xr:uid="{00000000-0005-0000-0000-00005BB20000}"/>
    <cellStyle name="Normal 9 2 3 2 2 3 3" xfId="23064" xr:uid="{00000000-0005-0000-0000-00005CB20000}"/>
    <cellStyle name="Normal 9 2 3 2 2 3 4" xfId="38556" xr:uid="{00000000-0005-0000-0000-00005DB20000}"/>
    <cellStyle name="Normal 9 2 3 2 2 4" xfId="11342" xr:uid="{00000000-0005-0000-0000-00005EB20000}"/>
    <cellStyle name="Normal 9 2 3 2 2 4 2" xfId="26934" xr:uid="{00000000-0005-0000-0000-00005FB20000}"/>
    <cellStyle name="Normal 9 2 3 2 2 4 3" xfId="42426" xr:uid="{00000000-0005-0000-0000-000060B20000}"/>
    <cellStyle name="Normal 9 2 3 2 2 5" xfId="19194" xr:uid="{00000000-0005-0000-0000-000061B20000}"/>
    <cellStyle name="Normal 9 2 3 2 2 6" xfId="34686" xr:uid="{00000000-0005-0000-0000-000062B20000}"/>
    <cellStyle name="Normal 9 2 3 2 3" xfId="4575" xr:uid="{00000000-0005-0000-0000-000063B20000}"/>
    <cellStyle name="Normal 9 2 3 2 3 2" xfId="8446" xr:uid="{00000000-0005-0000-0000-000064B20000}"/>
    <cellStyle name="Normal 9 2 3 2 3 2 2" xfId="16191" xr:uid="{00000000-0005-0000-0000-000065B20000}"/>
    <cellStyle name="Normal 9 2 3 2 3 2 2 2" xfId="31783" xr:uid="{00000000-0005-0000-0000-000066B20000}"/>
    <cellStyle name="Normal 9 2 3 2 3 2 2 3" xfId="47275" xr:uid="{00000000-0005-0000-0000-000067B20000}"/>
    <cellStyle name="Normal 9 2 3 2 3 2 3" xfId="24043" xr:uid="{00000000-0005-0000-0000-000068B20000}"/>
    <cellStyle name="Normal 9 2 3 2 3 2 4" xfId="39535" xr:uid="{00000000-0005-0000-0000-000069B20000}"/>
    <cellStyle name="Normal 9 2 3 2 3 3" xfId="12321" xr:uid="{00000000-0005-0000-0000-00006AB20000}"/>
    <cellStyle name="Normal 9 2 3 2 3 3 2" xfId="27913" xr:uid="{00000000-0005-0000-0000-00006BB20000}"/>
    <cellStyle name="Normal 9 2 3 2 3 3 3" xfId="43405" xr:uid="{00000000-0005-0000-0000-00006CB20000}"/>
    <cellStyle name="Normal 9 2 3 2 3 4" xfId="20173" xr:uid="{00000000-0005-0000-0000-00006DB20000}"/>
    <cellStyle name="Normal 9 2 3 2 3 5" xfId="35665" xr:uid="{00000000-0005-0000-0000-00006EB20000}"/>
    <cellStyle name="Normal 9 2 3 2 4" xfId="6519" xr:uid="{00000000-0005-0000-0000-00006FB20000}"/>
    <cellStyle name="Normal 9 2 3 2 4 2" xfId="14264" xr:uid="{00000000-0005-0000-0000-000070B20000}"/>
    <cellStyle name="Normal 9 2 3 2 4 2 2" xfId="29856" xr:uid="{00000000-0005-0000-0000-000071B20000}"/>
    <cellStyle name="Normal 9 2 3 2 4 2 3" xfId="45348" xr:uid="{00000000-0005-0000-0000-000072B20000}"/>
    <cellStyle name="Normal 9 2 3 2 4 3" xfId="22116" xr:uid="{00000000-0005-0000-0000-000073B20000}"/>
    <cellStyle name="Normal 9 2 3 2 4 4" xfId="37608" xr:uid="{00000000-0005-0000-0000-000074B20000}"/>
    <cellStyle name="Normal 9 2 3 2 5" xfId="10394" xr:uid="{00000000-0005-0000-0000-000075B20000}"/>
    <cellStyle name="Normal 9 2 3 2 5 2" xfId="25986" xr:uid="{00000000-0005-0000-0000-000076B20000}"/>
    <cellStyle name="Normal 9 2 3 2 5 3" xfId="41478" xr:uid="{00000000-0005-0000-0000-000077B20000}"/>
    <cellStyle name="Normal 9 2 3 2 6" xfId="18246" xr:uid="{00000000-0005-0000-0000-000078B20000}"/>
    <cellStyle name="Normal 9 2 3 2 7" xfId="33738" xr:uid="{00000000-0005-0000-0000-000079B20000}"/>
    <cellStyle name="Normal 9 2 3 3" xfId="3275" xr:uid="{00000000-0005-0000-0000-00007AB20000}"/>
    <cellStyle name="Normal 9 2 3 3 2" xfId="5214" xr:uid="{00000000-0005-0000-0000-00007BB20000}"/>
    <cellStyle name="Normal 9 2 3 3 2 2" xfId="9085" xr:uid="{00000000-0005-0000-0000-00007CB20000}"/>
    <cellStyle name="Normal 9 2 3 3 2 2 2" xfId="16830" xr:uid="{00000000-0005-0000-0000-00007DB20000}"/>
    <cellStyle name="Normal 9 2 3 3 2 2 2 2" xfId="32422" xr:uid="{00000000-0005-0000-0000-00007EB20000}"/>
    <cellStyle name="Normal 9 2 3 3 2 2 2 3" xfId="47914" xr:uid="{00000000-0005-0000-0000-00007FB20000}"/>
    <cellStyle name="Normal 9 2 3 3 2 2 3" xfId="24682" xr:uid="{00000000-0005-0000-0000-000080B20000}"/>
    <cellStyle name="Normal 9 2 3 3 2 2 4" xfId="40174" xr:uid="{00000000-0005-0000-0000-000081B20000}"/>
    <cellStyle name="Normal 9 2 3 3 2 3" xfId="12960" xr:uid="{00000000-0005-0000-0000-000082B20000}"/>
    <cellStyle name="Normal 9 2 3 3 2 3 2" xfId="28552" xr:uid="{00000000-0005-0000-0000-000083B20000}"/>
    <cellStyle name="Normal 9 2 3 3 2 3 3" xfId="44044" xr:uid="{00000000-0005-0000-0000-000084B20000}"/>
    <cellStyle name="Normal 9 2 3 3 2 4" xfId="20812" xr:uid="{00000000-0005-0000-0000-000085B20000}"/>
    <cellStyle name="Normal 9 2 3 3 2 5" xfId="36304" xr:uid="{00000000-0005-0000-0000-000086B20000}"/>
    <cellStyle name="Normal 9 2 3 3 3" xfId="7158" xr:uid="{00000000-0005-0000-0000-000087B20000}"/>
    <cellStyle name="Normal 9 2 3 3 3 2" xfId="14903" xr:uid="{00000000-0005-0000-0000-000088B20000}"/>
    <cellStyle name="Normal 9 2 3 3 3 2 2" xfId="30495" xr:uid="{00000000-0005-0000-0000-000089B20000}"/>
    <cellStyle name="Normal 9 2 3 3 3 2 3" xfId="45987" xr:uid="{00000000-0005-0000-0000-00008AB20000}"/>
    <cellStyle name="Normal 9 2 3 3 3 3" xfId="22755" xr:uid="{00000000-0005-0000-0000-00008BB20000}"/>
    <cellStyle name="Normal 9 2 3 3 3 4" xfId="38247" xr:uid="{00000000-0005-0000-0000-00008CB20000}"/>
    <cellStyle name="Normal 9 2 3 3 4" xfId="11033" xr:uid="{00000000-0005-0000-0000-00008DB20000}"/>
    <cellStyle name="Normal 9 2 3 3 4 2" xfId="26625" xr:uid="{00000000-0005-0000-0000-00008EB20000}"/>
    <cellStyle name="Normal 9 2 3 3 4 3" xfId="42117" xr:uid="{00000000-0005-0000-0000-00008FB20000}"/>
    <cellStyle name="Normal 9 2 3 3 5" xfId="18885" xr:uid="{00000000-0005-0000-0000-000090B20000}"/>
    <cellStyle name="Normal 9 2 3 3 6" xfId="34377" xr:uid="{00000000-0005-0000-0000-000091B20000}"/>
    <cellStyle name="Normal 9 2 3 4" xfId="4266" xr:uid="{00000000-0005-0000-0000-000092B20000}"/>
    <cellStyle name="Normal 9 2 3 4 2" xfId="8137" xr:uid="{00000000-0005-0000-0000-000093B20000}"/>
    <cellStyle name="Normal 9 2 3 4 2 2" xfId="15882" xr:uid="{00000000-0005-0000-0000-000094B20000}"/>
    <cellStyle name="Normal 9 2 3 4 2 2 2" xfId="31474" xr:uid="{00000000-0005-0000-0000-000095B20000}"/>
    <cellStyle name="Normal 9 2 3 4 2 2 3" xfId="46966" xr:uid="{00000000-0005-0000-0000-000096B20000}"/>
    <cellStyle name="Normal 9 2 3 4 2 3" xfId="23734" xr:uid="{00000000-0005-0000-0000-000097B20000}"/>
    <cellStyle name="Normal 9 2 3 4 2 4" xfId="39226" xr:uid="{00000000-0005-0000-0000-000098B20000}"/>
    <cellStyle name="Normal 9 2 3 4 3" xfId="12012" xr:uid="{00000000-0005-0000-0000-000099B20000}"/>
    <cellStyle name="Normal 9 2 3 4 3 2" xfId="27604" xr:uid="{00000000-0005-0000-0000-00009AB20000}"/>
    <cellStyle name="Normal 9 2 3 4 3 3" xfId="43096" xr:uid="{00000000-0005-0000-0000-00009BB20000}"/>
    <cellStyle name="Normal 9 2 3 4 4" xfId="19864" xr:uid="{00000000-0005-0000-0000-00009CB20000}"/>
    <cellStyle name="Normal 9 2 3 4 5" xfId="35356" xr:uid="{00000000-0005-0000-0000-00009DB20000}"/>
    <cellStyle name="Normal 9 2 3 5" xfId="6210" xr:uid="{00000000-0005-0000-0000-00009EB20000}"/>
    <cellStyle name="Normal 9 2 3 5 2" xfId="13955" xr:uid="{00000000-0005-0000-0000-00009FB20000}"/>
    <cellStyle name="Normal 9 2 3 5 2 2" xfId="29547" xr:uid="{00000000-0005-0000-0000-0000A0B20000}"/>
    <cellStyle name="Normal 9 2 3 5 2 3" xfId="45039" xr:uid="{00000000-0005-0000-0000-0000A1B20000}"/>
    <cellStyle name="Normal 9 2 3 5 3" xfId="21807" xr:uid="{00000000-0005-0000-0000-0000A2B20000}"/>
    <cellStyle name="Normal 9 2 3 5 4" xfId="37299" xr:uid="{00000000-0005-0000-0000-0000A3B20000}"/>
    <cellStyle name="Normal 9 2 3 6" xfId="10085" xr:uid="{00000000-0005-0000-0000-0000A4B20000}"/>
    <cellStyle name="Normal 9 2 3 6 2" xfId="25677" xr:uid="{00000000-0005-0000-0000-0000A5B20000}"/>
    <cellStyle name="Normal 9 2 3 6 3" xfId="41169" xr:uid="{00000000-0005-0000-0000-0000A6B20000}"/>
    <cellStyle name="Normal 9 2 3 7" xfId="17937" xr:uid="{00000000-0005-0000-0000-0000A7B20000}"/>
    <cellStyle name="Normal 9 2 3 8" xfId="33429" xr:uid="{00000000-0005-0000-0000-0000A8B20000}"/>
    <cellStyle name="Normal 9 2 4" xfId="2296" xr:uid="{00000000-0005-0000-0000-0000A9B20000}"/>
    <cellStyle name="Normal 9 2 4 2" xfId="2612" xr:uid="{00000000-0005-0000-0000-0000AAB20000}"/>
    <cellStyle name="Normal 9 2 4 2 2" xfId="3620" xr:uid="{00000000-0005-0000-0000-0000ABB20000}"/>
    <cellStyle name="Normal 9 2 4 2 2 2" xfId="5559" xr:uid="{00000000-0005-0000-0000-0000ACB20000}"/>
    <cellStyle name="Normal 9 2 4 2 2 2 2" xfId="9430" xr:uid="{00000000-0005-0000-0000-0000ADB20000}"/>
    <cellStyle name="Normal 9 2 4 2 2 2 2 2" xfId="17175" xr:uid="{00000000-0005-0000-0000-0000AEB20000}"/>
    <cellStyle name="Normal 9 2 4 2 2 2 2 2 2" xfId="32767" xr:uid="{00000000-0005-0000-0000-0000AFB20000}"/>
    <cellStyle name="Normal 9 2 4 2 2 2 2 2 3" xfId="48259" xr:uid="{00000000-0005-0000-0000-0000B0B20000}"/>
    <cellStyle name="Normal 9 2 4 2 2 2 2 3" xfId="25027" xr:uid="{00000000-0005-0000-0000-0000B1B20000}"/>
    <cellStyle name="Normal 9 2 4 2 2 2 2 4" xfId="40519" xr:uid="{00000000-0005-0000-0000-0000B2B20000}"/>
    <cellStyle name="Normal 9 2 4 2 2 2 3" xfId="13305" xr:uid="{00000000-0005-0000-0000-0000B3B20000}"/>
    <cellStyle name="Normal 9 2 4 2 2 2 3 2" xfId="28897" xr:uid="{00000000-0005-0000-0000-0000B4B20000}"/>
    <cellStyle name="Normal 9 2 4 2 2 2 3 3" xfId="44389" xr:uid="{00000000-0005-0000-0000-0000B5B20000}"/>
    <cellStyle name="Normal 9 2 4 2 2 2 4" xfId="21157" xr:uid="{00000000-0005-0000-0000-0000B6B20000}"/>
    <cellStyle name="Normal 9 2 4 2 2 2 5" xfId="36649" xr:uid="{00000000-0005-0000-0000-0000B7B20000}"/>
    <cellStyle name="Normal 9 2 4 2 2 3" xfId="7503" xr:uid="{00000000-0005-0000-0000-0000B8B20000}"/>
    <cellStyle name="Normal 9 2 4 2 2 3 2" xfId="15248" xr:uid="{00000000-0005-0000-0000-0000B9B20000}"/>
    <cellStyle name="Normal 9 2 4 2 2 3 2 2" xfId="30840" xr:uid="{00000000-0005-0000-0000-0000BAB20000}"/>
    <cellStyle name="Normal 9 2 4 2 2 3 2 3" xfId="46332" xr:uid="{00000000-0005-0000-0000-0000BBB20000}"/>
    <cellStyle name="Normal 9 2 4 2 2 3 3" xfId="23100" xr:uid="{00000000-0005-0000-0000-0000BCB20000}"/>
    <cellStyle name="Normal 9 2 4 2 2 3 4" xfId="38592" xr:uid="{00000000-0005-0000-0000-0000BDB20000}"/>
    <cellStyle name="Normal 9 2 4 2 2 4" xfId="11378" xr:uid="{00000000-0005-0000-0000-0000BEB20000}"/>
    <cellStyle name="Normal 9 2 4 2 2 4 2" xfId="26970" xr:uid="{00000000-0005-0000-0000-0000BFB20000}"/>
    <cellStyle name="Normal 9 2 4 2 2 4 3" xfId="42462" xr:uid="{00000000-0005-0000-0000-0000C0B20000}"/>
    <cellStyle name="Normal 9 2 4 2 2 5" xfId="19230" xr:uid="{00000000-0005-0000-0000-0000C1B20000}"/>
    <cellStyle name="Normal 9 2 4 2 2 6" xfId="34722" xr:uid="{00000000-0005-0000-0000-0000C2B20000}"/>
    <cellStyle name="Normal 9 2 4 2 3" xfId="4611" xr:uid="{00000000-0005-0000-0000-0000C3B20000}"/>
    <cellStyle name="Normal 9 2 4 2 3 2" xfId="8482" xr:uid="{00000000-0005-0000-0000-0000C4B20000}"/>
    <cellStyle name="Normal 9 2 4 2 3 2 2" xfId="16227" xr:uid="{00000000-0005-0000-0000-0000C5B20000}"/>
    <cellStyle name="Normal 9 2 4 2 3 2 2 2" xfId="31819" xr:uid="{00000000-0005-0000-0000-0000C6B20000}"/>
    <cellStyle name="Normal 9 2 4 2 3 2 2 3" xfId="47311" xr:uid="{00000000-0005-0000-0000-0000C7B20000}"/>
    <cellStyle name="Normal 9 2 4 2 3 2 3" xfId="24079" xr:uid="{00000000-0005-0000-0000-0000C8B20000}"/>
    <cellStyle name="Normal 9 2 4 2 3 2 4" xfId="39571" xr:uid="{00000000-0005-0000-0000-0000C9B20000}"/>
    <cellStyle name="Normal 9 2 4 2 3 3" xfId="12357" xr:uid="{00000000-0005-0000-0000-0000CAB20000}"/>
    <cellStyle name="Normal 9 2 4 2 3 3 2" xfId="27949" xr:uid="{00000000-0005-0000-0000-0000CBB20000}"/>
    <cellStyle name="Normal 9 2 4 2 3 3 3" xfId="43441" xr:uid="{00000000-0005-0000-0000-0000CCB20000}"/>
    <cellStyle name="Normal 9 2 4 2 3 4" xfId="20209" xr:uid="{00000000-0005-0000-0000-0000CDB20000}"/>
    <cellStyle name="Normal 9 2 4 2 3 5" xfId="35701" xr:uid="{00000000-0005-0000-0000-0000CEB20000}"/>
    <cellStyle name="Normal 9 2 4 2 4" xfId="6555" xr:uid="{00000000-0005-0000-0000-0000CFB20000}"/>
    <cellStyle name="Normal 9 2 4 2 4 2" xfId="14300" xr:uid="{00000000-0005-0000-0000-0000D0B20000}"/>
    <cellStyle name="Normal 9 2 4 2 4 2 2" xfId="29892" xr:uid="{00000000-0005-0000-0000-0000D1B20000}"/>
    <cellStyle name="Normal 9 2 4 2 4 2 3" xfId="45384" xr:uid="{00000000-0005-0000-0000-0000D2B20000}"/>
    <cellStyle name="Normal 9 2 4 2 4 3" xfId="22152" xr:uid="{00000000-0005-0000-0000-0000D3B20000}"/>
    <cellStyle name="Normal 9 2 4 2 4 4" xfId="37644" xr:uid="{00000000-0005-0000-0000-0000D4B20000}"/>
    <cellStyle name="Normal 9 2 4 2 5" xfId="10430" xr:uid="{00000000-0005-0000-0000-0000D5B20000}"/>
    <cellStyle name="Normal 9 2 4 2 5 2" xfId="26022" xr:uid="{00000000-0005-0000-0000-0000D6B20000}"/>
    <cellStyle name="Normal 9 2 4 2 5 3" xfId="41514" xr:uid="{00000000-0005-0000-0000-0000D7B20000}"/>
    <cellStyle name="Normal 9 2 4 2 6" xfId="18282" xr:uid="{00000000-0005-0000-0000-0000D8B20000}"/>
    <cellStyle name="Normal 9 2 4 2 7" xfId="33774" xr:uid="{00000000-0005-0000-0000-0000D9B20000}"/>
    <cellStyle name="Normal 9 2 4 3" xfId="3311" xr:uid="{00000000-0005-0000-0000-0000DAB20000}"/>
    <cellStyle name="Normal 9 2 4 3 2" xfId="5250" xr:uid="{00000000-0005-0000-0000-0000DBB20000}"/>
    <cellStyle name="Normal 9 2 4 3 2 2" xfId="9121" xr:uid="{00000000-0005-0000-0000-0000DCB20000}"/>
    <cellStyle name="Normal 9 2 4 3 2 2 2" xfId="16866" xr:uid="{00000000-0005-0000-0000-0000DDB20000}"/>
    <cellStyle name="Normal 9 2 4 3 2 2 2 2" xfId="32458" xr:uid="{00000000-0005-0000-0000-0000DEB20000}"/>
    <cellStyle name="Normal 9 2 4 3 2 2 2 3" xfId="47950" xr:uid="{00000000-0005-0000-0000-0000DFB20000}"/>
    <cellStyle name="Normal 9 2 4 3 2 2 3" xfId="24718" xr:uid="{00000000-0005-0000-0000-0000E0B20000}"/>
    <cellStyle name="Normal 9 2 4 3 2 2 4" xfId="40210" xr:uid="{00000000-0005-0000-0000-0000E1B20000}"/>
    <cellStyle name="Normal 9 2 4 3 2 3" xfId="12996" xr:uid="{00000000-0005-0000-0000-0000E2B20000}"/>
    <cellStyle name="Normal 9 2 4 3 2 3 2" xfId="28588" xr:uid="{00000000-0005-0000-0000-0000E3B20000}"/>
    <cellStyle name="Normal 9 2 4 3 2 3 3" xfId="44080" xr:uid="{00000000-0005-0000-0000-0000E4B20000}"/>
    <cellStyle name="Normal 9 2 4 3 2 4" xfId="20848" xr:uid="{00000000-0005-0000-0000-0000E5B20000}"/>
    <cellStyle name="Normal 9 2 4 3 2 5" xfId="36340" xr:uid="{00000000-0005-0000-0000-0000E6B20000}"/>
    <cellStyle name="Normal 9 2 4 3 3" xfId="7194" xr:uid="{00000000-0005-0000-0000-0000E7B20000}"/>
    <cellStyle name="Normal 9 2 4 3 3 2" xfId="14939" xr:uid="{00000000-0005-0000-0000-0000E8B20000}"/>
    <cellStyle name="Normal 9 2 4 3 3 2 2" xfId="30531" xr:uid="{00000000-0005-0000-0000-0000E9B20000}"/>
    <cellStyle name="Normal 9 2 4 3 3 2 3" xfId="46023" xr:uid="{00000000-0005-0000-0000-0000EAB20000}"/>
    <cellStyle name="Normal 9 2 4 3 3 3" xfId="22791" xr:uid="{00000000-0005-0000-0000-0000EBB20000}"/>
    <cellStyle name="Normal 9 2 4 3 3 4" xfId="38283" xr:uid="{00000000-0005-0000-0000-0000ECB20000}"/>
    <cellStyle name="Normal 9 2 4 3 4" xfId="11069" xr:uid="{00000000-0005-0000-0000-0000EDB20000}"/>
    <cellStyle name="Normal 9 2 4 3 4 2" xfId="26661" xr:uid="{00000000-0005-0000-0000-0000EEB20000}"/>
    <cellStyle name="Normal 9 2 4 3 4 3" xfId="42153" xr:uid="{00000000-0005-0000-0000-0000EFB20000}"/>
    <cellStyle name="Normal 9 2 4 3 5" xfId="18921" xr:uid="{00000000-0005-0000-0000-0000F0B20000}"/>
    <cellStyle name="Normal 9 2 4 3 6" xfId="34413" xr:uid="{00000000-0005-0000-0000-0000F1B20000}"/>
    <cellStyle name="Normal 9 2 4 4" xfId="4302" xr:uid="{00000000-0005-0000-0000-0000F2B20000}"/>
    <cellStyle name="Normal 9 2 4 4 2" xfId="8173" xr:uid="{00000000-0005-0000-0000-0000F3B20000}"/>
    <cellStyle name="Normal 9 2 4 4 2 2" xfId="15918" xr:uid="{00000000-0005-0000-0000-0000F4B20000}"/>
    <cellStyle name="Normal 9 2 4 4 2 2 2" xfId="31510" xr:uid="{00000000-0005-0000-0000-0000F5B20000}"/>
    <cellStyle name="Normal 9 2 4 4 2 2 3" xfId="47002" xr:uid="{00000000-0005-0000-0000-0000F6B20000}"/>
    <cellStyle name="Normal 9 2 4 4 2 3" xfId="23770" xr:uid="{00000000-0005-0000-0000-0000F7B20000}"/>
    <cellStyle name="Normal 9 2 4 4 2 4" xfId="39262" xr:uid="{00000000-0005-0000-0000-0000F8B20000}"/>
    <cellStyle name="Normal 9 2 4 4 3" xfId="12048" xr:uid="{00000000-0005-0000-0000-0000F9B20000}"/>
    <cellStyle name="Normal 9 2 4 4 3 2" xfId="27640" xr:uid="{00000000-0005-0000-0000-0000FAB20000}"/>
    <cellStyle name="Normal 9 2 4 4 3 3" xfId="43132" xr:uid="{00000000-0005-0000-0000-0000FBB20000}"/>
    <cellStyle name="Normal 9 2 4 4 4" xfId="19900" xr:uid="{00000000-0005-0000-0000-0000FCB20000}"/>
    <cellStyle name="Normal 9 2 4 4 5" xfId="35392" xr:uid="{00000000-0005-0000-0000-0000FDB20000}"/>
    <cellStyle name="Normal 9 2 4 5" xfId="6246" xr:uid="{00000000-0005-0000-0000-0000FEB20000}"/>
    <cellStyle name="Normal 9 2 4 5 2" xfId="13991" xr:uid="{00000000-0005-0000-0000-0000FFB20000}"/>
    <cellStyle name="Normal 9 2 4 5 2 2" xfId="29583" xr:uid="{00000000-0005-0000-0000-000000B30000}"/>
    <cellStyle name="Normal 9 2 4 5 2 3" xfId="45075" xr:uid="{00000000-0005-0000-0000-000001B30000}"/>
    <cellStyle name="Normal 9 2 4 5 3" xfId="21843" xr:uid="{00000000-0005-0000-0000-000002B30000}"/>
    <cellStyle name="Normal 9 2 4 5 4" xfId="37335" xr:uid="{00000000-0005-0000-0000-000003B30000}"/>
    <cellStyle name="Normal 9 2 4 6" xfId="10121" xr:uid="{00000000-0005-0000-0000-000004B30000}"/>
    <cellStyle name="Normal 9 2 4 6 2" xfId="25713" xr:uid="{00000000-0005-0000-0000-000005B30000}"/>
    <cellStyle name="Normal 9 2 4 6 3" xfId="41205" xr:uid="{00000000-0005-0000-0000-000006B30000}"/>
    <cellStyle name="Normal 9 2 4 7" xfId="17973" xr:uid="{00000000-0005-0000-0000-000007B30000}"/>
    <cellStyle name="Normal 9 2 4 8" xfId="33465" xr:uid="{00000000-0005-0000-0000-000008B30000}"/>
    <cellStyle name="Normal 9 2 5" xfId="2334" xr:uid="{00000000-0005-0000-0000-000009B30000}"/>
    <cellStyle name="Normal 9 2 5 2" xfId="2648" xr:uid="{00000000-0005-0000-0000-00000AB30000}"/>
    <cellStyle name="Normal 9 2 5 2 2" xfId="3656" xr:uid="{00000000-0005-0000-0000-00000BB30000}"/>
    <cellStyle name="Normal 9 2 5 2 2 2" xfId="5595" xr:uid="{00000000-0005-0000-0000-00000CB30000}"/>
    <cellStyle name="Normal 9 2 5 2 2 2 2" xfId="9466" xr:uid="{00000000-0005-0000-0000-00000DB30000}"/>
    <cellStyle name="Normal 9 2 5 2 2 2 2 2" xfId="17211" xr:uid="{00000000-0005-0000-0000-00000EB30000}"/>
    <cellStyle name="Normal 9 2 5 2 2 2 2 2 2" xfId="32803" xr:uid="{00000000-0005-0000-0000-00000FB30000}"/>
    <cellStyle name="Normal 9 2 5 2 2 2 2 2 3" xfId="48295" xr:uid="{00000000-0005-0000-0000-000010B30000}"/>
    <cellStyle name="Normal 9 2 5 2 2 2 2 3" xfId="25063" xr:uid="{00000000-0005-0000-0000-000011B30000}"/>
    <cellStyle name="Normal 9 2 5 2 2 2 2 4" xfId="40555" xr:uid="{00000000-0005-0000-0000-000012B30000}"/>
    <cellStyle name="Normal 9 2 5 2 2 2 3" xfId="13341" xr:uid="{00000000-0005-0000-0000-000013B30000}"/>
    <cellStyle name="Normal 9 2 5 2 2 2 3 2" xfId="28933" xr:uid="{00000000-0005-0000-0000-000014B30000}"/>
    <cellStyle name="Normal 9 2 5 2 2 2 3 3" xfId="44425" xr:uid="{00000000-0005-0000-0000-000015B30000}"/>
    <cellStyle name="Normal 9 2 5 2 2 2 4" xfId="21193" xr:uid="{00000000-0005-0000-0000-000016B30000}"/>
    <cellStyle name="Normal 9 2 5 2 2 2 5" xfId="36685" xr:uid="{00000000-0005-0000-0000-000017B30000}"/>
    <cellStyle name="Normal 9 2 5 2 2 3" xfId="7539" xr:uid="{00000000-0005-0000-0000-000018B30000}"/>
    <cellStyle name="Normal 9 2 5 2 2 3 2" xfId="15284" xr:uid="{00000000-0005-0000-0000-000019B30000}"/>
    <cellStyle name="Normal 9 2 5 2 2 3 2 2" xfId="30876" xr:uid="{00000000-0005-0000-0000-00001AB30000}"/>
    <cellStyle name="Normal 9 2 5 2 2 3 2 3" xfId="46368" xr:uid="{00000000-0005-0000-0000-00001BB30000}"/>
    <cellStyle name="Normal 9 2 5 2 2 3 3" xfId="23136" xr:uid="{00000000-0005-0000-0000-00001CB30000}"/>
    <cellStyle name="Normal 9 2 5 2 2 3 4" xfId="38628" xr:uid="{00000000-0005-0000-0000-00001DB30000}"/>
    <cellStyle name="Normal 9 2 5 2 2 4" xfId="11414" xr:uid="{00000000-0005-0000-0000-00001EB30000}"/>
    <cellStyle name="Normal 9 2 5 2 2 4 2" xfId="27006" xr:uid="{00000000-0005-0000-0000-00001FB30000}"/>
    <cellStyle name="Normal 9 2 5 2 2 4 3" xfId="42498" xr:uid="{00000000-0005-0000-0000-000020B30000}"/>
    <cellStyle name="Normal 9 2 5 2 2 5" xfId="19266" xr:uid="{00000000-0005-0000-0000-000021B30000}"/>
    <cellStyle name="Normal 9 2 5 2 2 6" xfId="34758" xr:uid="{00000000-0005-0000-0000-000022B30000}"/>
    <cellStyle name="Normal 9 2 5 2 3" xfId="4647" xr:uid="{00000000-0005-0000-0000-000023B30000}"/>
    <cellStyle name="Normal 9 2 5 2 3 2" xfId="8518" xr:uid="{00000000-0005-0000-0000-000024B30000}"/>
    <cellStyle name="Normal 9 2 5 2 3 2 2" xfId="16263" xr:uid="{00000000-0005-0000-0000-000025B30000}"/>
    <cellStyle name="Normal 9 2 5 2 3 2 2 2" xfId="31855" xr:uid="{00000000-0005-0000-0000-000026B30000}"/>
    <cellStyle name="Normal 9 2 5 2 3 2 2 3" xfId="47347" xr:uid="{00000000-0005-0000-0000-000027B30000}"/>
    <cellStyle name="Normal 9 2 5 2 3 2 3" xfId="24115" xr:uid="{00000000-0005-0000-0000-000028B30000}"/>
    <cellStyle name="Normal 9 2 5 2 3 2 4" xfId="39607" xr:uid="{00000000-0005-0000-0000-000029B30000}"/>
    <cellStyle name="Normal 9 2 5 2 3 3" xfId="12393" xr:uid="{00000000-0005-0000-0000-00002AB30000}"/>
    <cellStyle name="Normal 9 2 5 2 3 3 2" xfId="27985" xr:uid="{00000000-0005-0000-0000-00002BB30000}"/>
    <cellStyle name="Normal 9 2 5 2 3 3 3" xfId="43477" xr:uid="{00000000-0005-0000-0000-00002CB30000}"/>
    <cellStyle name="Normal 9 2 5 2 3 4" xfId="20245" xr:uid="{00000000-0005-0000-0000-00002DB30000}"/>
    <cellStyle name="Normal 9 2 5 2 3 5" xfId="35737" xr:uid="{00000000-0005-0000-0000-00002EB30000}"/>
    <cellStyle name="Normal 9 2 5 2 4" xfId="6591" xr:uid="{00000000-0005-0000-0000-00002FB30000}"/>
    <cellStyle name="Normal 9 2 5 2 4 2" xfId="14336" xr:uid="{00000000-0005-0000-0000-000030B30000}"/>
    <cellStyle name="Normal 9 2 5 2 4 2 2" xfId="29928" xr:uid="{00000000-0005-0000-0000-000031B30000}"/>
    <cellStyle name="Normal 9 2 5 2 4 2 3" xfId="45420" xr:uid="{00000000-0005-0000-0000-000032B30000}"/>
    <cellStyle name="Normal 9 2 5 2 4 3" xfId="22188" xr:uid="{00000000-0005-0000-0000-000033B30000}"/>
    <cellStyle name="Normal 9 2 5 2 4 4" xfId="37680" xr:uid="{00000000-0005-0000-0000-000034B30000}"/>
    <cellStyle name="Normal 9 2 5 2 5" xfId="10466" xr:uid="{00000000-0005-0000-0000-000035B30000}"/>
    <cellStyle name="Normal 9 2 5 2 5 2" xfId="26058" xr:uid="{00000000-0005-0000-0000-000036B30000}"/>
    <cellStyle name="Normal 9 2 5 2 5 3" xfId="41550" xr:uid="{00000000-0005-0000-0000-000037B30000}"/>
    <cellStyle name="Normal 9 2 5 2 6" xfId="18318" xr:uid="{00000000-0005-0000-0000-000038B30000}"/>
    <cellStyle name="Normal 9 2 5 2 7" xfId="33810" xr:uid="{00000000-0005-0000-0000-000039B30000}"/>
    <cellStyle name="Normal 9 2 5 3" xfId="3347" xr:uid="{00000000-0005-0000-0000-00003AB30000}"/>
    <cellStyle name="Normal 9 2 5 3 2" xfId="5286" xr:uid="{00000000-0005-0000-0000-00003BB30000}"/>
    <cellStyle name="Normal 9 2 5 3 2 2" xfId="9157" xr:uid="{00000000-0005-0000-0000-00003CB30000}"/>
    <cellStyle name="Normal 9 2 5 3 2 2 2" xfId="16902" xr:uid="{00000000-0005-0000-0000-00003DB30000}"/>
    <cellStyle name="Normal 9 2 5 3 2 2 2 2" xfId="32494" xr:uid="{00000000-0005-0000-0000-00003EB30000}"/>
    <cellStyle name="Normal 9 2 5 3 2 2 2 3" xfId="47986" xr:uid="{00000000-0005-0000-0000-00003FB30000}"/>
    <cellStyle name="Normal 9 2 5 3 2 2 3" xfId="24754" xr:uid="{00000000-0005-0000-0000-000040B30000}"/>
    <cellStyle name="Normal 9 2 5 3 2 2 4" xfId="40246" xr:uid="{00000000-0005-0000-0000-000041B30000}"/>
    <cellStyle name="Normal 9 2 5 3 2 3" xfId="13032" xr:uid="{00000000-0005-0000-0000-000042B30000}"/>
    <cellStyle name="Normal 9 2 5 3 2 3 2" xfId="28624" xr:uid="{00000000-0005-0000-0000-000043B30000}"/>
    <cellStyle name="Normal 9 2 5 3 2 3 3" xfId="44116" xr:uid="{00000000-0005-0000-0000-000044B30000}"/>
    <cellStyle name="Normal 9 2 5 3 2 4" xfId="20884" xr:uid="{00000000-0005-0000-0000-000045B30000}"/>
    <cellStyle name="Normal 9 2 5 3 2 5" xfId="36376" xr:uid="{00000000-0005-0000-0000-000046B30000}"/>
    <cellStyle name="Normal 9 2 5 3 3" xfId="7230" xr:uid="{00000000-0005-0000-0000-000047B30000}"/>
    <cellStyle name="Normal 9 2 5 3 3 2" xfId="14975" xr:uid="{00000000-0005-0000-0000-000048B30000}"/>
    <cellStyle name="Normal 9 2 5 3 3 2 2" xfId="30567" xr:uid="{00000000-0005-0000-0000-000049B30000}"/>
    <cellStyle name="Normal 9 2 5 3 3 2 3" xfId="46059" xr:uid="{00000000-0005-0000-0000-00004AB30000}"/>
    <cellStyle name="Normal 9 2 5 3 3 3" xfId="22827" xr:uid="{00000000-0005-0000-0000-00004BB30000}"/>
    <cellStyle name="Normal 9 2 5 3 3 4" xfId="38319" xr:uid="{00000000-0005-0000-0000-00004CB30000}"/>
    <cellStyle name="Normal 9 2 5 3 4" xfId="11105" xr:uid="{00000000-0005-0000-0000-00004DB30000}"/>
    <cellStyle name="Normal 9 2 5 3 4 2" xfId="26697" xr:uid="{00000000-0005-0000-0000-00004EB30000}"/>
    <cellStyle name="Normal 9 2 5 3 4 3" xfId="42189" xr:uid="{00000000-0005-0000-0000-00004FB30000}"/>
    <cellStyle name="Normal 9 2 5 3 5" xfId="18957" xr:uid="{00000000-0005-0000-0000-000050B30000}"/>
    <cellStyle name="Normal 9 2 5 3 6" xfId="34449" xr:uid="{00000000-0005-0000-0000-000051B30000}"/>
    <cellStyle name="Normal 9 2 5 4" xfId="4338" xr:uid="{00000000-0005-0000-0000-000052B30000}"/>
    <cellStyle name="Normal 9 2 5 4 2" xfId="8209" xr:uid="{00000000-0005-0000-0000-000053B30000}"/>
    <cellStyle name="Normal 9 2 5 4 2 2" xfId="15954" xr:uid="{00000000-0005-0000-0000-000054B30000}"/>
    <cellStyle name="Normal 9 2 5 4 2 2 2" xfId="31546" xr:uid="{00000000-0005-0000-0000-000055B30000}"/>
    <cellStyle name="Normal 9 2 5 4 2 2 3" xfId="47038" xr:uid="{00000000-0005-0000-0000-000056B30000}"/>
    <cellStyle name="Normal 9 2 5 4 2 3" xfId="23806" xr:uid="{00000000-0005-0000-0000-000057B30000}"/>
    <cellStyle name="Normal 9 2 5 4 2 4" xfId="39298" xr:uid="{00000000-0005-0000-0000-000058B30000}"/>
    <cellStyle name="Normal 9 2 5 4 3" xfId="12084" xr:uid="{00000000-0005-0000-0000-000059B30000}"/>
    <cellStyle name="Normal 9 2 5 4 3 2" xfId="27676" xr:uid="{00000000-0005-0000-0000-00005AB30000}"/>
    <cellStyle name="Normal 9 2 5 4 3 3" xfId="43168" xr:uid="{00000000-0005-0000-0000-00005BB30000}"/>
    <cellStyle name="Normal 9 2 5 4 4" xfId="19936" xr:uid="{00000000-0005-0000-0000-00005CB30000}"/>
    <cellStyle name="Normal 9 2 5 4 5" xfId="35428" xr:uid="{00000000-0005-0000-0000-00005DB30000}"/>
    <cellStyle name="Normal 9 2 5 5" xfId="6282" xr:uid="{00000000-0005-0000-0000-00005EB30000}"/>
    <cellStyle name="Normal 9 2 5 5 2" xfId="14027" xr:uid="{00000000-0005-0000-0000-00005FB30000}"/>
    <cellStyle name="Normal 9 2 5 5 2 2" xfId="29619" xr:uid="{00000000-0005-0000-0000-000060B30000}"/>
    <cellStyle name="Normal 9 2 5 5 2 3" xfId="45111" xr:uid="{00000000-0005-0000-0000-000061B30000}"/>
    <cellStyle name="Normal 9 2 5 5 3" xfId="21879" xr:uid="{00000000-0005-0000-0000-000062B30000}"/>
    <cellStyle name="Normal 9 2 5 5 4" xfId="37371" xr:uid="{00000000-0005-0000-0000-000063B30000}"/>
    <cellStyle name="Normal 9 2 5 6" xfId="10157" xr:uid="{00000000-0005-0000-0000-000064B30000}"/>
    <cellStyle name="Normal 9 2 5 6 2" xfId="25749" xr:uid="{00000000-0005-0000-0000-000065B30000}"/>
    <cellStyle name="Normal 9 2 5 6 3" xfId="41241" xr:uid="{00000000-0005-0000-0000-000066B30000}"/>
    <cellStyle name="Normal 9 2 5 7" xfId="18009" xr:uid="{00000000-0005-0000-0000-000067B30000}"/>
    <cellStyle name="Normal 9 2 5 8" xfId="33501" xr:uid="{00000000-0005-0000-0000-000068B30000}"/>
    <cellStyle name="Normal 9 2 6" xfId="2371" xr:uid="{00000000-0005-0000-0000-000069B30000}"/>
    <cellStyle name="Normal 9 2 6 2" xfId="2684" xr:uid="{00000000-0005-0000-0000-00006AB30000}"/>
    <cellStyle name="Normal 9 2 6 2 2" xfId="3692" xr:uid="{00000000-0005-0000-0000-00006BB30000}"/>
    <cellStyle name="Normal 9 2 6 2 2 2" xfId="5631" xr:uid="{00000000-0005-0000-0000-00006CB30000}"/>
    <cellStyle name="Normal 9 2 6 2 2 2 2" xfId="9502" xr:uid="{00000000-0005-0000-0000-00006DB30000}"/>
    <cellStyle name="Normal 9 2 6 2 2 2 2 2" xfId="17247" xr:uid="{00000000-0005-0000-0000-00006EB30000}"/>
    <cellStyle name="Normal 9 2 6 2 2 2 2 2 2" xfId="32839" xr:uid="{00000000-0005-0000-0000-00006FB30000}"/>
    <cellStyle name="Normal 9 2 6 2 2 2 2 2 3" xfId="48331" xr:uid="{00000000-0005-0000-0000-000070B30000}"/>
    <cellStyle name="Normal 9 2 6 2 2 2 2 3" xfId="25099" xr:uid="{00000000-0005-0000-0000-000071B30000}"/>
    <cellStyle name="Normal 9 2 6 2 2 2 2 4" xfId="40591" xr:uid="{00000000-0005-0000-0000-000072B30000}"/>
    <cellStyle name="Normal 9 2 6 2 2 2 3" xfId="13377" xr:uid="{00000000-0005-0000-0000-000073B30000}"/>
    <cellStyle name="Normal 9 2 6 2 2 2 3 2" xfId="28969" xr:uid="{00000000-0005-0000-0000-000074B30000}"/>
    <cellStyle name="Normal 9 2 6 2 2 2 3 3" xfId="44461" xr:uid="{00000000-0005-0000-0000-000075B30000}"/>
    <cellStyle name="Normal 9 2 6 2 2 2 4" xfId="21229" xr:uid="{00000000-0005-0000-0000-000076B30000}"/>
    <cellStyle name="Normal 9 2 6 2 2 2 5" xfId="36721" xr:uid="{00000000-0005-0000-0000-000077B30000}"/>
    <cellStyle name="Normal 9 2 6 2 2 3" xfId="7575" xr:uid="{00000000-0005-0000-0000-000078B30000}"/>
    <cellStyle name="Normal 9 2 6 2 2 3 2" xfId="15320" xr:uid="{00000000-0005-0000-0000-000079B30000}"/>
    <cellStyle name="Normal 9 2 6 2 2 3 2 2" xfId="30912" xr:uid="{00000000-0005-0000-0000-00007AB30000}"/>
    <cellStyle name="Normal 9 2 6 2 2 3 2 3" xfId="46404" xr:uid="{00000000-0005-0000-0000-00007BB30000}"/>
    <cellStyle name="Normal 9 2 6 2 2 3 3" xfId="23172" xr:uid="{00000000-0005-0000-0000-00007CB30000}"/>
    <cellStyle name="Normal 9 2 6 2 2 3 4" xfId="38664" xr:uid="{00000000-0005-0000-0000-00007DB30000}"/>
    <cellStyle name="Normal 9 2 6 2 2 4" xfId="11450" xr:uid="{00000000-0005-0000-0000-00007EB30000}"/>
    <cellStyle name="Normal 9 2 6 2 2 4 2" xfId="27042" xr:uid="{00000000-0005-0000-0000-00007FB30000}"/>
    <cellStyle name="Normal 9 2 6 2 2 4 3" xfId="42534" xr:uid="{00000000-0005-0000-0000-000080B30000}"/>
    <cellStyle name="Normal 9 2 6 2 2 5" xfId="19302" xr:uid="{00000000-0005-0000-0000-000081B30000}"/>
    <cellStyle name="Normal 9 2 6 2 2 6" xfId="34794" xr:uid="{00000000-0005-0000-0000-000082B30000}"/>
    <cellStyle name="Normal 9 2 6 2 3" xfId="4683" xr:uid="{00000000-0005-0000-0000-000083B30000}"/>
    <cellStyle name="Normal 9 2 6 2 3 2" xfId="8554" xr:uid="{00000000-0005-0000-0000-000084B30000}"/>
    <cellStyle name="Normal 9 2 6 2 3 2 2" xfId="16299" xr:uid="{00000000-0005-0000-0000-000085B30000}"/>
    <cellStyle name="Normal 9 2 6 2 3 2 2 2" xfId="31891" xr:uid="{00000000-0005-0000-0000-000086B30000}"/>
    <cellStyle name="Normal 9 2 6 2 3 2 2 3" xfId="47383" xr:uid="{00000000-0005-0000-0000-000087B30000}"/>
    <cellStyle name="Normal 9 2 6 2 3 2 3" xfId="24151" xr:uid="{00000000-0005-0000-0000-000088B30000}"/>
    <cellStyle name="Normal 9 2 6 2 3 2 4" xfId="39643" xr:uid="{00000000-0005-0000-0000-000089B30000}"/>
    <cellStyle name="Normal 9 2 6 2 3 3" xfId="12429" xr:uid="{00000000-0005-0000-0000-00008AB30000}"/>
    <cellStyle name="Normal 9 2 6 2 3 3 2" xfId="28021" xr:uid="{00000000-0005-0000-0000-00008BB30000}"/>
    <cellStyle name="Normal 9 2 6 2 3 3 3" xfId="43513" xr:uid="{00000000-0005-0000-0000-00008CB30000}"/>
    <cellStyle name="Normal 9 2 6 2 3 4" xfId="20281" xr:uid="{00000000-0005-0000-0000-00008DB30000}"/>
    <cellStyle name="Normal 9 2 6 2 3 5" xfId="35773" xr:uid="{00000000-0005-0000-0000-00008EB30000}"/>
    <cellStyle name="Normal 9 2 6 2 4" xfId="6627" xr:uid="{00000000-0005-0000-0000-00008FB30000}"/>
    <cellStyle name="Normal 9 2 6 2 4 2" xfId="14372" xr:uid="{00000000-0005-0000-0000-000090B30000}"/>
    <cellStyle name="Normal 9 2 6 2 4 2 2" xfId="29964" xr:uid="{00000000-0005-0000-0000-000091B30000}"/>
    <cellStyle name="Normal 9 2 6 2 4 2 3" xfId="45456" xr:uid="{00000000-0005-0000-0000-000092B30000}"/>
    <cellStyle name="Normal 9 2 6 2 4 3" xfId="22224" xr:uid="{00000000-0005-0000-0000-000093B30000}"/>
    <cellStyle name="Normal 9 2 6 2 4 4" xfId="37716" xr:uid="{00000000-0005-0000-0000-000094B30000}"/>
    <cellStyle name="Normal 9 2 6 2 5" xfId="10502" xr:uid="{00000000-0005-0000-0000-000095B30000}"/>
    <cellStyle name="Normal 9 2 6 2 5 2" xfId="26094" xr:uid="{00000000-0005-0000-0000-000096B30000}"/>
    <cellStyle name="Normal 9 2 6 2 5 3" xfId="41586" xr:uid="{00000000-0005-0000-0000-000097B30000}"/>
    <cellStyle name="Normal 9 2 6 2 6" xfId="18354" xr:uid="{00000000-0005-0000-0000-000098B30000}"/>
    <cellStyle name="Normal 9 2 6 2 7" xfId="33846" xr:uid="{00000000-0005-0000-0000-000099B30000}"/>
    <cellStyle name="Normal 9 2 6 3" xfId="3383" xr:uid="{00000000-0005-0000-0000-00009AB30000}"/>
    <cellStyle name="Normal 9 2 6 3 2" xfId="5322" xr:uid="{00000000-0005-0000-0000-00009BB30000}"/>
    <cellStyle name="Normal 9 2 6 3 2 2" xfId="9193" xr:uid="{00000000-0005-0000-0000-00009CB30000}"/>
    <cellStyle name="Normal 9 2 6 3 2 2 2" xfId="16938" xr:uid="{00000000-0005-0000-0000-00009DB30000}"/>
    <cellStyle name="Normal 9 2 6 3 2 2 2 2" xfId="32530" xr:uid="{00000000-0005-0000-0000-00009EB30000}"/>
    <cellStyle name="Normal 9 2 6 3 2 2 2 3" xfId="48022" xr:uid="{00000000-0005-0000-0000-00009FB30000}"/>
    <cellStyle name="Normal 9 2 6 3 2 2 3" xfId="24790" xr:uid="{00000000-0005-0000-0000-0000A0B30000}"/>
    <cellStyle name="Normal 9 2 6 3 2 2 4" xfId="40282" xr:uid="{00000000-0005-0000-0000-0000A1B30000}"/>
    <cellStyle name="Normal 9 2 6 3 2 3" xfId="13068" xr:uid="{00000000-0005-0000-0000-0000A2B30000}"/>
    <cellStyle name="Normal 9 2 6 3 2 3 2" xfId="28660" xr:uid="{00000000-0005-0000-0000-0000A3B30000}"/>
    <cellStyle name="Normal 9 2 6 3 2 3 3" xfId="44152" xr:uid="{00000000-0005-0000-0000-0000A4B30000}"/>
    <cellStyle name="Normal 9 2 6 3 2 4" xfId="20920" xr:uid="{00000000-0005-0000-0000-0000A5B30000}"/>
    <cellStyle name="Normal 9 2 6 3 2 5" xfId="36412" xr:uid="{00000000-0005-0000-0000-0000A6B30000}"/>
    <cellStyle name="Normal 9 2 6 3 3" xfId="7266" xr:uid="{00000000-0005-0000-0000-0000A7B30000}"/>
    <cellStyle name="Normal 9 2 6 3 3 2" xfId="15011" xr:uid="{00000000-0005-0000-0000-0000A8B30000}"/>
    <cellStyle name="Normal 9 2 6 3 3 2 2" xfId="30603" xr:uid="{00000000-0005-0000-0000-0000A9B30000}"/>
    <cellStyle name="Normal 9 2 6 3 3 2 3" xfId="46095" xr:uid="{00000000-0005-0000-0000-0000AAB30000}"/>
    <cellStyle name="Normal 9 2 6 3 3 3" xfId="22863" xr:uid="{00000000-0005-0000-0000-0000ABB30000}"/>
    <cellStyle name="Normal 9 2 6 3 3 4" xfId="38355" xr:uid="{00000000-0005-0000-0000-0000ACB30000}"/>
    <cellStyle name="Normal 9 2 6 3 4" xfId="11141" xr:uid="{00000000-0005-0000-0000-0000ADB30000}"/>
    <cellStyle name="Normal 9 2 6 3 4 2" xfId="26733" xr:uid="{00000000-0005-0000-0000-0000AEB30000}"/>
    <cellStyle name="Normal 9 2 6 3 4 3" xfId="42225" xr:uid="{00000000-0005-0000-0000-0000AFB30000}"/>
    <cellStyle name="Normal 9 2 6 3 5" xfId="18993" xr:uid="{00000000-0005-0000-0000-0000B0B30000}"/>
    <cellStyle name="Normal 9 2 6 3 6" xfId="34485" xr:uid="{00000000-0005-0000-0000-0000B1B30000}"/>
    <cellStyle name="Normal 9 2 6 4" xfId="4374" xr:uid="{00000000-0005-0000-0000-0000B2B30000}"/>
    <cellStyle name="Normal 9 2 6 4 2" xfId="8245" xr:uid="{00000000-0005-0000-0000-0000B3B30000}"/>
    <cellStyle name="Normal 9 2 6 4 2 2" xfId="15990" xr:uid="{00000000-0005-0000-0000-0000B4B30000}"/>
    <cellStyle name="Normal 9 2 6 4 2 2 2" xfId="31582" xr:uid="{00000000-0005-0000-0000-0000B5B30000}"/>
    <cellStyle name="Normal 9 2 6 4 2 2 3" xfId="47074" xr:uid="{00000000-0005-0000-0000-0000B6B30000}"/>
    <cellStyle name="Normal 9 2 6 4 2 3" xfId="23842" xr:uid="{00000000-0005-0000-0000-0000B7B30000}"/>
    <cellStyle name="Normal 9 2 6 4 2 4" xfId="39334" xr:uid="{00000000-0005-0000-0000-0000B8B30000}"/>
    <cellStyle name="Normal 9 2 6 4 3" xfId="12120" xr:uid="{00000000-0005-0000-0000-0000B9B30000}"/>
    <cellStyle name="Normal 9 2 6 4 3 2" xfId="27712" xr:uid="{00000000-0005-0000-0000-0000BAB30000}"/>
    <cellStyle name="Normal 9 2 6 4 3 3" xfId="43204" xr:uid="{00000000-0005-0000-0000-0000BBB30000}"/>
    <cellStyle name="Normal 9 2 6 4 4" xfId="19972" xr:uid="{00000000-0005-0000-0000-0000BCB30000}"/>
    <cellStyle name="Normal 9 2 6 4 5" xfId="35464" xr:uid="{00000000-0005-0000-0000-0000BDB30000}"/>
    <cellStyle name="Normal 9 2 6 5" xfId="6318" xr:uid="{00000000-0005-0000-0000-0000BEB30000}"/>
    <cellStyle name="Normal 9 2 6 5 2" xfId="14063" xr:uid="{00000000-0005-0000-0000-0000BFB30000}"/>
    <cellStyle name="Normal 9 2 6 5 2 2" xfId="29655" xr:uid="{00000000-0005-0000-0000-0000C0B30000}"/>
    <cellStyle name="Normal 9 2 6 5 2 3" xfId="45147" xr:uid="{00000000-0005-0000-0000-0000C1B30000}"/>
    <cellStyle name="Normal 9 2 6 5 3" xfId="21915" xr:uid="{00000000-0005-0000-0000-0000C2B30000}"/>
    <cellStyle name="Normal 9 2 6 5 4" xfId="37407" xr:uid="{00000000-0005-0000-0000-0000C3B30000}"/>
    <cellStyle name="Normal 9 2 6 6" xfId="10193" xr:uid="{00000000-0005-0000-0000-0000C4B30000}"/>
    <cellStyle name="Normal 9 2 6 6 2" xfId="25785" xr:uid="{00000000-0005-0000-0000-0000C5B30000}"/>
    <cellStyle name="Normal 9 2 6 6 3" xfId="41277" xr:uid="{00000000-0005-0000-0000-0000C6B30000}"/>
    <cellStyle name="Normal 9 2 6 7" xfId="18045" xr:uid="{00000000-0005-0000-0000-0000C7B30000}"/>
    <cellStyle name="Normal 9 2 6 8" xfId="33537" xr:uid="{00000000-0005-0000-0000-0000C8B30000}"/>
    <cellStyle name="Normal 9 2 7" xfId="2409" xr:uid="{00000000-0005-0000-0000-0000C9B30000}"/>
    <cellStyle name="Normal 9 2 7 2" xfId="2720" xr:uid="{00000000-0005-0000-0000-0000CAB30000}"/>
    <cellStyle name="Normal 9 2 7 2 2" xfId="3728" xr:uid="{00000000-0005-0000-0000-0000CBB30000}"/>
    <cellStyle name="Normal 9 2 7 2 2 2" xfId="5667" xr:uid="{00000000-0005-0000-0000-0000CCB30000}"/>
    <cellStyle name="Normal 9 2 7 2 2 2 2" xfId="9538" xr:uid="{00000000-0005-0000-0000-0000CDB30000}"/>
    <cellStyle name="Normal 9 2 7 2 2 2 2 2" xfId="17283" xr:uid="{00000000-0005-0000-0000-0000CEB30000}"/>
    <cellStyle name="Normal 9 2 7 2 2 2 2 2 2" xfId="32875" xr:uid="{00000000-0005-0000-0000-0000CFB30000}"/>
    <cellStyle name="Normal 9 2 7 2 2 2 2 2 3" xfId="48367" xr:uid="{00000000-0005-0000-0000-0000D0B30000}"/>
    <cellStyle name="Normal 9 2 7 2 2 2 2 3" xfId="25135" xr:uid="{00000000-0005-0000-0000-0000D1B30000}"/>
    <cellStyle name="Normal 9 2 7 2 2 2 2 4" xfId="40627" xr:uid="{00000000-0005-0000-0000-0000D2B30000}"/>
    <cellStyle name="Normal 9 2 7 2 2 2 3" xfId="13413" xr:uid="{00000000-0005-0000-0000-0000D3B30000}"/>
    <cellStyle name="Normal 9 2 7 2 2 2 3 2" xfId="29005" xr:uid="{00000000-0005-0000-0000-0000D4B30000}"/>
    <cellStyle name="Normal 9 2 7 2 2 2 3 3" xfId="44497" xr:uid="{00000000-0005-0000-0000-0000D5B30000}"/>
    <cellStyle name="Normal 9 2 7 2 2 2 4" xfId="21265" xr:uid="{00000000-0005-0000-0000-0000D6B30000}"/>
    <cellStyle name="Normal 9 2 7 2 2 2 5" xfId="36757" xr:uid="{00000000-0005-0000-0000-0000D7B30000}"/>
    <cellStyle name="Normal 9 2 7 2 2 3" xfId="7611" xr:uid="{00000000-0005-0000-0000-0000D8B30000}"/>
    <cellStyle name="Normal 9 2 7 2 2 3 2" xfId="15356" xr:uid="{00000000-0005-0000-0000-0000D9B30000}"/>
    <cellStyle name="Normal 9 2 7 2 2 3 2 2" xfId="30948" xr:uid="{00000000-0005-0000-0000-0000DAB30000}"/>
    <cellStyle name="Normal 9 2 7 2 2 3 2 3" xfId="46440" xr:uid="{00000000-0005-0000-0000-0000DBB30000}"/>
    <cellStyle name="Normal 9 2 7 2 2 3 3" xfId="23208" xr:uid="{00000000-0005-0000-0000-0000DCB30000}"/>
    <cellStyle name="Normal 9 2 7 2 2 3 4" xfId="38700" xr:uid="{00000000-0005-0000-0000-0000DDB30000}"/>
    <cellStyle name="Normal 9 2 7 2 2 4" xfId="11486" xr:uid="{00000000-0005-0000-0000-0000DEB30000}"/>
    <cellStyle name="Normal 9 2 7 2 2 4 2" xfId="27078" xr:uid="{00000000-0005-0000-0000-0000DFB30000}"/>
    <cellStyle name="Normal 9 2 7 2 2 4 3" xfId="42570" xr:uid="{00000000-0005-0000-0000-0000E0B30000}"/>
    <cellStyle name="Normal 9 2 7 2 2 5" xfId="19338" xr:uid="{00000000-0005-0000-0000-0000E1B30000}"/>
    <cellStyle name="Normal 9 2 7 2 2 6" xfId="34830" xr:uid="{00000000-0005-0000-0000-0000E2B30000}"/>
    <cellStyle name="Normal 9 2 7 2 3" xfId="4719" xr:uid="{00000000-0005-0000-0000-0000E3B30000}"/>
    <cellStyle name="Normal 9 2 7 2 3 2" xfId="8590" xr:uid="{00000000-0005-0000-0000-0000E4B30000}"/>
    <cellStyle name="Normal 9 2 7 2 3 2 2" xfId="16335" xr:uid="{00000000-0005-0000-0000-0000E5B30000}"/>
    <cellStyle name="Normal 9 2 7 2 3 2 2 2" xfId="31927" xr:uid="{00000000-0005-0000-0000-0000E6B30000}"/>
    <cellStyle name="Normal 9 2 7 2 3 2 2 3" xfId="47419" xr:uid="{00000000-0005-0000-0000-0000E7B30000}"/>
    <cellStyle name="Normal 9 2 7 2 3 2 3" xfId="24187" xr:uid="{00000000-0005-0000-0000-0000E8B30000}"/>
    <cellStyle name="Normal 9 2 7 2 3 2 4" xfId="39679" xr:uid="{00000000-0005-0000-0000-0000E9B30000}"/>
    <cellStyle name="Normal 9 2 7 2 3 3" xfId="12465" xr:uid="{00000000-0005-0000-0000-0000EAB30000}"/>
    <cellStyle name="Normal 9 2 7 2 3 3 2" xfId="28057" xr:uid="{00000000-0005-0000-0000-0000EBB30000}"/>
    <cellStyle name="Normal 9 2 7 2 3 3 3" xfId="43549" xr:uid="{00000000-0005-0000-0000-0000ECB30000}"/>
    <cellStyle name="Normal 9 2 7 2 3 4" xfId="20317" xr:uid="{00000000-0005-0000-0000-0000EDB30000}"/>
    <cellStyle name="Normal 9 2 7 2 3 5" xfId="35809" xr:uid="{00000000-0005-0000-0000-0000EEB30000}"/>
    <cellStyle name="Normal 9 2 7 2 4" xfId="6663" xr:uid="{00000000-0005-0000-0000-0000EFB30000}"/>
    <cellStyle name="Normal 9 2 7 2 4 2" xfId="14408" xr:uid="{00000000-0005-0000-0000-0000F0B30000}"/>
    <cellStyle name="Normal 9 2 7 2 4 2 2" xfId="30000" xr:uid="{00000000-0005-0000-0000-0000F1B30000}"/>
    <cellStyle name="Normal 9 2 7 2 4 2 3" xfId="45492" xr:uid="{00000000-0005-0000-0000-0000F2B30000}"/>
    <cellStyle name="Normal 9 2 7 2 4 3" xfId="22260" xr:uid="{00000000-0005-0000-0000-0000F3B30000}"/>
    <cellStyle name="Normal 9 2 7 2 4 4" xfId="37752" xr:uid="{00000000-0005-0000-0000-0000F4B30000}"/>
    <cellStyle name="Normal 9 2 7 2 5" xfId="10538" xr:uid="{00000000-0005-0000-0000-0000F5B30000}"/>
    <cellStyle name="Normal 9 2 7 2 5 2" xfId="26130" xr:uid="{00000000-0005-0000-0000-0000F6B30000}"/>
    <cellStyle name="Normal 9 2 7 2 5 3" xfId="41622" xr:uid="{00000000-0005-0000-0000-0000F7B30000}"/>
    <cellStyle name="Normal 9 2 7 2 6" xfId="18390" xr:uid="{00000000-0005-0000-0000-0000F8B30000}"/>
    <cellStyle name="Normal 9 2 7 2 7" xfId="33882" xr:uid="{00000000-0005-0000-0000-0000F9B30000}"/>
    <cellStyle name="Normal 9 2 7 3" xfId="3419" xr:uid="{00000000-0005-0000-0000-0000FAB30000}"/>
    <cellStyle name="Normal 9 2 7 3 2" xfId="5358" xr:uid="{00000000-0005-0000-0000-0000FBB30000}"/>
    <cellStyle name="Normal 9 2 7 3 2 2" xfId="9229" xr:uid="{00000000-0005-0000-0000-0000FCB30000}"/>
    <cellStyle name="Normal 9 2 7 3 2 2 2" xfId="16974" xr:uid="{00000000-0005-0000-0000-0000FDB30000}"/>
    <cellStyle name="Normal 9 2 7 3 2 2 2 2" xfId="32566" xr:uid="{00000000-0005-0000-0000-0000FEB30000}"/>
    <cellStyle name="Normal 9 2 7 3 2 2 2 3" xfId="48058" xr:uid="{00000000-0005-0000-0000-0000FFB30000}"/>
    <cellStyle name="Normal 9 2 7 3 2 2 3" xfId="24826" xr:uid="{00000000-0005-0000-0000-000000B40000}"/>
    <cellStyle name="Normal 9 2 7 3 2 2 4" xfId="40318" xr:uid="{00000000-0005-0000-0000-000001B40000}"/>
    <cellStyle name="Normal 9 2 7 3 2 3" xfId="13104" xr:uid="{00000000-0005-0000-0000-000002B40000}"/>
    <cellStyle name="Normal 9 2 7 3 2 3 2" xfId="28696" xr:uid="{00000000-0005-0000-0000-000003B40000}"/>
    <cellStyle name="Normal 9 2 7 3 2 3 3" xfId="44188" xr:uid="{00000000-0005-0000-0000-000004B40000}"/>
    <cellStyle name="Normal 9 2 7 3 2 4" xfId="20956" xr:uid="{00000000-0005-0000-0000-000005B40000}"/>
    <cellStyle name="Normal 9 2 7 3 2 5" xfId="36448" xr:uid="{00000000-0005-0000-0000-000006B40000}"/>
    <cellStyle name="Normal 9 2 7 3 3" xfId="7302" xr:uid="{00000000-0005-0000-0000-000007B40000}"/>
    <cellStyle name="Normal 9 2 7 3 3 2" xfId="15047" xr:uid="{00000000-0005-0000-0000-000008B40000}"/>
    <cellStyle name="Normal 9 2 7 3 3 2 2" xfId="30639" xr:uid="{00000000-0005-0000-0000-000009B40000}"/>
    <cellStyle name="Normal 9 2 7 3 3 2 3" xfId="46131" xr:uid="{00000000-0005-0000-0000-00000AB40000}"/>
    <cellStyle name="Normal 9 2 7 3 3 3" xfId="22899" xr:uid="{00000000-0005-0000-0000-00000BB40000}"/>
    <cellStyle name="Normal 9 2 7 3 3 4" xfId="38391" xr:uid="{00000000-0005-0000-0000-00000CB40000}"/>
    <cellStyle name="Normal 9 2 7 3 4" xfId="11177" xr:uid="{00000000-0005-0000-0000-00000DB40000}"/>
    <cellStyle name="Normal 9 2 7 3 4 2" xfId="26769" xr:uid="{00000000-0005-0000-0000-00000EB40000}"/>
    <cellStyle name="Normal 9 2 7 3 4 3" xfId="42261" xr:uid="{00000000-0005-0000-0000-00000FB40000}"/>
    <cellStyle name="Normal 9 2 7 3 5" xfId="19029" xr:uid="{00000000-0005-0000-0000-000010B40000}"/>
    <cellStyle name="Normal 9 2 7 3 6" xfId="34521" xr:uid="{00000000-0005-0000-0000-000011B40000}"/>
    <cellStyle name="Normal 9 2 7 4" xfId="4410" xr:uid="{00000000-0005-0000-0000-000012B40000}"/>
    <cellStyle name="Normal 9 2 7 4 2" xfId="8281" xr:uid="{00000000-0005-0000-0000-000013B40000}"/>
    <cellStyle name="Normal 9 2 7 4 2 2" xfId="16026" xr:uid="{00000000-0005-0000-0000-000014B40000}"/>
    <cellStyle name="Normal 9 2 7 4 2 2 2" xfId="31618" xr:uid="{00000000-0005-0000-0000-000015B40000}"/>
    <cellStyle name="Normal 9 2 7 4 2 2 3" xfId="47110" xr:uid="{00000000-0005-0000-0000-000016B40000}"/>
    <cellStyle name="Normal 9 2 7 4 2 3" xfId="23878" xr:uid="{00000000-0005-0000-0000-000017B40000}"/>
    <cellStyle name="Normal 9 2 7 4 2 4" xfId="39370" xr:uid="{00000000-0005-0000-0000-000018B40000}"/>
    <cellStyle name="Normal 9 2 7 4 3" xfId="12156" xr:uid="{00000000-0005-0000-0000-000019B40000}"/>
    <cellStyle name="Normal 9 2 7 4 3 2" xfId="27748" xr:uid="{00000000-0005-0000-0000-00001AB40000}"/>
    <cellStyle name="Normal 9 2 7 4 3 3" xfId="43240" xr:uid="{00000000-0005-0000-0000-00001BB40000}"/>
    <cellStyle name="Normal 9 2 7 4 4" xfId="20008" xr:uid="{00000000-0005-0000-0000-00001CB40000}"/>
    <cellStyle name="Normal 9 2 7 4 5" xfId="35500" xr:uid="{00000000-0005-0000-0000-00001DB40000}"/>
    <cellStyle name="Normal 9 2 7 5" xfId="6354" xr:uid="{00000000-0005-0000-0000-00001EB40000}"/>
    <cellStyle name="Normal 9 2 7 5 2" xfId="14099" xr:uid="{00000000-0005-0000-0000-00001FB40000}"/>
    <cellStyle name="Normal 9 2 7 5 2 2" xfId="29691" xr:uid="{00000000-0005-0000-0000-000020B40000}"/>
    <cellStyle name="Normal 9 2 7 5 2 3" xfId="45183" xr:uid="{00000000-0005-0000-0000-000021B40000}"/>
    <cellStyle name="Normal 9 2 7 5 3" xfId="21951" xr:uid="{00000000-0005-0000-0000-000022B40000}"/>
    <cellStyle name="Normal 9 2 7 5 4" xfId="37443" xr:uid="{00000000-0005-0000-0000-000023B40000}"/>
    <cellStyle name="Normal 9 2 7 6" xfId="10229" xr:uid="{00000000-0005-0000-0000-000024B40000}"/>
    <cellStyle name="Normal 9 2 7 6 2" xfId="25821" xr:uid="{00000000-0005-0000-0000-000025B40000}"/>
    <cellStyle name="Normal 9 2 7 6 3" xfId="41313" xr:uid="{00000000-0005-0000-0000-000026B40000}"/>
    <cellStyle name="Normal 9 2 7 7" xfId="18081" xr:uid="{00000000-0005-0000-0000-000027B40000}"/>
    <cellStyle name="Normal 9 2 7 8" xfId="33573" xr:uid="{00000000-0005-0000-0000-000028B40000}"/>
    <cellStyle name="Normal 9 2 8" xfId="2446" xr:uid="{00000000-0005-0000-0000-000029B40000}"/>
    <cellStyle name="Normal 9 2 8 2" xfId="2756" xr:uid="{00000000-0005-0000-0000-00002AB40000}"/>
    <cellStyle name="Normal 9 2 8 2 2" xfId="3764" xr:uid="{00000000-0005-0000-0000-00002BB40000}"/>
    <cellStyle name="Normal 9 2 8 2 2 2" xfId="5703" xr:uid="{00000000-0005-0000-0000-00002CB40000}"/>
    <cellStyle name="Normal 9 2 8 2 2 2 2" xfId="9574" xr:uid="{00000000-0005-0000-0000-00002DB40000}"/>
    <cellStyle name="Normal 9 2 8 2 2 2 2 2" xfId="17319" xr:uid="{00000000-0005-0000-0000-00002EB40000}"/>
    <cellStyle name="Normal 9 2 8 2 2 2 2 2 2" xfId="32911" xr:uid="{00000000-0005-0000-0000-00002FB40000}"/>
    <cellStyle name="Normal 9 2 8 2 2 2 2 2 3" xfId="48403" xr:uid="{00000000-0005-0000-0000-000030B40000}"/>
    <cellStyle name="Normal 9 2 8 2 2 2 2 3" xfId="25171" xr:uid="{00000000-0005-0000-0000-000031B40000}"/>
    <cellStyle name="Normal 9 2 8 2 2 2 2 4" xfId="40663" xr:uid="{00000000-0005-0000-0000-000032B40000}"/>
    <cellStyle name="Normal 9 2 8 2 2 2 3" xfId="13449" xr:uid="{00000000-0005-0000-0000-000033B40000}"/>
    <cellStyle name="Normal 9 2 8 2 2 2 3 2" xfId="29041" xr:uid="{00000000-0005-0000-0000-000034B40000}"/>
    <cellStyle name="Normal 9 2 8 2 2 2 3 3" xfId="44533" xr:uid="{00000000-0005-0000-0000-000035B40000}"/>
    <cellStyle name="Normal 9 2 8 2 2 2 4" xfId="21301" xr:uid="{00000000-0005-0000-0000-000036B40000}"/>
    <cellStyle name="Normal 9 2 8 2 2 2 5" xfId="36793" xr:uid="{00000000-0005-0000-0000-000037B40000}"/>
    <cellStyle name="Normal 9 2 8 2 2 3" xfId="7647" xr:uid="{00000000-0005-0000-0000-000038B40000}"/>
    <cellStyle name="Normal 9 2 8 2 2 3 2" xfId="15392" xr:uid="{00000000-0005-0000-0000-000039B40000}"/>
    <cellStyle name="Normal 9 2 8 2 2 3 2 2" xfId="30984" xr:uid="{00000000-0005-0000-0000-00003AB40000}"/>
    <cellStyle name="Normal 9 2 8 2 2 3 2 3" xfId="46476" xr:uid="{00000000-0005-0000-0000-00003BB40000}"/>
    <cellStyle name="Normal 9 2 8 2 2 3 3" xfId="23244" xr:uid="{00000000-0005-0000-0000-00003CB40000}"/>
    <cellStyle name="Normal 9 2 8 2 2 3 4" xfId="38736" xr:uid="{00000000-0005-0000-0000-00003DB40000}"/>
    <cellStyle name="Normal 9 2 8 2 2 4" xfId="11522" xr:uid="{00000000-0005-0000-0000-00003EB40000}"/>
    <cellStyle name="Normal 9 2 8 2 2 4 2" xfId="27114" xr:uid="{00000000-0005-0000-0000-00003FB40000}"/>
    <cellStyle name="Normal 9 2 8 2 2 4 3" xfId="42606" xr:uid="{00000000-0005-0000-0000-000040B40000}"/>
    <cellStyle name="Normal 9 2 8 2 2 5" xfId="19374" xr:uid="{00000000-0005-0000-0000-000041B40000}"/>
    <cellStyle name="Normal 9 2 8 2 2 6" xfId="34866" xr:uid="{00000000-0005-0000-0000-000042B40000}"/>
    <cellStyle name="Normal 9 2 8 2 3" xfId="4755" xr:uid="{00000000-0005-0000-0000-000043B40000}"/>
    <cellStyle name="Normal 9 2 8 2 3 2" xfId="8626" xr:uid="{00000000-0005-0000-0000-000044B40000}"/>
    <cellStyle name="Normal 9 2 8 2 3 2 2" xfId="16371" xr:uid="{00000000-0005-0000-0000-000045B40000}"/>
    <cellStyle name="Normal 9 2 8 2 3 2 2 2" xfId="31963" xr:uid="{00000000-0005-0000-0000-000046B40000}"/>
    <cellStyle name="Normal 9 2 8 2 3 2 2 3" xfId="47455" xr:uid="{00000000-0005-0000-0000-000047B40000}"/>
    <cellStyle name="Normal 9 2 8 2 3 2 3" xfId="24223" xr:uid="{00000000-0005-0000-0000-000048B40000}"/>
    <cellStyle name="Normal 9 2 8 2 3 2 4" xfId="39715" xr:uid="{00000000-0005-0000-0000-000049B40000}"/>
    <cellStyle name="Normal 9 2 8 2 3 3" xfId="12501" xr:uid="{00000000-0005-0000-0000-00004AB40000}"/>
    <cellStyle name="Normal 9 2 8 2 3 3 2" xfId="28093" xr:uid="{00000000-0005-0000-0000-00004BB40000}"/>
    <cellStyle name="Normal 9 2 8 2 3 3 3" xfId="43585" xr:uid="{00000000-0005-0000-0000-00004CB40000}"/>
    <cellStyle name="Normal 9 2 8 2 3 4" xfId="20353" xr:uid="{00000000-0005-0000-0000-00004DB40000}"/>
    <cellStyle name="Normal 9 2 8 2 3 5" xfId="35845" xr:uid="{00000000-0005-0000-0000-00004EB40000}"/>
    <cellStyle name="Normal 9 2 8 2 4" xfId="6699" xr:uid="{00000000-0005-0000-0000-00004FB40000}"/>
    <cellStyle name="Normal 9 2 8 2 4 2" xfId="14444" xr:uid="{00000000-0005-0000-0000-000050B40000}"/>
    <cellStyle name="Normal 9 2 8 2 4 2 2" xfId="30036" xr:uid="{00000000-0005-0000-0000-000051B40000}"/>
    <cellStyle name="Normal 9 2 8 2 4 2 3" xfId="45528" xr:uid="{00000000-0005-0000-0000-000052B40000}"/>
    <cellStyle name="Normal 9 2 8 2 4 3" xfId="22296" xr:uid="{00000000-0005-0000-0000-000053B40000}"/>
    <cellStyle name="Normal 9 2 8 2 4 4" xfId="37788" xr:uid="{00000000-0005-0000-0000-000054B40000}"/>
    <cellStyle name="Normal 9 2 8 2 5" xfId="10574" xr:uid="{00000000-0005-0000-0000-000055B40000}"/>
    <cellStyle name="Normal 9 2 8 2 5 2" xfId="26166" xr:uid="{00000000-0005-0000-0000-000056B40000}"/>
    <cellStyle name="Normal 9 2 8 2 5 3" xfId="41658" xr:uid="{00000000-0005-0000-0000-000057B40000}"/>
    <cellStyle name="Normal 9 2 8 2 6" xfId="18426" xr:uid="{00000000-0005-0000-0000-000058B40000}"/>
    <cellStyle name="Normal 9 2 8 2 7" xfId="33918" xr:uid="{00000000-0005-0000-0000-000059B40000}"/>
    <cellStyle name="Normal 9 2 8 3" xfId="3455" xr:uid="{00000000-0005-0000-0000-00005AB40000}"/>
    <cellStyle name="Normal 9 2 8 3 2" xfId="5394" xr:uid="{00000000-0005-0000-0000-00005BB40000}"/>
    <cellStyle name="Normal 9 2 8 3 2 2" xfId="9265" xr:uid="{00000000-0005-0000-0000-00005CB40000}"/>
    <cellStyle name="Normal 9 2 8 3 2 2 2" xfId="17010" xr:uid="{00000000-0005-0000-0000-00005DB40000}"/>
    <cellStyle name="Normal 9 2 8 3 2 2 2 2" xfId="32602" xr:uid="{00000000-0005-0000-0000-00005EB40000}"/>
    <cellStyle name="Normal 9 2 8 3 2 2 2 3" xfId="48094" xr:uid="{00000000-0005-0000-0000-00005FB40000}"/>
    <cellStyle name="Normal 9 2 8 3 2 2 3" xfId="24862" xr:uid="{00000000-0005-0000-0000-000060B40000}"/>
    <cellStyle name="Normal 9 2 8 3 2 2 4" xfId="40354" xr:uid="{00000000-0005-0000-0000-000061B40000}"/>
    <cellStyle name="Normal 9 2 8 3 2 3" xfId="13140" xr:uid="{00000000-0005-0000-0000-000062B40000}"/>
    <cellStyle name="Normal 9 2 8 3 2 3 2" xfId="28732" xr:uid="{00000000-0005-0000-0000-000063B40000}"/>
    <cellStyle name="Normal 9 2 8 3 2 3 3" xfId="44224" xr:uid="{00000000-0005-0000-0000-000064B40000}"/>
    <cellStyle name="Normal 9 2 8 3 2 4" xfId="20992" xr:uid="{00000000-0005-0000-0000-000065B40000}"/>
    <cellStyle name="Normal 9 2 8 3 2 5" xfId="36484" xr:uid="{00000000-0005-0000-0000-000066B40000}"/>
    <cellStyle name="Normal 9 2 8 3 3" xfId="7338" xr:uid="{00000000-0005-0000-0000-000067B40000}"/>
    <cellStyle name="Normal 9 2 8 3 3 2" xfId="15083" xr:uid="{00000000-0005-0000-0000-000068B40000}"/>
    <cellStyle name="Normal 9 2 8 3 3 2 2" xfId="30675" xr:uid="{00000000-0005-0000-0000-000069B40000}"/>
    <cellStyle name="Normal 9 2 8 3 3 2 3" xfId="46167" xr:uid="{00000000-0005-0000-0000-00006AB40000}"/>
    <cellStyle name="Normal 9 2 8 3 3 3" xfId="22935" xr:uid="{00000000-0005-0000-0000-00006BB40000}"/>
    <cellStyle name="Normal 9 2 8 3 3 4" xfId="38427" xr:uid="{00000000-0005-0000-0000-00006CB40000}"/>
    <cellStyle name="Normal 9 2 8 3 4" xfId="11213" xr:uid="{00000000-0005-0000-0000-00006DB40000}"/>
    <cellStyle name="Normal 9 2 8 3 4 2" xfId="26805" xr:uid="{00000000-0005-0000-0000-00006EB40000}"/>
    <cellStyle name="Normal 9 2 8 3 4 3" xfId="42297" xr:uid="{00000000-0005-0000-0000-00006FB40000}"/>
    <cellStyle name="Normal 9 2 8 3 5" xfId="19065" xr:uid="{00000000-0005-0000-0000-000070B40000}"/>
    <cellStyle name="Normal 9 2 8 3 6" xfId="34557" xr:uid="{00000000-0005-0000-0000-000071B40000}"/>
    <cellStyle name="Normal 9 2 8 4" xfId="4446" xr:uid="{00000000-0005-0000-0000-000072B40000}"/>
    <cellStyle name="Normal 9 2 8 4 2" xfId="8317" xr:uid="{00000000-0005-0000-0000-000073B40000}"/>
    <cellStyle name="Normal 9 2 8 4 2 2" xfId="16062" xr:uid="{00000000-0005-0000-0000-000074B40000}"/>
    <cellStyle name="Normal 9 2 8 4 2 2 2" xfId="31654" xr:uid="{00000000-0005-0000-0000-000075B40000}"/>
    <cellStyle name="Normal 9 2 8 4 2 2 3" xfId="47146" xr:uid="{00000000-0005-0000-0000-000076B40000}"/>
    <cellStyle name="Normal 9 2 8 4 2 3" xfId="23914" xr:uid="{00000000-0005-0000-0000-000077B40000}"/>
    <cellStyle name="Normal 9 2 8 4 2 4" xfId="39406" xr:uid="{00000000-0005-0000-0000-000078B40000}"/>
    <cellStyle name="Normal 9 2 8 4 3" xfId="12192" xr:uid="{00000000-0005-0000-0000-000079B40000}"/>
    <cellStyle name="Normal 9 2 8 4 3 2" xfId="27784" xr:uid="{00000000-0005-0000-0000-00007AB40000}"/>
    <cellStyle name="Normal 9 2 8 4 3 3" xfId="43276" xr:uid="{00000000-0005-0000-0000-00007BB40000}"/>
    <cellStyle name="Normal 9 2 8 4 4" xfId="20044" xr:uid="{00000000-0005-0000-0000-00007CB40000}"/>
    <cellStyle name="Normal 9 2 8 4 5" xfId="35536" xr:uid="{00000000-0005-0000-0000-00007DB40000}"/>
    <cellStyle name="Normal 9 2 8 5" xfId="6390" xr:uid="{00000000-0005-0000-0000-00007EB40000}"/>
    <cellStyle name="Normal 9 2 8 5 2" xfId="14135" xr:uid="{00000000-0005-0000-0000-00007FB40000}"/>
    <cellStyle name="Normal 9 2 8 5 2 2" xfId="29727" xr:uid="{00000000-0005-0000-0000-000080B40000}"/>
    <cellStyle name="Normal 9 2 8 5 2 3" xfId="45219" xr:uid="{00000000-0005-0000-0000-000081B40000}"/>
    <cellStyle name="Normal 9 2 8 5 3" xfId="21987" xr:uid="{00000000-0005-0000-0000-000082B40000}"/>
    <cellStyle name="Normal 9 2 8 5 4" xfId="37479" xr:uid="{00000000-0005-0000-0000-000083B40000}"/>
    <cellStyle name="Normal 9 2 8 6" xfId="10265" xr:uid="{00000000-0005-0000-0000-000084B40000}"/>
    <cellStyle name="Normal 9 2 8 6 2" xfId="25857" xr:uid="{00000000-0005-0000-0000-000085B40000}"/>
    <cellStyle name="Normal 9 2 8 6 3" xfId="41349" xr:uid="{00000000-0005-0000-0000-000086B40000}"/>
    <cellStyle name="Normal 9 2 8 7" xfId="18117" xr:uid="{00000000-0005-0000-0000-000087B40000}"/>
    <cellStyle name="Normal 9 2 8 8" xfId="33609" xr:uid="{00000000-0005-0000-0000-000088B40000}"/>
    <cellStyle name="Normal 9 2 9" xfId="2483" xr:uid="{00000000-0005-0000-0000-000089B40000}"/>
    <cellStyle name="Normal 9 2 9 2" xfId="2792" xr:uid="{00000000-0005-0000-0000-00008AB40000}"/>
    <cellStyle name="Normal 9 2 9 2 2" xfId="3800" xr:uid="{00000000-0005-0000-0000-00008BB40000}"/>
    <cellStyle name="Normal 9 2 9 2 2 2" xfId="5739" xr:uid="{00000000-0005-0000-0000-00008CB40000}"/>
    <cellStyle name="Normal 9 2 9 2 2 2 2" xfId="9610" xr:uid="{00000000-0005-0000-0000-00008DB40000}"/>
    <cellStyle name="Normal 9 2 9 2 2 2 2 2" xfId="17355" xr:uid="{00000000-0005-0000-0000-00008EB40000}"/>
    <cellStyle name="Normal 9 2 9 2 2 2 2 2 2" xfId="32947" xr:uid="{00000000-0005-0000-0000-00008FB40000}"/>
    <cellStyle name="Normal 9 2 9 2 2 2 2 2 3" xfId="48439" xr:uid="{00000000-0005-0000-0000-000090B40000}"/>
    <cellStyle name="Normal 9 2 9 2 2 2 2 3" xfId="25207" xr:uid="{00000000-0005-0000-0000-000091B40000}"/>
    <cellStyle name="Normal 9 2 9 2 2 2 2 4" xfId="40699" xr:uid="{00000000-0005-0000-0000-000092B40000}"/>
    <cellStyle name="Normal 9 2 9 2 2 2 3" xfId="13485" xr:uid="{00000000-0005-0000-0000-000093B40000}"/>
    <cellStyle name="Normal 9 2 9 2 2 2 3 2" xfId="29077" xr:uid="{00000000-0005-0000-0000-000094B40000}"/>
    <cellStyle name="Normal 9 2 9 2 2 2 3 3" xfId="44569" xr:uid="{00000000-0005-0000-0000-000095B40000}"/>
    <cellStyle name="Normal 9 2 9 2 2 2 4" xfId="21337" xr:uid="{00000000-0005-0000-0000-000096B40000}"/>
    <cellStyle name="Normal 9 2 9 2 2 2 5" xfId="36829" xr:uid="{00000000-0005-0000-0000-000097B40000}"/>
    <cellStyle name="Normal 9 2 9 2 2 3" xfId="7683" xr:uid="{00000000-0005-0000-0000-000098B40000}"/>
    <cellStyle name="Normal 9 2 9 2 2 3 2" xfId="15428" xr:uid="{00000000-0005-0000-0000-000099B40000}"/>
    <cellStyle name="Normal 9 2 9 2 2 3 2 2" xfId="31020" xr:uid="{00000000-0005-0000-0000-00009AB40000}"/>
    <cellStyle name="Normal 9 2 9 2 2 3 2 3" xfId="46512" xr:uid="{00000000-0005-0000-0000-00009BB40000}"/>
    <cellStyle name="Normal 9 2 9 2 2 3 3" xfId="23280" xr:uid="{00000000-0005-0000-0000-00009CB40000}"/>
    <cellStyle name="Normal 9 2 9 2 2 3 4" xfId="38772" xr:uid="{00000000-0005-0000-0000-00009DB40000}"/>
    <cellStyle name="Normal 9 2 9 2 2 4" xfId="11558" xr:uid="{00000000-0005-0000-0000-00009EB40000}"/>
    <cellStyle name="Normal 9 2 9 2 2 4 2" xfId="27150" xr:uid="{00000000-0005-0000-0000-00009FB40000}"/>
    <cellStyle name="Normal 9 2 9 2 2 4 3" xfId="42642" xr:uid="{00000000-0005-0000-0000-0000A0B40000}"/>
    <cellStyle name="Normal 9 2 9 2 2 5" xfId="19410" xr:uid="{00000000-0005-0000-0000-0000A1B40000}"/>
    <cellStyle name="Normal 9 2 9 2 2 6" xfId="34902" xr:uid="{00000000-0005-0000-0000-0000A2B40000}"/>
    <cellStyle name="Normal 9 2 9 2 3" xfId="4791" xr:uid="{00000000-0005-0000-0000-0000A3B40000}"/>
    <cellStyle name="Normal 9 2 9 2 3 2" xfId="8662" xr:uid="{00000000-0005-0000-0000-0000A4B40000}"/>
    <cellStyle name="Normal 9 2 9 2 3 2 2" xfId="16407" xr:uid="{00000000-0005-0000-0000-0000A5B40000}"/>
    <cellStyle name="Normal 9 2 9 2 3 2 2 2" xfId="31999" xr:uid="{00000000-0005-0000-0000-0000A6B40000}"/>
    <cellStyle name="Normal 9 2 9 2 3 2 2 3" xfId="47491" xr:uid="{00000000-0005-0000-0000-0000A7B40000}"/>
    <cellStyle name="Normal 9 2 9 2 3 2 3" xfId="24259" xr:uid="{00000000-0005-0000-0000-0000A8B40000}"/>
    <cellStyle name="Normal 9 2 9 2 3 2 4" xfId="39751" xr:uid="{00000000-0005-0000-0000-0000A9B40000}"/>
    <cellStyle name="Normal 9 2 9 2 3 3" xfId="12537" xr:uid="{00000000-0005-0000-0000-0000AAB40000}"/>
    <cellStyle name="Normal 9 2 9 2 3 3 2" xfId="28129" xr:uid="{00000000-0005-0000-0000-0000ABB40000}"/>
    <cellStyle name="Normal 9 2 9 2 3 3 3" xfId="43621" xr:uid="{00000000-0005-0000-0000-0000ACB40000}"/>
    <cellStyle name="Normal 9 2 9 2 3 4" xfId="20389" xr:uid="{00000000-0005-0000-0000-0000ADB40000}"/>
    <cellStyle name="Normal 9 2 9 2 3 5" xfId="35881" xr:uid="{00000000-0005-0000-0000-0000AEB40000}"/>
    <cellStyle name="Normal 9 2 9 2 4" xfId="6735" xr:uid="{00000000-0005-0000-0000-0000AFB40000}"/>
    <cellStyle name="Normal 9 2 9 2 4 2" xfId="14480" xr:uid="{00000000-0005-0000-0000-0000B0B40000}"/>
    <cellStyle name="Normal 9 2 9 2 4 2 2" xfId="30072" xr:uid="{00000000-0005-0000-0000-0000B1B40000}"/>
    <cellStyle name="Normal 9 2 9 2 4 2 3" xfId="45564" xr:uid="{00000000-0005-0000-0000-0000B2B40000}"/>
    <cellStyle name="Normal 9 2 9 2 4 3" xfId="22332" xr:uid="{00000000-0005-0000-0000-0000B3B40000}"/>
    <cellStyle name="Normal 9 2 9 2 4 4" xfId="37824" xr:uid="{00000000-0005-0000-0000-0000B4B40000}"/>
    <cellStyle name="Normal 9 2 9 2 5" xfId="10610" xr:uid="{00000000-0005-0000-0000-0000B5B40000}"/>
    <cellStyle name="Normal 9 2 9 2 5 2" xfId="26202" xr:uid="{00000000-0005-0000-0000-0000B6B40000}"/>
    <cellStyle name="Normal 9 2 9 2 5 3" xfId="41694" xr:uid="{00000000-0005-0000-0000-0000B7B40000}"/>
    <cellStyle name="Normal 9 2 9 2 6" xfId="18462" xr:uid="{00000000-0005-0000-0000-0000B8B40000}"/>
    <cellStyle name="Normal 9 2 9 2 7" xfId="33954" xr:uid="{00000000-0005-0000-0000-0000B9B40000}"/>
    <cellStyle name="Normal 9 2 9 3" xfId="3491" xr:uid="{00000000-0005-0000-0000-0000BAB40000}"/>
    <cellStyle name="Normal 9 2 9 3 2" xfId="5430" xr:uid="{00000000-0005-0000-0000-0000BBB40000}"/>
    <cellStyle name="Normal 9 2 9 3 2 2" xfId="9301" xr:uid="{00000000-0005-0000-0000-0000BCB40000}"/>
    <cellStyle name="Normal 9 2 9 3 2 2 2" xfId="17046" xr:uid="{00000000-0005-0000-0000-0000BDB40000}"/>
    <cellStyle name="Normal 9 2 9 3 2 2 2 2" xfId="32638" xr:uid="{00000000-0005-0000-0000-0000BEB40000}"/>
    <cellStyle name="Normal 9 2 9 3 2 2 2 3" xfId="48130" xr:uid="{00000000-0005-0000-0000-0000BFB40000}"/>
    <cellStyle name="Normal 9 2 9 3 2 2 3" xfId="24898" xr:uid="{00000000-0005-0000-0000-0000C0B40000}"/>
    <cellStyle name="Normal 9 2 9 3 2 2 4" xfId="40390" xr:uid="{00000000-0005-0000-0000-0000C1B40000}"/>
    <cellStyle name="Normal 9 2 9 3 2 3" xfId="13176" xr:uid="{00000000-0005-0000-0000-0000C2B40000}"/>
    <cellStyle name="Normal 9 2 9 3 2 3 2" xfId="28768" xr:uid="{00000000-0005-0000-0000-0000C3B40000}"/>
    <cellStyle name="Normal 9 2 9 3 2 3 3" xfId="44260" xr:uid="{00000000-0005-0000-0000-0000C4B40000}"/>
    <cellStyle name="Normal 9 2 9 3 2 4" xfId="21028" xr:uid="{00000000-0005-0000-0000-0000C5B40000}"/>
    <cellStyle name="Normal 9 2 9 3 2 5" xfId="36520" xr:uid="{00000000-0005-0000-0000-0000C6B40000}"/>
    <cellStyle name="Normal 9 2 9 3 3" xfId="7374" xr:uid="{00000000-0005-0000-0000-0000C7B40000}"/>
    <cellStyle name="Normal 9 2 9 3 3 2" xfId="15119" xr:uid="{00000000-0005-0000-0000-0000C8B40000}"/>
    <cellStyle name="Normal 9 2 9 3 3 2 2" xfId="30711" xr:uid="{00000000-0005-0000-0000-0000C9B40000}"/>
    <cellStyle name="Normal 9 2 9 3 3 2 3" xfId="46203" xr:uid="{00000000-0005-0000-0000-0000CAB40000}"/>
    <cellStyle name="Normal 9 2 9 3 3 3" xfId="22971" xr:uid="{00000000-0005-0000-0000-0000CBB40000}"/>
    <cellStyle name="Normal 9 2 9 3 3 4" xfId="38463" xr:uid="{00000000-0005-0000-0000-0000CCB40000}"/>
    <cellStyle name="Normal 9 2 9 3 4" xfId="11249" xr:uid="{00000000-0005-0000-0000-0000CDB40000}"/>
    <cellStyle name="Normal 9 2 9 3 4 2" xfId="26841" xr:uid="{00000000-0005-0000-0000-0000CEB40000}"/>
    <cellStyle name="Normal 9 2 9 3 4 3" xfId="42333" xr:uid="{00000000-0005-0000-0000-0000CFB40000}"/>
    <cellStyle name="Normal 9 2 9 3 5" xfId="19101" xr:uid="{00000000-0005-0000-0000-0000D0B40000}"/>
    <cellStyle name="Normal 9 2 9 3 6" xfId="34593" xr:uid="{00000000-0005-0000-0000-0000D1B40000}"/>
    <cellStyle name="Normal 9 2 9 4" xfId="4482" xr:uid="{00000000-0005-0000-0000-0000D2B40000}"/>
    <cellStyle name="Normal 9 2 9 4 2" xfId="8353" xr:uid="{00000000-0005-0000-0000-0000D3B40000}"/>
    <cellStyle name="Normal 9 2 9 4 2 2" xfId="16098" xr:uid="{00000000-0005-0000-0000-0000D4B40000}"/>
    <cellStyle name="Normal 9 2 9 4 2 2 2" xfId="31690" xr:uid="{00000000-0005-0000-0000-0000D5B40000}"/>
    <cellStyle name="Normal 9 2 9 4 2 2 3" xfId="47182" xr:uid="{00000000-0005-0000-0000-0000D6B40000}"/>
    <cellStyle name="Normal 9 2 9 4 2 3" xfId="23950" xr:uid="{00000000-0005-0000-0000-0000D7B40000}"/>
    <cellStyle name="Normal 9 2 9 4 2 4" xfId="39442" xr:uid="{00000000-0005-0000-0000-0000D8B40000}"/>
    <cellStyle name="Normal 9 2 9 4 3" xfId="12228" xr:uid="{00000000-0005-0000-0000-0000D9B40000}"/>
    <cellStyle name="Normal 9 2 9 4 3 2" xfId="27820" xr:uid="{00000000-0005-0000-0000-0000DAB40000}"/>
    <cellStyle name="Normal 9 2 9 4 3 3" xfId="43312" xr:uid="{00000000-0005-0000-0000-0000DBB40000}"/>
    <cellStyle name="Normal 9 2 9 4 4" xfId="20080" xr:uid="{00000000-0005-0000-0000-0000DCB40000}"/>
    <cellStyle name="Normal 9 2 9 4 5" xfId="35572" xr:uid="{00000000-0005-0000-0000-0000DDB40000}"/>
    <cellStyle name="Normal 9 2 9 5" xfId="6426" xr:uid="{00000000-0005-0000-0000-0000DEB40000}"/>
    <cellStyle name="Normal 9 2 9 5 2" xfId="14171" xr:uid="{00000000-0005-0000-0000-0000DFB40000}"/>
    <cellStyle name="Normal 9 2 9 5 2 2" xfId="29763" xr:uid="{00000000-0005-0000-0000-0000E0B40000}"/>
    <cellStyle name="Normal 9 2 9 5 2 3" xfId="45255" xr:uid="{00000000-0005-0000-0000-0000E1B40000}"/>
    <cellStyle name="Normal 9 2 9 5 3" xfId="22023" xr:uid="{00000000-0005-0000-0000-0000E2B40000}"/>
    <cellStyle name="Normal 9 2 9 5 4" xfId="37515" xr:uid="{00000000-0005-0000-0000-0000E3B40000}"/>
    <cellStyle name="Normal 9 2 9 6" xfId="10301" xr:uid="{00000000-0005-0000-0000-0000E4B40000}"/>
    <cellStyle name="Normal 9 2 9 6 2" xfId="25893" xr:uid="{00000000-0005-0000-0000-0000E5B40000}"/>
    <cellStyle name="Normal 9 2 9 6 3" xfId="41385" xr:uid="{00000000-0005-0000-0000-0000E6B40000}"/>
    <cellStyle name="Normal 9 2 9 7" xfId="18153" xr:uid="{00000000-0005-0000-0000-0000E7B40000}"/>
    <cellStyle name="Normal 9 2 9 8" xfId="33645" xr:uid="{00000000-0005-0000-0000-0000E8B40000}"/>
    <cellStyle name="Normal 9 3" xfId="2083" xr:uid="{00000000-0005-0000-0000-0000E9B40000}"/>
    <cellStyle name="Normal 9 3 10" xfId="2504" xr:uid="{00000000-0005-0000-0000-0000EAB40000}"/>
    <cellStyle name="Normal 9 3 10 2" xfId="3512" xr:uid="{00000000-0005-0000-0000-0000EBB40000}"/>
    <cellStyle name="Normal 9 3 10 2 2" xfId="5451" xr:uid="{00000000-0005-0000-0000-0000ECB40000}"/>
    <cellStyle name="Normal 9 3 10 2 2 2" xfId="9322" xr:uid="{00000000-0005-0000-0000-0000EDB40000}"/>
    <cellStyle name="Normal 9 3 10 2 2 2 2" xfId="17067" xr:uid="{00000000-0005-0000-0000-0000EEB40000}"/>
    <cellStyle name="Normal 9 3 10 2 2 2 2 2" xfId="32659" xr:uid="{00000000-0005-0000-0000-0000EFB40000}"/>
    <cellStyle name="Normal 9 3 10 2 2 2 2 3" xfId="48151" xr:uid="{00000000-0005-0000-0000-0000F0B40000}"/>
    <cellStyle name="Normal 9 3 10 2 2 2 3" xfId="24919" xr:uid="{00000000-0005-0000-0000-0000F1B40000}"/>
    <cellStyle name="Normal 9 3 10 2 2 2 4" xfId="40411" xr:uid="{00000000-0005-0000-0000-0000F2B40000}"/>
    <cellStyle name="Normal 9 3 10 2 2 3" xfId="13197" xr:uid="{00000000-0005-0000-0000-0000F3B40000}"/>
    <cellStyle name="Normal 9 3 10 2 2 3 2" xfId="28789" xr:uid="{00000000-0005-0000-0000-0000F4B40000}"/>
    <cellStyle name="Normal 9 3 10 2 2 3 3" xfId="44281" xr:uid="{00000000-0005-0000-0000-0000F5B40000}"/>
    <cellStyle name="Normal 9 3 10 2 2 4" xfId="21049" xr:uid="{00000000-0005-0000-0000-0000F6B40000}"/>
    <cellStyle name="Normal 9 3 10 2 2 5" xfId="36541" xr:uid="{00000000-0005-0000-0000-0000F7B40000}"/>
    <cellStyle name="Normal 9 3 10 2 3" xfId="7395" xr:uid="{00000000-0005-0000-0000-0000F8B40000}"/>
    <cellStyle name="Normal 9 3 10 2 3 2" xfId="15140" xr:uid="{00000000-0005-0000-0000-0000F9B40000}"/>
    <cellStyle name="Normal 9 3 10 2 3 2 2" xfId="30732" xr:uid="{00000000-0005-0000-0000-0000FAB40000}"/>
    <cellStyle name="Normal 9 3 10 2 3 2 3" xfId="46224" xr:uid="{00000000-0005-0000-0000-0000FBB40000}"/>
    <cellStyle name="Normal 9 3 10 2 3 3" xfId="22992" xr:uid="{00000000-0005-0000-0000-0000FCB40000}"/>
    <cellStyle name="Normal 9 3 10 2 3 4" xfId="38484" xr:uid="{00000000-0005-0000-0000-0000FDB40000}"/>
    <cellStyle name="Normal 9 3 10 2 4" xfId="11270" xr:uid="{00000000-0005-0000-0000-0000FEB40000}"/>
    <cellStyle name="Normal 9 3 10 2 4 2" xfId="26862" xr:uid="{00000000-0005-0000-0000-0000FFB40000}"/>
    <cellStyle name="Normal 9 3 10 2 4 3" xfId="42354" xr:uid="{00000000-0005-0000-0000-000000B50000}"/>
    <cellStyle name="Normal 9 3 10 2 5" xfId="19122" xr:uid="{00000000-0005-0000-0000-000001B50000}"/>
    <cellStyle name="Normal 9 3 10 2 6" xfId="34614" xr:uid="{00000000-0005-0000-0000-000002B50000}"/>
    <cellStyle name="Normal 9 3 10 3" xfId="4503" xr:uid="{00000000-0005-0000-0000-000003B50000}"/>
    <cellStyle name="Normal 9 3 10 3 2" xfId="8374" xr:uid="{00000000-0005-0000-0000-000004B50000}"/>
    <cellStyle name="Normal 9 3 10 3 2 2" xfId="16119" xr:uid="{00000000-0005-0000-0000-000005B50000}"/>
    <cellStyle name="Normal 9 3 10 3 2 2 2" xfId="31711" xr:uid="{00000000-0005-0000-0000-000006B50000}"/>
    <cellStyle name="Normal 9 3 10 3 2 2 3" xfId="47203" xr:uid="{00000000-0005-0000-0000-000007B50000}"/>
    <cellStyle name="Normal 9 3 10 3 2 3" xfId="23971" xr:uid="{00000000-0005-0000-0000-000008B50000}"/>
    <cellStyle name="Normal 9 3 10 3 2 4" xfId="39463" xr:uid="{00000000-0005-0000-0000-000009B50000}"/>
    <cellStyle name="Normal 9 3 10 3 3" xfId="12249" xr:uid="{00000000-0005-0000-0000-00000AB50000}"/>
    <cellStyle name="Normal 9 3 10 3 3 2" xfId="27841" xr:uid="{00000000-0005-0000-0000-00000BB50000}"/>
    <cellStyle name="Normal 9 3 10 3 3 3" xfId="43333" xr:uid="{00000000-0005-0000-0000-00000CB50000}"/>
    <cellStyle name="Normal 9 3 10 3 4" xfId="20101" xr:uid="{00000000-0005-0000-0000-00000DB50000}"/>
    <cellStyle name="Normal 9 3 10 3 5" xfId="35593" xr:uid="{00000000-0005-0000-0000-00000EB50000}"/>
    <cellStyle name="Normal 9 3 10 4" xfId="6447" xr:uid="{00000000-0005-0000-0000-00000FB50000}"/>
    <cellStyle name="Normal 9 3 10 4 2" xfId="14192" xr:uid="{00000000-0005-0000-0000-000010B50000}"/>
    <cellStyle name="Normal 9 3 10 4 2 2" xfId="29784" xr:uid="{00000000-0005-0000-0000-000011B50000}"/>
    <cellStyle name="Normal 9 3 10 4 2 3" xfId="45276" xr:uid="{00000000-0005-0000-0000-000012B50000}"/>
    <cellStyle name="Normal 9 3 10 4 3" xfId="22044" xr:uid="{00000000-0005-0000-0000-000013B50000}"/>
    <cellStyle name="Normal 9 3 10 4 4" xfId="37536" xr:uid="{00000000-0005-0000-0000-000014B50000}"/>
    <cellStyle name="Normal 9 3 10 5" xfId="10322" xr:uid="{00000000-0005-0000-0000-000015B50000}"/>
    <cellStyle name="Normal 9 3 10 5 2" xfId="25914" xr:uid="{00000000-0005-0000-0000-000016B50000}"/>
    <cellStyle name="Normal 9 3 10 5 3" xfId="41406" xr:uid="{00000000-0005-0000-0000-000017B50000}"/>
    <cellStyle name="Normal 9 3 10 6" xfId="18174" xr:uid="{00000000-0005-0000-0000-000018B50000}"/>
    <cellStyle name="Normal 9 3 10 7" xfId="33666" xr:uid="{00000000-0005-0000-0000-000019B50000}"/>
    <cellStyle name="Normal 9 3 11" xfId="2830" xr:uid="{00000000-0005-0000-0000-00001AB50000}"/>
    <cellStyle name="Normal 9 3 11 2" xfId="3837" xr:uid="{00000000-0005-0000-0000-00001BB50000}"/>
    <cellStyle name="Normal 9 3 11 2 2" xfId="5776" xr:uid="{00000000-0005-0000-0000-00001CB50000}"/>
    <cellStyle name="Normal 9 3 11 2 2 2" xfId="9647" xr:uid="{00000000-0005-0000-0000-00001DB50000}"/>
    <cellStyle name="Normal 9 3 11 2 2 2 2" xfId="17392" xr:uid="{00000000-0005-0000-0000-00001EB50000}"/>
    <cellStyle name="Normal 9 3 11 2 2 2 2 2" xfId="32984" xr:uid="{00000000-0005-0000-0000-00001FB50000}"/>
    <cellStyle name="Normal 9 3 11 2 2 2 2 3" xfId="48476" xr:uid="{00000000-0005-0000-0000-000020B50000}"/>
    <cellStyle name="Normal 9 3 11 2 2 2 3" xfId="25244" xr:uid="{00000000-0005-0000-0000-000021B50000}"/>
    <cellStyle name="Normal 9 3 11 2 2 2 4" xfId="40736" xr:uid="{00000000-0005-0000-0000-000022B50000}"/>
    <cellStyle name="Normal 9 3 11 2 2 3" xfId="13522" xr:uid="{00000000-0005-0000-0000-000023B50000}"/>
    <cellStyle name="Normal 9 3 11 2 2 3 2" xfId="29114" xr:uid="{00000000-0005-0000-0000-000024B50000}"/>
    <cellStyle name="Normal 9 3 11 2 2 3 3" xfId="44606" xr:uid="{00000000-0005-0000-0000-000025B50000}"/>
    <cellStyle name="Normal 9 3 11 2 2 4" xfId="21374" xr:uid="{00000000-0005-0000-0000-000026B50000}"/>
    <cellStyle name="Normal 9 3 11 2 2 5" xfId="36866" xr:uid="{00000000-0005-0000-0000-000027B50000}"/>
    <cellStyle name="Normal 9 3 11 2 3" xfId="7720" xr:uid="{00000000-0005-0000-0000-000028B50000}"/>
    <cellStyle name="Normal 9 3 11 2 3 2" xfId="15465" xr:uid="{00000000-0005-0000-0000-000029B50000}"/>
    <cellStyle name="Normal 9 3 11 2 3 2 2" xfId="31057" xr:uid="{00000000-0005-0000-0000-00002AB50000}"/>
    <cellStyle name="Normal 9 3 11 2 3 2 3" xfId="46549" xr:uid="{00000000-0005-0000-0000-00002BB50000}"/>
    <cellStyle name="Normal 9 3 11 2 3 3" xfId="23317" xr:uid="{00000000-0005-0000-0000-00002CB50000}"/>
    <cellStyle name="Normal 9 3 11 2 3 4" xfId="38809" xr:uid="{00000000-0005-0000-0000-00002DB50000}"/>
    <cellStyle name="Normal 9 3 11 2 4" xfId="11595" xr:uid="{00000000-0005-0000-0000-00002EB50000}"/>
    <cellStyle name="Normal 9 3 11 2 4 2" xfId="27187" xr:uid="{00000000-0005-0000-0000-00002FB50000}"/>
    <cellStyle name="Normal 9 3 11 2 4 3" xfId="42679" xr:uid="{00000000-0005-0000-0000-000030B50000}"/>
    <cellStyle name="Normal 9 3 11 2 5" xfId="19447" xr:uid="{00000000-0005-0000-0000-000031B50000}"/>
    <cellStyle name="Normal 9 3 11 2 6" xfId="34939" xr:uid="{00000000-0005-0000-0000-000032B50000}"/>
    <cellStyle name="Normal 9 3 11 3" xfId="4828" xr:uid="{00000000-0005-0000-0000-000033B50000}"/>
    <cellStyle name="Normal 9 3 11 3 2" xfId="8699" xr:uid="{00000000-0005-0000-0000-000034B50000}"/>
    <cellStyle name="Normal 9 3 11 3 2 2" xfId="16444" xr:uid="{00000000-0005-0000-0000-000035B50000}"/>
    <cellStyle name="Normal 9 3 11 3 2 2 2" xfId="32036" xr:uid="{00000000-0005-0000-0000-000036B50000}"/>
    <cellStyle name="Normal 9 3 11 3 2 2 3" xfId="47528" xr:uid="{00000000-0005-0000-0000-000037B50000}"/>
    <cellStyle name="Normal 9 3 11 3 2 3" xfId="24296" xr:uid="{00000000-0005-0000-0000-000038B50000}"/>
    <cellStyle name="Normal 9 3 11 3 2 4" xfId="39788" xr:uid="{00000000-0005-0000-0000-000039B50000}"/>
    <cellStyle name="Normal 9 3 11 3 3" xfId="12574" xr:uid="{00000000-0005-0000-0000-00003AB50000}"/>
    <cellStyle name="Normal 9 3 11 3 3 2" xfId="28166" xr:uid="{00000000-0005-0000-0000-00003BB50000}"/>
    <cellStyle name="Normal 9 3 11 3 3 3" xfId="43658" xr:uid="{00000000-0005-0000-0000-00003CB50000}"/>
    <cellStyle name="Normal 9 3 11 3 4" xfId="20426" xr:uid="{00000000-0005-0000-0000-00003DB50000}"/>
    <cellStyle name="Normal 9 3 11 3 5" xfId="35918" xr:uid="{00000000-0005-0000-0000-00003EB50000}"/>
    <cellStyle name="Normal 9 3 11 4" xfId="6772" xr:uid="{00000000-0005-0000-0000-00003FB50000}"/>
    <cellStyle name="Normal 9 3 11 4 2" xfId="14517" xr:uid="{00000000-0005-0000-0000-000040B50000}"/>
    <cellStyle name="Normal 9 3 11 4 2 2" xfId="30109" xr:uid="{00000000-0005-0000-0000-000041B50000}"/>
    <cellStyle name="Normal 9 3 11 4 2 3" xfId="45601" xr:uid="{00000000-0005-0000-0000-000042B50000}"/>
    <cellStyle name="Normal 9 3 11 4 3" xfId="22369" xr:uid="{00000000-0005-0000-0000-000043B50000}"/>
    <cellStyle name="Normal 9 3 11 4 4" xfId="37861" xr:uid="{00000000-0005-0000-0000-000044B50000}"/>
    <cellStyle name="Normal 9 3 11 5" xfId="10647" xr:uid="{00000000-0005-0000-0000-000045B50000}"/>
    <cellStyle name="Normal 9 3 11 5 2" xfId="26239" xr:uid="{00000000-0005-0000-0000-000046B50000}"/>
    <cellStyle name="Normal 9 3 11 5 3" xfId="41731" xr:uid="{00000000-0005-0000-0000-000047B50000}"/>
    <cellStyle name="Normal 9 3 11 6" xfId="18499" xr:uid="{00000000-0005-0000-0000-000048B50000}"/>
    <cellStyle name="Normal 9 3 11 7" xfId="33991" xr:uid="{00000000-0005-0000-0000-000049B50000}"/>
    <cellStyle name="Normal 9 3 12" xfId="2869" xr:uid="{00000000-0005-0000-0000-00004AB50000}"/>
    <cellStyle name="Normal 9 3 12 2" xfId="3875" xr:uid="{00000000-0005-0000-0000-00004BB50000}"/>
    <cellStyle name="Normal 9 3 12 2 2" xfId="5814" xr:uid="{00000000-0005-0000-0000-00004CB50000}"/>
    <cellStyle name="Normal 9 3 12 2 2 2" xfId="9685" xr:uid="{00000000-0005-0000-0000-00004DB50000}"/>
    <cellStyle name="Normal 9 3 12 2 2 2 2" xfId="17430" xr:uid="{00000000-0005-0000-0000-00004EB50000}"/>
    <cellStyle name="Normal 9 3 12 2 2 2 2 2" xfId="33022" xr:uid="{00000000-0005-0000-0000-00004FB50000}"/>
    <cellStyle name="Normal 9 3 12 2 2 2 2 3" xfId="48514" xr:uid="{00000000-0005-0000-0000-000050B50000}"/>
    <cellStyle name="Normal 9 3 12 2 2 2 3" xfId="25282" xr:uid="{00000000-0005-0000-0000-000051B50000}"/>
    <cellStyle name="Normal 9 3 12 2 2 2 4" xfId="40774" xr:uid="{00000000-0005-0000-0000-000052B50000}"/>
    <cellStyle name="Normal 9 3 12 2 2 3" xfId="13560" xr:uid="{00000000-0005-0000-0000-000053B50000}"/>
    <cellStyle name="Normal 9 3 12 2 2 3 2" xfId="29152" xr:uid="{00000000-0005-0000-0000-000054B50000}"/>
    <cellStyle name="Normal 9 3 12 2 2 3 3" xfId="44644" xr:uid="{00000000-0005-0000-0000-000055B50000}"/>
    <cellStyle name="Normal 9 3 12 2 2 4" xfId="21412" xr:uid="{00000000-0005-0000-0000-000056B50000}"/>
    <cellStyle name="Normal 9 3 12 2 2 5" xfId="36904" xr:uid="{00000000-0005-0000-0000-000057B50000}"/>
    <cellStyle name="Normal 9 3 12 2 3" xfId="7758" xr:uid="{00000000-0005-0000-0000-000058B50000}"/>
    <cellStyle name="Normal 9 3 12 2 3 2" xfId="15503" xr:uid="{00000000-0005-0000-0000-000059B50000}"/>
    <cellStyle name="Normal 9 3 12 2 3 2 2" xfId="31095" xr:uid="{00000000-0005-0000-0000-00005AB50000}"/>
    <cellStyle name="Normal 9 3 12 2 3 2 3" xfId="46587" xr:uid="{00000000-0005-0000-0000-00005BB50000}"/>
    <cellStyle name="Normal 9 3 12 2 3 3" xfId="23355" xr:uid="{00000000-0005-0000-0000-00005CB50000}"/>
    <cellStyle name="Normal 9 3 12 2 3 4" xfId="38847" xr:uid="{00000000-0005-0000-0000-00005DB50000}"/>
    <cellStyle name="Normal 9 3 12 2 4" xfId="11633" xr:uid="{00000000-0005-0000-0000-00005EB50000}"/>
    <cellStyle name="Normal 9 3 12 2 4 2" xfId="27225" xr:uid="{00000000-0005-0000-0000-00005FB50000}"/>
    <cellStyle name="Normal 9 3 12 2 4 3" xfId="42717" xr:uid="{00000000-0005-0000-0000-000060B50000}"/>
    <cellStyle name="Normal 9 3 12 2 5" xfId="19485" xr:uid="{00000000-0005-0000-0000-000061B50000}"/>
    <cellStyle name="Normal 9 3 12 2 6" xfId="34977" xr:uid="{00000000-0005-0000-0000-000062B50000}"/>
    <cellStyle name="Normal 9 3 12 3" xfId="4866" xr:uid="{00000000-0005-0000-0000-000063B50000}"/>
    <cellStyle name="Normal 9 3 12 3 2" xfId="8737" xr:uid="{00000000-0005-0000-0000-000064B50000}"/>
    <cellStyle name="Normal 9 3 12 3 2 2" xfId="16482" xr:uid="{00000000-0005-0000-0000-000065B50000}"/>
    <cellStyle name="Normal 9 3 12 3 2 2 2" xfId="32074" xr:uid="{00000000-0005-0000-0000-000066B50000}"/>
    <cellStyle name="Normal 9 3 12 3 2 2 3" xfId="47566" xr:uid="{00000000-0005-0000-0000-000067B50000}"/>
    <cellStyle name="Normal 9 3 12 3 2 3" xfId="24334" xr:uid="{00000000-0005-0000-0000-000068B50000}"/>
    <cellStyle name="Normal 9 3 12 3 2 4" xfId="39826" xr:uid="{00000000-0005-0000-0000-000069B50000}"/>
    <cellStyle name="Normal 9 3 12 3 3" xfId="12612" xr:uid="{00000000-0005-0000-0000-00006AB50000}"/>
    <cellStyle name="Normal 9 3 12 3 3 2" xfId="28204" xr:uid="{00000000-0005-0000-0000-00006BB50000}"/>
    <cellStyle name="Normal 9 3 12 3 3 3" xfId="43696" xr:uid="{00000000-0005-0000-0000-00006CB50000}"/>
    <cellStyle name="Normal 9 3 12 3 4" xfId="20464" xr:uid="{00000000-0005-0000-0000-00006DB50000}"/>
    <cellStyle name="Normal 9 3 12 3 5" xfId="35956" xr:uid="{00000000-0005-0000-0000-00006EB50000}"/>
    <cellStyle name="Normal 9 3 12 4" xfId="6810" xr:uid="{00000000-0005-0000-0000-00006FB50000}"/>
    <cellStyle name="Normal 9 3 12 4 2" xfId="14555" xr:uid="{00000000-0005-0000-0000-000070B50000}"/>
    <cellStyle name="Normal 9 3 12 4 2 2" xfId="30147" xr:uid="{00000000-0005-0000-0000-000071B50000}"/>
    <cellStyle name="Normal 9 3 12 4 2 3" xfId="45639" xr:uid="{00000000-0005-0000-0000-000072B50000}"/>
    <cellStyle name="Normal 9 3 12 4 3" xfId="22407" xr:uid="{00000000-0005-0000-0000-000073B50000}"/>
    <cellStyle name="Normal 9 3 12 4 4" xfId="37899" xr:uid="{00000000-0005-0000-0000-000074B50000}"/>
    <cellStyle name="Normal 9 3 12 5" xfId="10685" xr:uid="{00000000-0005-0000-0000-000075B50000}"/>
    <cellStyle name="Normal 9 3 12 5 2" xfId="26277" xr:uid="{00000000-0005-0000-0000-000076B50000}"/>
    <cellStyle name="Normal 9 3 12 5 3" xfId="41769" xr:uid="{00000000-0005-0000-0000-000077B50000}"/>
    <cellStyle name="Normal 9 3 12 6" xfId="18537" xr:uid="{00000000-0005-0000-0000-000078B50000}"/>
    <cellStyle name="Normal 9 3 12 7" xfId="34029" xr:uid="{00000000-0005-0000-0000-000079B50000}"/>
    <cellStyle name="Normal 9 3 13" xfId="2906" xr:uid="{00000000-0005-0000-0000-00007AB50000}"/>
    <cellStyle name="Normal 9 3 13 2" xfId="3911" xr:uid="{00000000-0005-0000-0000-00007BB50000}"/>
    <cellStyle name="Normal 9 3 13 2 2" xfId="5850" xr:uid="{00000000-0005-0000-0000-00007CB50000}"/>
    <cellStyle name="Normal 9 3 13 2 2 2" xfId="9721" xr:uid="{00000000-0005-0000-0000-00007DB50000}"/>
    <cellStyle name="Normal 9 3 13 2 2 2 2" xfId="17466" xr:uid="{00000000-0005-0000-0000-00007EB50000}"/>
    <cellStyle name="Normal 9 3 13 2 2 2 2 2" xfId="33058" xr:uid="{00000000-0005-0000-0000-00007FB50000}"/>
    <cellStyle name="Normal 9 3 13 2 2 2 2 3" xfId="48550" xr:uid="{00000000-0005-0000-0000-000080B50000}"/>
    <cellStyle name="Normal 9 3 13 2 2 2 3" xfId="25318" xr:uid="{00000000-0005-0000-0000-000081B50000}"/>
    <cellStyle name="Normal 9 3 13 2 2 2 4" xfId="40810" xr:uid="{00000000-0005-0000-0000-000082B50000}"/>
    <cellStyle name="Normal 9 3 13 2 2 3" xfId="13596" xr:uid="{00000000-0005-0000-0000-000083B50000}"/>
    <cellStyle name="Normal 9 3 13 2 2 3 2" xfId="29188" xr:uid="{00000000-0005-0000-0000-000084B50000}"/>
    <cellStyle name="Normal 9 3 13 2 2 3 3" xfId="44680" xr:uid="{00000000-0005-0000-0000-000085B50000}"/>
    <cellStyle name="Normal 9 3 13 2 2 4" xfId="21448" xr:uid="{00000000-0005-0000-0000-000086B50000}"/>
    <cellStyle name="Normal 9 3 13 2 2 5" xfId="36940" xr:uid="{00000000-0005-0000-0000-000087B50000}"/>
    <cellStyle name="Normal 9 3 13 2 3" xfId="7794" xr:uid="{00000000-0005-0000-0000-000088B50000}"/>
    <cellStyle name="Normal 9 3 13 2 3 2" xfId="15539" xr:uid="{00000000-0005-0000-0000-000089B50000}"/>
    <cellStyle name="Normal 9 3 13 2 3 2 2" xfId="31131" xr:uid="{00000000-0005-0000-0000-00008AB50000}"/>
    <cellStyle name="Normal 9 3 13 2 3 2 3" xfId="46623" xr:uid="{00000000-0005-0000-0000-00008BB50000}"/>
    <cellStyle name="Normal 9 3 13 2 3 3" xfId="23391" xr:uid="{00000000-0005-0000-0000-00008CB50000}"/>
    <cellStyle name="Normal 9 3 13 2 3 4" xfId="38883" xr:uid="{00000000-0005-0000-0000-00008DB50000}"/>
    <cellStyle name="Normal 9 3 13 2 4" xfId="11669" xr:uid="{00000000-0005-0000-0000-00008EB50000}"/>
    <cellStyle name="Normal 9 3 13 2 4 2" xfId="27261" xr:uid="{00000000-0005-0000-0000-00008FB50000}"/>
    <cellStyle name="Normal 9 3 13 2 4 3" xfId="42753" xr:uid="{00000000-0005-0000-0000-000090B50000}"/>
    <cellStyle name="Normal 9 3 13 2 5" xfId="19521" xr:uid="{00000000-0005-0000-0000-000091B50000}"/>
    <cellStyle name="Normal 9 3 13 2 6" xfId="35013" xr:uid="{00000000-0005-0000-0000-000092B50000}"/>
    <cellStyle name="Normal 9 3 13 3" xfId="4902" xr:uid="{00000000-0005-0000-0000-000093B50000}"/>
    <cellStyle name="Normal 9 3 13 3 2" xfId="8773" xr:uid="{00000000-0005-0000-0000-000094B50000}"/>
    <cellStyle name="Normal 9 3 13 3 2 2" xfId="16518" xr:uid="{00000000-0005-0000-0000-000095B50000}"/>
    <cellStyle name="Normal 9 3 13 3 2 2 2" xfId="32110" xr:uid="{00000000-0005-0000-0000-000096B50000}"/>
    <cellStyle name="Normal 9 3 13 3 2 2 3" xfId="47602" xr:uid="{00000000-0005-0000-0000-000097B50000}"/>
    <cellStyle name="Normal 9 3 13 3 2 3" xfId="24370" xr:uid="{00000000-0005-0000-0000-000098B50000}"/>
    <cellStyle name="Normal 9 3 13 3 2 4" xfId="39862" xr:uid="{00000000-0005-0000-0000-000099B50000}"/>
    <cellStyle name="Normal 9 3 13 3 3" xfId="12648" xr:uid="{00000000-0005-0000-0000-00009AB50000}"/>
    <cellStyle name="Normal 9 3 13 3 3 2" xfId="28240" xr:uid="{00000000-0005-0000-0000-00009BB50000}"/>
    <cellStyle name="Normal 9 3 13 3 3 3" xfId="43732" xr:uid="{00000000-0005-0000-0000-00009CB50000}"/>
    <cellStyle name="Normal 9 3 13 3 4" xfId="20500" xr:uid="{00000000-0005-0000-0000-00009DB50000}"/>
    <cellStyle name="Normal 9 3 13 3 5" xfId="35992" xr:uid="{00000000-0005-0000-0000-00009EB50000}"/>
    <cellStyle name="Normal 9 3 13 4" xfId="6846" xr:uid="{00000000-0005-0000-0000-00009FB50000}"/>
    <cellStyle name="Normal 9 3 13 4 2" xfId="14591" xr:uid="{00000000-0005-0000-0000-0000A0B50000}"/>
    <cellStyle name="Normal 9 3 13 4 2 2" xfId="30183" xr:uid="{00000000-0005-0000-0000-0000A1B50000}"/>
    <cellStyle name="Normal 9 3 13 4 2 3" xfId="45675" xr:uid="{00000000-0005-0000-0000-0000A2B50000}"/>
    <cellStyle name="Normal 9 3 13 4 3" xfId="22443" xr:uid="{00000000-0005-0000-0000-0000A3B50000}"/>
    <cellStyle name="Normal 9 3 13 4 4" xfId="37935" xr:uid="{00000000-0005-0000-0000-0000A4B50000}"/>
    <cellStyle name="Normal 9 3 13 5" xfId="10721" xr:uid="{00000000-0005-0000-0000-0000A5B50000}"/>
    <cellStyle name="Normal 9 3 13 5 2" xfId="26313" xr:uid="{00000000-0005-0000-0000-0000A6B50000}"/>
    <cellStyle name="Normal 9 3 13 5 3" xfId="41805" xr:uid="{00000000-0005-0000-0000-0000A7B50000}"/>
    <cellStyle name="Normal 9 3 13 6" xfId="18573" xr:uid="{00000000-0005-0000-0000-0000A8B50000}"/>
    <cellStyle name="Normal 9 3 13 7" xfId="34065" xr:uid="{00000000-0005-0000-0000-0000A9B50000}"/>
    <cellStyle name="Normal 9 3 14" xfId="2943" xr:uid="{00000000-0005-0000-0000-0000AAB50000}"/>
    <cellStyle name="Normal 9 3 14 2" xfId="3947" xr:uid="{00000000-0005-0000-0000-0000ABB50000}"/>
    <cellStyle name="Normal 9 3 14 2 2" xfId="5886" xr:uid="{00000000-0005-0000-0000-0000ACB50000}"/>
    <cellStyle name="Normal 9 3 14 2 2 2" xfId="9757" xr:uid="{00000000-0005-0000-0000-0000ADB50000}"/>
    <cellStyle name="Normal 9 3 14 2 2 2 2" xfId="17502" xr:uid="{00000000-0005-0000-0000-0000AEB50000}"/>
    <cellStyle name="Normal 9 3 14 2 2 2 2 2" xfId="33094" xr:uid="{00000000-0005-0000-0000-0000AFB50000}"/>
    <cellStyle name="Normal 9 3 14 2 2 2 2 3" xfId="48586" xr:uid="{00000000-0005-0000-0000-0000B0B50000}"/>
    <cellStyle name="Normal 9 3 14 2 2 2 3" xfId="25354" xr:uid="{00000000-0005-0000-0000-0000B1B50000}"/>
    <cellStyle name="Normal 9 3 14 2 2 2 4" xfId="40846" xr:uid="{00000000-0005-0000-0000-0000B2B50000}"/>
    <cellStyle name="Normal 9 3 14 2 2 3" xfId="13632" xr:uid="{00000000-0005-0000-0000-0000B3B50000}"/>
    <cellStyle name="Normal 9 3 14 2 2 3 2" xfId="29224" xr:uid="{00000000-0005-0000-0000-0000B4B50000}"/>
    <cellStyle name="Normal 9 3 14 2 2 3 3" xfId="44716" xr:uid="{00000000-0005-0000-0000-0000B5B50000}"/>
    <cellStyle name="Normal 9 3 14 2 2 4" xfId="21484" xr:uid="{00000000-0005-0000-0000-0000B6B50000}"/>
    <cellStyle name="Normal 9 3 14 2 2 5" xfId="36976" xr:uid="{00000000-0005-0000-0000-0000B7B50000}"/>
    <cellStyle name="Normal 9 3 14 2 3" xfId="7830" xr:uid="{00000000-0005-0000-0000-0000B8B50000}"/>
    <cellStyle name="Normal 9 3 14 2 3 2" xfId="15575" xr:uid="{00000000-0005-0000-0000-0000B9B50000}"/>
    <cellStyle name="Normal 9 3 14 2 3 2 2" xfId="31167" xr:uid="{00000000-0005-0000-0000-0000BAB50000}"/>
    <cellStyle name="Normal 9 3 14 2 3 2 3" xfId="46659" xr:uid="{00000000-0005-0000-0000-0000BBB50000}"/>
    <cellStyle name="Normal 9 3 14 2 3 3" xfId="23427" xr:uid="{00000000-0005-0000-0000-0000BCB50000}"/>
    <cellStyle name="Normal 9 3 14 2 3 4" xfId="38919" xr:uid="{00000000-0005-0000-0000-0000BDB50000}"/>
    <cellStyle name="Normal 9 3 14 2 4" xfId="11705" xr:uid="{00000000-0005-0000-0000-0000BEB50000}"/>
    <cellStyle name="Normal 9 3 14 2 4 2" xfId="27297" xr:uid="{00000000-0005-0000-0000-0000BFB50000}"/>
    <cellStyle name="Normal 9 3 14 2 4 3" xfId="42789" xr:uid="{00000000-0005-0000-0000-0000C0B50000}"/>
    <cellStyle name="Normal 9 3 14 2 5" xfId="19557" xr:uid="{00000000-0005-0000-0000-0000C1B50000}"/>
    <cellStyle name="Normal 9 3 14 2 6" xfId="35049" xr:uid="{00000000-0005-0000-0000-0000C2B50000}"/>
    <cellStyle name="Normal 9 3 14 3" xfId="4938" xr:uid="{00000000-0005-0000-0000-0000C3B50000}"/>
    <cellStyle name="Normal 9 3 14 3 2" xfId="8809" xr:uid="{00000000-0005-0000-0000-0000C4B50000}"/>
    <cellStyle name="Normal 9 3 14 3 2 2" xfId="16554" xr:uid="{00000000-0005-0000-0000-0000C5B50000}"/>
    <cellStyle name="Normal 9 3 14 3 2 2 2" xfId="32146" xr:uid="{00000000-0005-0000-0000-0000C6B50000}"/>
    <cellStyle name="Normal 9 3 14 3 2 2 3" xfId="47638" xr:uid="{00000000-0005-0000-0000-0000C7B50000}"/>
    <cellStyle name="Normal 9 3 14 3 2 3" xfId="24406" xr:uid="{00000000-0005-0000-0000-0000C8B50000}"/>
    <cellStyle name="Normal 9 3 14 3 2 4" xfId="39898" xr:uid="{00000000-0005-0000-0000-0000C9B50000}"/>
    <cellStyle name="Normal 9 3 14 3 3" xfId="12684" xr:uid="{00000000-0005-0000-0000-0000CAB50000}"/>
    <cellStyle name="Normal 9 3 14 3 3 2" xfId="28276" xr:uid="{00000000-0005-0000-0000-0000CBB50000}"/>
    <cellStyle name="Normal 9 3 14 3 3 3" xfId="43768" xr:uid="{00000000-0005-0000-0000-0000CCB50000}"/>
    <cellStyle name="Normal 9 3 14 3 4" xfId="20536" xr:uid="{00000000-0005-0000-0000-0000CDB50000}"/>
    <cellStyle name="Normal 9 3 14 3 5" xfId="36028" xr:uid="{00000000-0005-0000-0000-0000CEB50000}"/>
    <cellStyle name="Normal 9 3 14 4" xfId="6882" xr:uid="{00000000-0005-0000-0000-0000CFB50000}"/>
    <cellStyle name="Normal 9 3 14 4 2" xfId="14627" xr:uid="{00000000-0005-0000-0000-0000D0B50000}"/>
    <cellStyle name="Normal 9 3 14 4 2 2" xfId="30219" xr:uid="{00000000-0005-0000-0000-0000D1B50000}"/>
    <cellStyle name="Normal 9 3 14 4 2 3" xfId="45711" xr:uid="{00000000-0005-0000-0000-0000D2B50000}"/>
    <cellStyle name="Normal 9 3 14 4 3" xfId="22479" xr:uid="{00000000-0005-0000-0000-0000D3B50000}"/>
    <cellStyle name="Normal 9 3 14 4 4" xfId="37971" xr:uid="{00000000-0005-0000-0000-0000D4B50000}"/>
    <cellStyle name="Normal 9 3 14 5" xfId="10757" xr:uid="{00000000-0005-0000-0000-0000D5B50000}"/>
    <cellStyle name="Normal 9 3 14 5 2" xfId="26349" xr:uid="{00000000-0005-0000-0000-0000D6B50000}"/>
    <cellStyle name="Normal 9 3 14 5 3" xfId="41841" xr:uid="{00000000-0005-0000-0000-0000D7B50000}"/>
    <cellStyle name="Normal 9 3 14 6" xfId="18609" xr:uid="{00000000-0005-0000-0000-0000D8B50000}"/>
    <cellStyle name="Normal 9 3 14 7" xfId="34101" xr:uid="{00000000-0005-0000-0000-0000D9B50000}"/>
    <cellStyle name="Normal 9 3 15" xfId="2982" xr:uid="{00000000-0005-0000-0000-0000DAB50000}"/>
    <cellStyle name="Normal 9 3 15 2" xfId="3983" xr:uid="{00000000-0005-0000-0000-0000DBB50000}"/>
    <cellStyle name="Normal 9 3 15 2 2" xfId="5922" xr:uid="{00000000-0005-0000-0000-0000DCB50000}"/>
    <cellStyle name="Normal 9 3 15 2 2 2" xfId="9793" xr:uid="{00000000-0005-0000-0000-0000DDB50000}"/>
    <cellStyle name="Normal 9 3 15 2 2 2 2" xfId="17538" xr:uid="{00000000-0005-0000-0000-0000DEB50000}"/>
    <cellStyle name="Normal 9 3 15 2 2 2 2 2" xfId="33130" xr:uid="{00000000-0005-0000-0000-0000DFB50000}"/>
    <cellStyle name="Normal 9 3 15 2 2 2 2 3" xfId="48622" xr:uid="{00000000-0005-0000-0000-0000E0B50000}"/>
    <cellStyle name="Normal 9 3 15 2 2 2 3" xfId="25390" xr:uid="{00000000-0005-0000-0000-0000E1B50000}"/>
    <cellStyle name="Normal 9 3 15 2 2 2 4" xfId="40882" xr:uid="{00000000-0005-0000-0000-0000E2B50000}"/>
    <cellStyle name="Normal 9 3 15 2 2 3" xfId="13668" xr:uid="{00000000-0005-0000-0000-0000E3B50000}"/>
    <cellStyle name="Normal 9 3 15 2 2 3 2" xfId="29260" xr:uid="{00000000-0005-0000-0000-0000E4B50000}"/>
    <cellStyle name="Normal 9 3 15 2 2 3 3" xfId="44752" xr:uid="{00000000-0005-0000-0000-0000E5B50000}"/>
    <cellStyle name="Normal 9 3 15 2 2 4" xfId="21520" xr:uid="{00000000-0005-0000-0000-0000E6B50000}"/>
    <cellStyle name="Normal 9 3 15 2 2 5" xfId="37012" xr:uid="{00000000-0005-0000-0000-0000E7B50000}"/>
    <cellStyle name="Normal 9 3 15 2 3" xfId="7866" xr:uid="{00000000-0005-0000-0000-0000E8B50000}"/>
    <cellStyle name="Normal 9 3 15 2 3 2" xfId="15611" xr:uid="{00000000-0005-0000-0000-0000E9B50000}"/>
    <cellStyle name="Normal 9 3 15 2 3 2 2" xfId="31203" xr:uid="{00000000-0005-0000-0000-0000EAB50000}"/>
    <cellStyle name="Normal 9 3 15 2 3 2 3" xfId="46695" xr:uid="{00000000-0005-0000-0000-0000EBB50000}"/>
    <cellStyle name="Normal 9 3 15 2 3 3" xfId="23463" xr:uid="{00000000-0005-0000-0000-0000ECB50000}"/>
    <cellStyle name="Normal 9 3 15 2 3 4" xfId="38955" xr:uid="{00000000-0005-0000-0000-0000EDB50000}"/>
    <cellStyle name="Normal 9 3 15 2 4" xfId="11741" xr:uid="{00000000-0005-0000-0000-0000EEB50000}"/>
    <cellStyle name="Normal 9 3 15 2 4 2" xfId="27333" xr:uid="{00000000-0005-0000-0000-0000EFB50000}"/>
    <cellStyle name="Normal 9 3 15 2 4 3" xfId="42825" xr:uid="{00000000-0005-0000-0000-0000F0B50000}"/>
    <cellStyle name="Normal 9 3 15 2 5" xfId="19593" xr:uid="{00000000-0005-0000-0000-0000F1B50000}"/>
    <cellStyle name="Normal 9 3 15 2 6" xfId="35085" xr:uid="{00000000-0005-0000-0000-0000F2B50000}"/>
    <cellStyle name="Normal 9 3 15 3" xfId="4974" xr:uid="{00000000-0005-0000-0000-0000F3B50000}"/>
    <cellStyle name="Normal 9 3 15 3 2" xfId="8845" xr:uid="{00000000-0005-0000-0000-0000F4B50000}"/>
    <cellStyle name="Normal 9 3 15 3 2 2" xfId="16590" xr:uid="{00000000-0005-0000-0000-0000F5B50000}"/>
    <cellStyle name="Normal 9 3 15 3 2 2 2" xfId="32182" xr:uid="{00000000-0005-0000-0000-0000F6B50000}"/>
    <cellStyle name="Normal 9 3 15 3 2 2 3" xfId="47674" xr:uid="{00000000-0005-0000-0000-0000F7B50000}"/>
    <cellStyle name="Normal 9 3 15 3 2 3" xfId="24442" xr:uid="{00000000-0005-0000-0000-0000F8B50000}"/>
    <cellStyle name="Normal 9 3 15 3 2 4" xfId="39934" xr:uid="{00000000-0005-0000-0000-0000F9B50000}"/>
    <cellStyle name="Normal 9 3 15 3 3" xfId="12720" xr:uid="{00000000-0005-0000-0000-0000FAB50000}"/>
    <cellStyle name="Normal 9 3 15 3 3 2" xfId="28312" xr:uid="{00000000-0005-0000-0000-0000FBB50000}"/>
    <cellStyle name="Normal 9 3 15 3 3 3" xfId="43804" xr:uid="{00000000-0005-0000-0000-0000FCB50000}"/>
    <cellStyle name="Normal 9 3 15 3 4" xfId="20572" xr:uid="{00000000-0005-0000-0000-0000FDB50000}"/>
    <cellStyle name="Normal 9 3 15 3 5" xfId="36064" xr:uid="{00000000-0005-0000-0000-0000FEB50000}"/>
    <cellStyle name="Normal 9 3 15 4" xfId="6918" xr:uid="{00000000-0005-0000-0000-0000FFB50000}"/>
    <cellStyle name="Normal 9 3 15 4 2" xfId="14663" xr:uid="{00000000-0005-0000-0000-000000B60000}"/>
    <cellStyle name="Normal 9 3 15 4 2 2" xfId="30255" xr:uid="{00000000-0005-0000-0000-000001B60000}"/>
    <cellStyle name="Normal 9 3 15 4 2 3" xfId="45747" xr:uid="{00000000-0005-0000-0000-000002B60000}"/>
    <cellStyle name="Normal 9 3 15 4 3" xfId="22515" xr:uid="{00000000-0005-0000-0000-000003B60000}"/>
    <cellStyle name="Normal 9 3 15 4 4" xfId="38007" xr:uid="{00000000-0005-0000-0000-000004B60000}"/>
    <cellStyle name="Normal 9 3 15 5" xfId="10793" xr:uid="{00000000-0005-0000-0000-000005B60000}"/>
    <cellStyle name="Normal 9 3 15 5 2" xfId="26385" xr:uid="{00000000-0005-0000-0000-000006B60000}"/>
    <cellStyle name="Normal 9 3 15 5 3" xfId="41877" xr:uid="{00000000-0005-0000-0000-000007B60000}"/>
    <cellStyle name="Normal 9 3 15 6" xfId="18645" xr:uid="{00000000-0005-0000-0000-000008B60000}"/>
    <cellStyle name="Normal 9 3 15 7" xfId="34137" xr:uid="{00000000-0005-0000-0000-000009B60000}"/>
    <cellStyle name="Normal 9 3 16" xfId="3022" xr:uid="{00000000-0005-0000-0000-00000AB60000}"/>
    <cellStyle name="Normal 9 3 16 2" xfId="4019" xr:uid="{00000000-0005-0000-0000-00000BB60000}"/>
    <cellStyle name="Normal 9 3 16 2 2" xfId="5958" xr:uid="{00000000-0005-0000-0000-00000CB60000}"/>
    <cellStyle name="Normal 9 3 16 2 2 2" xfId="9829" xr:uid="{00000000-0005-0000-0000-00000DB60000}"/>
    <cellStyle name="Normal 9 3 16 2 2 2 2" xfId="17574" xr:uid="{00000000-0005-0000-0000-00000EB60000}"/>
    <cellStyle name="Normal 9 3 16 2 2 2 2 2" xfId="33166" xr:uid="{00000000-0005-0000-0000-00000FB60000}"/>
    <cellStyle name="Normal 9 3 16 2 2 2 2 3" xfId="48658" xr:uid="{00000000-0005-0000-0000-000010B60000}"/>
    <cellStyle name="Normal 9 3 16 2 2 2 3" xfId="25426" xr:uid="{00000000-0005-0000-0000-000011B60000}"/>
    <cellStyle name="Normal 9 3 16 2 2 2 4" xfId="40918" xr:uid="{00000000-0005-0000-0000-000012B60000}"/>
    <cellStyle name="Normal 9 3 16 2 2 3" xfId="13704" xr:uid="{00000000-0005-0000-0000-000013B60000}"/>
    <cellStyle name="Normal 9 3 16 2 2 3 2" xfId="29296" xr:uid="{00000000-0005-0000-0000-000014B60000}"/>
    <cellStyle name="Normal 9 3 16 2 2 3 3" xfId="44788" xr:uid="{00000000-0005-0000-0000-000015B60000}"/>
    <cellStyle name="Normal 9 3 16 2 2 4" xfId="21556" xr:uid="{00000000-0005-0000-0000-000016B60000}"/>
    <cellStyle name="Normal 9 3 16 2 2 5" xfId="37048" xr:uid="{00000000-0005-0000-0000-000017B60000}"/>
    <cellStyle name="Normal 9 3 16 2 3" xfId="7902" xr:uid="{00000000-0005-0000-0000-000018B60000}"/>
    <cellStyle name="Normal 9 3 16 2 3 2" xfId="15647" xr:uid="{00000000-0005-0000-0000-000019B60000}"/>
    <cellStyle name="Normal 9 3 16 2 3 2 2" xfId="31239" xr:uid="{00000000-0005-0000-0000-00001AB60000}"/>
    <cellStyle name="Normal 9 3 16 2 3 2 3" xfId="46731" xr:uid="{00000000-0005-0000-0000-00001BB60000}"/>
    <cellStyle name="Normal 9 3 16 2 3 3" xfId="23499" xr:uid="{00000000-0005-0000-0000-00001CB60000}"/>
    <cellStyle name="Normal 9 3 16 2 3 4" xfId="38991" xr:uid="{00000000-0005-0000-0000-00001DB60000}"/>
    <cellStyle name="Normal 9 3 16 2 4" xfId="11777" xr:uid="{00000000-0005-0000-0000-00001EB60000}"/>
    <cellStyle name="Normal 9 3 16 2 4 2" xfId="27369" xr:uid="{00000000-0005-0000-0000-00001FB60000}"/>
    <cellStyle name="Normal 9 3 16 2 4 3" xfId="42861" xr:uid="{00000000-0005-0000-0000-000020B60000}"/>
    <cellStyle name="Normal 9 3 16 2 5" xfId="19629" xr:uid="{00000000-0005-0000-0000-000021B60000}"/>
    <cellStyle name="Normal 9 3 16 2 6" xfId="35121" xr:uid="{00000000-0005-0000-0000-000022B60000}"/>
    <cellStyle name="Normal 9 3 16 3" xfId="5010" xr:uid="{00000000-0005-0000-0000-000023B60000}"/>
    <cellStyle name="Normal 9 3 16 3 2" xfId="8881" xr:uid="{00000000-0005-0000-0000-000024B60000}"/>
    <cellStyle name="Normal 9 3 16 3 2 2" xfId="16626" xr:uid="{00000000-0005-0000-0000-000025B60000}"/>
    <cellStyle name="Normal 9 3 16 3 2 2 2" xfId="32218" xr:uid="{00000000-0005-0000-0000-000026B60000}"/>
    <cellStyle name="Normal 9 3 16 3 2 2 3" xfId="47710" xr:uid="{00000000-0005-0000-0000-000027B60000}"/>
    <cellStyle name="Normal 9 3 16 3 2 3" xfId="24478" xr:uid="{00000000-0005-0000-0000-000028B60000}"/>
    <cellStyle name="Normal 9 3 16 3 2 4" xfId="39970" xr:uid="{00000000-0005-0000-0000-000029B60000}"/>
    <cellStyle name="Normal 9 3 16 3 3" xfId="12756" xr:uid="{00000000-0005-0000-0000-00002AB60000}"/>
    <cellStyle name="Normal 9 3 16 3 3 2" xfId="28348" xr:uid="{00000000-0005-0000-0000-00002BB60000}"/>
    <cellStyle name="Normal 9 3 16 3 3 3" xfId="43840" xr:uid="{00000000-0005-0000-0000-00002CB60000}"/>
    <cellStyle name="Normal 9 3 16 3 4" xfId="20608" xr:uid="{00000000-0005-0000-0000-00002DB60000}"/>
    <cellStyle name="Normal 9 3 16 3 5" xfId="36100" xr:uid="{00000000-0005-0000-0000-00002EB60000}"/>
    <cellStyle name="Normal 9 3 16 4" xfId="6954" xr:uid="{00000000-0005-0000-0000-00002FB60000}"/>
    <cellStyle name="Normal 9 3 16 4 2" xfId="14699" xr:uid="{00000000-0005-0000-0000-000030B60000}"/>
    <cellStyle name="Normal 9 3 16 4 2 2" xfId="30291" xr:uid="{00000000-0005-0000-0000-000031B60000}"/>
    <cellStyle name="Normal 9 3 16 4 2 3" xfId="45783" xr:uid="{00000000-0005-0000-0000-000032B60000}"/>
    <cellStyle name="Normal 9 3 16 4 3" xfId="22551" xr:uid="{00000000-0005-0000-0000-000033B60000}"/>
    <cellStyle name="Normal 9 3 16 4 4" xfId="38043" xr:uid="{00000000-0005-0000-0000-000034B60000}"/>
    <cellStyle name="Normal 9 3 16 5" xfId="10829" xr:uid="{00000000-0005-0000-0000-000035B60000}"/>
    <cellStyle name="Normal 9 3 16 5 2" xfId="26421" xr:uid="{00000000-0005-0000-0000-000036B60000}"/>
    <cellStyle name="Normal 9 3 16 5 3" xfId="41913" xr:uid="{00000000-0005-0000-0000-000037B60000}"/>
    <cellStyle name="Normal 9 3 16 6" xfId="18681" xr:uid="{00000000-0005-0000-0000-000038B60000}"/>
    <cellStyle name="Normal 9 3 16 7" xfId="34173" xr:uid="{00000000-0005-0000-0000-000039B60000}"/>
    <cellStyle name="Normal 9 3 17" xfId="3060" xr:uid="{00000000-0005-0000-0000-00003AB60000}"/>
    <cellStyle name="Normal 9 3 17 2" xfId="4055" xr:uid="{00000000-0005-0000-0000-00003BB60000}"/>
    <cellStyle name="Normal 9 3 17 2 2" xfId="5994" xr:uid="{00000000-0005-0000-0000-00003CB60000}"/>
    <cellStyle name="Normal 9 3 17 2 2 2" xfId="9865" xr:uid="{00000000-0005-0000-0000-00003DB60000}"/>
    <cellStyle name="Normal 9 3 17 2 2 2 2" xfId="17610" xr:uid="{00000000-0005-0000-0000-00003EB60000}"/>
    <cellStyle name="Normal 9 3 17 2 2 2 2 2" xfId="33202" xr:uid="{00000000-0005-0000-0000-00003FB60000}"/>
    <cellStyle name="Normal 9 3 17 2 2 2 2 3" xfId="48694" xr:uid="{00000000-0005-0000-0000-000040B60000}"/>
    <cellStyle name="Normal 9 3 17 2 2 2 3" xfId="25462" xr:uid="{00000000-0005-0000-0000-000041B60000}"/>
    <cellStyle name="Normal 9 3 17 2 2 2 4" xfId="40954" xr:uid="{00000000-0005-0000-0000-000042B60000}"/>
    <cellStyle name="Normal 9 3 17 2 2 3" xfId="13740" xr:uid="{00000000-0005-0000-0000-000043B60000}"/>
    <cellStyle name="Normal 9 3 17 2 2 3 2" xfId="29332" xr:uid="{00000000-0005-0000-0000-000044B60000}"/>
    <cellStyle name="Normal 9 3 17 2 2 3 3" xfId="44824" xr:uid="{00000000-0005-0000-0000-000045B60000}"/>
    <cellStyle name="Normal 9 3 17 2 2 4" xfId="21592" xr:uid="{00000000-0005-0000-0000-000046B60000}"/>
    <cellStyle name="Normal 9 3 17 2 2 5" xfId="37084" xr:uid="{00000000-0005-0000-0000-000047B60000}"/>
    <cellStyle name="Normal 9 3 17 2 3" xfId="7938" xr:uid="{00000000-0005-0000-0000-000048B60000}"/>
    <cellStyle name="Normal 9 3 17 2 3 2" xfId="15683" xr:uid="{00000000-0005-0000-0000-000049B60000}"/>
    <cellStyle name="Normal 9 3 17 2 3 2 2" xfId="31275" xr:uid="{00000000-0005-0000-0000-00004AB60000}"/>
    <cellStyle name="Normal 9 3 17 2 3 2 3" xfId="46767" xr:uid="{00000000-0005-0000-0000-00004BB60000}"/>
    <cellStyle name="Normal 9 3 17 2 3 3" xfId="23535" xr:uid="{00000000-0005-0000-0000-00004CB60000}"/>
    <cellStyle name="Normal 9 3 17 2 3 4" xfId="39027" xr:uid="{00000000-0005-0000-0000-00004DB60000}"/>
    <cellStyle name="Normal 9 3 17 2 4" xfId="11813" xr:uid="{00000000-0005-0000-0000-00004EB60000}"/>
    <cellStyle name="Normal 9 3 17 2 4 2" xfId="27405" xr:uid="{00000000-0005-0000-0000-00004FB60000}"/>
    <cellStyle name="Normal 9 3 17 2 4 3" xfId="42897" xr:uid="{00000000-0005-0000-0000-000050B60000}"/>
    <cellStyle name="Normal 9 3 17 2 5" xfId="19665" xr:uid="{00000000-0005-0000-0000-000051B60000}"/>
    <cellStyle name="Normal 9 3 17 2 6" xfId="35157" xr:uid="{00000000-0005-0000-0000-000052B60000}"/>
    <cellStyle name="Normal 9 3 17 3" xfId="5046" xr:uid="{00000000-0005-0000-0000-000053B60000}"/>
    <cellStyle name="Normal 9 3 17 3 2" xfId="8917" xr:uid="{00000000-0005-0000-0000-000054B60000}"/>
    <cellStyle name="Normal 9 3 17 3 2 2" xfId="16662" xr:uid="{00000000-0005-0000-0000-000055B60000}"/>
    <cellStyle name="Normal 9 3 17 3 2 2 2" xfId="32254" xr:uid="{00000000-0005-0000-0000-000056B60000}"/>
    <cellStyle name="Normal 9 3 17 3 2 2 3" xfId="47746" xr:uid="{00000000-0005-0000-0000-000057B60000}"/>
    <cellStyle name="Normal 9 3 17 3 2 3" xfId="24514" xr:uid="{00000000-0005-0000-0000-000058B60000}"/>
    <cellStyle name="Normal 9 3 17 3 2 4" xfId="40006" xr:uid="{00000000-0005-0000-0000-000059B60000}"/>
    <cellStyle name="Normal 9 3 17 3 3" xfId="12792" xr:uid="{00000000-0005-0000-0000-00005AB60000}"/>
    <cellStyle name="Normal 9 3 17 3 3 2" xfId="28384" xr:uid="{00000000-0005-0000-0000-00005BB60000}"/>
    <cellStyle name="Normal 9 3 17 3 3 3" xfId="43876" xr:uid="{00000000-0005-0000-0000-00005CB60000}"/>
    <cellStyle name="Normal 9 3 17 3 4" xfId="20644" xr:uid="{00000000-0005-0000-0000-00005DB60000}"/>
    <cellStyle name="Normal 9 3 17 3 5" xfId="36136" xr:uid="{00000000-0005-0000-0000-00005EB60000}"/>
    <cellStyle name="Normal 9 3 17 4" xfId="6990" xr:uid="{00000000-0005-0000-0000-00005FB60000}"/>
    <cellStyle name="Normal 9 3 17 4 2" xfId="14735" xr:uid="{00000000-0005-0000-0000-000060B60000}"/>
    <cellStyle name="Normal 9 3 17 4 2 2" xfId="30327" xr:uid="{00000000-0005-0000-0000-000061B60000}"/>
    <cellStyle name="Normal 9 3 17 4 2 3" xfId="45819" xr:uid="{00000000-0005-0000-0000-000062B60000}"/>
    <cellStyle name="Normal 9 3 17 4 3" xfId="22587" xr:uid="{00000000-0005-0000-0000-000063B60000}"/>
    <cellStyle name="Normal 9 3 17 4 4" xfId="38079" xr:uid="{00000000-0005-0000-0000-000064B60000}"/>
    <cellStyle name="Normal 9 3 17 5" xfId="10865" xr:uid="{00000000-0005-0000-0000-000065B60000}"/>
    <cellStyle name="Normal 9 3 17 5 2" xfId="26457" xr:uid="{00000000-0005-0000-0000-000066B60000}"/>
    <cellStyle name="Normal 9 3 17 5 3" xfId="41949" xr:uid="{00000000-0005-0000-0000-000067B60000}"/>
    <cellStyle name="Normal 9 3 17 6" xfId="18717" xr:uid="{00000000-0005-0000-0000-000068B60000}"/>
    <cellStyle name="Normal 9 3 17 7" xfId="34209" xr:uid="{00000000-0005-0000-0000-000069B60000}"/>
    <cellStyle name="Normal 9 3 18" xfId="3097" xr:uid="{00000000-0005-0000-0000-00006AB60000}"/>
    <cellStyle name="Normal 9 3 18 2" xfId="4091" xr:uid="{00000000-0005-0000-0000-00006BB60000}"/>
    <cellStyle name="Normal 9 3 18 2 2" xfId="6030" xr:uid="{00000000-0005-0000-0000-00006CB60000}"/>
    <cellStyle name="Normal 9 3 18 2 2 2" xfId="9901" xr:uid="{00000000-0005-0000-0000-00006DB60000}"/>
    <cellStyle name="Normal 9 3 18 2 2 2 2" xfId="17646" xr:uid="{00000000-0005-0000-0000-00006EB60000}"/>
    <cellStyle name="Normal 9 3 18 2 2 2 2 2" xfId="33238" xr:uid="{00000000-0005-0000-0000-00006FB60000}"/>
    <cellStyle name="Normal 9 3 18 2 2 2 2 3" xfId="48730" xr:uid="{00000000-0005-0000-0000-000070B60000}"/>
    <cellStyle name="Normal 9 3 18 2 2 2 3" xfId="25498" xr:uid="{00000000-0005-0000-0000-000071B60000}"/>
    <cellStyle name="Normal 9 3 18 2 2 2 4" xfId="40990" xr:uid="{00000000-0005-0000-0000-000072B60000}"/>
    <cellStyle name="Normal 9 3 18 2 2 3" xfId="13776" xr:uid="{00000000-0005-0000-0000-000073B60000}"/>
    <cellStyle name="Normal 9 3 18 2 2 3 2" xfId="29368" xr:uid="{00000000-0005-0000-0000-000074B60000}"/>
    <cellStyle name="Normal 9 3 18 2 2 3 3" xfId="44860" xr:uid="{00000000-0005-0000-0000-000075B60000}"/>
    <cellStyle name="Normal 9 3 18 2 2 4" xfId="21628" xr:uid="{00000000-0005-0000-0000-000076B60000}"/>
    <cellStyle name="Normal 9 3 18 2 2 5" xfId="37120" xr:uid="{00000000-0005-0000-0000-000077B60000}"/>
    <cellStyle name="Normal 9 3 18 2 3" xfId="7974" xr:uid="{00000000-0005-0000-0000-000078B60000}"/>
    <cellStyle name="Normal 9 3 18 2 3 2" xfId="15719" xr:uid="{00000000-0005-0000-0000-000079B60000}"/>
    <cellStyle name="Normal 9 3 18 2 3 2 2" xfId="31311" xr:uid="{00000000-0005-0000-0000-00007AB60000}"/>
    <cellStyle name="Normal 9 3 18 2 3 2 3" xfId="46803" xr:uid="{00000000-0005-0000-0000-00007BB60000}"/>
    <cellStyle name="Normal 9 3 18 2 3 3" xfId="23571" xr:uid="{00000000-0005-0000-0000-00007CB60000}"/>
    <cellStyle name="Normal 9 3 18 2 3 4" xfId="39063" xr:uid="{00000000-0005-0000-0000-00007DB60000}"/>
    <cellStyle name="Normal 9 3 18 2 4" xfId="11849" xr:uid="{00000000-0005-0000-0000-00007EB60000}"/>
    <cellStyle name="Normal 9 3 18 2 4 2" xfId="27441" xr:uid="{00000000-0005-0000-0000-00007FB60000}"/>
    <cellStyle name="Normal 9 3 18 2 4 3" xfId="42933" xr:uid="{00000000-0005-0000-0000-000080B60000}"/>
    <cellStyle name="Normal 9 3 18 2 5" xfId="19701" xr:uid="{00000000-0005-0000-0000-000081B60000}"/>
    <cellStyle name="Normal 9 3 18 2 6" xfId="35193" xr:uid="{00000000-0005-0000-0000-000082B60000}"/>
    <cellStyle name="Normal 9 3 18 3" xfId="5082" xr:uid="{00000000-0005-0000-0000-000083B60000}"/>
    <cellStyle name="Normal 9 3 18 3 2" xfId="8953" xr:uid="{00000000-0005-0000-0000-000084B60000}"/>
    <cellStyle name="Normal 9 3 18 3 2 2" xfId="16698" xr:uid="{00000000-0005-0000-0000-000085B60000}"/>
    <cellStyle name="Normal 9 3 18 3 2 2 2" xfId="32290" xr:uid="{00000000-0005-0000-0000-000086B60000}"/>
    <cellStyle name="Normal 9 3 18 3 2 2 3" xfId="47782" xr:uid="{00000000-0005-0000-0000-000087B60000}"/>
    <cellStyle name="Normal 9 3 18 3 2 3" xfId="24550" xr:uid="{00000000-0005-0000-0000-000088B60000}"/>
    <cellStyle name="Normal 9 3 18 3 2 4" xfId="40042" xr:uid="{00000000-0005-0000-0000-000089B60000}"/>
    <cellStyle name="Normal 9 3 18 3 3" xfId="12828" xr:uid="{00000000-0005-0000-0000-00008AB60000}"/>
    <cellStyle name="Normal 9 3 18 3 3 2" xfId="28420" xr:uid="{00000000-0005-0000-0000-00008BB60000}"/>
    <cellStyle name="Normal 9 3 18 3 3 3" xfId="43912" xr:uid="{00000000-0005-0000-0000-00008CB60000}"/>
    <cellStyle name="Normal 9 3 18 3 4" xfId="20680" xr:uid="{00000000-0005-0000-0000-00008DB60000}"/>
    <cellStyle name="Normal 9 3 18 3 5" xfId="36172" xr:uid="{00000000-0005-0000-0000-00008EB60000}"/>
    <cellStyle name="Normal 9 3 18 4" xfId="7026" xr:uid="{00000000-0005-0000-0000-00008FB60000}"/>
    <cellStyle name="Normal 9 3 18 4 2" xfId="14771" xr:uid="{00000000-0005-0000-0000-000090B60000}"/>
    <cellStyle name="Normal 9 3 18 4 2 2" xfId="30363" xr:uid="{00000000-0005-0000-0000-000091B60000}"/>
    <cellStyle name="Normal 9 3 18 4 2 3" xfId="45855" xr:uid="{00000000-0005-0000-0000-000092B60000}"/>
    <cellStyle name="Normal 9 3 18 4 3" xfId="22623" xr:uid="{00000000-0005-0000-0000-000093B60000}"/>
    <cellStyle name="Normal 9 3 18 4 4" xfId="38115" xr:uid="{00000000-0005-0000-0000-000094B60000}"/>
    <cellStyle name="Normal 9 3 18 5" xfId="10901" xr:uid="{00000000-0005-0000-0000-000095B60000}"/>
    <cellStyle name="Normal 9 3 18 5 2" xfId="26493" xr:uid="{00000000-0005-0000-0000-000096B60000}"/>
    <cellStyle name="Normal 9 3 18 5 3" xfId="41985" xr:uid="{00000000-0005-0000-0000-000097B60000}"/>
    <cellStyle name="Normal 9 3 18 6" xfId="18753" xr:uid="{00000000-0005-0000-0000-000098B60000}"/>
    <cellStyle name="Normal 9 3 18 7" xfId="34245" xr:uid="{00000000-0005-0000-0000-000099B60000}"/>
    <cellStyle name="Normal 9 3 19" xfId="3144" xr:uid="{00000000-0005-0000-0000-00009AB60000}"/>
    <cellStyle name="Normal 9 3 19 2" xfId="4127" xr:uid="{00000000-0005-0000-0000-00009BB60000}"/>
    <cellStyle name="Normal 9 3 19 2 2" xfId="6066" xr:uid="{00000000-0005-0000-0000-00009CB60000}"/>
    <cellStyle name="Normal 9 3 19 2 2 2" xfId="9937" xr:uid="{00000000-0005-0000-0000-00009DB60000}"/>
    <cellStyle name="Normal 9 3 19 2 2 2 2" xfId="17682" xr:uid="{00000000-0005-0000-0000-00009EB60000}"/>
    <cellStyle name="Normal 9 3 19 2 2 2 2 2" xfId="33274" xr:uid="{00000000-0005-0000-0000-00009FB60000}"/>
    <cellStyle name="Normal 9 3 19 2 2 2 2 3" xfId="48766" xr:uid="{00000000-0005-0000-0000-0000A0B60000}"/>
    <cellStyle name="Normal 9 3 19 2 2 2 3" xfId="25534" xr:uid="{00000000-0005-0000-0000-0000A1B60000}"/>
    <cellStyle name="Normal 9 3 19 2 2 2 4" xfId="41026" xr:uid="{00000000-0005-0000-0000-0000A2B60000}"/>
    <cellStyle name="Normal 9 3 19 2 2 3" xfId="13812" xr:uid="{00000000-0005-0000-0000-0000A3B60000}"/>
    <cellStyle name="Normal 9 3 19 2 2 3 2" xfId="29404" xr:uid="{00000000-0005-0000-0000-0000A4B60000}"/>
    <cellStyle name="Normal 9 3 19 2 2 3 3" xfId="44896" xr:uid="{00000000-0005-0000-0000-0000A5B60000}"/>
    <cellStyle name="Normal 9 3 19 2 2 4" xfId="21664" xr:uid="{00000000-0005-0000-0000-0000A6B60000}"/>
    <cellStyle name="Normal 9 3 19 2 2 5" xfId="37156" xr:uid="{00000000-0005-0000-0000-0000A7B60000}"/>
    <cellStyle name="Normal 9 3 19 2 3" xfId="8010" xr:uid="{00000000-0005-0000-0000-0000A8B60000}"/>
    <cellStyle name="Normal 9 3 19 2 3 2" xfId="15755" xr:uid="{00000000-0005-0000-0000-0000A9B60000}"/>
    <cellStyle name="Normal 9 3 19 2 3 2 2" xfId="31347" xr:uid="{00000000-0005-0000-0000-0000AAB60000}"/>
    <cellStyle name="Normal 9 3 19 2 3 2 3" xfId="46839" xr:uid="{00000000-0005-0000-0000-0000ABB60000}"/>
    <cellStyle name="Normal 9 3 19 2 3 3" xfId="23607" xr:uid="{00000000-0005-0000-0000-0000ACB60000}"/>
    <cellStyle name="Normal 9 3 19 2 3 4" xfId="39099" xr:uid="{00000000-0005-0000-0000-0000ADB60000}"/>
    <cellStyle name="Normal 9 3 19 2 4" xfId="11885" xr:uid="{00000000-0005-0000-0000-0000AEB60000}"/>
    <cellStyle name="Normal 9 3 19 2 4 2" xfId="27477" xr:uid="{00000000-0005-0000-0000-0000AFB60000}"/>
    <cellStyle name="Normal 9 3 19 2 4 3" xfId="42969" xr:uid="{00000000-0005-0000-0000-0000B0B60000}"/>
    <cellStyle name="Normal 9 3 19 2 5" xfId="19737" xr:uid="{00000000-0005-0000-0000-0000B1B60000}"/>
    <cellStyle name="Normal 9 3 19 2 6" xfId="35229" xr:uid="{00000000-0005-0000-0000-0000B2B60000}"/>
    <cellStyle name="Normal 9 3 19 3" xfId="5118" xr:uid="{00000000-0005-0000-0000-0000B3B60000}"/>
    <cellStyle name="Normal 9 3 19 3 2" xfId="8989" xr:uid="{00000000-0005-0000-0000-0000B4B60000}"/>
    <cellStyle name="Normal 9 3 19 3 2 2" xfId="16734" xr:uid="{00000000-0005-0000-0000-0000B5B60000}"/>
    <cellStyle name="Normal 9 3 19 3 2 2 2" xfId="32326" xr:uid="{00000000-0005-0000-0000-0000B6B60000}"/>
    <cellStyle name="Normal 9 3 19 3 2 2 3" xfId="47818" xr:uid="{00000000-0005-0000-0000-0000B7B60000}"/>
    <cellStyle name="Normal 9 3 19 3 2 3" xfId="24586" xr:uid="{00000000-0005-0000-0000-0000B8B60000}"/>
    <cellStyle name="Normal 9 3 19 3 2 4" xfId="40078" xr:uid="{00000000-0005-0000-0000-0000B9B60000}"/>
    <cellStyle name="Normal 9 3 19 3 3" xfId="12864" xr:uid="{00000000-0005-0000-0000-0000BAB60000}"/>
    <cellStyle name="Normal 9 3 19 3 3 2" xfId="28456" xr:uid="{00000000-0005-0000-0000-0000BBB60000}"/>
    <cellStyle name="Normal 9 3 19 3 3 3" xfId="43948" xr:uid="{00000000-0005-0000-0000-0000BCB60000}"/>
    <cellStyle name="Normal 9 3 19 3 4" xfId="20716" xr:uid="{00000000-0005-0000-0000-0000BDB60000}"/>
    <cellStyle name="Normal 9 3 19 3 5" xfId="36208" xr:uid="{00000000-0005-0000-0000-0000BEB60000}"/>
    <cellStyle name="Normal 9 3 19 4" xfId="7062" xr:uid="{00000000-0005-0000-0000-0000BFB60000}"/>
    <cellStyle name="Normal 9 3 19 4 2" xfId="14807" xr:uid="{00000000-0005-0000-0000-0000C0B60000}"/>
    <cellStyle name="Normal 9 3 19 4 2 2" xfId="30399" xr:uid="{00000000-0005-0000-0000-0000C1B60000}"/>
    <cellStyle name="Normal 9 3 19 4 2 3" xfId="45891" xr:uid="{00000000-0005-0000-0000-0000C2B60000}"/>
    <cellStyle name="Normal 9 3 19 4 3" xfId="22659" xr:uid="{00000000-0005-0000-0000-0000C3B60000}"/>
    <cellStyle name="Normal 9 3 19 4 4" xfId="38151" xr:uid="{00000000-0005-0000-0000-0000C4B60000}"/>
    <cellStyle name="Normal 9 3 19 5" xfId="10937" xr:uid="{00000000-0005-0000-0000-0000C5B60000}"/>
    <cellStyle name="Normal 9 3 19 5 2" xfId="26529" xr:uid="{00000000-0005-0000-0000-0000C6B60000}"/>
    <cellStyle name="Normal 9 3 19 5 3" xfId="42021" xr:uid="{00000000-0005-0000-0000-0000C7B60000}"/>
    <cellStyle name="Normal 9 3 19 6" xfId="18789" xr:uid="{00000000-0005-0000-0000-0000C8B60000}"/>
    <cellStyle name="Normal 9 3 19 7" xfId="34281" xr:uid="{00000000-0005-0000-0000-0000C9B60000}"/>
    <cellStyle name="Normal 9 3 2" xfId="2207" xr:uid="{00000000-0005-0000-0000-0000CAB60000}"/>
    <cellStyle name="Normal 9 3 2 2" xfId="2539" xr:uid="{00000000-0005-0000-0000-0000CBB60000}"/>
    <cellStyle name="Normal 9 3 2 2 2" xfId="3547" xr:uid="{00000000-0005-0000-0000-0000CCB60000}"/>
    <cellStyle name="Normal 9 3 2 2 2 2" xfId="5486" xr:uid="{00000000-0005-0000-0000-0000CDB60000}"/>
    <cellStyle name="Normal 9 3 2 2 2 2 2" xfId="9357" xr:uid="{00000000-0005-0000-0000-0000CEB60000}"/>
    <cellStyle name="Normal 9 3 2 2 2 2 2 2" xfId="17102" xr:uid="{00000000-0005-0000-0000-0000CFB60000}"/>
    <cellStyle name="Normal 9 3 2 2 2 2 2 2 2" xfId="32694" xr:uid="{00000000-0005-0000-0000-0000D0B60000}"/>
    <cellStyle name="Normal 9 3 2 2 2 2 2 2 3" xfId="48186" xr:uid="{00000000-0005-0000-0000-0000D1B60000}"/>
    <cellStyle name="Normal 9 3 2 2 2 2 2 3" xfId="24954" xr:uid="{00000000-0005-0000-0000-0000D2B60000}"/>
    <cellStyle name="Normal 9 3 2 2 2 2 2 4" xfId="40446" xr:uid="{00000000-0005-0000-0000-0000D3B60000}"/>
    <cellStyle name="Normal 9 3 2 2 2 2 3" xfId="13232" xr:uid="{00000000-0005-0000-0000-0000D4B60000}"/>
    <cellStyle name="Normal 9 3 2 2 2 2 3 2" xfId="28824" xr:uid="{00000000-0005-0000-0000-0000D5B60000}"/>
    <cellStyle name="Normal 9 3 2 2 2 2 3 3" xfId="44316" xr:uid="{00000000-0005-0000-0000-0000D6B60000}"/>
    <cellStyle name="Normal 9 3 2 2 2 2 4" xfId="21084" xr:uid="{00000000-0005-0000-0000-0000D7B60000}"/>
    <cellStyle name="Normal 9 3 2 2 2 2 5" xfId="36576" xr:uid="{00000000-0005-0000-0000-0000D8B60000}"/>
    <cellStyle name="Normal 9 3 2 2 2 3" xfId="7430" xr:uid="{00000000-0005-0000-0000-0000D9B60000}"/>
    <cellStyle name="Normal 9 3 2 2 2 3 2" xfId="15175" xr:uid="{00000000-0005-0000-0000-0000DAB60000}"/>
    <cellStyle name="Normal 9 3 2 2 2 3 2 2" xfId="30767" xr:uid="{00000000-0005-0000-0000-0000DBB60000}"/>
    <cellStyle name="Normal 9 3 2 2 2 3 2 3" xfId="46259" xr:uid="{00000000-0005-0000-0000-0000DCB60000}"/>
    <cellStyle name="Normal 9 3 2 2 2 3 3" xfId="23027" xr:uid="{00000000-0005-0000-0000-0000DDB60000}"/>
    <cellStyle name="Normal 9 3 2 2 2 3 4" xfId="38519" xr:uid="{00000000-0005-0000-0000-0000DEB60000}"/>
    <cellStyle name="Normal 9 3 2 2 2 4" xfId="11305" xr:uid="{00000000-0005-0000-0000-0000DFB60000}"/>
    <cellStyle name="Normal 9 3 2 2 2 4 2" xfId="26897" xr:uid="{00000000-0005-0000-0000-0000E0B60000}"/>
    <cellStyle name="Normal 9 3 2 2 2 4 3" xfId="42389" xr:uid="{00000000-0005-0000-0000-0000E1B60000}"/>
    <cellStyle name="Normal 9 3 2 2 2 5" xfId="19157" xr:uid="{00000000-0005-0000-0000-0000E2B60000}"/>
    <cellStyle name="Normal 9 3 2 2 2 6" xfId="34649" xr:uid="{00000000-0005-0000-0000-0000E3B60000}"/>
    <cellStyle name="Normal 9 3 2 2 3" xfId="4538" xr:uid="{00000000-0005-0000-0000-0000E4B60000}"/>
    <cellStyle name="Normal 9 3 2 2 3 2" xfId="8409" xr:uid="{00000000-0005-0000-0000-0000E5B60000}"/>
    <cellStyle name="Normal 9 3 2 2 3 2 2" xfId="16154" xr:uid="{00000000-0005-0000-0000-0000E6B60000}"/>
    <cellStyle name="Normal 9 3 2 2 3 2 2 2" xfId="31746" xr:uid="{00000000-0005-0000-0000-0000E7B60000}"/>
    <cellStyle name="Normal 9 3 2 2 3 2 2 3" xfId="47238" xr:uid="{00000000-0005-0000-0000-0000E8B60000}"/>
    <cellStyle name="Normal 9 3 2 2 3 2 3" xfId="24006" xr:uid="{00000000-0005-0000-0000-0000E9B60000}"/>
    <cellStyle name="Normal 9 3 2 2 3 2 4" xfId="39498" xr:uid="{00000000-0005-0000-0000-0000EAB60000}"/>
    <cellStyle name="Normal 9 3 2 2 3 3" xfId="12284" xr:uid="{00000000-0005-0000-0000-0000EBB60000}"/>
    <cellStyle name="Normal 9 3 2 2 3 3 2" xfId="27876" xr:uid="{00000000-0005-0000-0000-0000ECB60000}"/>
    <cellStyle name="Normal 9 3 2 2 3 3 3" xfId="43368" xr:uid="{00000000-0005-0000-0000-0000EDB60000}"/>
    <cellStyle name="Normal 9 3 2 2 3 4" xfId="20136" xr:uid="{00000000-0005-0000-0000-0000EEB60000}"/>
    <cellStyle name="Normal 9 3 2 2 3 5" xfId="35628" xr:uid="{00000000-0005-0000-0000-0000EFB60000}"/>
    <cellStyle name="Normal 9 3 2 2 4" xfId="6482" xr:uid="{00000000-0005-0000-0000-0000F0B60000}"/>
    <cellStyle name="Normal 9 3 2 2 4 2" xfId="14227" xr:uid="{00000000-0005-0000-0000-0000F1B60000}"/>
    <cellStyle name="Normal 9 3 2 2 4 2 2" xfId="29819" xr:uid="{00000000-0005-0000-0000-0000F2B60000}"/>
    <cellStyle name="Normal 9 3 2 2 4 2 3" xfId="45311" xr:uid="{00000000-0005-0000-0000-0000F3B60000}"/>
    <cellStyle name="Normal 9 3 2 2 4 3" xfId="22079" xr:uid="{00000000-0005-0000-0000-0000F4B60000}"/>
    <cellStyle name="Normal 9 3 2 2 4 4" xfId="37571" xr:uid="{00000000-0005-0000-0000-0000F5B60000}"/>
    <cellStyle name="Normal 9 3 2 2 5" xfId="10357" xr:uid="{00000000-0005-0000-0000-0000F6B60000}"/>
    <cellStyle name="Normal 9 3 2 2 5 2" xfId="25949" xr:uid="{00000000-0005-0000-0000-0000F7B60000}"/>
    <cellStyle name="Normal 9 3 2 2 5 3" xfId="41441" xr:uid="{00000000-0005-0000-0000-0000F8B60000}"/>
    <cellStyle name="Normal 9 3 2 2 6" xfId="18209" xr:uid="{00000000-0005-0000-0000-0000F9B60000}"/>
    <cellStyle name="Normal 9 3 2 2 7" xfId="33701" xr:uid="{00000000-0005-0000-0000-0000FAB60000}"/>
    <cellStyle name="Normal 9 3 2 3" xfId="3238" xr:uid="{00000000-0005-0000-0000-0000FBB60000}"/>
    <cellStyle name="Normal 9 3 2 3 2" xfId="5177" xr:uid="{00000000-0005-0000-0000-0000FCB60000}"/>
    <cellStyle name="Normal 9 3 2 3 2 2" xfId="9048" xr:uid="{00000000-0005-0000-0000-0000FDB60000}"/>
    <cellStyle name="Normal 9 3 2 3 2 2 2" xfId="16793" xr:uid="{00000000-0005-0000-0000-0000FEB60000}"/>
    <cellStyle name="Normal 9 3 2 3 2 2 2 2" xfId="32385" xr:uid="{00000000-0005-0000-0000-0000FFB60000}"/>
    <cellStyle name="Normal 9 3 2 3 2 2 2 3" xfId="47877" xr:uid="{00000000-0005-0000-0000-000000B70000}"/>
    <cellStyle name="Normal 9 3 2 3 2 2 3" xfId="24645" xr:uid="{00000000-0005-0000-0000-000001B70000}"/>
    <cellStyle name="Normal 9 3 2 3 2 2 4" xfId="40137" xr:uid="{00000000-0005-0000-0000-000002B70000}"/>
    <cellStyle name="Normal 9 3 2 3 2 3" xfId="12923" xr:uid="{00000000-0005-0000-0000-000003B70000}"/>
    <cellStyle name="Normal 9 3 2 3 2 3 2" xfId="28515" xr:uid="{00000000-0005-0000-0000-000004B70000}"/>
    <cellStyle name="Normal 9 3 2 3 2 3 3" xfId="44007" xr:uid="{00000000-0005-0000-0000-000005B70000}"/>
    <cellStyle name="Normal 9 3 2 3 2 4" xfId="20775" xr:uid="{00000000-0005-0000-0000-000006B70000}"/>
    <cellStyle name="Normal 9 3 2 3 2 5" xfId="36267" xr:uid="{00000000-0005-0000-0000-000007B70000}"/>
    <cellStyle name="Normal 9 3 2 3 3" xfId="7121" xr:uid="{00000000-0005-0000-0000-000008B70000}"/>
    <cellStyle name="Normal 9 3 2 3 3 2" xfId="14866" xr:uid="{00000000-0005-0000-0000-000009B70000}"/>
    <cellStyle name="Normal 9 3 2 3 3 2 2" xfId="30458" xr:uid="{00000000-0005-0000-0000-00000AB70000}"/>
    <cellStyle name="Normal 9 3 2 3 3 2 3" xfId="45950" xr:uid="{00000000-0005-0000-0000-00000BB70000}"/>
    <cellStyle name="Normal 9 3 2 3 3 3" xfId="22718" xr:uid="{00000000-0005-0000-0000-00000CB70000}"/>
    <cellStyle name="Normal 9 3 2 3 3 4" xfId="38210" xr:uid="{00000000-0005-0000-0000-00000DB70000}"/>
    <cellStyle name="Normal 9 3 2 3 4" xfId="10996" xr:uid="{00000000-0005-0000-0000-00000EB70000}"/>
    <cellStyle name="Normal 9 3 2 3 4 2" xfId="26588" xr:uid="{00000000-0005-0000-0000-00000FB70000}"/>
    <cellStyle name="Normal 9 3 2 3 4 3" xfId="42080" xr:uid="{00000000-0005-0000-0000-000010B70000}"/>
    <cellStyle name="Normal 9 3 2 3 5" xfId="18848" xr:uid="{00000000-0005-0000-0000-000011B70000}"/>
    <cellStyle name="Normal 9 3 2 3 6" xfId="34340" xr:uid="{00000000-0005-0000-0000-000012B70000}"/>
    <cellStyle name="Normal 9 3 2 4" xfId="4229" xr:uid="{00000000-0005-0000-0000-000013B70000}"/>
    <cellStyle name="Normal 9 3 2 4 2" xfId="8100" xr:uid="{00000000-0005-0000-0000-000014B70000}"/>
    <cellStyle name="Normal 9 3 2 4 2 2" xfId="15845" xr:uid="{00000000-0005-0000-0000-000015B70000}"/>
    <cellStyle name="Normal 9 3 2 4 2 2 2" xfId="31437" xr:uid="{00000000-0005-0000-0000-000016B70000}"/>
    <cellStyle name="Normal 9 3 2 4 2 2 3" xfId="46929" xr:uid="{00000000-0005-0000-0000-000017B70000}"/>
    <cellStyle name="Normal 9 3 2 4 2 3" xfId="23697" xr:uid="{00000000-0005-0000-0000-000018B70000}"/>
    <cellStyle name="Normal 9 3 2 4 2 4" xfId="39189" xr:uid="{00000000-0005-0000-0000-000019B70000}"/>
    <cellStyle name="Normal 9 3 2 4 3" xfId="11975" xr:uid="{00000000-0005-0000-0000-00001AB70000}"/>
    <cellStyle name="Normal 9 3 2 4 3 2" xfId="27567" xr:uid="{00000000-0005-0000-0000-00001BB70000}"/>
    <cellStyle name="Normal 9 3 2 4 3 3" xfId="43059" xr:uid="{00000000-0005-0000-0000-00001CB70000}"/>
    <cellStyle name="Normal 9 3 2 4 4" xfId="19827" xr:uid="{00000000-0005-0000-0000-00001DB70000}"/>
    <cellStyle name="Normal 9 3 2 4 5" xfId="35319" xr:uid="{00000000-0005-0000-0000-00001EB70000}"/>
    <cellStyle name="Normal 9 3 2 5" xfId="6173" xr:uid="{00000000-0005-0000-0000-00001FB70000}"/>
    <cellStyle name="Normal 9 3 2 5 2" xfId="13918" xr:uid="{00000000-0005-0000-0000-000020B70000}"/>
    <cellStyle name="Normal 9 3 2 5 2 2" xfId="29510" xr:uid="{00000000-0005-0000-0000-000021B70000}"/>
    <cellStyle name="Normal 9 3 2 5 2 3" xfId="45002" xr:uid="{00000000-0005-0000-0000-000022B70000}"/>
    <cellStyle name="Normal 9 3 2 5 3" xfId="21770" xr:uid="{00000000-0005-0000-0000-000023B70000}"/>
    <cellStyle name="Normal 9 3 2 5 4" xfId="37262" xr:uid="{00000000-0005-0000-0000-000024B70000}"/>
    <cellStyle name="Normal 9 3 2 6" xfId="10048" xr:uid="{00000000-0005-0000-0000-000025B70000}"/>
    <cellStyle name="Normal 9 3 2 6 2" xfId="25640" xr:uid="{00000000-0005-0000-0000-000026B70000}"/>
    <cellStyle name="Normal 9 3 2 6 3" xfId="41132" xr:uid="{00000000-0005-0000-0000-000027B70000}"/>
    <cellStyle name="Normal 9 3 2 7" xfId="17900" xr:uid="{00000000-0005-0000-0000-000028B70000}"/>
    <cellStyle name="Normal 9 3 2 8" xfId="33392" xr:uid="{00000000-0005-0000-0000-000029B70000}"/>
    <cellStyle name="Normal 9 3 2 9" xfId="48867" xr:uid="{00000000-0005-0000-0000-00002AB70000}"/>
    <cellStyle name="Normal 9 3 20" xfId="3203" xr:uid="{00000000-0005-0000-0000-00002BB70000}"/>
    <cellStyle name="Normal 9 3 20 2" xfId="5142" xr:uid="{00000000-0005-0000-0000-00002CB70000}"/>
    <cellStyle name="Normal 9 3 20 2 2" xfId="9013" xr:uid="{00000000-0005-0000-0000-00002DB70000}"/>
    <cellStyle name="Normal 9 3 20 2 2 2" xfId="16758" xr:uid="{00000000-0005-0000-0000-00002EB70000}"/>
    <cellStyle name="Normal 9 3 20 2 2 2 2" xfId="32350" xr:uid="{00000000-0005-0000-0000-00002FB70000}"/>
    <cellStyle name="Normal 9 3 20 2 2 2 3" xfId="47842" xr:uid="{00000000-0005-0000-0000-000030B70000}"/>
    <cellStyle name="Normal 9 3 20 2 2 3" xfId="24610" xr:uid="{00000000-0005-0000-0000-000031B70000}"/>
    <cellStyle name="Normal 9 3 20 2 2 4" xfId="40102" xr:uid="{00000000-0005-0000-0000-000032B70000}"/>
    <cellStyle name="Normal 9 3 20 2 3" xfId="12888" xr:uid="{00000000-0005-0000-0000-000033B70000}"/>
    <cellStyle name="Normal 9 3 20 2 3 2" xfId="28480" xr:uid="{00000000-0005-0000-0000-000034B70000}"/>
    <cellStyle name="Normal 9 3 20 2 3 3" xfId="43972" xr:uid="{00000000-0005-0000-0000-000035B70000}"/>
    <cellStyle name="Normal 9 3 20 2 4" xfId="20740" xr:uid="{00000000-0005-0000-0000-000036B70000}"/>
    <cellStyle name="Normal 9 3 20 2 5" xfId="36232" xr:uid="{00000000-0005-0000-0000-000037B70000}"/>
    <cellStyle name="Normal 9 3 20 3" xfId="7086" xr:uid="{00000000-0005-0000-0000-000038B70000}"/>
    <cellStyle name="Normal 9 3 20 3 2" xfId="14831" xr:uid="{00000000-0005-0000-0000-000039B70000}"/>
    <cellStyle name="Normal 9 3 20 3 2 2" xfId="30423" xr:uid="{00000000-0005-0000-0000-00003AB70000}"/>
    <cellStyle name="Normal 9 3 20 3 2 3" xfId="45915" xr:uid="{00000000-0005-0000-0000-00003BB70000}"/>
    <cellStyle name="Normal 9 3 20 3 3" xfId="22683" xr:uid="{00000000-0005-0000-0000-00003CB70000}"/>
    <cellStyle name="Normal 9 3 20 3 4" xfId="38175" xr:uid="{00000000-0005-0000-0000-00003DB70000}"/>
    <cellStyle name="Normal 9 3 20 4" xfId="10961" xr:uid="{00000000-0005-0000-0000-00003EB70000}"/>
    <cellStyle name="Normal 9 3 20 4 2" xfId="26553" xr:uid="{00000000-0005-0000-0000-00003FB70000}"/>
    <cellStyle name="Normal 9 3 20 4 3" xfId="42045" xr:uid="{00000000-0005-0000-0000-000040B70000}"/>
    <cellStyle name="Normal 9 3 20 5" xfId="18813" xr:uid="{00000000-0005-0000-0000-000041B70000}"/>
    <cellStyle name="Normal 9 3 20 6" xfId="34305" xr:uid="{00000000-0005-0000-0000-000042B70000}"/>
    <cellStyle name="Normal 9 3 21" xfId="4148" xr:uid="{00000000-0005-0000-0000-000043B70000}"/>
    <cellStyle name="Normal 9 3 21 2" xfId="6086" xr:uid="{00000000-0005-0000-0000-000044B70000}"/>
    <cellStyle name="Normal 9 3 21 2 2" xfId="9957" xr:uid="{00000000-0005-0000-0000-000045B70000}"/>
    <cellStyle name="Normal 9 3 21 2 2 2" xfId="17702" xr:uid="{00000000-0005-0000-0000-000046B70000}"/>
    <cellStyle name="Normal 9 3 21 2 2 2 2" xfId="33294" xr:uid="{00000000-0005-0000-0000-000047B70000}"/>
    <cellStyle name="Normal 9 3 21 2 2 2 3" xfId="48786" xr:uid="{00000000-0005-0000-0000-000048B70000}"/>
    <cellStyle name="Normal 9 3 21 2 2 3" xfId="25554" xr:uid="{00000000-0005-0000-0000-000049B70000}"/>
    <cellStyle name="Normal 9 3 21 2 2 4" xfId="41046" xr:uid="{00000000-0005-0000-0000-00004AB70000}"/>
    <cellStyle name="Normal 9 3 21 2 3" xfId="13832" xr:uid="{00000000-0005-0000-0000-00004BB70000}"/>
    <cellStyle name="Normal 9 3 21 2 3 2" xfId="29424" xr:uid="{00000000-0005-0000-0000-00004CB70000}"/>
    <cellStyle name="Normal 9 3 21 2 3 3" xfId="44916" xr:uid="{00000000-0005-0000-0000-00004DB70000}"/>
    <cellStyle name="Normal 9 3 21 2 4" xfId="21684" xr:uid="{00000000-0005-0000-0000-00004EB70000}"/>
    <cellStyle name="Normal 9 3 21 2 5" xfId="37176" xr:uid="{00000000-0005-0000-0000-00004FB70000}"/>
    <cellStyle name="Normal 9 3 21 3" xfId="8030" xr:uid="{00000000-0005-0000-0000-000050B70000}"/>
    <cellStyle name="Normal 9 3 21 3 2" xfId="15775" xr:uid="{00000000-0005-0000-0000-000051B70000}"/>
    <cellStyle name="Normal 9 3 21 3 2 2" xfId="31367" xr:uid="{00000000-0005-0000-0000-000052B70000}"/>
    <cellStyle name="Normal 9 3 21 3 2 3" xfId="46859" xr:uid="{00000000-0005-0000-0000-000053B70000}"/>
    <cellStyle name="Normal 9 3 21 3 3" xfId="23627" xr:uid="{00000000-0005-0000-0000-000054B70000}"/>
    <cellStyle name="Normal 9 3 21 3 4" xfId="39119" xr:uid="{00000000-0005-0000-0000-000055B70000}"/>
    <cellStyle name="Normal 9 3 21 4" xfId="11905" xr:uid="{00000000-0005-0000-0000-000056B70000}"/>
    <cellStyle name="Normal 9 3 21 4 2" xfId="27497" xr:uid="{00000000-0005-0000-0000-000057B70000}"/>
    <cellStyle name="Normal 9 3 21 4 3" xfId="42989" xr:uid="{00000000-0005-0000-0000-000058B70000}"/>
    <cellStyle name="Normal 9 3 21 5" xfId="19757" xr:uid="{00000000-0005-0000-0000-000059B70000}"/>
    <cellStyle name="Normal 9 3 21 6" xfId="35249" xr:uid="{00000000-0005-0000-0000-00005AB70000}"/>
    <cellStyle name="Normal 9 3 22" xfId="4173" xr:uid="{00000000-0005-0000-0000-00005BB70000}"/>
    <cellStyle name="Normal 9 3 22 2" xfId="6102" xr:uid="{00000000-0005-0000-0000-00005CB70000}"/>
    <cellStyle name="Normal 9 3 22 2 2" xfId="9973" xr:uid="{00000000-0005-0000-0000-00005DB70000}"/>
    <cellStyle name="Normal 9 3 22 2 2 2" xfId="17718" xr:uid="{00000000-0005-0000-0000-00005EB70000}"/>
    <cellStyle name="Normal 9 3 22 2 2 2 2" xfId="33310" xr:uid="{00000000-0005-0000-0000-00005FB70000}"/>
    <cellStyle name="Normal 9 3 22 2 2 2 3" xfId="48802" xr:uid="{00000000-0005-0000-0000-000060B70000}"/>
    <cellStyle name="Normal 9 3 22 2 2 3" xfId="25570" xr:uid="{00000000-0005-0000-0000-000061B70000}"/>
    <cellStyle name="Normal 9 3 22 2 2 4" xfId="41062" xr:uid="{00000000-0005-0000-0000-000062B70000}"/>
    <cellStyle name="Normal 9 3 22 2 3" xfId="13848" xr:uid="{00000000-0005-0000-0000-000063B70000}"/>
    <cellStyle name="Normal 9 3 22 2 3 2" xfId="29440" xr:uid="{00000000-0005-0000-0000-000064B70000}"/>
    <cellStyle name="Normal 9 3 22 2 3 3" xfId="44932" xr:uid="{00000000-0005-0000-0000-000065B70000}"/>
    <cellStyle name="Normal 9 3 22 2 4" xfId="21700" xr:uid="{00000000-0005-0000-0000-000066B70000}"/>
    <cellStyle name="Normal 9 3 22 2 5" xfId="37192" xr:uid="{00000000-0005-0000-0000-000067B70000}"/>
    <cellStyle name="Normal 9 3 22 3" xfId="8046" xr:uid="{00000000-0005-0000-0000-000068B70000}"/>
    <cellStyle name="Normal 9 3 22 3 2" xfId="15791" xr:uid="{00000000-0005-0000-0000-000069B70000}"/>
    <cellStyle name="Normal 9 3 22 3 2 2" xfId="31383" xr:uid="{00000000-0005-0000-0000-00006AB70000}"/>
    <cellStyle name="Normal 9 3 22 3 2 3" xfId="46875" xr:uid="{00000000-0005-0000-0000-00006BB70000}"/>
    <cellStyle name="Normal 9 3 22 3 3" xfId="23643" xr:uid="{00000000-0005-0000-0000-00006CB70000}"/>
    <cellStyle name="Normal 9 3 22 3 4" xfId="39135" xr:uid="{00000000-0005-0000-0000-00006DB70000}"/>
    <cellStyle name="Normal 9 3 22 4" xfId="11921" xr:uid="{00000000-0005-0000-0000-00006EB70000}"/>
    <cellStyle name="Normal 9 3 22 4 2" xfId="27513" xr:uid="{00000000-0005-0000-0000-00006FB70000}"/>
    <cellStyle name="Normal 9 3 22 4 3" xfId="43005" xr:uid="{00000000-0005-0000-0000-000070B70000}"/>
    <cellStyle name="Normal 9 3 22 5" xfId="19773" xr:uid="{00000000-0005-0000-0000-000071B70000}"/>
    <cellStyle name="Normal 9 3 22 6" xfId="35265" xr:uid="{00000000-0005-0000-0000-000072B70000}"/>
    <cellStyle name="Normal 9 3 23" xfId="4194" xr:uid="{00000000-0005-0000-0000-000073B70000}"/>
    <cellStyle name="Normal 9 3 23 2" xfId="8065" xr:uid="{00000000-0005-0000-0000-000074B70000}"/>
    <cellStyle name="Normal 9 3 23 2 2" xfId="15810" xr:uid="{00000000-0005-0000-0000-000075B70000}"/>
    <cellStyle name="Normal 9 3 23 2 2 2" xfId="31402" xr:uid="{00000000-0005-0000-0000-000076B70000}"/>
    <cellStyle name="Normal 9 3 23 2 2 3" xfId="46894" xr:uid="{00000000-0005-0000-0000-000077B70000}"/>
    <cellStyle name="Normal 9 3 23 2 3" xfId="23662" xr:uid="{00000000-0005-0000-0000-000078B70000}"/>
    <cellStyle name="Normal 9 3 23 2 4" xfId="39154" xr:uid="{00000000-0005-0000-0000-000079B70000}"/>
    <cellStyle name="Normal 9 3 23 3" xfId="11940" xr:uid="{00000000-0005-0000-0000-00007AB70000}"/>
    <cellStyle name="Normal 9 3 23 3 2" xfId="27532" xr:uid="{00000000-0005-0000-0000-00007BB70000}"/>
    <cellStyle name="Normal 9 3 23 3 3" xfId="43024" xr:uid="{00000000-0005-0000-0000-00007CB70000}"/>
    <cellStyle name="Normal 9 3 23 4" xfId="19792" xr:uid="{00000000-0005-0000-0000-00007DB70000}"/>
    <cellStyle name="Normal 9 3 23 5" xfId="35284" xr:uid="{00000000-0005-0000-0000-00007EB70000}"/>
    <cellStyle name="Normal 9 3 24" xfId="6118" xr:uid="{00000000-0005-0000-0000-00007FB70000}"/>
    <cellStyle name="Normal 9 3 24 2" xfId="9988" xr:uid="{00000000-0005-0000-0000-000080B70000}"/>
    <cellStyle name="Normal 9 3 24 2 2" xfId="17733" xr:uid="{00000000-0005-0000-0000-000081B70000}"/>
    <cellStyle name="Normal 9 3 24 2 2 2" xfId="33325" xr:uid="{00000000-0005-0000-0000-000082B70000}"/>
    <cellStyle name="Normal 9 3 24 2 2 3" xfId="48817" xr:uid="{00000000-0005-0000-0000-000083B70000}"/>
    <cellStyle name="Normal 9 3 24 2 3" xfId="25585" xr:uid="{00000000-0005-0000-0000-000084B70000}"/>
    <cellStyle name="Normal 9 3 24 2 4" xfId="41077" xr:uid="{00000000-0005-0000-0000-000085B70000}"/>
    <cellStyle name="Normal 9 3 24 3" xfId="13863" xr:uid="{00000000-0005-0000-0000-000086B70000}"/>
    <cellStyle name="Normal 9 3 24 3 2" xfId="29455" xr:uid="{00000000-0005-0000-0000-000087B70000}"/>
    <cellStyle name="Normal 9 3 24 3 3" xfId="44947" xr:uid="{00000000-0005-0000-0000-000088B70000}"/>
    <cellStyle name="Normal 9 3 24 4" xfId="21715" xr:uid="{00000000-0005-0000-0000-000089B70000}"/>
    <cellStyle name="Normal 9 3 24 5" xfId="37207" xr:uid="{00000000-0005-0000-0000-00008AB70000}"/>
    <cellStyle name="Normal 9 3 25" xfId="6138" xr:uid="{00000000-0005-0000-0000-00008BB70000}"/>
    <cellStyle name="Normal 9 3 25 2" xfId="13883" xr:uid="{00000000-0005-0000-0000-00008CB70000}"/>
    <cellStyle name="Normal 9 3 25 2 2" xfId="29475" xr:uid="{00000000-0005-0000-0000-00008DB70000}"/>
    <cellStyle name="Normal 9 3 25 2 3" xfId="44967" xr:uid="{00000000-0005-0000-0000-00008EB70000}"/>
    <cellStyle name="Normal 9 3 25 3" xfId="21735" xr:uid="{00000000-0005-0000-0000-00008FB70000}"/>
    <cellStyle name="Normal 9 3 25 4" xfId="37227" xr:uid="{00000000-0005-0000-0000-000090B70000}"/>
    <cellStyle name="Normal 9 3 26" xfId="10013" xr:uid="{00000000-0005-0000-0000-000091B70000}"/>
    <cellStyle name="Normal 9 3 26 2" xfId="25605" xr:uid="{00000000-0005-0000-0000-000092B70000}"/>
    <cellStyle name="Normal 9 3 26 3" xfId="41097" xr:uid="{00000000-0005-0000-0000-000093B70000}"/>
    <cellStyle name="Normal 9 3 27" xfId="17865" xr:uid="{00000000-0005-0000-0000-000094B70000}"/>
    <cellStyle name="Normal 9 3 28" xfId="33357" xr:uid="{00000000-0005-0000-0000-000095B70000}"/>
    <cellStyle name="Normal 9 3 29" xfId="48862" xr:uid="{00000000-0005-0000-0000-000096B70000}"/>
    <cellStyle name="Normal 9 3 3" xfId="2260" xr:uid="{00000000-0005-0000-0000-000097B70000}"/>
    <cellStyle name="Normal 9 3 3 2" xfId="2577" xr:uid="{00000000-0005-0000-0000-000098B70000}"/>
    <cellStyle name="Normal 9 3 3 2 2" xfId="3585" xr:uid="{00000000-0005-0000-0000-000099B70000}"/>
    <cellStyle name="Normal 9 3 3 2 2 2" xfId="5524" xr:uid="{00000000-0005-0000-0000-00009AB70000}"/>
    <cellStyle name="Normal 9 3 3 2 2 2 2" xfId="9395" xr:uid="{00000000-0005-0000-0000-00009BB70000}"/>
    <cellStyle name="Normal 9 3 3 2 2 2 2 2" xfId="17140" xr:uid="{00000000-0005-0000-0000-00009CB70000}"/>
    <cellStyle name="Normal 9 3 3 2 2 2 2 2 2" xfId="32732" xr:uid="{00000000-0005-0000-0000-00009DB70000}"/>
    <cellStyle name="Normal 9 3 3 2 2 2 2 2 3" xfId="48224" xr:uid="{00000000-0005-0000-0000-00009EB70000}"/>
    <cellStyle name="Normal 9 3 3 2 2 2 2 3" xfId="24992" xr:uid="{00000000-0005-0000-0000-00009FB70000}"/>
    <cellStyle name="Normal 9 3 3 2 2 2 2 4" xfId="40484" xr:uid="{00000000-0005-0000-0000-0000A0B70000}"/>
    <cellStyle name="Normal 9 3 3 2 2 2 3" xfId="13270" xr:uid="{00000000-0005-0000-0000-0000A1B70000}"/>
    <cellStyle name="Normal 9 3 3 2 2 2 3 2" xfId="28862" xr:uid="{00000000-0005-0000-0000-0000A2B70000}"/>
    <cellStyle name="Normal 9 3 3 2 2 2 3 3" xfId="44354" xr:uid="{00000000-0005-0000-0000-0000A3B70000}"/>
    <cellStyle name="Normal 9 3 3 2 2 2 4" xfId="21122" xr:uid="{00000000-0005-0000-0000-0000A4B70000}"/>
    <cellStyle name="Normal 9 3 3 2 2 2 5" xfId="36614" xr:uid="{00000000-0005-0000-0000-0000A5B70000}"/>
    <cellStyle name="Normal 9 3 3 2 2 3" xfId="7468" xr:uid="{00000000-0005-0000-0000-0000A6B70000}"/>
    <cellStyle name="Normal 9 3 3 2 2 3 2" xfId="15213" xr:uid="{00000000-0005-0000-0000-0000A7B70000}"/>
    <cellStyle name="Normal 9 3 3 2 2 3 2 2" xfId="30805" xr:uid="{00000000-0005-0000-0000-0000A8B70000}"/>
    <cellStyle name="Normal 9 3 3 2 2 3 2 3" xfId="46297" xr:uid="{00000000-0005-0000-0000-0000A9B70000}"/>
    <cellStyle name="Normal 9 3 3 2 2 3 3" xfId="23065" xr:uid="{00000000-0005-0000-0000-0000AAB70000}"/>
    <cellStyle name="Normal 9 3 3 2 2 3 4" xfId="38557" xr:uid="{00000000-0005-0000-0000-0000ABB70000}"/>
    <cellStyle name="Normal 9 3 3 2 2 4" xfId="11343" xr:uid="{00000000-0005-0000-0000-0000ACB70000}"/>
    <cellStyle name="Normal 9 3 3 2 2 4 2" xfId="26935" xr:uid="{00000000-0005-0000-0000-0000ADB70000}"/>
    <cellStyle name="Normal 9 3 3 2 2 4 3" xfId="42427" xr:uid="{00000000-0005-0000-0000-0000AEB70000}"/>
    <cellStyle name="Normal 9 3 3 2 2 5" xfId="19195" xr:uid="{00000000-0005-0000-0000-0000AFB70000}"/>
    <cellStyle name="Normal 9 3 3 2 2 6" xfId="34687" xr:uid="{00000000-0005-0000-0000-0000B0B70000}"/>
    <cellStyle name="Normal 9 3 3 2 3" xfId="4576" xr:uid="{00000000-0005-0000-0000-0000B1B70000}"/>
    <cellStyle name="Normal 9 3 3 2 3 2" xfId="8447" xr:uid="{00000000-0005-0000-0000-0000B2B70000}"/>
    <cellStyle name="Normal 9 3 3 2 3 2 2" xfId="16192" xr:uid="{00000000-0005-0000-0000-0000B3B70000}"/>
    <cellStyle name="Normal 9 3 3 2 3 2 2 2" xfId="31784" xr:uid="{00000000-0005-0000-0000-0000B4B70000}"/>
    <cellStyle name="Normal 9 3 3 2 3 2 2 3" xfId="47276" xr:uid="{00000000-0005-0000-0000-0000B5B70000}"/>
    <cellStyle name="Normal 9 3 3 2 3 2 3" xfId="24044" xr:uid="{00000000-0005-0000-0000-0000B6B70000}"/>
    <cellStyle name="Normal 9 3 3 2 3 2 4" xfId="39536" xr:uid="{00000000-0005-0000-0000-0000B7B70000}"/>
    <cellStyle name="Normal 9 3 3 2 3 3" xfId="12322" xr:uid="{00000000-0005-0000-0000-0000B8B70000}"/>
    <cellStyle name="Normal 9 3 3 2 3 3 2" xfId="27914" xr:uid="{00000000-0005-0000-0000-0000B9B70000}"/>
    <cellStyle name="Normal 9 3 3 2 3 3 3" xfId="43406" xr:uid="{00000000-0005-0000-0000-0000BAB70000}"/>
    <cellStyle name="Normal 9 3 3 2 3 4" xfId="20174" xr:uid="{00000000-0005-0000-0000-0000BBB70000}"/>
    <cellStyle name="Normal 9 3 3 2 3 5" xfId="35666" xr:uid="{00000000-0005-0000-0000-0000BCB70000}"/>
    <cellStyle name="Normal 9 3 3 2 4" xfId="6520" xr:uid="{00000000-0005-0000-0000-0000BDB70000}"/>
    <cellStyle name="Normal 9 3 3 2 4 2" xfId="14265" xr:uid="{00000000-0005-0000-0000-0000BEB70000}"/>
    <cellStyle name="Normal 9 3 3 2 4 2 2" xfId="29857" xr:uid="{00000000-0005-0000-0000-0000BFB70000}"/>
    <cellStyle name="Normal 9 3 3 2 4 2 3" xfId="45349" xr:uid="{00000000-0005-0000-0000-0000C0B70000}"/>
    <cellStyle name="Normal 9 3 3 2 4 3" xfId="22117" xr:uid="{00000000-0005-0000-0000-0000C1B70000}"/>
    <cellStyle name="Normal 9 3 3 2 4 4" xfId="37609" xr:uid="{00000000-0005-0000-0000-0000C2B70000}"/>
    <cellStyle name="Normal 9 3 3 2 5" xfId="10395" xr:uid="{00000000-0005-0000-0000-0000C3B70000}"/>
    <cellStyle name="Normal 9 3 3 2 5 2" xfId="25987" xr:uid="{00000000-0005-0000-0000-0000C4B70000}"/>
    <cellStyle name="Normal 9 3 3 2 5 3" xfId="41479" xr:uid="{00000000-0005-0000-0000-0000C5B70000}"/>
    <cellStyle name="Normal 9 3 3 2 6" xfId="18247" xr:uid="{00000000-0005-0000-0000-0000C6B70000}"/>
    <cellStyle name="Normal 9 3 3 2 7" xfId="33739" xr:uid="{00000000-0005-0000-0000-0000C7B70000}"/>
    <cellStyle name="Normal 9 3 3 3" xfId="3276" xr:uid="{00000000-0005-0000-0000-0000C8B70000}"/>
    <cellStyle name="Normal 9 3 3 3 2" xfId="5215" xr:uid="{00000000-0005-0000-0000-0000C9B70000}"/>
    <cellStyle name="Normal 9 3 3 3 2 2" xfId="9086" xr:uid="{00000000-0005-0000-0000-0000CAB70000}"/>
    <cellStyle name="Normal 9 3 3 3 2 2 2" xfId="16831" xr:uid="{00000000-0005-0000-0000-0000CBB70000}"/>
    <cellStyle name="Normal 9 3 3 3 2 2 2 2" xfId="32423" xr:uid="{00000000-0005-0000-0000-0000CCB70000}"/>
    <cellStyle name="Normal 9 3 3 3 2 2 2 3" xfId="47915" xr:uid="{00000000-0005-0000-0000-0000CDB70000}"/>
    <cellStyle name="Normal 9 3 3 3 2 2 3" xfId="24683" xr:uid="{00000000-0005-0000-0000-0000CEB70000}"/>
    <cellStyle name="Normal 9 3 3 3 2 2 4" xfId="40175" xr:uid="{00000000-0005-0000-0000-0000CFB70000}"/>
    <cellStyle name="Normal 9 3 3 3 2 3" xfId="12961" xr:uid="{00000000-0005-0000-0000-0000D0B70000}"/>
    <cellStyle name="Normal 9 3 3 3 2 3 2" xfId="28553" xr:uid="{00000000-0005-0000-0000-0000D1B70000}"/>
    <cellStyle name="Normal 9 3 3 3 2 3 3" xfId="44045" xr:uid="{00000000-0005-0000-0000-0000D2B70000}"/>
    <cellStyle name="Normal 9 3 3 3 2 4" xfId="20813" xr:uid="{00000000-0005-0000-0000-0000D3B70000}"/>
    <cellStyle name="Normal 9 3 3 3 2 5" xfId="36305" xr:uid="{00000000-0005-0000-0000-0000D4B70000}"/>
    <cellStyle name="Normal 9 3 3 3 3" xfId="7159" xr:uid="{00000000-0005-0000-0000-0000D5B70000}"/>
    <cellStyle name="Normal 9 3 3 3 3 2" xfId="14904" xr:uid="{00000000-0005-0000-0000-0000D6B70000}"/>
    <cellStyle name="Normal 9 3 3 3 3 2 2" xfId="30496" xr:uid="{00000000-0005-0000-0000-0000D7B70000}"/>
    <cellStyle name="Normal 9 3 3 3 3 2 3" xfId="45988" xr:uid="{00000000-0005-0000-0000-0000D8B70000}"/>
    <cellStyle name="Normal 9 3 3 3 3 3" xfId="22756" xr:uid="{00000000-0005-0000-0000-0000D9B70000}"/>
    <cellStyle name="Normal 9 3 3 3 3 4" xfId="38248" xr:uid="{00000000-0005-0000-0000-0000DAB70000}"/>
    <cellStyle name="Normal 9 3 3 3 4" xfId="11034" xr:uid="{00000000-0005-0000-0000-0000DBB70000}"/>
    <cellStyle name="Normal 9 3 3 3 4 2" xfId="26626" xr:uid="{00000000-0005-0000-0000-0000DCB70000}"/>
    <cellStyle name="Normal 9 3 3 3 4 3" xfId="42118" xr:uid="{00000000-0005-0000-0000-0000DDB70000}"/>
    <cellStyle name="Normal 9 3 3 3 5" xfId="18886" xr:uid="{00000000-0005-0000-0000-0000DEB70000}"/>
    <cellStyle name="Normal 9 3 3 3 6" xfId="34378" xr:uid="{00000000-0005-0000-0000-0000DFB70000}"/>
    <cellStyle name="Normal 9 3 3 4" xfId="4267" xr:uid="{00000000-0005-0000-0000-0000E0B70000}"/>
    <cellStyle name="Normal 9 3 3 4 2" xfId="8138" xr:uid="{00000000-0005-0000-0000-0000E1B70000}"/>
    <cellStyle name="Normal 9 3 3 4 2 2" xfId="15883" xr:uid="{00000000-0005-0000-0000-0000E2B70000}"/>
    <cellStyle name="Normal 9 3 3 4 2 2 2" xfId="31475" xr:uid="{00000000-0005-0000-0000-0000E3B70000}"/>
    <cellStyle name="Normal 9 3 3 4 2 2 3" xfId="46967" xr:uid="{00000000-0005-0000-0000-0000E4B70000}"/>
    <cellStyle name="Normal 9 3 3 4 2 3" xfId="23735" xr:uid="{00000000-0005-0000-0000-0000E5B70000}"/>
    <cellStyle name="Normal 9 3 3 4 2 4" xfId="39227" xr:uid="{00000000-0005-0000-0000-0000E6B70000}"/>
    <cellStyle name="Normal 9 3 3 4 3" xfId="12013" xr:uid="{00000000-0005-0000-0000-0000E7B70000}"/>
    <cellStyle name="Normal 9 3 3 4 3 2" xfId="27605" xr:uid="{00000000-0005-0000-0000-0000E8B70000}"/>
    <cellStyle name="Normal 9 3 3 4 3 3" xfId="43097" xr:uid="{00000000-0005-0000-0000-0000E9B70000}"/>
    <cellStyle name="Normal 9 3 3 4 4" xfId="19865" xr:uid="{00000000-0005-0000-0000-0000EAB70000}"/>
    <cellStyle name="Normal 9 3 3 4 5" xfId="35357" xr:uid="{00000000-0005-0000-0000-0000EBB70000}"/>
    <cellStyle name="Normal 9 3 3 5" xfId="6211" xr:uid="{00000000-0005-0000-0000-0000ECB70000}"/>
    <cellStyle name="Normal 9 3 3 5 2" xfId="13956" xr:uid="{00000000-0005-0000-0000-0000EDB70000}"/>
    <cellStyle name="Normal 9 3 3 5 2 2" xfId="29548" xr:uid="{00000000-0005-0000-0000-0000EEB70000}"/>
    <cellStyle name="Normal 9 3 3 5 2 3" xfId="45040" xr:uid="{00000000-0005-0000-0000-0000EFB70000}"/>
    <cellStyle name="Normal 9 3 3 5 3" xfId="21808" xr:uid="{00000000-0005-0000-0000-0000F0B70000}"/>
    <cellStyle name="Normal 9 3 3 5 4" xfId="37300" xr:uid="{00000000-0005-0000-0000-0000F1B70000}"/>
    <cellStyle name="Normal 9 3 3 6" xfId="10086" xr:uid="{00000000-0005-0000-0000-0000F2B70000}"/>
    <cellStyle name="Normal 9 3 3 6 2" xfId="25678" xr:uid="{00000000-0005-0000-0000-0000F3B70000}"/>
    <cellStyle name="Normal 9 3 3 6 3" xfId="41170" xr:uid="{00000000-0005-0000-0000-0000F4B70000}"/>
    <cellStyle name="Normal 9 3 3 7" xfId="17938" xr:uid="{00000000-0005-0000-0000-0000F5B70000}"/>
    <cellStyle name="Normal 9 3 3 8" xfId="33430" xr:uid="{00000000-0005-0000-0000-0000F6B70000}"/>
    <cellStyle name="Normal 9 3 4" xfId="2297" xr:uid="{00000000-0005-0000-0000-0000F7B70000}"/>
    <cellStyle name="Normal 9 3 4 2" xfId="2613" xr:uid="{00000000-0005-0000-0000-0000F8B70000}"/>
    <cellStyle name="Normal 9 3 4 2 2" xfId="3621" xr:uid="{00000000-0005-0000-0000-0000F9B70000}"/>
    <cellStyle name="Normal 9 3 4 2 2 2" xfId="5560" xr:uid="{00000000-0005-0000-0000-0000FAB70000}"/>
    <cellStyle name="Normal 9 3 4 2 2 2 2" xfId="9431" xr:uid="{00000000-0005-0000-0000-0000FBB70000}"/>
    <cellStyle name="Normal 9 3 4 2 2 2 2 2" xfId="17176" xr:uid="{00000000-0005-0000-0000-0000FCB70000}"/>
    <cellStyle name="Normal 9 3 4 2 2 2 2 2 2" xfId="32768" xr:uid="{00000000-0005-0000-0000-0000FDB70000}"/>
    <cellStyle name="Normal 9 3 4 2 2 2 2 2 3" xfId="48260" xr:uid="{00000000-0005-0000-0000-0000FEB70000}"/>
    <cellStyle name="Normal 9 3 4 2 2 2 2 3" xfId="25028" xr:uid="{00000000-0005-0000-0000-0000FFB70000}"/>
    <cellStyle name="Normal 9 3 4 2 2 2 2 4" xfId="40520" xr:uid="{00000000-0005-0000-0000-000000B80000}"/>
    <cellStyle name="Normal 9 3 4 2 2 2 3" xfId="13306" xr:uid="{00000000-0005-0000-0000-000001B80000}"/>
    <cellStyle name="Normal 9 3 4 2 2 2 3 2" xfId="28898" xr:uid="{00000000-0005-0000-0000-000002B80000}"/>
    <cellStyle name="Normal 9 3 4 2 2 2 3 3" xfId="44390" xr:uid="{00000000-0005-0000-0000-000003B80000}"/>
    <cellStyle name="Normal 9 3 4 2 2 2 4" xfId="21158" xr:uid="{00000000-0005-0000-0000-000004B80000}"/>
    <cellStyle name="Normal 9 3 4 2 2 2 5" xfId="36650" xr:uid="{00000000-0005-0000-0000-000005B80000}"/>
    <cellStyle name="Normal 9 3 4 2 2 3" xfId="7504" xr:uid="{00000000-0005-0000-0000-000006B80000}"/>
    <cellStyle name="Normal 9 3 4 2 2 3 2" xfId="15249" xr:uid="{00000000-0005-0000-0000-000007B80000}"/>
    <cellStyle name="Normal 9 3 4 2 2 3 2 2" xfId="30841" xr:uid="{00000000-0005-0000-0000-000008B80000}"/>
    <cellStyle name="Normal 9 3 4 2 2 3 2 3" xfId="46333" xr:uid="{00000000-0005-0000-0000-000009B80000}"/>
    <cellStyle name="Normal 9 3 4 2 2 3 3" xfId="23101" xr:uid="{00000000-0005-0000-0000-00000AB80000}"/>
    <cellStyle name="Normal 9 3 4 2 2 3 4" xfId="38593" xr:uid="{00000000-0005-0000-0000-00000BB80000}"/>
    <cellStyle name="Normal 9 3 4 2 2 4" xfId="11379" xr:uid="{00000000-0005-0000-0000-00000CB80000}"/>
    <cellStyle name="Normal 9 3 4 2 2 4 2" xfId="26971" xr:uid="{00000000-0005-0000-0000-00000DB80000}"/>
    <cellStyle name="Normal 9 3 4 2 2 4 3" xfId="42463" xr:uid="{00000000-0005-0000-0000-00000EB80000}"/>
    <cellStyle name="Normal 9 3 4 2 2 5" xfId="19231" xr:uid="{00000000-0005-0000-0000-00000FB80000}"/>
    <cellStyle name="Normal 9 3 4 2 2 6" xfId="34723" xr:uid="{00000000-0005-0000-0000-000010B80000}"/>
    <cellStyle name="Normal 9 3 4 2 3" xfId="4612" xr:uid="{00000000-0005-0000-0000-000011B80000}"/>
    <cellStyle name="Normal 9 3 4 2 3 2" xfId="8483" xr:uid="{00000000-0005-0000-0000-000012B80000}"/>
    <cellStyle name="Normal 9 3 4 2 3 2 2" xfId="16228" xr:uid="{00000000-0005-0000-0000-000013B80000}"/>
    <cellStyle name="Normal 9 3 4 2 3 2 2 2" xfId="31820" xr:uid="{00000000-0005-0000-0000-000014B80000}"/>
    <cellStyle name="Normal 9 3 4 2 3 2 2 3" xfId="47312" xr:uid="{00000000-0005-0000-0000-000015B80000}"/>
    <cellStyle name="Normal 9 3 4 2 3 2 3" xfId="24080" xr:uid="{00000000-0005-0000-0000-000016B80000}"/>
    <cellStyle name="Normal 9 3 4 2 3 2 4" xfId="39572" xr:uid="{00000000-0005-0000-0000-000017B80000}"/>
    <cellStyle name="Normal 9 3 4 2 3 3" xfId="12358" xr:uid="{00000000-0005-0000-0000-000018B80000}"/>
    <cellStyle name="Normal 9 3 4 2 3 3 2" xfId="27950" xr:uid="{00000000-0005-0000-0000-000019B80000}"/>
    <cellStyle name="Normal 9 3 4 2 3 3 3" xfId="43442" xr:uid="{00000000-0005-0000-0000-00001AB80000}"/>
    <cellStyle name="Normal 9 3 4 2 3 4" xfId="20210" xr:uid="{00000000-0005-0000-0000-00001BB80000}"/>
    <cellStyle name="Normal 9 3 4 2 3 5" xfId="35702" xr:uid="{00000000-0005-0000-0000-00001CB80000}"/>
    <cellStyle name="Normal 9 3 4 2 4" xfId="6556" xr:uid="{00000000-0005-0000-0000-00001DB80000}"/>
    <cellStyle name="Normal 9 3 4 2 4 2" xfId="14301" xr:uid="{00000000-0005-0000-0000-00001EB80000}"/>
    <cellStyle name="Normal 9 3 4 2 4 2 2" xfId="29893" xr:uid="{00000000-0005-0000-0000-00001FB80000}"/>
    <cellStyle name="Normal 9 3 4 2 4 2 3" xfId="45385" xr:uid="{00000000-0005-0000-0000-000020B80000}"/>
    <cellStyle name="Normal 9 3 4 2 4 3" xfId="22153" xr:uid="{00000000-0005-0000-0000-000021B80000}"/>
    <cellStyle name="Normal 9 3 4 2 4 4" xfId="37645" xr:uid="{00000000-0005-0000-0000-000022B80000}"/>
    <cellStyle name="Normal 9 3 4 2 5" xfId="10431" xr:uid="{00000000-0005-0000-0000-000023B80000}"/>
    <cellStyle name="Normal 9 3 4 2 5 2" xfId="26023" xr:uid="{00000000-0005-0000-0000-000024B80000}"/>
    <cellStyle name="Normal 9 3 4 2 5 3" xfId="41515" xr:uid="{00000000-0005-0000-0000-000025B80000}"/>
    <cellStyle name="Normal 9 3 4 2 6" xfId="18283" xr:uid="{00000000-0005-0000-0000-000026B80000}"/>
    <cellStyle name="Normal 9 3 4 2 7" xfId="33775" xr:uid="{00000000-0005-0000-0000-000027B80000}"/>
    <cellStyle name="Normal 9 3 4 3" xfId="3312" xr:uid="{00000000-0005-0000-0000-000028B80000}"/>
    <cellStyle name="Normal 9 3 4 3 2" xfId="5251" xr:uid="{00000000-0005-0000-0000-000029B80000}"/>
    <cellStyle name="Normal 9 3 4 3 2 2" xfId="9122" xr:uid="{00000000-0005-0000-0000-00002AB80000}"/>
    <cellStyle name="Normal 9 3 4 3 2 2 2" xfId="16867" xr:uid="{00000000-0005-0000-0000-00002BB80000}"/>
    <cellStyle name="Normal 9 3 4 3 2 2 2 2" xfId="32459" xr:uid="{00000000-0005-0000-0000-00002CB80000}"/>
    <cellStyle name="Normal 9 3 4 3 2 2 2 3" xfId="47951" xr:uid="{00000000-0005-0000-0000-00002DB80000}"/>
    <cellStyle name="Normal 9 3 4 3 2 2 3" xfId="24719" xr:uid="{00000000-0005-0000-0000-00002EB80000}"/>
    <cellStyle name="Normal 9 3 4 3 2 2 4" xfId="40211" xr:uid="{00000000-0005-0000-0000-00002FB80000}"/>
    <cellStyle name="Normal 9 3 4 3 2 3" xfId="12997" xr:uid="{00000000-0005-0000-0000-000030B80000}"/>
    <cellStyle name="Normal 9 3 4 3 2 3 2" xfId="28589" xr:uid="{00000000-0005-0000-0000-000031B80000}"/>
    <cellStyle name="Normal 9 3 4 3 2 3 3" xfId="44081" xr:uid="{00000000-0005-0000-0000-000032B80000}"/>
    <cellStyle name="Normal 9 3 4 3 2 4" xfId="20849" xr:uid="{00000000-0005-0000-0000-000033B80000}"/>
    <cellStyle name="Normal 9 3 4 3 2 5" xfId="36341" xr:uid="{00000000-0005-0000-0000-000034B80000}"/>
    <cellStyle name="Normal 9 3 4 3 3" xfId="7195" xr:uid="{00000000-0005-0000-0000-000035B80000}"/>
    <cellStyle name="Normal 9 3 4 3 3 2" xfId="14940" xr:uid="{00000000-0005-0000-0000-000036B80000}"/>
    <cellStyle name="Normal 9 3 4 3 3 2 2" xfId="30532" xr:uid="{00000000-0005-0000-0000-000037B80000}"/>
    <cellStyle name="Normal 9 3 4 3 3 2 3" xfId="46024" xr:uid="{00000000-0005-0000-0000-000038B80000}"/>
    <cellStyle name="Normal 9 3 4 3 3 3" xfId="22792" xr:uid="{00000000-0005-0000-0000-000039B80000}"/>
    <cellStyle name="Normal 9 3 4 3 3 4" xfId="38284" xr:uid="{00000000-0005-0000-0000-00003AB80000}"/>
    <cellStyle name="Normal 9 3 4 3 4" xfId="11070" xr:uid="{00000000-0005-0000-0000-00003BB80000}"/>
    <cellStyle name="Normal 9 3 4 3 4 2" xfId="26662" xr:uid="{00000000-0005-0000-0000-00003CB80000}"/>
    <cellStyle name="Normal 9 3 4 3 4 3" xfId="42154" xr:uid="{00000000-0005-0000-0000-00003DB80000}"/>
    <cellStyle name="Normal 9 3 4 3 5" xfId="18922" xr:uid="{00000000-0005-0000-0000-00003EB80000}"/>
    <cellStyle name="Normal 9 3 4 3 6" xfId="34414" xr:uid="{00000000-0005-0000-0000-00003FB80000}"/>
    <cellStyle name="Normal 9 3 4 4" xfId="4303" xr:uid="{00000000-0005-0000-0000-000040B80000}"/>
    <cellStyle name="Normal 9 3 4 4 2" xfId="8174" xr:uid="{00000000-0005-0000-0000-000041B80000}"/>
    <cellStyle name="Normal 9 3 4 4 2 2" xfId="15919" xr:uid="{00000000-0005-0000-0000-000042B80000}"/>
    <cellStyle name="Normal 9 3 4 4 2 2 2" xfId="31511" xr:uid="{00000000-0005-0000-0000-000043B80000}"/>
    <cellStyle name="Normal 9 3 4 4 2 2 3" xfId="47003" xr:uid="{00000000-0005-0000-0000-000044B80000}"/>
    <cellStyle name="Normal 9 3 4 4 2 3" xfId="23771" xr:uid="{00000000-0005-0000-0000-000045B80000}"/>
    <cellStyle name="Normal 9 3 4 4 2 4" xfId="39263" xr:uid="{00000000-0005-0000-0000-000046B80000}"/>
    <cellStyle name="Normal 9 3 4 4 3" xfId="12049" xr:uid="{00000000-0005-0000-0000-000047B80000}"/>
    <cellStyle name="Normal 9 3 4 4 3 2" xfId="27641" xr:uid="{00000000-0005-0000-0000-000048B80000}"/>
    <cellStyle name="Normal 9 3 4 4 3 3" xfId="43133" xr:uid="{00000000-0005-0000-0000-000049B80000}"/>
    <cellStyle name="Normal 9 3 4 4 4" xfId="19901" xr:uid="{00000000-0005-0000-0000-00004AB80000}"/>
    <cellStyle name="Normal 9 3 4 4 5" xfId="35393" xr:uid="{00000000-0005-0000-0000-00004BB80000}"/>
    <cellStyle name="Normal 9 3 4 5" xfId="6247" xr:uid="{00000000-0005-0000-0000-00004CB80000}"/>
    <cellStyle name="Normal 9 3 4 5 2" xfId="13992" xr:uid="{00000000-0005-0000-0000-00004DB80000}"/>
    <cellStyle name="Normal 9 3 4 5 2 2" xfId="29584" xr:uid="{00000000-0005-0000-0000-00004EB80000}"/>
    <cellStyle name="Normal 9 3 4 5 2 3" xfId="45076" xr:uid="{00000000-0005-0000-0000-00004FB80000}"/>
    <cellStyle name="Normal 9 3 4 5 3" xfId="21844" xr:uid="{00000000-0005-0000-0000-000050B80000}"/>
    <cellStyle name="Normal 9 3 4 5 4" xfId="37336" xr:uid="{00000000-0005-0000-0000-000051B80000}"/>
    <cellStyle name="Normal 9 3 4 6" xfId="10122" xr:uid="{00000000-0005-0000-0000-000052B80000}"/>
    <cellStyle name="Normal 9 3 4 6 2" xfId="25714" xr:uid="{00000000-0005-0000-0000-000053B80000}"/>
    <cellStyle name="Normal 9 3 4 6 3" xfId="41206" xr:uid="{00000000-0005-0000-0000-000054B80000}"/>
    <cellStyle name="Normal 9 3 4 7" xfId="17974" xr:uid="{00000000-0005-0000-0000-000055B80000}"/>
    <cellStyle name="Normal 9 3 4 8" xfId="33466" xr:uid="{00000000-0005-0000-0000-000056B80000}"/>
    <cellStyle name="Normal 9 3 5" xfId="2335" xr:uid="{00000000-0005-0000-0000-000057B80000}"/>
    <cellStyle name="Normal 9 3 5 2" xfId="2649" xr:uid="{00000000-0005-0000-0000-000058B80000}"/>
    <cellStyle name="Normal 9 3 5 2 2" xfId="3657" xr:uid="{00000000-0005-0000-0000-000059B80000}"/>
    <cellStyle name="Normal 9 3 5 2 2 2" xfId="5596" xr:uid="{00000000-0005-0000-0000-00005AB80000}"/>
    <cellStyle name="Normal 9 3 5 2 2 2 2" xfId="9467" xr:uid="{00000000-0005-0000-0000-00005BB80000}"/>
    <cellStyle name="Normal 9 3 5 2 2 2 2 2" xfId="17212" xr:uid="{00000000-0005-0000-0000-00005CB80000}"/>
    <cellStyle name="Normal 9 3 5 2 2 2 2 2 2" xfId="32804" xr:uid="{00000000-0005-0000-0000-00005DB80000}"/>
    <cellStyle name="Normal 9 3 5 2 2 2 2 2 3" xfId="48296" xr:uid="{00000000-0005-0000-0000-00005EB80000}"/>
    <cellStyle name="Normal 9 3 5 2 2 2 2 3" xfId="25064" xr:uid="{00000000-0005-0000-0000-00005FB80000}"/>
    <cellStyle name="Normal 9 3 5 2 2 2 2 4" xfId="40556" xr:uid="{00000000-0005-0000-0000-000060B80000}"/>
    <cellStyle name="Normal 9 3 5 2 2 2 3" xfId="13342" xr:uid="{00000000-0005-0000-0000-000061B80000}"/>
    <cellStyle name="Normal 9 3 5 2 2 2 3 2" xfId="28934" xr:uid="{00000000-0005-0000-0000-000062B80000}"/>
    <cellStyle name="Normal 9 3 5 2 2 2 3 3" xfId="44426" xr:uid="{00000000-0005-0000-0000-000063B80000}"/>
    <cellStyle name="Normal 9 3 5 2 2 2 4" xfId="21194" xr:uid="{00000000-0005-0000-0000-000064B80000}"/>
    <cellStyle name="Normal 9 3 5 2 2 2 5" xfId="36686" xr:uid="{00000000-0005-0000-0000-000065B80000}"/>
    <cellStyle name="Normal 9 3 5 2 2 3" xfId="7540" xr:uid="{00000000-0005-0000-0000-000066B80000}"/>
    <cellStyle name="Normal 9 3 5 2 2 3 2" xfId="15285" xr:uid="{00000000-0005-0000-0000-000067B80000}"/>
    <cellStyle name="Normal 9 3 5 2 2 3 2 2" xfId="30877" xr:uid="{00000000-0005-0000-0000-000068B80000}"/>
    <cellStyle name="Normal 9 3 5 2 2 3 2 3" xfId="46369" xr:uid="{00000000-0005-0000-0000-000069B80000}"/>
    <cellStyle name="Normal 9 3 5 2 2 3 3" xfId="23137" xr:uid="{00000000-0005-0000-0000-00006AB80000}"/>
    <cellStyle name="Normal 9 3 5 2 2 3 4" xfId="38629" xr:uid="{00000000-0005-0000-0000-00006BB80000}"/>
    <cellStyle name="Normal 9 3 5 2 2 4" xfId="11415" xr:uid="{00000000-0005-0000-0000-00006CB80000}"/>
    <cellStyle name="Normal 9 3 5 2 2 4 2" xfId="27007" xr:uid="{00000000-0005-0000-0000-00006DB80000}"/>
    <cellStyle name="Normal 9 3 5 2 2 4 3" xfId="42499" xr:uid="{00000000-0005-0000-0000-00006EB80000}"/>
    <cellStyle name="Normal 9 3 5 2 2 5" xfId="19267" xr:uid="{00000000-0005-0000-0000-00006FB80000}"/>
    <cellStyle name="Normal 9 3 5 2 2 6" xfId="34759" xr:uid="{00000000-0005-0000-0000-000070B80000}"/>
    <cellStyle name="Normal 9 3 5 2 3" xfId="4648" xr:uid="{00000000-0005-0000-0000-000071B80000}"/>
    <cellStyle name="Normal 9 3 5 2 3 2" xfId="8519" xr:uid="{00000000-0005-0000-0000-000072B80000}"/>
    <cellStyle name="Normal 9 3 5 2 3 2 2" xfId="16264" xr:uid="{00000000-0005-0000-0000-000073B80000}"/>
    <cellStyle name="Normal 9 3 5 2 3 2 2 2" xfId="31856" xr:uid="{00000000-0005-0000-0000-000074B80000}"/>
    <cellStyle name="Normal 9 3 5 2 3 2 2 3" xfId="47348" xr:uid="{00000000-0005-0000-0000-000075B80000}"/>
    <cellStyle name="Normal 9 3 5 2 3 2 3" xfId="24116" xr:uid="{00000000-0005-0000-0000-000076B80000}"/>
    <cellStyle name="Normal 9 3 5 2 3 2 4" xfId="39608" xr:uid="{00000000-0005-0000-0000-000077B80000}"/>
    <cellStyle name="Normal 9 3 5 2 3 3" xfId="12394" xr:uid="{00000000-0005-0000-0000-000078B80000}"/>
    <cellStyle name="Normal 9 3 5 2 3 3 2" xfId="27986" xr:uid="{00000000-0005-0000-0000-000079B80000}"/>
    <cellStyle name="Normal 9 3 5 2 3 3 3" xfId="43478" xr:uid="{00000000-0005-0000-0000-00007AB80000}"/>
    <cellStyle name="Normal 9 3 5 2 3 4" xfId="20246" xr:uid="{00000000-0005-0000-0000-00007BB80000}"/>
    <cellStyle name="Normal 9 3 5 2 3 5" xfId="35738" xr:uid="{00000000-0005-0000-0000-00007CB80000}"/>
    <cellStyle name="Normal 9 3 5 2 4" xfId="6592" xr:uid="{00000000-0005-0000-0000-00007DB80000}"/>
    <cellStyle name="Normal 9 3 5 2 4 2" xfId="14337" xr:uid="{00000000-0005-0000-0000-00007EB80000}"/>
    <cellStyle name="Normal 9 3 5 2 4 2 2" xfId="29929" xr:uid="{00000000-0005-0000-0000-00007FB80000}"/>
    <cellStyle name="Normal 9 3 5 2 4 2 3" xfId="45421" xr:uid="{00000000-0005-0000-0000-000080B80000}"/>
    <cellStyle name="Normal 9 3 5 2 4 3" xfId="22189" xr:uid="{00000000-0005-0000-0000-000081B80000}"/>
    <cellStyle name="Normal 9 3 5 2 4 4" xfId="37681" xr:uid="{00000000-0005-0000-0000-000082B80000}"/>
    <cellStyle name="Normal 9 3 5 2 5" xfId="10467" xr:uid="{00000000-0005-0000-0000-000083B80000}"/>
    <cellStyle name="Normal 9 3 5 2 5 2" xfId="26059" xr:uid="{00000000-0005-0000-0000-000084B80000}"/>
    <cellStyle name="Normal 9 3 5 2 5 3" xfId="41551" xr:uid="{00000000-0005-0000-0000-000085B80000}"/>
    <cellStyle name="Normal 9 3 5 2 6" xfId="18319" xr:uid="{00000000-0005-0000-0000-000086B80000}"/>
    <cellStyle name="Normal 9 3 5 2 7" xfId="33811" xr:uid="{00000000-0005-0000-0000-000087B80000}"/>
    <cellStyle name="Normal 9 3 5 3" xfId="3348" xr:uid="{00000000-0005-0000-0000-000088B80000}"/>
    <cellStyle name="Normal 9 3 5 3 2" xfId="5287" xr:uid="{00000000-0005-0000-0000-000089B80000}"/>
    <cellStyle name="Normal 9 3 5 3 2 2" xfId="9158" xr:uid="{00000000-0005-0000-0000-00008AB80000}"/>
    <cellStyle name="Normal 9 3 5 3 2 2 2" xfId="16903" xr:uid="{00000000-0005-0000-0000-00008BB80000}"/>
    <cellStyle name="Normal 9 3 5 3 2 2 2 2" xfId="32495" xr:uid="{00000000-0005-0000-0000-00008CB80000}"/>
    <cellStyle name="Normal 9 3 5 3 2 2 2 3" xfId="47987" xr:uid="{00000000-0005-0000-0000-00008DB80000}"/>
    <cellStyle name="Normal 9 3 5 3 2 2 3" xfId="24755" xr:uid="{00000000-0005-0000-0000-00008EB80000}"/>
    <cellStyle name="Normal 9 3 5 3 2 2 4" xfId="40247" xr:uid="{00000000-0005-0000-0000-00008FB80000}"/>
    <cellStyle name="Normal 9 3 5 3 2 3" xfId="13033" xr:uid="{00000000-0005-0000-0000-000090B80000}"/>
    <cellStyle name="Normal 9 3 5 3 2 3 2" xfId="28625" xr:uid="{00000000-0005-0000-0000-000091B80000}"/>
    <cellStyle name="Normal 9 3 5 3 2 3 3" xfId="44117" xr:uid="{00000000-0005-0000-0000-000092B80000}"/>
    <cellStyle name="Normal 9 3 5 3 2 4" xfId="20885" xr:uid="{00000000-0005-0000-0000-000093B80000}"/>
    <cellStyle name="Normal 9 3 5 3 2 5" xfId="36377" xr:uid="{00000000-0005-0000-0000-000094B80000}"/>
    <cellStyle name="Normal 9 3 5 3 3" xfId="7231" xr:uid="{00000000-0005-0000-0000-000095B80000}"/>
    <cellStyle name="Normal 9 3 5 3 3 2" xfId="14976" xr:uid="{00000000-0005-0000-0000-000096B80000}"/>
    <cellStyle name="Normal 9 3 5 3 3 2 2" xfId="30568" xr:uid="{00000000-0005-0000-0000-000097B80000}"/>
    <cellStyle name="Normal 9 3 5 3 3 2 3" xfId="46060" xr:uid="{00000000-0005-0000-0000-000098B80000}"/>
    <cellStyle name="Normal 9 3 5 3 3 3" xfId="22828" xr:uid="{00000000-0005-0000-0000-000099B80000}"/>
    <cellStyle name="Normal 9 3 5 3 3 4" xfId="38320" xr:uid="{00000000-0005-0000-0000-00009AB80000}"/>
    <cellStyle name="Normal 9 3 5 3 4" xfId="11106" xr:uid="{00000000-0005-0000-0000-00009BB80000}"/>
    <cellStyle name="Normal 9 3 5 3 4 2" xfId="26698" xr:uid="{00000000-0005-0000-0000-00009CB80000}"/>
    <cellStyle name="Normal 9 3 5 3 4 3" xfId="42190" xr:uid="{00000000-0005-0000-0000-00009DB80000}"/>
    <cellStyle name="Normal 9 3 5 3 5" xfId="18958" xr:uid="{00000000-0005-0000-0000-00009EB80000}"/>
    <cellStyle name="Normal 9 3 5 3 6" xfId="34450" xr:uid="{00000000-0005-0000-0000-00009FB80000}"/>
    <cellStyle name="Normal 9 3 5 4" xfId="4339" xr:uid="{00000000-0005-0000-0000-0000A0B80000}"/>
    <cellStyle name="Normal 9 3 5 4 2" xfId="8210" xr:uid="{00000000-0005-0000-0000-0000A1B80000}"/>
    <cellStyle name="Normal 9 3 5 4 2 2" xfId="15955" xr:uid="{00000000-0005-0000-0000-0000A2B80000}"/>
    <cellStyle name="Normal 9 3 5 4 2 2 2" xfId="31547" xr:uid="{00000000-0005-0000-0000-0000A3B80000}"/>
    <cellStyle name="Normal 9 3 5 4 2 2 3" xfId="47039" xr:uid="{00000000-0005-0000-0000-0000A4B80000}"/>
    <cellStyle name="Normal 9 3 5 4 2 3" xfId="23807" xr:uid="{00000000-0005-0000-0000-0000A5B80000}"/>
    <cellStyle name="Normal 9 3 5 4 2 4" xfId="39299" xr:uid="{00000000-0005-0000-0000-0000A6B80000}"/>
    <cellStyle name="Normal 9 3 5 4 3" xfId="12085" xr:uid="{00000000-0005-0000-0000-0000A7B80000}"/>
    <cellStyle name="Normal 9 3 5 4 3 2" xfId="27677" xr:uid="{00000000-0005-0000-0000-0000A8B80000}"/>
    <cellStyle name="Normal 9 3 5 4 3 3" xfId="43169" xr:uid="{00000000-0005-0000-0000-0000A9B80000}"/>
    <cellStyle name="Normal 9 3 5 4 4" xfId="19937" xr:uid="{00000000-0005-0000-0000-0000AAB80000}"/>
    <cellStyle name="Normal 9 3 5 4 5" xfId="35429" xr:uid="{00000000-0005-0000-0000-0000ABB80000}"/>
    <cellStyle name="Normal 9 3 5 5" xfId="6283" xr:uid="{00000000-0005-0000-0000-0000ACB80000}"/>
    <cellStyle name="Normal 9 3 5 5 2" xfId="14028" xr:uid="{00000000-0005-0000-0000-0000ADB80000}"/>
    <cellStyle name="Normal 9 3 5 5 2 2" xfId="29620" xr:uid="{00000000-0005-0000-0000-0000AEB80000}"/>
    <cellStyle name="Normal 9 3 5 5 2 3" xfId="45112" xr:uid="{00000000-0005-0000-0000-0000AFB80000}"/>
    <cellStyle name="Normal 9 3 5 5 3" xfId="21880" xr:uid="{00000000-0005-0000-0000-0000B0B80000}"/>
    <cellStyle name="Normal 9 3 5 5 4" xfId="37372" xr:uid="{00000000-0005-0000-0000-0000B1B80000}"/>
    <cellStyle name="Normal 9 3 5 6" xfId="10158" xr:uid="{00000000-0005-0000-0000-0000B2B80000}"/>
    <cellStyle name="Normal 9 3 5 6 2" xfId="25750" xr:uid="{00000000-0005-0000-0000-0000B3B80000}"/>
    <cellStyle name="Normal 9 3 5 6 3" xfId="41242" xr:uid="{00000000-0005-0000-0000-0000B4B80000}"/>
    <cellStyle name="Normal 9 3 5 7" xfId="18010" xr:uid="{00000000-0005-0000-0000-0000B5B80000}"/>
    <cellStyle name="Normal 9 3 5 8" xfId="33502" xr:uid="{00000000-0005-0000-0000-0000B6B80000}"/>
    <cellStyle name="Normal 9 3 6" xfId="2372" xr:uid="{00000000-0005-0000-0000-0000B7B80000}"/>
    <cellStyle name="Normal 9 3 6 2" xfId="2685" xr:uid="{00000000-0005-0000-0000-0000B8B80000}"/>
    <cellStyle name="Normal 9 3 6 2 2" xfId="3693" xr:uid="{00000000-0005-0000-0000-0000B9B80000}"/>
    <cellStyle name="Normal 9 3 6 2 2 2" xfId="5632" xr:uid="{00000000-0005-0000-0000-0000BAB80000}"/>
    <cellStyle name="Normal 9 3 6 2 2 2 2" xfId="9503" xr:uid="{00000000-0005-0000-0000-0000BBB80000}"/>
    <cellStyle name="Normal 9 3 6 2 2 2 2 2" xfId="17248" xr:uid="{00000000-0005-0000-0000-0000BCB80000}"/>
    <cellStyle name="Normal 9 3 6 2 2 2 2 2 2" xfId="32840" xr:uid="{00000000-0005-0000-0000-0000BDB80000}"/>
    <cellStyle name="Normal 9 3 6 2 2 2 2 2 3" xfId="48332" xr:uid="{00000000-0005-0000-0000-0000BEB80000}"/>
    <cellStyle name="Normal 9 3 6 2 2 2 2 3" xfId="25100" xr:uid="{00000000-0005-0000-0000-0000BFB80000}"/>
    <cellStyle name="Normal 9 3 6 2 2 2 2 4" xfId="40592" xr:uid="{00000000-0005-0000-0000-0000C0B80000}"/>
    <cellStyle name="Normal 9 3 6 2 2 2 3" xfId="13378" xr:uid="{00000000-0005-0000-0000-0000C1B80000}"/>
    <cellStyle name="Normal 9 3 6 2 2 2 3 2" xfId="28970" xr:uid="{00000000-0005-0000-0000-0000C2B80000}"/>
    <cellStyle name="Normal 9 3 6 2 2 2 3 3" xfId="44462" xr:uid="{00000000-0005-0000-0000-0000C3B80000}"/>
    <cellStyle name="Normal 9 3 6 2 2 2 4" xfId="21230" xr:uid="{00000000-0005-0000-0000-0000C4B80000}"/>
    <cellStyle name="Normal 9 3 6 2 2 2 5" xfId="36722" xr:uid="{00000000-0005-0000-0000-0000C5B80000}"/>
    <cellStyle name="Normal 9 3 6 2 2 3" xfId="7576" xr:uid="{00000000-0005-0000-0000-0000C6B80000}"/>
    <cellStyle name="Normal 9 3 6 2 2 3 2" xfId="15321" xr:uid="{00000000-0005-0000-0000-0000C7B80000}"/>
    <cellStyle name="Normal 9 3 6 2 2 3 2 2" xfId="30913" xr:uid="{00000000-0005-0000-0000-0000C8B80000}"/>
    <cellStyle name="Normal 9 3 6 2 2 3 2 3" xfId="46405" xr:uid="{00000000-0005-0000-0000-0000C9B80000}"/>
    <cellStyle name="Normal 9 3 6 2 2 3 3" xfId="23173" xr:uid="{00000000-0005-0000-0000-0000CAB80000}"/>
    <cellStyle name="Normal 9 3 6 2 2 3 4" xfId="38665" xr:uid="{00000000-0005-0000-0000-0000CBB80000}"/>
    <cellStyle name="Normal 9 3 6 2 2 4" xfId="11451" xr:uid="{00000000-0005-0000-0000-0000CCB80000}"/>
    <cellStyle name="Normal 9 3 6 2 2 4 2" xfId="27043" xr:uid="{00000000-0005-0000-0000-0000CDB80000}"/>
    <cellStyle name="Normal 9 3 6 2 2 4 3" xfId="42535" xr:uid="{00000000-0005-0000-0000-0000CEB80000}"/>
    <cellStyle name="Normal 9 3 6 2 2 5" xfId="19303" xr:uid="{00000000-0005-0000-0000-0000CFB80000}"/>
    <cellStyle name="Normal 9 3 6 2 2 6" xfId="34795" xr:uid="{00000000-0005-0000-0000-0000D0B80000}"/>
    <cellStyle name="Normal 9 3 6 2 3" xfId="4684" xr:uid="{00000000-0005-0000-0000-0000D1B80000}"/>
    <cellStyle name="Normal 9 3 6 2 3 2" xfId="8555" xr:uid="{00000000-0005-0000-0000-0000D2B80000}"/>
    <cellStyle name="Normal 9 3 6 2 3 2 2" xfId="16300" xr:uid="{00000000-0005-0000-0000-0000D3B80000}"/>
    <cellStyle name="Normal 9 3 6 2 3 2 2 2" xfId="31892" xr:uid="{00000000-0005-0000-0000-0000D4B80000}"/>
    <cellStyle name="Normal 9 3 6 2 3 2 2 3" xfId="47384" xr:uid="{00000000-0005-0000-0000-0000D5B80000}"/>
    <cellStyle name="Normal 9 3 6 2 3 2 3" xfId="24152" xr:uid="{00000000-0005-0000-0000-0000D6B80000}"/>
    <cellStyle name="Normal 9 3 6 2 3 2 4" xfId="39644" xr:uid="{00000000-0005-0000-0000-0000D7B80000}"/>
    <cellStyle name="Normal 9 3 6 2 3 3" xfId="12430" xr:uid="{00000000-0005-0000-0000-0000D8B80000}"/>
    <cellStyle name="Normal 9 3 6 2 3 3 2" xfId="28022" xr:uid="{00000000-0005-0000-0000-0000D9B80000}"/>
    <cellStyle name="Normal 9 3 6 2 3 3 3" xfId="43514" xr:uid="{00000000-0005-0000-0000-0000DAB80000}"/>
    <cellStyle name="Normal 9 3 6 2 3 4" xfId="20282" xr:uid="{00000000-0005-0000-0000-0000DBB80000}"/>
    <cellStyle name="Normal 9 3 6 2 3 5" xfId="35774" xr:uid="{00000000-0005-0000-0000-0000DCB80000}"/>
    <cellStyle name="Normal 9 3 6 2 4" xfId="6628" xr:uid="{00000000-0005-0000-0000-0000DDB80000}"/>
    <cellStyle name="Normal 9 3 6 2 4 2" xfId="14373" xr:uid="{00000000-0005-0000-0000-0000DEB80000}"/>
    <cellStyle name="Normal 9 3 6 2 4 2 2" xfId="29965" xr:uid="{00000000-0005-0000-0000-0000DFB80000}"/>
    <cellStyle name="Normal 9 3 6 2 4 2 3" xfId="45457" xr:uid="{00000000-0005-0000-0000-0000E0B80000}"/>
    <cellStyle name="Normal 9 3 6 2 4 3" xfId="22225" xr:uid="{00000000-0005-0000-0000-0000E1B80000}"/>
    <cellStyle name="Normal 9 3 6 2 4 4" xfId="37717" xr:uid="{00000000-0005-0000-0000-0000E2B80000}"/>
    <cellStyle name="Normal 9 3 6 2 5" xfId="10503" xr:uid="{00000000-0005-0000-0000-0000E3B80000}"/>
    <cellStyle name="Normal 9 3 6 2 5 2" xfId="26095" xr:uid="{00000000-0005-0000-0000-0000E4B80000}"/>
    <cellStyle name="Normal 9 3 6 2 5 3" xfId="41587" xr:uid="{00000000-0005-0000-0000-0000E5B80000}"/>
    <cellStyle name="Normal 9 3 6 2 6" xfId="18355" xr:uid="{00000000-0005-0000-0000-0000E6B80000}"/>
    <cellStyle name="Normal 9 3 6 2 7" xfId="33847" xr:uid="{00000000-0005-0000-0000-0000E7B80000}"/>
    <cellStyle name="Normal 9 3 6 3" xfId="3384" xr:uid="{00000000-0005-0000-0000-0000E8B80000}"/>
    <cellStyle name="Normal 9 3 6 3 2" xfId="5323" xr:uid="{00000000-0005-0000-0000-0000E9B80000}"/>
    <cellStyle name="Normal 9 3 6 3 2 2" xfId="9194" xr:uid="{00000000-0005-0000-0000-0000EAB80000}"/>
    <cellStyle name="Normal 9 3 6 3 2 2 2" xfId="16939" xr:uid="{00000000-0005-0000-0000-0000EBB80000}"/>
    <cellStyle name="Normal 9 3 6 3 2 2 2 2" xfId="32531" xr:uid="{00000000-0005-0000-0000-0000ECB80000}"/>
    <cellStyle name="Normal 9 3 6 3 2 2 2 3" xfId="48023" xr:uid="{00000000-0005-0000-0000-0000EDB80000}"/>
    <cellStyle name="Normal 9 3 6 3 2 2 3" xfId="24791" xr:uid="{00000000-0005-0000-0000-0000EEB80000}"/>
    <cellStyle name="Normal 9 3 6 3 2 2 4" xfId="40283" xr:uid="{00000000-0005-0000-0000-0000EFB80000}"/>
    <cellStyle name="Normal 9 3 6 3 2 3" xfId="13069" xr:uid="{00000000-0005-0000-0000-0000F0B80000}"/>
    <cellStyle name="Normal 9 3 6 3 2 3 2" xfId="28661" xr:uid="{00000000-0005-0000-0000-0000F1B80000}"/>
    <cellStyle name="Normal 9 3 6 3 2 3 3" xfId="44153" xr:uid="{00000000-0005-0000-0000-0000F2B80000}"/>
    <cellStyle name="Normal 9 3 6 3 2 4" xfId="20921" xr:uid="{00000000-0005-0000-0000-0000F3B80000}"/>
    <cellStyle name="Normal 9 3 6 3 2 5" xfId="36413" xr:uid="{00000000-0005-0000-0000-0000F4B80000}"/>
    <cellStyle name="Normal 9 3 6 3 3" xfId="7267" xr:uid="{00000000-0005-0000-0000-0000F5B80000}"/>
    <cellStyle name="Normal 9 3 6 3 3 2" xfId="15012" xr:uid="{00000000-0005-0000-0000-0000F6B80000}"/>
    <cellStyle name="Normal 9 3 6 3 3 2 2" xfId="30604" xr:uid="{00000000-0005-0000-0000-0000F7B80000}"/>
    <cellStyle name="Normal 9 3 6 3 3 2 3" xfId="46096" xr:uid="{00000000-0005-0000-0000-0000F8B80000}"/>
    <cellStyle name="Normal 9 3 6 3 3 3" xfId="22864" xr:uid="{00000000-0005-0000-0000-0000F9B80000}"/>
    <cellStyle name="Normal 9 3 6 3 3 4" xfId="38356" xr:uid="{00000000-0005-0000-0000-0000FAB80000}"/>
    <cellStyle name="Normal 9 3 6 3 4" xfId="11142" xr:uid="{00000000-0005-0000-0000-0000FBB80000}"/>
    <cellStyle name="Normal 9 3 6 3 4 2" xfId="26734" xr:uid="{00000000-0005-0000-0000-0000FCB80000}"/>
    <cellStyle name="Normal 9 3 6 3 4 3" xfId="42226" xr:uid="{00000000-0005-0000-0000-0000FDB80000}"/>
    <cellStyle name="Normal 9 3 6 3 5" xfId="18994" xr:uid="{00000000-0005-0000-0000-0000FEB80000}"/>
    <cellStyle name="Normal 9 3 6 3 6" xfId="34486" xr:uid="{00000000-0005-0000-0000-0000FFB80000}"/>
    <cellStyle name="Normal 9 3 6 4" xfId="4375" xr:uid="{00000000-0005-0000-0000-000000B90000}"/>
    <cellStyle name="Normal 9 3 6 4 2" xfId="8246" xr:uid="{00000000-0005-0000-0000-000001B90000}"/>
    <cellStyle name="Normal 9 3 6 4 2 2" xfId="15991" xr:uid="{00000000-0005-0000-0000-000002B90000}"/>
    <cellStyle name="Normal 9 3 6 4 2 2 2" xfId="31583" xr:uid="{00000000-0005-0000-0000-000003B90000}"/>
    <cellStyle name="Normal 9 3 6 4 2 2 3" xfId="47075" xr:uid="{00000000-0005-0000-0000-000004B90000}"/>
    <cellStyle name="Normal 9 3 6 4 2 3" xfId="23843" xr:uid="{00000000-0005-0000-0000-000005B90000}"/>
    <cellStyle name="Normal 9 3 6 4 2 4" xfId="39335" xr:uid="{00000000-0005-0000-0000-000006B90000}"/>
    <cellStyle name="Normal 9 3 6 4 3" xfId="12121" xr:uid="{00000000-0005-0000-0000-000007B90000}"/>
    <cellStyle name="Normal 9 3 6 4 3 2" xfId="27713" xr:uid="{00000000-0005-0000-0000-000008B90000}"/>
    <cellStyle name="Normal 9 3 6 4 3 3" xfId="43205" xr:uid="{00000000-0005-0000-0000-000009B90000}"/>
    <cellStyle name="Normal 9 3 6 4 4" xfId="19973" xr:uid="{00000000-0005-0000-0000-00000AB90000}"/>
    <cellStyle name="Normal 9 3 6 4 5" xfId="35465" xr:uid="{00000000-0005-0000-0000-00000BB90000}"/>
    <cellStyle name="Normal 9 3 6 5" xfId="6319" xr:uid="{00000000-0005-0000-0000-00000CB90000}"/>
    <cellStyle name="Normal 9 3 6 5 2" xfId="14064" xr:uid="{00000000-0005-0000-0000-00000DB90000}"/>
    <cellStyle name="Normal 9 3 6 5 2 2" xfId="29656" xr:uid="{00000000-0005-0000-0000-00000EB90000}"/>
    <cellStyle name="Normal 9 3 6 5 2 3" xfId="45148" xr:uid="{00000000-0005-0000-0000-00000FB90000}"/>
    <cellStyle name="Normal 9 3 6 5 3" xfId="21916" xr:uid="{00000000-0005-0000-0000-000010B90000}"/>
    <cellStyle name="Normal 9 3 6 5 4" xfId="37408" xr:uid="{00000000-0005-0000-0000-000011B90000}"/>
    <cellStyle name="Normal 9 3 6 6" xfId="10194" xr:uid="{00000000-0005-0000-0000-000012B90000}"/>
    <cellStyle name="Normal 9 3 6 6 2" xfId="25786" xr:uid="{00000000-0005-0000-0000-000013B90000}"/>
    <cellStyle name="Normal 9 3 6 6 3" xfId="41278" xr:uid="{00000000-0005-0000-0000-000014B90000}"/>
    <cellStyle name="Normal 9 3 6 7" xfId="18046" xr:uid="{00000000-0005-0000-0000-000015B90000}"/>
    <cellStyle name="Normal 9 3 6 8" xfId="33538" xr:uid="{00000000-0005-0000-0000-000016B90000}"/>
    <cellStyle name="Normal 9 3 7" xfId="2410" xr:uid="{00000000-0005-0000-0000-000017B90000}"/>
    <cellStyle name="Normal 9 3 7 2" xfId="2721" xr:uid="{00000000-0005-0000-0000-000018B90000}"/>
    <cellStyle name="Normal 9 3 7 2 2" xfId="3729" xr:uid="{00000000-0005-0000-0000-000019B90000}"/>
    <cellStyle name="Normal 9 3 7 2 2 2" xfId="5668" xr:uid="{00000000-0005-0000-0000-00001AB90000}"/>
    <cellStyle name="Normal 9 3 7 2 2 2 2" xfId="9539" xr:uid="{00000000-0005-0000-0000-00001BB90000}"/>
    <cellStyle name="Normal 9 3 7 2 2 2 2 2" xfId="17284" xr:uid="{00000000-0005-0000-0000-00001CB90000}"/>
    <cellStyle name="Normal 9 3 7 2 2 2 2 2 2" xfId="32876" xr:uid="{00000000-0005-0000-0000-00001DB90000}"/>
    <cellStyle name="Normal 9 3 7 2 2 2 2 2 3" xfId="48368" xr:uid="{00000000-0005-0000-0000-00001EB90000}"/>
    <cellStyle name="Normal 9 3 7 2 2 2 2 3" xfId="25136" xr:uid="{00000000-0005-0000-0000-00001FB90000}"/>
    <cellStyle name="Normal 9 3 7 2 2 2 2 4" xfId="40628" xr:uid="{00000000-0005-0000-0000-000020B90000}"/>
    <cellStyle name="Normal 9 3 7 2 2 2 3" xfId="13414" xr:uid="{00000000-0005-0000-0000-000021B90000}"/>
    <cellStyle name="Normal 9 3 7 2 2 2 3 2" xfId="29006" xr:uid="{00000000-0005-0000-0000-000022B90000}"/>
    <cellStyle name="Normal 9 3 7 2 2 2 3 3" xfId="44498" xr:uid="{00000000-0005-0000-0000-000023B90000}"/>
    <cellStyle name="Normal 9 3 7 2 2 2 4" xfId="21266" xr:uid="{00000000-0005-0000-0000-000024B90000}"/>
    <cellStyle name="Normal 9 3 7 2 2 2 5" xfId="36758" xr:uid="{00000000-0005-0000-0000-000025B90000}"/>
    <cellStyle name="Normal 9 3 7 2 2 3" xfId="7612" xr:uid="{00000000-0005-0000-0000-000026B90000}"/>
    <cellStyle name="Normal 9 3 7 2 2 3 2" xfId="15357" xr:uid="{00000000-0005-0000-0000-000027B90000}"/>
    <cellStyle name="Normal 9 3 7 2 2 3 2 2" xfId="30949" xr:uid="{00000000-0005-0000-0000-000028B90000}"/>
    <cellStyle name="Normal 9 3 7 2 2 3 2 3" xfId="46441" xr:uid="{00000000-0005-0000-0000-000029B90000}"/>
    <cellStyle name="Normal 9 3 7 2 2 3 3" xfId="23209" xr:uid="{00000000-0005-0000-0000-00002AB90000}"/>
    <cellStyle name="Normal 9 3 7 2 2 3 4" xfId="38701" xr:uid="{00000000-0005-0000-0000-00002BB90000}"/>
    <cellStyle name="Normal 9 3 7 2 2 4" xfId="11487" xr:uid="{00000000-0005-0000-0000-00002CB90000}"/>
    <cellStyle name="Normal 9 3 7 2 2 4 2" xfId="27079" xr:uid="{00000000-0005-0000-0000-00002DB90000}"/>
    <cellStyle name="Normal 9 3 7 2 2 4 3" xfId="42571" xr:uid="{00000000-0005-0000-0000-00002EB90000}"/>
    <cellStyle name="Normal 9 3 7 2 2 5" xfId="19339" xr:uid="{00000000-0005-0000-0000-00002FB90000}"/>
    <cellStyle name="Normal 9 3 7 2 2 6" xfId="34831" xr:uid="{00000000-0005-0000-0000-000030B90000}"/>
    <cellStyle name="Normal 9 3 7 2 3" xfId="4720" xr:uid="{00000000-0005-0000-0000-000031B90000}"/>
    <cellStyle name="Normal 9 3 7 2 3 2" xfId="8591" xr:uid="{00000000-0005-0000-0000-000032B90000}"/>
    <cellStyle name="Normal 9 3 7 2 3 2 2" xfId="16336" xr:uid="{00000000-0005-0000-0000-000033B90000}"/>
    <cellStyle name="Normal 9 3 7 2 3 2 2 2" xfId="31928" xr:uid="{00000000-0005-0000-0000-000034B90000}"/>
    <cellStyle name="Normal 9 3 7 2 3 2 2 3" xfId="47420" xr:uid="{00000000-0005-0000-0000-000035B90000}"/>
    <cellStyle name="Normal 9 3 7 2 3 2 3" xfId="24188" xr:uid="{00000000-0005-0000-0000-000036B90000}"/>
    <cellStyle name="Normal 9 3 7 2 3 2 4" xfId="39680" xr:uid="{00000000-0005-0000-0000-000037B90000}"/>
    <cellStyle name="Normal 9 3 7 2 3 3" xfId="12466" xr:uid="{00000000-0005-0000-0000-000038B90000}"/>
    <cellStyle name="Normal 9 3 7 2 3 3 2" xfId="28058" xr:uid="{00000000-0005-0000-0000-000039B90000}"/>
    <cellStyle name="Normal 9 3 7 2 3 3 3" xfId="43550" xr:uid="{00000000-0005-0000-0000-00003AB90000}"/>
    <cellStyle name="Normal 9 3 7 2 3 4" xfId="20318" xr:uid="{00000000-0005-0000-0000-00003BB90000}"/>
    <cellStyle name="Normal 9 3 7 2 3 5" xfId="35810" xr:uid="{00000000-0005-0000-0000-00003CB90000}"/>
    <cellStyle name="Normal 9 3 7 2 4" xfId="6664" xr:uid="{00000000-0005-0000-0000-00003DB90000}"/>
    <cellStyle name="Normal 9 3 7 2 4 2" xfId="14409" xr:uid="{00000000-0005-0000-0000-00003EB90000}"/>
    <cellStyle name="Normal 9 3 7 2 4 2 2" xfId="30001" xr:uid="{00000000-0005-0000-0000-00003FB90000}"/>
    <cellStyle name="Normal 9 3 7 2 4 2 3" xfId="45493" xr:uid="{00000000-0005-0000-0000-000040B90000}"/>
    <cellStyle name="Normal 9 3 7 2 4 3" xfId="22261" xr:uid="{00000000-0005-0000-0000-000041B90000}"/>
    <cellStyle name="Normal 9 3 7 2 4 4" xfId="37753" xr:uid="{00000000-0005-0000-0000-000042B90000}"/>
    <cellStyle name="Normal 9 3 7 2 5" xfId="10539" xr:uid="{00000000-0005-0000-0000-000043B90000}"/>
    <cellStyle name="Normal 9 3 7 2 5 2" xfId="26131" xr:uid="{00000000-0005-0000-0000-000044B90000}"/>
    <cellStyle name="Normal 9 3 7 2 5 3" xfId="41623" xr:uid="{00000000-0005-0000-0000-000045B90000}"/>
    <cellStyle name="Normal 9 3 7 2 6" xfId="18391" xr:uid="{00000000-0005-0000-0000-000046B90000}"/>
    <cellStyle name="Normal 9 3 7 2 7" xfId="33883" xr:uid="{00000000-0005-0000-0000-000047B90000}"/>
    <cellStyle name="Normal 9 3 7 3" xfId="3420" xr:uid="{00000000-0005-0000-0000-000048B90000}"/>
    <cellStyle name="Normal 9 3 7 3 2" xfId="5359" xr:uid="{00000000-0005-0000-0000-000049B90000}"/>
    <cellStyle name="Normal 9 3 7 3 2 2" xfId="9230" xr:uid="{00000000-0005-0000-0000-00004AB90000}"/>
    <cellStyle name="Normal 9 3 7 3 2 2 2" xfId="16975" xr:uid="{00000000-0005-0000-0000-00004BB90000}"/>
    <cellStyle name="Normal 9 3 7 3 2 2 2 2" xfId="32567" xr:uid="{00000000-0005-0000-0000-00004CB90000}"/>
    <cellStyle name="Normal 9 3 7 3 2 2 2 3" xfId="48059" xr:uid="{00000000-0005-0000-0000-00004DB90000}"/>
    <cellStyle name="Normal 9 3 7 3 2 2 3" xfId="24827" xr:uid="{00000000-0005-0000-0000-00004EB90000}"/>
    <cellStyle name="Normal 9 3 7 3 2 2 4" xfId="40319" xr:uid="{00000000-0005-0000-0000-00004FB90000}"/>
    <cellStyle name="Normal 9 3 7 3 2 3" xfId="13105" xr:uid="{00000000-0005-0000-0000-000050B90000}"/>
    <cellStyle name="Normal 9 3 7 3 2 3 2" xfId="28697" xr:uid="{00000000-0005-0000-0000-000051B90000}"/>
    <cellStyle name="Normal 9 3 7 3 2 3 3" xfId="44189" xr:uid="{00000000-0005-0000-0000-000052B90000}"/>
    <cellStyle name="Normal 9 3 7 3 2 4" xfId="20957" xr:uid="{00000000-0005-0000-0000-000053B90000}"/>
    <cellStyle name="Normal 9 3 7 3 2 5" xfId="36449" xr:uid="{00000000-0005-0000-0000-000054B90000}"/>
    <cellStyle name="Normal 9 3 7 3 3" xfId="7303" xr:uid="{00000000-0005-0000-0000-000055B90000}"/>
    <cellStyle name="Normal 9 3 7 3 3 2" xfId="15048" xr:uid="{00000000-0005-0000-0000-000056B90000}"/>
    <cellStyle name="Normal 9 3 7 3 3 2 2" xfId="30640" xr:uid="{00000000-0005-0000-0000-000057B90000}"/>
    <cellStyle name="Normal 9 3 7 3 3 2 3" xfId="46132" xr:uid="{00000000-0005-0000-0000-000058B90000}"/>
    <cellStyle name="Normal 9 3 7 3 3 3" xfId="22900" xr:uid="{00000000-0005-0000-0000-000059B90000}"/>
    <cellStyle name="Normal 9 3 7 3 3 4" xfId="38392" xr:uid="{00000000-0005-0000-0000-00005AB90000}"/>
    <cellStyle name="Normal 9 3 7 3 4" xfId="11178" xr:uid="{00000000-0005-0000-0000-00005BB90000}"/>
    <cellStyle name="Normal 9 3 7 3 4 2" xfId="26770" xr:uid="{00000000-0005-0000-0000-00005CB90000}"/>
    <cellStyle name="Normal 9 3 7 3 4 3" xfId="42262" xr:uid="{00000000-0005-0000-0000-00005DB90000}"/>
    <cellStyle name="Normal 9 3 7 3 5" xfId="19030" xr:uid="{00000000-0005-0000-0000-00005EB90000}"/>
    <cellStyle name="Normal 9 3 7 3 6" xfId="34522" xr:uid="{00000000-0005-0000-0000-00005FB90000}"/>
    <cellStyle name="Normal 9 3 7 4" xfId="4411" xr:uid="{00000000-0005-0000-0000-000060B90000}"/>
    <cellStyle name="Normal 9 3 7 4 2" xfId="8282" xr:uid="{00000000-0005-0000-0000-000061B90000}"/>
    <cellStyle name="Normal 9 3 7 4 2 2" xfId="16027" xr:uid="{00000000-0005-0000-0000-000062B90000}"/>
    <cellStyle name="Normal 9 3 7 4 2 2 2" xfId="31619" xr:uid="{00000000-0005-0000-0000-000063B90000}"/>
    <cellStyle name="Normal 9 3 7 4 2 2 3" xfId="47111" xr:uid="{00000000-0005-0000-0000-000064B90000}"/>
    <cellStyle name="Normal 9 3 7 4 2 3" xfId="23879" xr:uid="{00000000-0005-0000-0000-000065B90000}"/>
    <cellStyle name="Normal 9 3 7 4 2 4" xfId="39371" xr:uid="{00000000-0005-0000-0000-000066B90000}"/>
    <cellStyle name="Normal 9 3 7 4 3" xfId="12157" xr:uid="{00000000-0005-0000-0000-000067B90000}"/>
    <cellStyle name="Normal 9 3 7 4 3 2" xfId="27749" xr:uid="{00000000-0005-0000-0000-000068B90000}"/>
    <cellStyle name="Normal 9 3 7 4 3 3" xfId="43241" xr:uid="{00000000-0005-0000-0000-000069B90000}"/>
    <cellStyle name="Normal 9 3 7 4 4" xfId="20009" xr:uid="{00000000-0005-0000-0000-00006AB90000}"/>
    <cellStyle name="Normal 9 3 7 4 5" xfId="35501" xr:uid="{00000000-0005-0000-0000-00006BB90000}"/>
    <cellStyle name="Normal 9 3 7 5" xfId="6355" xr:uid="{00000000-0005-0000-0000-00006CB90000}"/>
    <cellStyle name="Normal 9 3 7 5 2" xfId="14100" xr:uid="{00000000-0005-0000-0000-00006DB90000}"/>
    <cellStyle name="Normal 9 3 7 5 2 2" xfId="29692" xr:uid="{00000000-0005-0000-0000-00006EB90000}"/>
    <cellStyle name="Normal 9 3 7 5 2 3" xfId="45184" xr:uid="{00000000-0005-0000-0000-00006FB90000}"/>
    <cellStyle name="Normal 9 3 7 5 3" xfId="21952" xr:uid="{00000000-0005-0000-0000-000070B90000}"/>
    <cellStyle name="Normal 9 3 7 5 4" xfId="37444" xr:uid="{00000000-0005-0000-0000-000071B90000}"/>
    <cellStyle name="Normal 9 3 7 6" xfId="10230" xr:uid="{00000000-0005-0000-0000-000072B90000}"/>
    <cellStyle name="Normal 9 3 7 6 2" xfId="25822" xr:uid="{00000000-0005-0000-0000-000073B90000}"/>
    <cellStyle name="Normal 9 3 7 6 3" xfId="41314" xr:uid="{00000000-0005-0000-0000-000074B90000}"/>
    <cellStyle name="Normal 9 3 7 7" xfId="18082" xr:uid="{00000000-0005-0000-0000-000075B90000}"/>
    <cellStyle name="Normal 9 3 7 8" xfId="33574" xr:uid="{00000000-0005-0000-0000-000076B90000}"/>
    <cellStyle name="Normal 9 3 8" xfId="2447" xr:uid="{00000000-0005-0000-0000-000077B90000}"/>
    <cellStyle name="Normal 9 3 8 2" xfId="2757" xr:uid="{00000000-0005-0000-0000-000078B90000}"/>
    <cellStyle name="Normal 9 3 8 2 2" xfId="3765" xr:uid="{00000000-0005-0000-0000-000079B90000}"/>
    <cellStyle name="Normal 9 3 8 2 2 2" xfId="5704" xr:uid="{00000000-0005-0000-0000-00007AB90000}"/>
    <cellStyle name="Normal 9 3 8 2 2 2 2" xfId="9575" xr:uid="{00000000-0005-0000-0000-00007BB90000}"/>
    <cellStyle name="Normal 9 3 8 2 2 2 2 2" xfId="17320" xr:uid="{00000000-0005-0000-0000-00007CB90000}"/>
    <cellStyle name="Normal 9 3 8 2 2 2 2 2 2" xfId="32912" xr:uid="{00000000-0005-0000-0000-00007DB90000}"/>
    <cellStyle name="Normal 9 3 8 2 2 2 2 2 3" xfId="48404" xr:uid="{00000000-0005-0000-0000-00007EB90000}"/>
    <cellStyle name="Normal 9 3 8 2 2 2 2 3" xfId="25172" xr:uid="{00000000-0005-0000-0000-00007FB90000}"/>
    <cellStyle name="Normal 9 3 8 2 2 2 2 4" xfId="40664" xr:uid="{00000000-0005-0000-0000-000080B90000}"/>
    <cellStyle name="Normal 9 3 8 2 2 2 3" xfId="13450" xr:uid="{00000000-0005-0000-0000-000081B90000}"/>
    <cellStyle name="Normal 9 3 8 2 2 2 3 2" xfId="29042" xr:uid="{00000000-0005-0000-0000-000082B90000}"/>
    <cellStyle name="Normal 9 3 8 2 2 2 3 3" xfId="44534" xr:uid="{00000000-0005-0000-0000-000083B90000}"/>
    <cellStyle name="Normal 9 3 8 2 2 2 4" xfId="21302" xr:uid="{00000000-0005-0000-0000-000084B90000}"/>
    <cellStyle name="Normal 9 3 8 2 2 2 5" xfId="36794" xr:uid="{00000000-0005-0000-0000-000085B90000}"/>
    <cellStyle name="Normal 9 3 8 2 2 3" xfId="7648" xr:uid="{00000000-0005-0000-0000-000086B90000}"/>
    <cellStyle name="Normal 9 3 8 2 2 3 2" xfId="15393" xr:uid="{00000000-0005-0000-0000-000087B90000}"/>
    <cellStyle name="Normal 9 3 8 2 2 3 2 2" xfId="30985" xr:uid="{00000000-0005-0000-0000-000088B90000}"/>
    <cellStyle name="Normal 9 3 8 2 2 3 2 3" xfId="46477" xr:uid="{00000000-0005-0000-0000-000089B90000}"/>
    <cellStyle name="Normal 9 3 8 2 2 3 3" xfId="23245" xr:uid="{00000000-0005-0000-0000-00008AB90000}"/>
    <cellStyle name="Normal 9 3 8 2 2 3 4" xfId="38737" xr:uid="{00000000-0005-0000-0000-00008BB90000}"/>
    <cellStyle name="Normal 9 3 8 2 2 4" xfId="11523" xr:uid="{00000000-0005-0000-0000-00008CB90000}"/>
    <cellStyle name="Normal 9 3 8 2 2 4 2" xfId="27115" xr:uid="{00000000-0005-0000-0000-00008DB90000}"/>
    <cellStyle name="Normal 9 3 8 2 2 4 3" xfId="42607" xr:uid="{00000000-0005-0000-0000-00008EB90000}"/>
    <cellStyle name="Normal 9 3 8 2 2 5" xfId="19375" xr:uid="{00000000-0005-0000-0000-00008FB90000}"/>
    <cellStyle name="Normal 9 3 8 2 2 6" xfId="34867" xr:uid="{00000000-0005-0000-0000-000090B90000}"/>
    <cellStyle name="Normal 9 3 8 2 3" xfId="4756" xr:uid="{00000000-0005-0000-0000-000091B90000}"/>
    <cellStyle name="Normal 9 3 8 2 3 2" xfId="8627" xr:uid="{00000000-0005-0000-0000-000092B90000}"/>
    <cellStyle name="Normal 9 3 8 2 3 2 2" xfId="16372" xr:uid="{00000000-0005-0000-0000-000093B90000}"/>
    <cellStyle name="Normal 9 3 8 2 3 2 2 2" xfId="31964" xr:uid="{00000000-0005-0000-0000-000094B90000}"/>
    <cellStyle name="Normal 9 3 8 2 3 2 2 3" xfId="47456" xr:uid="{00000000-0005-0000-0000-000095B90000}"/>
    <cellStyle name="Normal 9 3 8 2 3 2 3" xfId="24224" xr:uid="{00000000-0005-0000-0000-000096B90000}"/>
    <cellStyle name="Normal 9 3 8 2 3 2 4" xfId="39716" xr:uid="{00000000-0005-0000-0000-000097B90000}"/>
    <cellStyle name="Normal 9 3 8 2 3 3" xfId="12502" xr:uid="{00000000-0005-0000-0000-000098B90000}"/>
    <cellStyle name="Normal 9 3 8 2 3 3 2" xfId="28094" xr:uid="{00000000-0005-0000-0000-000099B90000}"/>
    <cellStyle name="Normal 9 3 8 2 3 3 3" xfId="43586" xr:uid="{00000000-0005-0000-0000-00009AB90000}"/>
    <cellStyle name="Normal 9 3 8 2 3 4" xfId="20354" xr:uid="{00000000-0005-0000-0000-00009BB90000}"/>
    <cellStyle name="Normal 9 3 8 2 3 5" xfId="35846" xr:uid="{00000000-0005-0000-0000-00009CB90000}"/>
    <cellStyle name="Normal 9 3 8 2 4" xfId="6700" xr:uid="{00000000-0005-0000-0000-00009DB90000}"/>
    <cellStyle name="Normal 9 3 8 2 4 2" xfId="14445" xr:uid="{00000000-0005-0000-0000-00009EB90000}"/>
    <cellStyle name="Normal 9 3 8 2 4 2 2" xfId="30037" xr:uid="{00000000-0005-0000-0000-00009FB90000}"/>
    <cellStyle name="Normal 9 3 8 2 4 2 3" xfId="45529" xr:uid="{00000000-0005-0000-0000-0000A0B90000}"/>
    <cellStyle name="Normal 9 3 8 2 4 3" xfId="22297" xr:uid="{00000000-0005-0000-0000-0000A1B90000}"/>
    <cellStyle name="Normal 9 3 8 2 4 4" xfId="37789" xr:uid="{00000000-0005-0000-0000-0000A2B90000}"/>
    <cellStyle name="Normal 9 3 8 2 5" xfId="10575" xr:uid="{00000000-0005-0000-0000-0000A3B90000}"/>
    <cellStyle name="Normal 9 3 8 2 5 2" xfId="26167" xr:uid="{00000000-0005-0000-0000-0000A4B90000}"/>
    <cellStyle name="Normal 9 3 8 2 5 3" xfId="41659" xr:uid="{00000000-0005-0000-0000-0000A5B90000}"/>
    <cellStyle name="Normal 9 3 8 2 6" xfId="18427" xr:uid="{00000000-0005-0000-0000-0000A6B90000}"/>
    <cellStyle name="Normal 9 3 8 2 7" xfId="33919" xr:uid="{00000000-0005-0000-0000-0000A7B90000}"/>
    <cellStyle name="Normal 9 3 8 3" xfId="3456" xr:uid="{00000000-0005-0000-0000-0000A8B90000}"/>
    <cellStyle name="Normal 9 3 8 3 2" xfId="5395" xr:uid="{00000000-0005-0000-0000-0000A9B90000}"/>
    <cellStyle name="Normal 9 3 8 3 2 2" xfId="9266" xr:uid="{00000000-0005-0000-0000-0000AAB90000}"/>
    <cellStyle name="Normal 9 3 8 3 2 2 2" xfId="17011" xr:uid="{00000000-0005-0000-0000-0000ABB90000}"/>
    <cellStyle name="Normal 9 3 8 3 2 2 2 2" xfId="32603" xr:uid="{00000000-0005-0000-0000-0000ACB90000}"/>
    <cellStyle name="Normal 9 3 8 3 2 2 2 3" xfId="48095" xr:uid="{00000000-0005-0000-0000-0000ADB90000}"/>
    <cellStyle name="Normal 9 3 8 3 2 2 3" xfId="24863" xr:uid="{00000000-0005-0000-0000-0000AEB90000}"/>
    <cellStyle name="Normal 9 3 8 3 2 2 4" xfId="40355" xr:uid="{00000000-0005-0000-0000-0000AFB90000}"/>
    <cellStyle name="Normal 9 3 8 3 2 3" xfId="13141" xr:uid="{00000000-0005-0000-0000-0000B0B90000}"/>
    <cellStyle name="Normal 9 3 8 3 2 3 2" xfId="28733" xr:uid="{00000000-0005-0000-0000-0000B1B90000}"/>
    <cellStyle name="Normal 9 3 8 3 2 3 3" xfId="44225" xr:uid="{00000000-0005-0000-0000-0000B2B90000}"/>
    <cellStyle name="Normal 9 3 8 3 2 4" xfId="20993" xr:uid="{00000000-0005-0000-0000-0000B3B90000}"/>
    <cellStyle name="Normal 9 3 8 3 2 5" xfId="36485" xr:uid="{00000000-0005-0000-0000-0000B4B90000}"/>
    <cellStyle name="Normal 9 3 8 3 3" xfId="7339" xr:uid="{00000000-0005-0000-0000-0000B5B90000}"/>
    <cellStyle name="Normal 9 3 8 3 3 2" xfId="15084" xr:uid="{00000000-0005-0000-0000-0000B6B90000}"/>
    <cellStyle name="Normal 9 3 8 3 3 2 2" xfId="30676" xr:uid="{00000000-0005-0000-0000-0000B7B90000}"/>
    <cellStyle name="Normal 9 3 8 3 3 2 3" xfId="46168" xr:uid="{00000000-0005-0000-0000-0000B8B90000}"/>
    <cellStyle name="Normal 9 3 8 3 3 3" xfId="22936" xr:uid="{00000000-0005-0000-0000-0000B9B90000}"/>
    <cellStyle name="Normal 9 3 8 3 3 4" xfId="38428" xr:uid="{00000000-0005-0000-0000-0000BAB90000}"/>
    <cellStyle name="Normal 9 3 8 3 4" xfId="11214" xr:uid="{00000000-0005-0000-0000-0000BBB90000}"/>
    <cellStyle name="Normal 9 3 8 3 4 2" xfId="26806" xr:uid="{00000000-0005-0000-0000-0000BCB90000}"/>
    <cellStyle name="Normal 9 3 8 3 4 3" xfId="42298" xr:uid="{00000000-0005-0000-0000-0000BDB90000}"/>
    <cellStyle name="Normal 9 3 8 3 5" xfId="19066" xr:uid="{00000000-0005-0000-0000-0000BEB90000}"/>
    <cellStyle name="Normal 9 3 8 3 6" xfId="34558" xr:uid="{00000000-0005-0000-0000-0000BFB90000}"/>
    <cellStyle name="Normal 9 3 8 4" xfId="4447" xr:uid="{00000000-0005-0000-0000-0000C0B90000}"/>
    <cellStyle name="Normal 9 3 8 4 2" xfId="8318" xr:uid="{00000000-0005-0000-0000-0000C1B90000}"/>
    <cellStyle name="Normal 9 3 8 4 2 2" xfId="16063" xr:uid="{00000000-0005-0000-0000-0000C2B90000}"/>
    <cellStyle name="Normal 9 3 8 4 2 2 2" xfId="31655" xr:uid="{00000000-0005-0000-0000-0000C3B90000}"/>
    <cellStyle name="Normal 9 3 8 4 2 2 3" xfId="47147" xr:uid="{00000000-0005-0000-0000-0000C4B90000}"/>
    <cellStyle name="Normal 9 3 8 4 2 3" xfId="23915" xr:uid="{00000000-0005-0000-0000-0000C5B90000}"/>
    <cellStyle name="Normal 9 3 8 4 2 4" xfId="39407" xr:uid="{00000000-0005-0000-0000-0000C6B90000}"/>
    <cellStyle name="Normal 9 3 8 4 3" xfId="12193" xr:uid="{00000000-0005-0000-0000-0000C7B90000}"/>
    <cellStyle name="Normal 9 3 8 4 3 2" xfId="27785" xr:uid="{00000000-0005-0000-0000-0000C8B90000}"/>
    <cellStyle name="Normal 9 3 8 4 3 3" xfId="43277" xr:uid="{00000000-0005-0000-0000-0000C9B90000}"/>
    <cellStyle name="Normal 9 3 8 4 4" xfId="20045" xr:uid="{00000000-0005-0000-0000-0000CAB90000}"/>
    <cellStyle name="Normal 9 3 8 4 5" xfId="35537" xr:uid="{00000000-0005-0000-0000-0000CBB90000}"/>
    <cellStyle name="Normal 9 3 8 5" xfId="6391" xr:uid="{00000000-0005-0000-0000-0000CCB90000}"/>
    <cellStyle name="Normal 9 3 8 5 2" xfId="14136" xr:uid="{00000000-0005-0000-0000-0000CDB90000}"/>
    <cellStyle name="Normal 9 3 8 5 2 2" xfId="29728" xr:uid="{00000000-0005-0000-0000-0000CEB90000}"/>
    <cellStyle name="Normal 9 3 8 5 2 3" xfId="45220" xr:uid="{00000000-0005-0000-0000-0000CFB90000}"/>
    <cellStyle name="Normal 9 3 8 5 3" xfId="21988" xr:uid="{00000000-0005-0000-0000-0000D0B90000}"/>
    <cellStyle name="Normal 9 3 8 5 4" xfId="37480" xr:uid="{00000000-0005-0000-0000-0000D1B90000}"/>
    <cellStyle name="Normal 9 3 8 6" xfId="10266" xr:uid="{00000000-0005-0000-0000-0000D2B90000}"/>
    <cellStyle name="Normal 9 3 8 6 2" xfId="25858" xr:uid="{00000000-0005-0000-0000-0000D3B90000}"/>
    <cellStyle name="Normal 9 3 8 6 3" xfId="41350" xr:uid="{00000000-0005-0000-0000-0000D4B90000}"/>
    <cellStyle name="Normal 9 3 8 7" xfId="18118" xr:uid="{00000000-0005-0000-0000-0000D5B90000}"/>
    <cellStyle name="Normal 9 3 8 8" xfId="33610" xr:uid="{00000000-0005-0000-0000-0000D6B90000}"/>
    <cellStyle name="Normal 9 3 9" xfId="2484" xr:uid="{00000000-0005-0000-0000-0000D7B90000}"/>
    <cellStyle name="Normal 9 3 9 2" xfId="2793" xr:uid="{00000000-0005-0000-0000-0000D8B90000}"/>
    <cellStyle name="Normal 9 3 9 2 2" xfId="3801" xr:uid="{00000000-0005-0000-0000-0000D9B90000}"/>
    <cellStyle name="Normal 9 3 9 2 2 2" xfId="5740" xr:uid="{00000000-0005-0000-0000-0000DAB90000}"/>
    <cellStyle name="Normal 9 3 9 2 2 2 2" xfId="9611" xr:uid="{00000000-0005-0000-0000-0000DBB90000}"/>
    <cellStyle name="Normal 9 3 9 2 2 2 2 2" xfId="17356" xr:uid="{00000000-0005-0000-0000-0000DCB90000}"/>
    <cellStyle name="Normal 9 3 9 2 2 2 2 2 2" xfId="32948" xr:uid="{00000000-0005-0000-0000-0000DDB90000}"/>
    <cellStyle name="Normal 9 3 9 2 2 2 2 2 3" xfId="48440" xr:uid="{00000000-0005-0000-0000-0000DEB90000}"/>
    <cellStyle name="Normal 9 3 9 2 2 2 2 3" xfId="25208" xr:uid="{00000000-0005-0000-0000-0000DFB90000}"/>
    <cellStyle name="Normal 9 3 9 2 2 2 2 4" xfId="40700" xr:uid="{00000000-0005-0000-0000-0000E0B90000}"/>
    <cellStyle name="Normal 9 3 9 2 2 2 3" xfId="13486" xr:uid="{00000000-0005-0000-0000-0000E1B90000}"/>
    <cellStyle name="Normal 9 3 9 2 2 2 3 2" xfId="29078" xr:uid="{00000000-0005-0000-0000-0000E2B90000}"/>
    <cellStyle name="Normal 9 3 9 2 2 2 3 3" xfId="44570" xr:uid="{00000000-0005-0000-0000-0000E3B90000}"/>
    <cellStyle name="Normal 9 3 9 2 2 2 4" xfId="21338" xr:uid="{00000000-0005-0000-0000-0000E4B90000}"/>
    <cellStyle name="Normal 9 3 9 2 2 2 5" xfId="36830" xr:uid="{00000000-0005-0000-0000-0000E5B90000}"/>
    <cellStyle name="Normal 9 3 9 2 2 3" xfId="7684" xr:uid="{00000000-0005-0000-0000-0000E6B90000}"/>
    <cellStyle name="Normal 9 3 9 2 2 3 2" xfId="15429" xr:uid="{00000000-0005-0000-0000-0000E7B90000}"/>
    <cellStyle name="Normal 9 3 9 2 2 3 2 2" xfId="31021" xr:uid="{00000000-0005-0000-0000-0000E8B90000}"/>
    <cellStyle name="Normal 9 3 9 2 2 3 2 3" xfId="46513" xr:uid="{00000000-0005-0000-0000-0000E9B90000}"/>
    <cellStyle name="Normal 9 3 9 2 2 3 3" xfId="23281" xr:uid="{00000000-0005-0000-0000-0000EAB90000}"/>
    <cellStyle name="Normal 9 3 9 2 2 3 4" xfId="38773" xr:uid="{00000000-0005-0000-0000-0000EBB90000}"/>
    <cellStyle name="Normal 9 3 9 2 2 4" xfId="11559" xr:uid="{00000000-0005-0000-0000-0000ECB90000}"/>
    <cellStyle name="Normal 9 3 9 2 2 4 2" xfId="27151" xr:uid="{00000000-0005-0000-0000-0000EDB90000}"/>
    <cellStyle name="Normal 9 3 9 2 2 4 3" xfId="42643" xr:uid="{00000000-0005-0000-0000-0000EEB90000}"/>
    <cellStyle name="Normal 9 3 9 2 2 5" xfId="19411" xr:uid="{00000000-0005-0000-0000-0000EFB90000}"/>
    <cellStyle name="Normal 9 3 9 2 2 6" xfId="34903" xr:uid="{00000000-0005-0000-0000-0000F0B90000}"/>
    <cellStyle name="Normal 9 3 9 2 3" xfId="4792" xr:uid="{00000000-0005-0000-0000-0000F1B90000}"/>
    <cellStyle name="Normal 9 3 9 2 3 2" xfId="8663" xr:uid="{00000000-0005-0000-0000-0000F2B90000}"/>
    <cellStyle name="Normal 9 3 9 2 3 2 2" xfId="16408" xr:uid="{00000000-0005-0000-0000-0000F3B90000}"/>
    <cellStyle name="Normal 9 3 9 2 3 2 2 2" xfId="32000" xr:uid="{00000000-0005-0000-0000-0000F4B90000}"/>
    <cellStyle name="Normal 9 3 9 2 3 2 2 3" xfId="47492" xr:uid="{00000000-0005-0000-0000-0000F5B90000}"/>
    <cellStyle name="Normal 9 3 9 2 3 2 3" xfId="24260" xr:uid="{00000000-0005-0000-0000-0000F6B90000}"/>
    <cellStyle name="Normal 9 3 9 2 3 2 4" xfId="39752" xr:uid="{00000000-0005-0000-0000-0000F7B90000}"/>
    <cellStyle name="Normal 9 3 9 2 3 3" xfId="12538" xr:uid="{00000000-0005-0000-0000-0000F8B90000}"/>
    <cellStyle name="Normal 9 3 9 2 3 3 2" xfId="28130" xr:uid="{00000000-0005-0000-0000-0000F9B90000}"/>
    <cellStyle name="Normal 9 3 9 2 3 3 3" xfId="43622" xr:uid="{00000000-0005-0000-0000-0000FAB90000}"/>
    <cellStyle name="Normal 9 3 9 2 3 4" xfId="20390" xr:uid="{00000000-0005-0000-0000-0000FBB90000}"/>
    <cellStyle name="Normal 9 3 9 2 3 5" xfId="35882" xr:uid="{00000000-0005-0000-0000-0000FCB90000}"/>
    <cellStyle name="Normal 9 3 9 2 4" xfId="6736" xr:uid="{00000000-0005-0000-0000-0000FDB90000}"/>
    <cellStyle name="Normal 9 3 9 2 4 2" xfId="14481" xr:uid="{00000000-0005-0000-0000-0000FEB90000}"/>
    <cellStyle name="Normal 9 3 9 2 4 2 2" xfId="30073" xr:uid="{00000000-0005-0000-0000-0000FFB90000}"/>
    <cellStyle name="Normal 9 3 9 2 4 2 3" xfId="45565" xr:uid="{00000000-0005-0000-0000-000000BA0000}"/>
    <cellStyle name="Normal 9 3 9 2 4 3" xfId="22333" xr:uid="{00000000-0005-0000-0000-000001BA0000}"/>
    <cellStyle name="Normal 9 3 9 2 4 4" xfId="37825" xr:uid="{00000000-0005-0000-0000-000002BA0000}"/>
    <cellStyle name="Normal 9 3 9 2 5" xfId="10611" xr:uid="{00000000-0005-0000-0000-000003BA0000}"/>
    <cellStyle name="Normal 9 3 9 2 5 2" xfId="26203" xr:uid="{00000000-0005-0000-0000-000004BA0000}"/>
    <cellStyle name="Normal 9 3 9 2 5 3" xfId="41695" xr:uid="{00000000-0005-0000-0000-000005BA0000}"/>
    <cellStyle name="Normal 9 3 9 2 6" xfId="18463" xr:uid="{00000000-0005-0000-0000-000006BA0000}"/>
    <cellStyle name="Normal 9 3 9 2 7" xfId="33955" xr:uid="{00000000-0005-0000-0000-000007BA0000}"/>
    <cellStyle name="Normal 9 3 9 3" xfId="3492" xr:uid="{00000000-0005-0000-0000-000008BA0000}"/>
    <cellStyle name="Normal 9 3 9 3 2" xfId="5431" xr:uid="{00000000-0005-0000-0000-000009BA0000}"/>
    <cellStyle name="Normal 9 3 9 3 2 2" xfId="9302" xr:uid="{00000000-0005-0000-0000-00000ABA0000}"/>
    <cellStyle name="Normal 9 3 9 3 2 2 2" xfId="17047" xr:uid="{00000000-0005-0000-0000-00000BBA0000}"/>
    <cellStyle name="Normal 9 3 9 3 2 2 2 2" xfId="32639" xr:uid="{00000000-0005-0000-0000-00000CBA0000}"/>
    <cellStyle name="Normal 9 3 9 3 2 2 2 3" xfId="48131" xr:uid="{00000000-0005-0000-0000-00000DBA0000}"/>
    <cellStyle name="Normal 9 3 9 3 2 2 3" xfId="24899" xr:uid="{00000000-0005-0000-0000-00000EBA0000}"/>
    <cellStyle name="Normal 9 3 9 3 2 2 4" xfId="40391" xr:uid="{00000000-0005-0000-0000-00000FBA0000}"/>
    <cellStyle name="Normal 9 3 9 3 2 3" xfId="13177" xr:uid="{00000000-0005-0000-0000-000010BA0000}"/>
    <cellStyle name="Normal 9 3 9 3 2 3 2" xfId="28769" xr:uid="{00000000-0005-0000-0000-000011BA0000}"/>
    <cellStyle name="Normal 9 3 9 3 2 3 3" xfId="44261" xr:uid="{00000000-0005-0000-0000-000012BA0000}"/>
    <cellStyle name="Normal 9 3 9 3 2 4" xfId="21029" xr:uid="{00000000-0005-0000-0000-000013BA0000}"/>
    <cellStyle name="Normal 9 3 9 3 2 5" xfId="36521" xr:uid="{00000000-0005-0000-0000-000014BA0000}"/>
    <cellStyle name="Normal 9 3 9 3 3" xfId="7375" xr:uid="{00000000-0005-0000-0000-000015BA0000}"/>
    <cellStyle name="Normal 9 3 9 3 3 2" xfId="15120" xr:uid="{00000000-0005-0000-0000-000016BA0000}"/>
    <cellStyle name="Normal 9 3 9 3 3 2 2" xfId="30712" xr:uid="{00000000-0005-0000-0000-000017BA0000}"/>
    <cellStyle name="Normal 9 3 9 3 3 2 3" xfId="46204" xr:uid="{00000000-0005-0000-0000-000018BA0000}"/>
    <cellStyle name="Normal 9 3 9 3 3 3" xfId="22972" xr:uid="{00000000-0005-0000-0000-000019BA0000}"/>
    <cellStyle name="Normal 9 3 9 3 3 4" xfId="38464" xr:uid="{00000000-0005-0000-0000-00001ABA0000}"/>
    <cellStyle name="Normal 9 3 9 3 4" xfId="11250" xr:uid="{00000000-0005-0000-0000-00001BBA0000}"/>
    <cellStyle name="Normal 9 3 9 3 4 2" xfId="26842" xr:uid="{00000000-0005-0000-0000-00001CBA0000}"/>
    <cellStyle name="Normal 9 3 9 3 4 3" xfId="42334" xr:uid="{00000000-0005-0000-0000-00001DBA0000}"/>
    <cellStyle name="Normal 9 3 9 3 5" xfId="19102" xr:uid="{00000000-0005-0000-0000-00001EBA0000}"/>
    <cellStyle name="Normal 9 3 9 3 6" xfId="34594" xr:uid="{00000000-0005-0000-0000-00001FBA0000}"/>
    <cellStyle name="Normal 9 3 9 4" xfId="4483" xr:uid="{00000000-0005-0000-0000-000020BA0000}"/>
    <cellStyle name="Normal 9 3 9 4 2" xfId="8354" xr:uid="{00000000-0005-0000-0000-000021BA0000}"/>
    <cellStyle name="Normal 9 3 9 4 2 2" xfId="16099" xr:uid="{00000000-0005-0000-0000-000022BA0000}"/>
    <cellStyle name="Normal 9 3 9 4 2 2 2" xfId="31691" xr:uid="{00000000-0005-0000-0000-000023BA0000}"/>
    <cellStyle name="Normal 9 3 9 4 2 2 3" xfId="47183" xr:uid="{00000000-0005-0000-0000-000024BA0000}"/>
    <cellStyle name="Normal 9 3 9 4 2 3" xfId="23951" xr:uid="{00000000-0005-0000-0000-000025BA0000}"/>
    <cellStyle name="Normal 9 3 9 4 2 4" xfId="39443" xr:uid="{00000000-0005-0000-0000-000026BA0000}"/>
    <cellStyle name="Normal 9 3 9 4 3" xfId="12229" xr:uid="{00000000-0005-0000-0000-000027BA0000}"/>
    <cellStyle name="Normal 9 3 9 4 3 2" xfId="27821" xr:uid="{00000000-0005-0000-0000-000028BA0000}"/>
    <cellStyle name="Normal 9 3 9 4 3 3" xfId="43313" xr:uid="{00000000-0005-0000-0000-000029BA0000}"/>
    <cellStyle name="Normal 9 3 9 4 4" xfId="20081" xr:uid="{00000000-0005-0000-0000-00002ABA0000}"/>
    <cellStyle name="Normal 9 3 9 4 5" xfId="35573" xr:uid="{00000000-0005-0000-0000-00002BBA0000}"/>
    <cellStyle name="Normal 9 3 9 5" xfId="6427" xr:uid="{00000000-0005-0000-0000-00002CBA0000}"/>
    <cellStyle name="Normal 9 3 9 5 2" xfId="14172" xr:uid="{00000000-0005-0000-0000-00002DBA0000}"/>
    <cellStyle name="Normal 9 3 9 5 2 2" xfId="29764" xr:uid="{00000000-0005-0000-0000-00002EBA0000}"/>
    <cellStyle name="Normal 9 3 9 5 2 3" xfId="45256" xr:uid="{00000000-0005-0000-0000-00002FBA0000}"/>
    <cellStyle name="Normal 9 3 9 5 3" xfId="22024" xr:uid="{00000000-0005-0000-0000-000030BA0000}"/>
    <cellStyle name="Normal 9 3 9 5 4" xfId="37516" xr:uid="{00000000-0005-0000-0000-000031BA0000}"/>
    <cellStyle name="Normal 9 3 9 6" xfId="10302" xr:uid="{00000000-0005-0000-0000-000032BA0000}"/>
    <cellStyle name="Normal 9 3 9 6 2" xfId="25894" xr:uid="{00000000-0005-0000-0000-000033BA0000}"/>
    <cellStyle name="Normal 9 3 9 6 3" xfId="41386" xr:uid="{00000000-0005-0000-0000-000034BA0000}"/>
    <cellStyle name="Normal 9 3 9 7" xfId="18154" xr:uid="{00000000-0005-0000-0000-000035BA0000}"/>
    <cellStyle name="Normal 9 3 9 8" xfId="33646" xr:uid="{00000000-0005-0000-0000-000036BA0000}"/>
    <cellStyle name="Normal 9 4" xfId="17788" xr:uid="{00000000-0005-0000-0000-000037BA0000}"/>
    <cellStyle name="Note 2" xfId="17814" xr:uid="{00000000-0005-0000-0000-000038BA0000}"/>
    <cellStyle name="Note 2 2" xfId="48923" xr:uid="{00000000-0005-0000-0000-000039BA0000}"/>
    <cellStyle name="Note 2 2 2" xfId="49093" xr:uid="{D62335E7-9750-48E1-A31B-DB0FF6F2BCE3}"/>
    <cellStyle name="Output 2" xfId="48924" xr:uid="{00000000-0005-0000-0000-00003ABA0000}"/>
    <cellStyle name="Output 2 2" xfId="49094" xr:uid="{843D3FB0-D3E6-452B-BC9A-0E30B341B744}"/>
    <cellStyle name="Percent" xfId="2154" builtinId="5"/>
    <cellStyle name="Percent 2" xfId="2084" xr:uid="{00000000-0005-0000-0000-00003CBA0000}"/>
    <cellStyle name="Percent 2 10" xfId="48987" xr:uid="{00000000-0005-0000-0000-00003DBA0000}"/>
    <cellStyle name="Percent 2 2" xfId="2085" xr:uid="{00000000-0005-0000-0000-00003EBA0000}"/>
    <cellStyle name="Percent 2 2 10" xfId="2086" xr:uid="{00000000-0005-0000-0000-00003FBA0000}"/>
    <cellStyle name="Percent 2 2 11" xfId="2087" xr:uid="{00000000-0005-0000-0000-000040BA0000}"/>
    <cellStyle name="Percent 2 2 12" xfId="2088" xr:uid="{00000000-0005-0000-0000-000041BA0000}"/>
    <cellStyle name="Percent 2 2 13" xfId="2089" xr:uid="{00000000-0005-0000-0000-000042BA0000}"/>
    <cellStyle name="Percent 2 2 14" xfId="2090" xr:uid="{00000000-0005-0000-0000-000043BA0000}"/>
    <cellStyle name="Percent 2 2 15" xfId="2091" xr:uid="{00000000-0005-0000-0000-000044BA0000}"/>
    <cellStyle name="Percent 2 2 16" xfId="2092" xr:uid="{00000000-0005-0000-0000-000045BA0000}"/>
    <cellStyle name="Percent 2 2 17" xfId="2093" xr:uid="{00000000-0005-0000-0000-000046BA0000}"/>
    <cellStyle name="Percent 2 2 18" xfId="2094" xr:uid="{00000000-0005-0000-0000-000047BA0000}"/>
    <cellStyle name="Percent 2 2 19" xfId="2095" xr:uid="{00000000-0005-0000-0000-000048BA0000}"/>
    <cellStyle name="Percent 2 2 2" xfId="2096" xr:uid="{00000000-0005-0000-0000-000049BA0000}"/>
    <cellStyle name="Percent 2 2 20" xfId="2097" xr:uid="{00000000-0005-0000-0000-00004ABA0000}"/>
    <cellStyle name="Percent 2 2 21" xfId="2098" xr:uid="{00000000-0005-0000-0000-00004BBA0000}"/>
    <cellStyle name="Percent 2 2 22" xfId="2099" xr:uid="{00000000-0005-0000-0000-00004CBA0000}"/>
    <cellStyle name="Percent 2 2 23" xfId="2100" xr:uid="{00000000-0005-0000-0000-00004DBA0000}"/>
    <cellStyle name="Percent 2 2 24" xfId="2209" xr:uid="{00000000-0005-0000-0000-00004EBA0000}"/>
    <cellStyle name="Percent 2 2 3" xfId="2101" xr:uid="{00000000-0005-0000-0000-00004FBA0000}"/>
    <cellStyle name="Percent 2 2 4" xfId="2102" xr:uid="{00000000-0005-0000-0000-000050BA0000}"/>
    <cellStyle name="Percent 2 2 5" xfId="2103" xr:uid="{00000000-0005-0000-0000-000051BA0000}"/>
    <cellStyle name="Percent 2 2 6" xfId="2104" xr:uid="{00000000-0005-0000-0000-000052BA0000}"/>
    <cellStyle name="Percent 2 2 7" xfId="2105" xr:uid="{00000000-0005-0000-0000-000053BA0000}"/>
    <cellStyle name="Percent 2 2 8" xfId="2106" xr:uid="{00000000-0005-0000-0000-000054BA0000}"/>
    <cellStyle name="Percent 2 2 9" xfId="2107" xr:uid="{00000000-0005-0000-0000-000055BA0000}"/>
    <cellStyle name="Percent 2 3" xfId="2108" xr:uid="{00000000-0005-0000-0000-000056BA0000}"/>
    <cellStyle name="Percent 2 3 10" xfId="2109" xr:uid="{00000000-0005-0000-0000-000057BA0000}"/>
    <cellStyle name="Percent 2 3 11" xfId="2110" xr:uid="{00000000-0005-0000-0000-000058BA0000}"/>
    <cellStyle name="Percent 2 3 12" xfId="2111" xr:uid="{00000000-0005-0000-0000-000059BA0000}"/>
    <cellStyle name="Percent 2 3 13" xfId="2112" xr:uid="{00000000-0005-0000-0000-00005ABA0000}"/>
    <cellStyle name="Percent 2 3 14" xfId="2113" xr:uid="{00000000-0005-0000-0000-00005BBA0000}"/>
    <cellStyle name="Percent 2 3 15" xfId="2114" xr:uid="{00000000-0005-0000-0000-00005CBA0000}"/>
    <cellStyle name="Percent 2 3 16" xfId="2115" xr:uid="{00000000-0005-0000-0000-00005DBA0000}"/>
    <cellStyle name="Percent 2 3 17" xfId="2116" xr:uid="{00000000-0005-0000-0000-00005EBA0000}"/>
    <cellStyle name="Percent 2 3 18" xfId="2117" xr:uid="{00000000-0005-0000-0000-00005FBA0000}"/>
    <cellStyle name="Percent 2 3 19" xfId="2118" xr:uid="{00000000-0005-0000-0000-000060BA0000}"/>
    <cellStyle name="Percent 2 3 2" xfId="2119" xr:uid="{00000000-0005-0000-0000-000061BA0000}"/>
    <cellStyle name="Percent 2 3 20" xfId="2120" xr:uid="{00000000-0005-0000-0000-000062BA0000}"/>
    <cellStyle name="Percent 2 3 21" xfId="2121" xr:uid="{00000000-0005-0000-0000-000063BA0000}"/>
    <cellStyle name="Percent 2 3 22" xfId="2122" xr:uid="{00000000-0005-0000-0000-000064BA0000}"/>
    <cellStyle name="Percent 2 3 23" xfId="2123" xr:uid="{00000000-0005-0000-0000-000065BA0000}"/>
    <cellStyle name="Percent 2 3 24" xfId="2210" xr:uid="{00000000-0005-0000-0000-000066BA0000}"/>
    <cellStyle name="Percent 2 3 3" xfId="2124" xr:uid="{00000000-0005-0000-0000-000067BA0000}"/>
    <cellStyle name="Percent 2 3 4" xfId="2125" xr:uid="{00000000-0005-0000-0000-000068BA0000}"/>
    <cellStyle name="Percent 2 3 5" xfId="2126" xr:uid="{00000000-0005-0000-0000-000069BA0000}"/>
    <cellStyle name="Percent 2 3 6" xfId="2127" xr:uid="{00000000-0005-0000-0000-00006ABA0000}"/>
    <cellStyle name="Percent 2 3 7" xfId="2128" xr:uid="{00000000-0005-0000-0000-00006BBA0000}"/>
    <cellStyle name="Percent 2 3 8" xfId="2129" xr:uid="{00000000-0005-0000-0000-00006CBA0000}"/>
    <cellStyle name="Percent 2 3 9" xfId="2130" xr:uid="{00000000-0005-0000-0000-00006DBA0000}"/>
    <cellStyle name="Percent 2 4" xfId="2208" xr:uid="{00000000-0005-0000-0000-00006EBA0000}"/>
    <cellStyle name="Percent 3" xfId="2131" xr:uid="{00000000-0005-0000-0000-00006FBA0000}"/>
    <cellStyle name="Percent 3 10" xfId="2132" xr:uid="{00000000-0005-0000-0000-000070BA0000}"/>
    <cellStyle name="Percent 3 11" xfId="2133" xr:uid="{00000000-0005-0000-0000-000071BA0000}"/>
    <cellStyle name="Percent 3 12" xfId="2134" xr:uid="{00000000-0005-0000-0000-000072BA0000}"/>
    <cellStyle name="Percent 3 13" xfId="2135" xr:uid="{00000000-0005-0000-0000-000073BA0000}"/>
    <cellStyle name="Percent 3 14" xfId="2136" xr:uid="{00000000-0005-0000-0000-000074BA0000}"/>
    <cellStyle name="Percent 3 15" xfId="2137" xr:uid="{00000000-0005-0000-0000-000075BA0000}"/>
    <cellStyle name="Percent 3 16" xfId="2138" xr:uid="{00000000-0005-0000-0000-000076BA0000}"/>
    <cellStyle name="Percent 3 17" xfId="2139" xr:uid="{00000000-0005-0000-0000-000077BA0000}"/>
    <cellStyle name="Percent 3 18" xfId="2140" xr:uid="{00000000-0005-0000-0000-000078BA0000}"/>
    <cellStyle name="Percent 3 19" xfId="2141" xr:uid="{00000000-0005-0000-0000-000079BA0000}"/>
    <cellStyle name="Percent 3 2" xfId="2142" xr:uid="{00000000-0005-0000-0000-00007ABA0000}"/>
    <cellStyle name="Percent 3 20" xfId="2143" xr:uid="{00000000-0005-0000-0000-00007BBA0000}"/>
    <cellStyle name="Percent 3 21" xfId="2144" xr:uid="{00000000-0005-0000-0000-00007CBA0000}"/>
    <cellStyle name="Percent 3 22" xfId="2145" xr:uid="{00000000-0005-0000-0000-00007DBA0000}"/>
    <cellStyle name="Percent 3 23" xfId="2146" xr:uid="{00000000-0005-0000-0000-00007EBA0000}"/>
    <cellStyle name="Percent 3 24" xfId="2211" xr:uid="{00000000-0005-0000-0000-00007FBA0000}"/>
    <cellStyle name="Percent 3 24 2" xfId="2540" xr:uid="{00000000-0005-0000-0000-000080BA0000}"/>
    <cellStyle name="Percent 3 24 2 2" xfId="3548" xr:uid="{00000000-0005-0000-0000-000081BA0000}"/>
    <cellStyle name="Percent 3 24 2 2 2" xfId="5487" xr:uid="{00000000-0005-0000-0000-000082BA0000}"/>
    <cellStyle name="Percent 3 24 2 2 2 2" xfId="9358" xr:uid="{00000000-0005-0000-0000-000083BA0000}"/>
    <cellStyle name="Percent 3 24 2 2 2 2 2" xfId="17103" xr:uid="{00000000-0005-0000-0000-000084BA0000}"/>
    <cellStyle name="Percent 3 24 2 2 2 2 2 2" xfId="32695" xr:uid="{00000000-0005-0000-0000-000085BA0000}"/>
    <cellStyle name="Percent 3 24 2 2 2 2 2 3" xfId="48187" xr:uid="{00000000-0005-0000-0000-000086BA0000}"/>
    <cellStyle name="Percent 3 24 2 2 2 2 3" xfId="24955" xr:uid="{00000000-0005-0000-0000-000087BA0000}"/>
    <cellStyle name="Percent 3 24 2 2 2 2 4" xfId="40447" xr:uid="{00000000-0005-0000-0000-000088BA0000}"/>
    <cellStyle name="Percent 3 24 2 2 2 3" xfId="13233" xr:uid="{00000000-0005-0000-0000-000089BA0000}"/>
    <cellStyle name="Percent 3 24 2 2 2 3 2" xfId="28825" xr:uid="{00000000-0005-0000-0000-00008ABA0000}"/>
    <cellStyle name="Percent 3 24 2 2 2 3 3" xfId="44317" xr:uid="{00000000-0005-0000-0000-00008BBA0000}"/>
    <cellStyle name="Percent 3 24 2 2 2 4" xfId="21085" xr:uid="{00000000-0005-0000-0000-00008CBA0000}"/>
    <cellStyle name="Percent 3 24 2 2 2 5" xfId="36577" xr:uid="{00000000-0005-0000-0000-00008DBA0000}"/>
    <cellStyle name="Percent 3 24 2 2 3" xfId="7431" xr:uid="{00000000-0005-0000-0000-00008EBA0000}"/>
    <cellStyle name="Percent 3 24 2 2 3 2" xfId="15176" xr:uid="{00000000-0005-0000-0000-00008FBA0000}"/>
    <cellStyle name="Percent 3 24 2 2 3 2 2" xfId="30768" xr:uid="{00000000-0005-0000-0000-000090BA0000}"/>
    <cellStyle name="Percent 3 24 2 2 3 2 3" xfId="46260" xr:uid="{00000000-0005-0000-0000-000091BA0000}"/>
    <cellStyle name="Percent 3 24 2 2 3 3" xfId="23028" xr:uid="{00000000-0005-0000-0000-000092BA0000}"/>
    <cellStyle name="Percent 3 24 2 2 3 4" xfId="38520" xr:uid="{00000000-0005-0000-0000-000093BA0000}"/>
    <cellStyle name="Percent 3 24 2 2 4" xfId="11306" xr:uid="{00000000-0005-0000-0000-000094BA0000}"/>
    <cellStyle name="Percent 3 24 2 2 4 2" xfId="26898" xr:uid="{00000000-0005-0000-0000-000095BA0000}"/>
    <cellStyle name="Percent 3 24 2 2 4 3" xfId="42390" xr:uid="{00000000-0005-0000-0000-000096BA0000}"/>
    <cellStyle name="Percent 3 24 2 2 5" xfId="19158" xr:uid="{00000000-0005-0000-0000-000097BA0000}"/>
    <cellStyle name="Percent 3 24 2 2 6" xfId="34650" xr:uid="{00000000-0005-0000-0000-000098BA0000}"/>
    <cellStyle name="Percent 3 24 2 3" xfId="4539" xr:uid="{00000000-0005-0000-0000-000099BA0000}"/>
    <cellStyle name="Percent 3 24 2 3 2" xfId="8410" xr:uid="{00000000-0005-0000-0000-00009ABA0000}"/>
    <cellStyle name="Percent 3 24 2 3 2 2" xfId="16155" xr:uid="{00000000-0005-0000-0000-00009BBA0000}"/>
    <cellStyle name="Percent 3 24 2 3 2 2 2" xfId="31747" xr:uid="{00000000-0005-0000-0000-00009CBA0000}"/>
    <cellStyle name="Percent 3 24 2 3 2 2 3" xfId="47239" xr:uid="{00000000-0005-0000-0000-00009DBA0000}"/>
    <cellStyle name="Percent 3 24 2 3 2 3" xfId="24007" xr:uid="{00000000-0005-0000-0000-00009EBA0000}"/>
    <cellStyle name="Percent 3 24 2 3 2 4" xfId="39499" xr:uid="{00000000-0005-0000-0000-00009FBA0000}"/>
    <cellStyle name="Percent 3 24 2 3 3" xfId="12285" xr:uid="{00000000-0005-0000-0000-0000A0BA0000}"/>
    <cellStyle name="Percent 3 24 2 3 3 2" xfId="27877" xr:uid="{00000000-0005-0000-0000-0000A1BA0000}"/>
    <cellStyle name="Percent 3 24 2 3 3 3" xfId="43369" xr:uid="{00000000-0005-0000-0000-0000A2BA0000}"/>
    <cellStyle name="Percent 3 24 2 3 4" xfId="20137" xr:uid="{00000000-0005-0000-0000-0000A3BA0000}"/>
    <cellStyle name="Percent 3 24 2 3 5" xfId="35629" xr:uid="{00000000-0005-0000-0000-0000A4BA0000}"/>
    <cellStyle name="Percent 3 24 2 4" xfId="6483" xr:uid="{00000000-0005-0000-0000-0000A5BA0000}"/>
    <cellStyle name="Percent 3 24 2 4 2" xfId="14228" xr:uid="{00000000-0005-0000-0000-0000A6BA0000}"/>
    <cellStyle name="Percent 3 24 2 4 2 2" xfId="29820" xr:uid="{00000000-0005-0000-0000-0000A7BA0000}"/>
    <cellStyle name="Percent 3 24 2 4 2 3" xfId="45312" xr:uid="{00000000-0005-0000-0000-0000A8BA0000}"/>
    <cellStyle name="Percent 3 24 2 4 3" xfId="22080" xr:uid="{00000000-0005-0000-0000-0000A9BA0000}"/>
    <cellStyle name="Percent 3 24 2 4 4" xfId="37572" xr:uid="{00000000-0005-0000-0000-0000AABA0000}"/>
    <cellStyle name="Percent 3 24 2 5" xfId="10358" xr:uid="{00000000-0005-0000-0000-0000ABBA0000}"/>
    <cellStyle name="Percent 3 24 2 5 2" xfId="25950" xr:uid="{00000000-0005-0000-0000-0000ACBA0000}"/>
    <cellStyle name="Percent 3 24 2 5 3" xfId="41442" xr:uid="{00000000-0005-0000-0000-0000ADBA0000}"/>
    <cellStyle name="Percent 3 24 2 6" xfId="18210" xr:uid="{00000000-0005-0000-0000-0000AEBA0000}"/>
    <cellStyle name="Percent 3 24 2 7" xfId="33702" xr:uid="{00000000-0005-0000-0000-0000AFBA0000}"/>
    <cellStyle name="Percent 3 24 3" xfId="3239" xr:uid="{00000000-0005-0000-0000-0000B0BA0000}"/>
    <cellStyle name="Percent 3 24 3 2" xfId="5178" xr:uid="{00000000-0005-0000-0000-0000B1BA0000}"/>
    <cellStyle name="Percent 3 24 3 2 2" xfId="9049" xr:uid="{00000000-0005-0000-0000-0000B2BA0000}"/>
    <cellStyle name="Percent 3 24 3 2 2 2" xfId="16794" xr:uid="{00000000-0005-0000-0000-0000B3BA0000}"/>
    <cellStyle name="Percent 3 24 3 2 2 2 2" xfId="32386" xr:uid="{00000000-0005-0000-0000-0000B4BA0000}"/>
    <cellStyle name="Percent 3 24 3 2 2 2 3" xfId="47878" xr:uid="{00000000-0005-0000-0000-0000B5BA0000}"/>
    <cellStyle name="Percent 3 24 3 2 2 3" xfId="24646" xr:uid="{00000000-0005-0000-0000-0000B6BA0000}"/>
    <cellStyle name="Percent 3 24 3 2 2 4" xfId="40138" xr:uid="{00000000-0005-0000-0000-0000B7BA0000}"/>
    <cellStyle name="Percent 3 24 3 2 3" xfId="12924" xr:uid="{00000000-0005-0000-0000-0000B8BA0000}"/>
    <cellStyle name="Percent 3 24 3 2 3 2" xfId="28516" xr:uid="{00000000-0005-0000-0000-0000B9BA0000}"/>
    <cellStyle name="Percent 3 24 3 2 3 3" xfId="44008" xr:uid="{00000000-0005-0000-0000-0000BABA0000}"/>
    <cellStyle name="Percent 3 24 3 2 4" xfId="20776" xr:uid="{00000000-0005-0000-0000-0000BBBA0000}"/>
    <cellStyle name="Percent 3 24 3 2 5" xfId="36268" xr:uid="{00000000-0005-0000-0000-0000BCBA0000}"/>
    <cellStyle name="Percent 3 24 3 3" xfId="7122" xr:uid="{00000000-0005-0000-0000-0000BDBA0000}"/>
    <cellStyle name="Percent 3 24 3 3 2" xfId="14867" xr:uid="{00000000-0005-0000-0000-0000BEBA0000}"/>
    <cellStyle name="Percent 3 24 3 3 2 2" xfId="30459" xr:uid="{00000000-0005-0000-0000-0000BFBA0000}"/>
    <cellStyle name="Percent 3 24 3 3 2 3" xfId="45951" xr:uid="{00000000-0005-0000-0000-0000C0BA0000}"/>
    <cellStyle name="Percent 3 24 3 3 3" xfId="22719" xr:uid="{00000000-0005-0000-0000-0000C1BA0000}"/>
    <cellStyle name="Percent 3 24 3 3 4" xfId="38211" xr:uid="{00000000-0005-0000-0000-0000C2BA0000}"/>
    <cellStyle name="Percent 3 24 3 4" xfId="10997" xr:uid="{00000000-0005-0000-0000-0000C3BA0000}"/>
    <cellStyle name="Percent 3 24 3 4 2" xfId="26589" xr:uid="{00000000-0005-0000-0000-0000C4BA0000}"/>
    <cellStyle name="Percent 3 24 3 4 3" xfId="42081" xr:uid="{00000000-0005-0000-0000-0000C5BA0000}"/>
    <cellStyle name="Percent 3 24 3 5" xfId="18849" xr:uid="{00000000-0005-0000-0000-0000C6BA0000}"/>
    <cellStyle name="Percent 3 24 3 6" xfId="34341" xr:uid="{00000000-0005-0000-0000-0000C7BA0000}"/>
    <cellStyle name="Percent 3 24 4" xfId="4230" xr:uid="{00000000-0005-0000-0000-0000C8BA0000}"/>
    <cellStyle name="Percent 3 24 4 2" xfId="8101" xr:uid="{00000000-0005-0000-0000-0000C9BA0000}"/>
    <cellStyle name="Percent 3 24 4 2 2" xfId="15846" xr:uid="{00000000-0005-0000-0000-0000CABA0000}"/>
    <cellStyle name="Percent 3 24 4 2 2 2" xfId="31438" xr:uid="{00000000-0005-0000-0000-0000CBBA0000}"/>
    <cellStyle name="Percent 3 24 4 2 2 3" xfId="46930" xr:uid="{00000000-0005-0000-0000-0000CCBA0000}"/>
    <cellStyle name="Percent 3 24 4 2 3" xfId="23698" xr:uid="{00000000-0005-0000-0000-0000CDBA0000}"/>
    <cellStyle name="Percent 3 24 4 2 4" xfId="39190" xr:uid="{00000000-0005-0000-0000-0000CEBA0000}"/>
    <cellStyle name="Percent 3 24 4 3" xfId="11976" xr:uid="{00000000-0005-0000-0000-0000CFBA0000}"/>
    <cellStyle name="Percent 3 24 4 3 2" xfId="27568" xr:uid="{00000000-0005-0000-0000-0000D0BA0000}"/>
    <cellStyle name="Percent 3 24 4 3 3" xfId="43060" xr:uid="{00000000-0005-0000-0000-0000D1BA0000}"/>
    <cellStyle name="Percent 3 24 4 4" xfId="19828" xr:uid="{00000000-0005-0000-0000-0000D2BA0000}"/>
    <cellStyle name="Percent 3 24 4 5" xfId="35320" xr:uid="{00000000-0005-0000-0000-0000D3BA0000}"/>
    <cellStyle name="Percent 3 24 5" xfId="6174" xr:uid="{00000000-0005-0000-0000-0000D4BA0000}"/>
    <cellStyle name="Percent 3 24 5 2" xfId="13919" xr:uid="{00000000-0005-0000-0000-0000D5BA0000}"/>
    <cellStyle name="Percent 3 24 5 2 2" xfId="29511" xr:uid="{00000000-0005-0000-0000-0000D6BA0000}"/>
    <cellStyle name="Percent 3 24 5 2 3" xfId="45003" xr:uid="{00000000-0005-0000-0000-0000D7BA0000}"/>
    <cellStyle name="Percent 3 24 5 3" xfId="21771" xr:uid="{00000000-0005-0000-0000-0000D8BA0000}"/>
    <cellStyle name="Percent 3 24 5 4" xfId="37263" xr:uid="{00000000-0005-0000-0000-0000D9BA0000}"/>
    <cellStyle name="Percent 3 24 6" xfId="10049" xr:uid="{00000000-0005-0000-0000-0000DABA0000}"/>
    <cellStyle name="Percent 3 24 6 2" xfId="25641" xr:uid="{00000000-0005-0000-0000-0000DBBA0000}"/>
    <cellStyle name="Percent 3 24 6 3" xfId="41133" xr:uid="{00000000-0005-0000-0000-0000DCBA0000}"/>
    <cellStyle name="Percent 3 24 7" xfId="17901" xr:uid="{00000000-0005-0000-0000-0000DDBA0000}"/>
    <cellStyle name="Percent 3 24 8" xfId="33393" xr:uid="{00000000-0005-0000-0000-0000DEBA0000}"/>
    <cellStyle name="Percent 3 24 9" xfId="49096" xr:uid="{98B220B1-E7C6-4ACB-8B39-0ED3B3B18BC0}"/>
    <cellStyle name="Percent 3 25" xfId="2261" xr:uid="{00000000-0005-0000-0000-0000DFBA0000}"/>
    <cellStyle name="Percent 3 25 2" xfId="2578" xr:uid="{00000000-0005-0000-0000-0000E0BA0000}"/>
    <cellStyle name="Percent 3 25 2 2" xfId="3586" xr:uid="{00000000-0005-0000-0000-0000E1BA0000}"/>
    <cellStyle name="Percent 3 25 2 2 2" xfId="5525" xr:uid="{00000000-0005-0000-0000-0000E2BA0000}"/>
    <cellStyle name="Percent 3 25 2 2 2 2" xfId="9396" xr:uid="{00000000-0005-0000-0000-0000E3BA0000}"/>
    <cellStyle name="Percent 3 25 2 2 2 2 2" xfId="17141" xr:uid="{00000000-0005-0000-0000-0000E4BA0000}"/>
    <cellStyle name="Percent 3 25 2 2 2 2 2 2" xfId="32733" xr:uid="{00000000-0005-0000-0000-0000E5BA0000}"/>
    <cellStyle name="Percent 3 25 2 2 2 2 2 3" xfId="48225" xr:uid="{00000000-0005-0000-0000-0000E6BA0000}"/>
    <cellStyle name="Percent 3 25 2 2 2 2 3" xfId="24993" xr:uid="{00000000-0005-0000-0000-0000E7BA0000}"/>
    <cellStyle name="Percent 3 25 2 2 2 2 4" xfId="40485" xr:uid="{00000000-0005-0000-0000-0000E8BA0000}"/>
    <cellStyle name="Percent 3 25 2 2 2 3" xfId="13271" xr:uid="{00000000-0005-0000-0000-0000E9BA0000}"/>
    <cellStyle name="Percent 3 25 2 2 2 3 2" xfId="28863" xr:uid="{00000000-0005-0000-0000-0000EABA0000}"/>
    <cellStyle name="Percent 3 25 2 2 2 3 3" xfId="44355" xr:uid="{00000000-0005-0000-0000-0000EBBA0000}"/>
    <cellStyle name="Percent 3 25 2 2 2 4" xfId="21123" xr:uid="{00000000-0005-0000-0000-0000ECBA0000}"/>
    <cellStyle name="Percent 3 25 2 2 2 5" xfId="36615" xr:uid="{00000000-0005-0000-0000-0000EDBA0000}"/>
    <cellStyle name="Percent 3 25 2 2 3" xfId="7469" xr:uid="{00000000-0005-0000-0000-0000EEBA0000}"/>
    <cellStyle name="Percent 3 25 2 2 3 2" xfId="15214" xr:uid="{00000000-0005-0000-0000-0000EFBA0000}"/>
    <cellStyle name="Percent 3 25 2 2 3 2 2" xfId="30806" xr:uid="{00000000-0005-0000-0000-0000F0BA0000}"/>
    <cellStyle name="Percent 3 25 2 2 3 2 3" xfId="46298" xr:uid="{00000000-0005-0000-0000-0000F1BA0000}"/>
    <cellStyle name="Percent 3 25 2 2 3 3" xfId="23066" xr:uid="{00000000-0005-0000-0000-0000F2BA0000}"/>
    <cellStyle name="Percent 3 25 2 2 3 4" xfId="38558" xr:uid="{00000000-0005-0000-0000-0000F3BA0000}"/>
    <cellStyle name="Percent 3 25 2 2 4" xfId="11344" xr:uid="{00000000-0005-0000-0000-0000F4BA0000}"/>
    <cellStyle name="Percent 3 25 2 2 4 2" xfId="26936" xr:uid="{00000000-0005-0000-0000-0000F5BA0000}"/>
    <cellStyle name="Percent 3 25 2 2 4 3" xfId="42428" xr:uid="{00000000-0005-0000-0000-0000F6BA0000}"/>
    <cellStyle name="Percent 3 25 2 2 5" xfId="19196" xr:uid="{00000000-0005-0000-0000-0000F7BA0000}"/>
    <cellStyle name="Percent 3 25 2 2 6" xfId="34688" xr:uid="{00000000-0005-0000-0000-0000F8BA0000}"/>
    <cellStyle name="Percent 3 25 2 3" xfId="4577" xr:uid="{00000000-0005-0000-0000-0000F9BA0000}"/>
    <cellStyle name="Percent 3 25 2 3 2" xfId="8448" xr:uid="{00000000-0005-0000-0000-0000FABA0000}"/>
    <cellStyle name="Percent 3 25 2 3 2 2" xfId="16193" xr:uid="{00000000-0005-0000-0000-0000FBBA0000}"/>
    <cellStyle name="Percent 3 25 2 3 2 2 2" xfId="31785" xr:uid="{00000000-0005-0000-0000-0000FCBA0000}"/>
    <cellStyle name="Percent 3 25 2 3 2 2 3" xfId="47277" xr:uid="{00000000-0005-0000-0000-0000FDBA0000}"/>
    <cellStyle name="Percent 3 25 2 3 2 3" xfId="24045" xr:uid="{00000000-0005-0000-0000-0000FEBA0000}"/>
    <cellStyle name="Percent 3 25 2 3 2 4" xfId="39537" xr:uid="{00000000-0005-0000-0000-0000FFBA0000}"/>
    <cellStyle name="Percent 3 25 2 3 3" xfId="12323" xr:uid="{00000000-0005-0000-0000-000000BB0000}"/>
    <cellStyle name="Percent 3 25 2 3 3 2" xfId="27915" xr:uid="{00000000-0005-0000-0000-000001BB0000}"/>
    <cellStyle name="Percent 3 25 2 3 3 3" xfId="43407" xr:uid="{00000000-0005-0000-0000-000002BB0000}"/>
    <cellStyle name="Percent 3 25 2 3 4" xfId="20175" xr:uid="{00000000-0005-0000-0000-000003BB0000}"/>
    <cellStyle name="Percent 3 25 2 3 5" xfId="35667" xr:uid="{00000000-0005-0000-0000-000004BB0000}"/>
    <cellStyle name="Percent 3 25 2 4" xfId="6521" xr:uid="{00000000-0005-0000-0000-000005BB0000}"/>
    <cellStyle name="Percent 3 25 2 4 2" xfId="14266" xr:uid="{00000000-0005-0000-0000-000006BB0000}"/>
    <cellStyle name="Percent 3 25 2 4 2 2" xfId="29858" xr:uid="{00000000-0005-0000-0000-000007BB0000}"/>
    <cellStyle name="Percent 3 25 2 4 2 3" xfId="45350" xr:uid="{00000000-0005-0000-0000-000008BB0000}"/>
    <cellStyle name="Percent 3 25 2 4 3" xfId="22118" xr:uid="{00000000-0005-0000-0000-000009BB0000}"/>
    <cellStyle name="Percent 3 25 2 4 4" xfId="37610" xr:uid="{00000000-0005-0000-0000-00000ABB0000}"/>
    <cellStyle name="Percent 3 25 2 5" xfId="10396" xr:uid="{00000000-0005-0000-0000-00000BBB0000}"/>
    <cellStyle name="Percent 3 25 2 5 2" xfId="25988" xr:uid="{00000000-0005-0000-0000-00000CBB0000}"/>
    <cellStyle name="Percent 3 25 2 5 3" xfId="41480" xr:uid="{00000000-0005-0000-0000-00000DBB0000}"/>
    <cellStyle name="Percent 3 25 2 6" xfId="18248" xr:uid="{00000000-0005-0000-0000-00000EBB0000}"/>
    <cellStyle name="Percent 3 25 2 7" xfId="33740" xr:uid="{00000000-0005-0000-0000-00000FBB0000}"/>
    <cellStyle name="Percent 3 25 3" xfId="3277" xr:uid="{00000000-0005-0000-0000-000010BB0000}"/>
    <cellStyle name="Percent 3 25 3 2" xfId="5216" xr:uid="{00000000-0005-0000-0000-000011BB0000}"/>
    <cellStyle name="Percent 3 25 3 2 2" xfId="9087" xr:uid="{00000000-0005-0000-0000-000012BB0000}"/>
    <cellStyle name="Percent 3 25 3 2 2 2" xfId="16832" xr:uid="{00000000-0005-0000-0000-000013BB0000}"/>
    <cellStyle name="Percent 3 25 3 2 2 2 2" xfId="32424" xr:uid="{00000000-0005-0000-0000-000014BB0000}"/>
    <cellStyle name="Percent 3 25 3 2 2 2 3" xfId="47916" xr:uid="{00000000-0005-0000-0000-000015BB0000}"/>
    <cellStyle name="Percent 3 25 3 2 2 3" xfId="24684" xr:uid="{00000000-0005-0000-0000-000016BB0000}"/>
    <cellStyle name="Percent 3 25 3 2 2 4" xfId="40176" xr:uid="{00000000-0005-0000-0000-000017BB0000}"/>
    <cellStyle name="Percent 3 25 3 2 3" xfId="12962" xr:uid="{00000000-0005-0000-0000-000018BB0000}"/>
    <cellStyle name="Percent 3 25 3 2 3 2" xfId="28554" xr:uid="{00000000-0005-0000-0000-000019BB0000}"/>
    <cellStyle name="Percent 3 25 3 2 3 3" xfId="44046" xr:uid="{00000000-0005-0000-0000-00001ABB0000}"/>
    <cellStyle name="Percent 3 25 3 2 4" xfId="20814" xr:uid="{00000000-0005-0000-0000-00001BBB0000}"/>
    <cellStyle name="Percent 3 25 3 2 5" xfId="36306" xr:uid="{00000000-0005-0000-0000-00001CBB0000}"/>
    <cellStyle name="Percent 3 25 3 3" xfId="7160" xr:uid="{00000000-0005-0000-0000-00001DBB0000}"/>
    <cellStyle name="Percent 3 25 3 3 2" xfId="14905" xr:uid="{00000000-0005-0000-0000-00001EBB0000}"/>
    <cellStyle name="Percent 3 25 3 3 2 2" xfId="30497" xr:uid="{00000000-0005-0000-0000-00001FBB0000}"/>
    <cellStyle name="Percent 3 25 3 3 2 3" xfId="45989" xr:uid="{00000000-0005-0000-0000-000020BB0000}"/>
    <cellStyle name="Percent 3 25 3 3 3" xfId="22757" xr:uid="{00000000-0005-0000-0000-000021BB0000}"/>
    <cellStyle name="Percent 3 25 3 3 4" xfId="38249" xr:uid="{00000000-0005-0000-0000-000022BB0000}"/>
    <cellStyle name="Percent 3 25 3 4" xfId="11035" xr:uid="{00000000-0005-0000-0000-000023BB0000}"/>
    <cellStyle name="Percent 3 25 3 4 2" xfId="26627" xr:uid="{00000000-0005-0000-0000-000024BB0000}"/>
    <cellStyle name="Percent 3 25 3 4 3" xfId="42119" xr:uid="{00000000-0005-0000-0000-000025BB0000}"/>
    <cellStyle name="Percent 3 25 3 5" xfId="18887" xr:uid="{00000000-0005-0000-0000-000026BB0000}"/>
    <cellStyle name="Percent 3 25 3 6" xfId="34379" xr:uid="{00000000-0005-0000-0000-000027BB0000}"/>
    <cellStyle name="Percent 3 25 4" xfId="4268" xr:uid="{00000000-0005-0000-0000-000028BB0000}"/>
    <cellStyle name="Percent 3 25 4 2" xfId="8139" xr:uid="{00000000-0005-0000-0000-000029BB0000}"/>
    <cellStyle name="Percent 3 25 4 2 2" xfId="15884" xr:uid="{00000000-0005-0000-0000-00002ABB0000}"/>
    <cellStyle name="Percent 3 25 4 2 2 2" xfId="31476" xr:uid="{00000000-0005-0000-0000-00002BBB0000}"/>
    <cellStyle name="Percent 3 25 4 2 2 3" xfId="46968" xr:uid="{00000000-0005-0000-0000-00002CBB0000}"/>
    <cellStyle name="Percent 3 25 4 2 3" xfId="23736" xr:uid="{00000000-0005-0000-0000-00002DBB0000}"/>
    <cellStyle name="Percent 3 25 4 2 4" xfId="39228" xr:uid="{00000000-0005-0000-0000-00002EBB0000}"/>
    <cellStyle name="Percent 3 25 4 3" xfId="12014" xr:uid="{00000000-0005-0000-0000-00002FBB0000}"/>
    <cellStyle name="Percent 3 25 4 3 2" xfId="27606" xr:uid="{00000000-0005-0000-0000-000030BB0000}"/>
    <cellStyle name="Percent 3 25 4 3 3" xfId="43098" xr:uid="{00000000-0005-0000-0000-000031BB0000}"/>
    <cellStyle name="Percent 3 25 4 4" xfId="19866" xr:uid="{00000000-0005-0000-0000-000032BB0000}"/>
    <cellStyle name="Percent 3 25 4 5" xfId="35358" xr:uid="{00000000-0005-0000-0000-000033BB0000}"/>
    <cellStyle name="Percent 3 25 5" xfId="6212" xr:uid="{00000000-0005-0000-0000-000034BB0000}"/>
    <cellStyle name="Percent 3 25 5 2" xfId="13957" xr:uid="{00000000-0005-0000-0000-000035BB0000}"/>
    <cellStyle name="Percent 3 25 5 2 2" xfId="29549" xr:uid="{00000000-0005-0000-0000-000036BB0000}"/>
    <cellStyle name="Percent 3 25 5 2 3" xfId="45041" xr:uid="{00000000-0005-0000-0000-000037BB0000}"/>
    <cellStyle name="Percent 3 25 5 3" xfId="21809" xr:uid="{00000000-0005-0000-0000-000038BB0000}"/>
    <cellStyle name="Percent 3 25 5 4" xfId="37301" xr:uid="{00000000-0005-0000-0000-000039BB0000}"/>
    <cellStyle name="Percent 3 25 6" xfId="10087" xr:uid="{00000000-0005-0000-0000-00003ABB0000}"/>
    <cellStyle name="Percent 3 25 6 2" xfId="25679" xr:uid="{00000000-0005-0000-0000-00003BBB0000}"/>
    <cellStyle name="Percent 3 25 6 3" xfId="41171" xr:uid="{00000000-0005-0000-0000-00003CBB0000}"/>
    <cellStyle name="Percent 3 25 7" xfId="17939" xr:uid="{00000000-0005-0000-0000-00003DBB0000}"/>
    <cellStyle name="Percent 3 25 8" xfId="33431" xr:uid="{00000000-0005-0000-0000-00003EBB0000}"/>
    <cellStyle name="Percent 3 26" xfId="2298" xr:uid="{00000000-0005-0000-0000-00003FBB0000}"/>
    <cellStyle name="Percent 3 26 2" xfId="2614" xr:uid="{00000000-0005-0000-0000-000040BB0000}"/>
    <cellStyle name="Percent 3 26 2 2" xfId="3622" xr:uid="{00000000-0005-0000-0000-000041BB0000}"/>
    <cellStyle name="Percent 3 26 2 2 2" xfId="5561" xr:uid="{00000000-0005-0000-0000-000042BB0000}"/>
    <cellStyle name="Percent 3 26 2 2 2 2" xfId="9432" xr:uid="{00000000-0005-0000-0000-000043BB0000}"/>
    <cellStyle name="Percent 3 26 2 2 2 2 2" xfId="17177" xr:uid="{00000000-0005-0000-0000-000044BB0000}"/>
    <cellStyle name="Percent 3 26 2 2 2 2 2 2" xfId="32769" xr:uid="{00000000-0005-0000-0000-000045BB0000}"/>
    <cellStyle name="Percent 3 26 2 2 2 2 2 3" xfId="48261" xr:uid="{00000000-0005-0000-0000-000046BB0000}"/>
    <cellStyle name="Percent 3 26 2 2 2 2 3" xfId="25029" xr:uid="{00000000-0005-0000-0000-000047BB0000}"/>
    <cellStyle name="Percent 3 26 2 2 2 2 4" xfId="40521" xr:uid="{00000000-0005-0000-0000-000048BB0000}"/>
    <cellStyle name="Percent 3 26 2 2 2 3" xfId="13307" xr:uid="{00000000-0005-0000-0000-000049BB0000}"/>
    <cellStyle name="Percent 3 26 2 2 2 3 2" xfId="28899" xr:uid="{00000000-0005-0000-0000-00004ABB0000}"/>
    <cellStyle name="Percent 3 26 2 2 2 3 3" xfId="44391" xr:uid="{00000000-0005-0000-0000-00004BBB0000}"/>
    <cellStyle name="Percent 3 26 2 2 2 4" xfId="21159" xr:uid="{00000000-0005-0000-0000-00004CBB0000}"/>
    <cellStyle name="Percent 3 26 2 2 2 5" xfId="36651" xr:uid="{00000000-0005-0000-0000-00004DBB0000}"/>
    <cellStyle name="Percent 3 26 2 2 3" xfId="7505" xr:uid="{00000000-0005-0000-0000-00004EBB0000}"/>
    <cellStyle name="Percent 3 26 2 2 3 2" xfId="15250" xr:uid="{00000000-0005-0000-0000-00004FBB0000}"/>
    <cellStyle name="Percent 3 26 2 2 3 2 2" xfId="30842" xr:uid="{00000000-0005-0000-0000-000050BB0000}"/>
    <cellStyle name="Percent 3 26 2 2 3 2 3" xfId="46334" xr:uid="{00000000-0005-0000-0000-000051BB0000}"/>
    <cellStyle name="Percent 3 26 2 2 3 3" xfId="23102" xr:uid="{00000000-0005-0000-0000-000052BB0000}"/>
    <cellStyle name="Percent 3 26 2 2 3 4" xfId="38594" xr:uid="{00000000-0005-0000-0000-000053BB0000}"/>
    <cellStyle name="Percent 3 26 2 2 4" xfId="11380" xr:uid="{00000000-0005-0000-0000-000054BB0000}"/>
    <cellStyle name="Percent 3 26 2 2 4 2" xfId="26972" xr:uid="{00000000-0005-0000-0000-000055BB0000}"/>
    <cellStyle name="Percent 3 26 2 2 4 3" xfId="42464" xr:uid="{00000000-0005-0000-0000-000056BB0000}"/>
    <cellStyle name="Percent 3 26 2 2 5" xfId="19232" xr:uid="{00000000-0005-0000-0000-000057BB0000}"/>
    <cellStyle name="Percent 3 26 2 2 6" xfId="34724" xr:uid="{00000000-0005-0000-0000-000058BB0000}"/>
    <cellStyle name="Percent 3 26 2 3" xfId="4613" xr:uid="{00000000-0005-0000-0000-000059BB0000}"/>
    <cellStyle name="Percent 3 26 2 3 2" xfId="8484" xr:uid="{00000000-0005-0000-0000-00005ABB0000}"/>
    <cellStyle name="Percent 3 26 2 3 2 2" xfId="16229" xr:uid="{00000000-0005-0000-0000-00005BBB0000}"/>
    <cellStyle name="Percent 3 26 2 3 2 2 2" xfId="31821" xr:uid="{00000000-0005-0000-0000-00005CBB0000}"/>
    <cellStyle name="Percent 3 26 2 3 2 2 3" xfId="47313" xr:uid="{00000000-0005-0000-0000-00005DBB0000}"/>
    <cellStyle name="Percent 3 26 2 3 2 3" xfId="24081" xr:uid="{00000000-0005-0000-0000-00005EBB0000}"/>
    <cellStyle name="Percent 3 26 2 3 2 4" xfId="39573" xr:uid="{00000000-0005-0000-0000-00005FBB0000}"/>
    <cellStyle name="Percent 3 26 2 3 3" xfId="12359" xr:uid="{00000000-0005-0000-0000-000060BB0000}"/>
    <cellStyle name="Percent 3 26 2 3 3 2" xfId="27951" xr:uid="{00000000-0005-0000-0000-000061BB0000}"/>
    <cellStyle name="Percent 3 26 2 3 3 3" xfId="43443" xr:uid="{00000000-0005-0000-0000-000062BB0000}"/>
    <cellStyle name="Percent 3 26 2 3 4" xfId="20211" xr:uid="{00000000-0005-0000-0000-000063BB0000}"/>
    <cellStyle name="Percent 3 26 2 3 5" xfId="35703" xr:uid="{00000000-0005-0000-0000-000064BB0000}"/>
    <cellStyle name="Percent 3 26 2 4" xfId="6557" xr:uid="{00000000-0005-0000-0000-000065BB0000}"/>
    <cellStyle name="Percent 3 26 2 4 2" xfId="14302" xr:uid="{00000000-0005-0000-0000-000066BB0000}"/>
    <cellStyle name="Percent 3 26 2 4 2 2" xfId="29894" xr:uid="{00000000-0005-0000-0000-000067BB0000}"/>
    <cellStyle name="Percent 3 26 2 4 2 3" xfId="45386" xr:uid="{00000000-0005-0000-0000-000068BB0000}"/>
    <cellStyle name="Percent 3 26 2 4 3" xfId="22154" xr:uid="{00000000-0005-0000-0000-000069BB0000}"/>
    <cellStyle name="Percent 3 26 2 4 4" xfId="37646" xr:uid="{00000000-0005-0000-0000-00006ABB0000}"/>
    <cellStyle name="Percent 3 26 2 5" xfId="10432" xr:uid="{00000000-0005-0000-0000-00006BBB0000}"/>
    <cellStyle name="Percent 3 26 2 5 2" xfId="26024" xr:uid="{00000000-0005-0000-0000-00006CBB0000}"/>
    <cellStyle name="Percent 3 26 2 5 3" xfId="41516" xr:uid="{00000000-0005-0000-0000-00006DBB0000}"/>
    <cellStyle name="Percent 3 26 2 6" xfId="18284" xr:uid="{00000000-0005-0000-0000-00006EBB0000}"/>
    <cellStyle name="Percent 3 26 2 7" xfId="33776" xr:uid="{00000000-0005-0000-0000-00006FBB0000}"/>
    <cellStyle name="Percent 3 26 3" xfId="3313" xr:uid="{00000000-0005-0000-0000-000070BB0000}"/>
    <cellStyle name="Percent 3 26 3 2" xfId="5252" xr:uid="{00000000-0005-0000-0000-000071BB0000}"/>
    <cellStyle name="Percent 3 26 3 2 2" xfId="9123" xr:uid="{00000000-0005-0000-0000-000072BB0000}"/>
    <cellStyle name="Percent 3 26 3 2 2 2" xfId="16868" xr:uid="{00000000-0005-0000-0000-000073BB0000}"/>
    <cellStyle name="Percent 3 26 3 2 2 2 2" xfId="32460" xr:uid="{00000000-0005-0000-0000-000074BB0000}"/>
    <cellStyle name="Percent 3 26 3 2 2 2 3" xfId="47952" xr:uid="{00000000-0005-0000-0000-000075BB0000}"/>
    <cellStyle name="Percent 3 26 3 2 2 3" xfId="24720" xr:uid="{00000000-0005-0000-0000-000076BB0000}"/>
    <cellStyle name="Percent 3 26 3 2 2 4" xfId="40212" xr:uid="{00000000-0005-0000-0000-000077BB0000}"/>
    <cellStyle name="Percent 3 26 3 2 3" xfId="12998" xr:uid="{00000000-0005-0000-0000-000078BB0000}"/>
    <cellStyle name="Percent 3 26 3 2 3 2" xfId="28590" xr:uid="{00000000-0005-0000-0000-000079BB0000}"/>
    <cellStyle name="Percent 3 26 3 2 3 3" xfId="44082" xr:uid="{00000000-0005-0000-0000-00007ABB0000}"/>
    <cellStyle name="Percent 3 26 3 2 4" xfId="20850" xr:uid="{00000000-0005-0000-0000-00007BBB0000}"/>
    <cellStyle name="Percent 3 26 3 2 5" xfId="36342" xr:uid="{00000000-0005-0000-0000-00007CBB0000}"/>
    <cellStyle name="Percent 3 26 3 3" xfId="7196" xr:uid="{00000000-0005-0000-0000-00007DBB0000}"/>
    <cellStyle name="Percent 3 26 3 3 2" xfId="14941" xr:uid="{00000000-0005-0000-0000-00007EBB0000}"/>
    <cellStyle name="Percent 3 26 3 3 2 2" xfId="30533" xr:uid="{00000000-0005-0000-0000-00007FBB0000}"/>
    <cellStyle name="Percent 3 26 3 3 2 3" xfId="46025" xr:uid="{00000000-0005-0000-0000-000080BB0000}"/>
    <cellStyle name="Percent 3 26 3 3 3" xfId="22793" xr:uid="{00000000-0005-0000-0000-000081BB0000}"/>
    <cellStyle name="Percent 3 26 3 3 4" xfId="38285" xr:uid="{00000000-0005-0000-0000-000082BB0000}"/>
    <cellStyle name="Percent 3 26 3 4" xfId="11071" xr:uid="{00000000-0005-0000-0000-000083BB0000}"/>
    <cellStyle name="Percent 3 26 3 4 2" xfId="26663" xr:uid="{00000000-0005-0000-0000-000084BB0000}"/>
    <cellStyle name="Percent 3 26 3 4 3" xfId="42155" xr:uid="{00000000-0005-0000-0000-000085BB0000}"/>
    <cellStyle name="Percent 3 26 3 5" xfId="18923" xr:uid="{00000000-0005-0000-0000-000086BB0000}"/>
    <cellStyle name="Percent 3 26 3 6" xfId="34415" xr:uid="{00000000-0005-0000-0000-000087BB0000}"/>
    <cellStyle name="Percent 3 26 4" xfId="4304" xr:uid="{00000000-0005-0000-0000-000088BB0000}"/>
    <cellStyle name="Percent 3 26 4 2" xfId="8175" xr:uid="{00000000-0005-0000-0000-000089BB0000}"/>
    <cellStyle name="Percent 3 26 4 2 2" xfId="15920" xr:uid="{00000000-0005-0000-0000-00008ABB0000}"/>
    <cellStyle name="Percent 3 26 4 2 2 2" xfId="31512" xr:uid="{00000000-0005-0000-0000-00008BBB0000}"/>
    <cellStyle name="Percent 3 26 4 2 2 3" xfId="47004" xr:uid="{00000000-0005-0000-0000-00008CBB0000}"/>
    <cellStyle name="Percent 3 26 4 2 3" xfId="23772" xr:uid="{00000000-0005-0000-0000-00008DBB0000}"/>
    <cellStyle name="Percent 3 26 4 2 4" xfId="39264" xr:uid="{00000000-0005-0000-0000-00008EBB0000}"/>
    <cellStyle name="Percent 3 26 4 3" xfId="12050" xr:uid="{00000000-0005-0000-0000-00008FBB0000}"/>
    <cellStyle name="Percent 3 26 4 3 2" xfId="27642" xr:uid="{00000000-0005-0000-0000-000090BB0000}"/>
    <cellStyle name="Percent 3 26 4 3 3" xfId="43134" xr:uid="{00000000-0005-0000-0000-000091BB0000}"/>
    <cellStyle name="Percent 3 26 4 4" xfId="19902" xr:uid="{00000000-0005-0000-0000-000092BB0000}"/>
    <cellStyle name="Percent 3 26 4 5" xfId="35394" xr:uid="{00000000-0005-0000-0000-000093BB0000}"/>
    <cellStyle name="Percent 3 26 5" xfId="6248" xr:uid="{00000000-0005-0000-0000-000094BB0000}"/>
    <cellStyle name="Percent 3 26 5 2" xfId="13993" xr:uid="{00000000-0005-0000-0000-000095BB0000}"/>
    <cellStyle name="Percent 3 26 5 2 2" xfId="29585" xr:uid="{00000000-0005-0000-0000-000096BB0000}"/>
    <cellStyle name="Percent 3 26 5 2 3" xfId="45077" xr:uid="{00000000-0005-0000-0000-000097BB0000}"/>
    <cellStyle name="Percent 3 26 5 3" xfId="21845" xr:uid="{00000000-0005-0000-0000-000098BB0000}"/>
    <cellStyle name="Percent 3 26 5 4" xfId="37337" xr:uid="{00000000-0005-0000-0000-000099BB0000}"/>
    <cellStyle name="Percent 3 26 6" xfId="10123" xr:uid="{00000000-0005-0000-0000-00009ABB0000}"/>
    <cellStyle name="Percent 3 26 6 2" xfId="25715" xr:uid="{00000000-0005-0000-0000-00009BBB0000}"/>
    <cellStyle name="Percent 3 26 6 3" xfId="41207" xr:uid="{00000000-0005-0000-0000-00009CBB0000}"/>
    <cellStyle name="Percent 3 26 7" xfId="17975" xr:uid="{00000000-0005-0000-0000-00009DBB0000}"/>
    <cellStyle name="Percent 3 26 8" xfId="33467" xr:uid="{00000000-0005-0000-0000-00009EBB0000}"/>
    <cellStyle name="Percent 3 27" xfId="2336" xr:uid="{00000000-0005-0000-0000-00009FBB0000}"/>
    <cellStyle name="Percent 3 27 2" xfId="2650" xr:uid="{00000000-0005-0000-0000-0000A0BB0000}"/>
    <cellStyle name="Percent 3 27 2 2" xfId="3658" xr:uid="{00000000-0005-0000-0000-0000A1BB0000}"/>
    <cellStyle name="Percent 3 27 2 2 2" xfId="5597" xr:uid="{00000000-0005-0000-0000-0000A2BB0000}"/>
    <cellStyle name="Percent 3 27 2 2 2 2" xfId="9468" xr:uid="{00000000-0005-0000-0000-0000A3BB0000}"/>
    <cellStyle name="Percent 3 27 2 2 2 2 2" xfId="17213" xr:uid="{00000000-0005-0000-0000-0000A4BB0000}"/>
    <cellStyle name="Percent 3 27 2 2 2 2 2 2" xfId="32805" xr:uid="{00000000-0005-0000-0000-0000A5BB0000}"/>
    <cellStyle name="Percent 3 27 2 2 2 2 2 3" xfId="48297" xr:uid="{00000000-0005-0000-0000-0000A6BB0000}"/>
    <cellStyle name="Percent 3 27 2 2 2 2 3" xfId="25065" xr:uid="{00000000-0005-0000-0000-0000A7BB0000}"/>
    <cellStyle name="Percent 3 27 2 2 2 2 4" xfId="40557" xr:uid="{00000000-0005-0000-0000-0000A8BB0000}"/>
    <cellStyle name="Percent 3 27 2 2 2 3" xfId="13343" xr:uid="{00000000-0005-0000-0000-0000A9BB0000}"/>
    <cellStyle name="Percent 3 27 2 2 2 3 2" xfId="28935" xr:uid="{00000000-0005-0000-0000-0000AABB0000}"/>
    <cellStyle name="Percent 3 27 2 2 2 3 3" xfId="44427" xr:uid="{00000000-0005-0000-0000-0000ABBB0000}"/>
    <cellStyle name="Percent 3 27 2 2 2 4" xfId="21195" xr:uid="{00000000-0005-0000-0000-0000ACBB0000}"/>
    <cellStyle name="Percent 3 27 2 2 2 5" xfId="36687" xr:uid="{00000000-0005-0000-0000-0000ADBB0000}"/>
    <cellStyle name="Percent 3 27 2 2 3" xfId="7541" xr:uid="{00000000-0005-0000-0000-0000AEBB0000}"/>
    <cellStyle name="Percent 3 27 2 2 3 2" xfId="15286" xr:uid="{00000000-0005-0000-0000-0000AFBB0000}"/>
    <cellStyle name="Percent 3 27 2 2 3 2 2" xfId="30878" xr:uid="{00000000-0005-0000-0000-0000B0BB0000}"/>
    <cellStyle name="Percent 3 27 2 2 3 2 3" xfId="46370" xr:uid="{00000000-0005-0000-0000-0000B1BB0000}"/>
    <cellStyle name="Percent 3 27 2 2 3 3" xfId="23138" xr:uid="{00000000-0005-0000-0000-0000B2BB0000}"/>
    <cellStyle name="Percent 3 27 2 2 3 4" xfId="38630" xr:uid="{00000000-0005-0000-0000-0000B3BB0000}"/>
    <cellStyle name="Percent 3 27 2 2 4" xfId="11416" xr:uid="{00000000-0005-0000-0000-0000B4BB0000}"/>
    <cellStyle name="Percent 3 27 2 2 4 2" xfId="27008" xr:uid="{00000000-0005-0000-0000-0000B5BB0000}"/>
    <cellStyle name="Percent 3 27 2 2 4 3" xfId="42500" xr:uid="{00000000-0005-0000-0000-0000B6BB0000}"/>
    <cellStyle name="Percent 3 27 2 2 5" xfId="19268" xr:uid="{00000000-0005-0000-0000-0000B7BB0000}"/>
    <cellStyle name="Percent 3 27 2 2 6" xfId="34760" xr:uid="{00000000-0005-0000-0000-0000B8BB0000}"/>
    <cellStyle name="Percent 3 27 2 3" xfId="4649" xr:uid="{00000000-0005-0000-0000-0000B9BB0000}"/>
    <cellStyle name="Percent 3 27 2 3 2" xfId="8520" xr:uid="{00000000-0005-0000-0000-0000BABB0000}"/>
    <cellStyle name="Percent 3 27 2 3 2 2" xfId="16265" xr:uid="{00000000-0005-0000-0000-0000BBBB0000}"/>
    <cellStyle name="Percent 3 27 2 3 2 2 2" xfId="31857" xr:uid="{00000000-0005-0000-0000-0000BCBB0000}"/>
    <cellStyle name="Percent 3 27 2 3 2 2 3" xfId="47349" xr:uid="{00000000-0005-0000-0000-0000BDBB0000}"/>
    <cellStyle name="Percent 3 27 2 3 2 3" xfId="24117" xr:uid="{00000000-0005-0000-0000-0000BEBB0000}"/>
    <cellStyle name="Percent 3 27 2 3 2 4" xfId="39609" xr:uid="{00000000-0005-0000-0000-0000BFBB0000}"/>
    <cellStyle name="Percent 3 27 2 3 3" xfId="12395" xr:uid="{00000000-0005-0000-0000-0000C0BB0000}"/>
    <cellStyle name="Percent 3 27 2 3 3 2" xfId="27987" xr:uid="{00000000-0005-0000-0000-0000C1BB0000}"/>
    <cellStyle name="Percent 3 27 2 3 3 3" xfId="43479" xr:uid="{00000000-0005-0000-0000-0000C2BB0000}"/>
    <cellStyle name="Percent 3 27 2 3 4" xfId="20247" xr:uid="{00000000-0005-0000-0000-0000C3BB0000}"/>
    <cellStyle name="Percent 3 27 2 3 5" xfId="35739" xr:uid="{00000000-0005-0000-0000-0000C4BB0000}"/>
    <cellStyle name="Percent 3 27 2 4" xfId="6593" xr:uid="{00000000-0005-0000-0000-0000C5BB0000}"/>
    <cellStyle name="Percent 3 27 2 4 2" xfId="14338" xr:uid="{00000000-0005-0000-0000-0000C6BB0000}"/>
    <cellStyle name="Percent 3 27 2 4 2 2" xfId="29930" xr:uid="{00000000-0005-0000-0000-0000C7BB0000}"/>
    <cellStyle name="Percent 3 27 2 4 2 3" xfId="45422" xr:uid="{00000000-0005-0000-0000-0000C8BB0000}"/>
    <cellStyle name="Percent 3 27 2 4 3" xfId="22190" xr:uid="{00000000-0005-0000-0000-0000C9BB0000}"/>
    <cellStyle name="Percent 3 27 2 4 4" xfId="37682" xr:uid="{00000000-0005-0000-0000-0000CABB0000}"/>
    <cellStyle name="Percent 3 27 2 5" xfId="10468" xr:uid="{00000000-0005-0000-0000-0000CBBB0000}"/>
    <cellStyle name="Percent 3 27 2 5 2" xfId="26060" xr:uid="{00000000-0005-0000-0000-0000CCBB0000}"/>
    <cellStyle name="Percent 3 27 2 5 3" xfId="41552" xr:uid="{00000000-0005-0000-0000-0000CDBB0000}"/>
    <cellStyle name="Percent 3 27 2 6" xfId="18320" xr:uid="{00000000-0005-0000-0000-0000CEBB0000}"/>
    <cellStyle name="Percent 3 27 2 7" xfId="33812" xr:uid="{00000000-0005-0000-0000-0000CFBB0000}"/>
    <cellStyle name="Percent 3 27 3" xfId="3349" xr:uid="{00000000-0005-0000-0000-0000D0BB0000}"/>
    <cellStyle name="Percent 3 27 3 2" xfId="5288" xr:uid="{00000000-0005-0000-0000-0000D1BB0000}"/>
    <cellStyle name="Percent 3 27 3 2 2" xfId="9159" xr:uid="{00000000-0005-0000-0000-0000D2BB0000}"/>
    <cellStyle name="Percent 3 27 3 2 2 2" xfId="16904" xr:uid="{00000000-0005-0000-0000-0000D3BB0000}"/>
    <cellStyle name="Percent 3 27 3 2 2 2 2" xfId="32496" xr:uid="{00000000-0005-0000-0000-0000D4BB0000}"/>
    <cellStyle name="Percent 3 27 3 2 2 2 3" xfId="47988" xr:uid="{00000000-0005-0000-0000-0000D5BB0000}"/>
    <cellStyle name="Percent 3 27 3 2 2 3" xfId="24756" xr:uid="{00000000-0005-0000-0000-0000D6BB0000}"/>
    <cellStyle name="Percent 3 27 3 2 2 4" xfId="40248" xr:uid="{00000000-0005-0000-0000-0000D7BB0000}"/>
    <cellStyle name="Percent 3 27 3 2 3" xfId="13034" xr:uid="{00000000-0005-0000-0000-0000D8BB0000}"/>
    <cellStyle name="Percent 3 27 3 2 3 2" xfId="28626" xr:uid="{00000000-0005-0000-0000-0000D9BB0000}"/>
    <cellStyle name="Percent 3 27 3 2 3 3" xfId="44118" xr:uid="{00000000-0005-0000-0000-0000DABB0000}"/>
    <cellStyle name="Percent 3 27 3 2 4" xfId="20886" xr:uid="{00000000-0005-0000-0000-0000DBBB0000}"/>
    <cellStyle name="Percent 3 27 3 2 5" xfId="36378" xr:uid="{00000000-0005-0000-0000-0000DCBB0000}"/>
    <cellStyle name="Percent 3 27 3 3" xfId="7232" xr:uid="{00000000-0005-0000-0000-0000DDBB0000}"/>
    <cellStyle name="Percent 3 27 3 3 2" xfId="14977" xr:uid="{00000000-0005-0000-0000-0000DEBB0000}"/>
    <cellStyle name="Percent 3 27 3 3 2 2" xfId="30569" xr:uid="{00000000-0005-0000-0000-0000DFBB0000}"/>
    <cellStyle name="Percent 3 27 3 3 2 3" xfId="46061" xr:uid="{00000000-0005-0000-0000-0000E0BB0000}"/>
    <cellStyle name="Percent 3 27 3 3 3" xfId="22829" xr:uid="{00000000-0005-0000-0000-0000E1BB0000}"/>
    <cellStyle name="Percent 3 27 3 3 4" xfId="38321" xr:uid="{00000000-0005-0000-0000-0000E2BB0000}"/>
    <cellStyle name="Percent 3 27 3 4" xfId="11107" xr:uid="{00000000-0005-0000-0000-0000E3BB0000}"/>
    <cellStyle name="Percent 3 27 3 4 2" xfId="26699" xr:uid="{00000000-0005-0000-0000-0000E4BB0000}"/>
    <cellStyle name="Percent 3 27 3 4 3" xfId="42191" xr:uid="{00000000-0005-0000-0000-0000E5BB0000}"/>
    <cellStyle name="Percent 3 27 3 5" xfId="18959" xr:uid="{00000000-0005-0000-0000-0000E6BB0000}"/>
    <cellStyle name="Percent 3 27 3 6" xfId="34451" xr:uid="{00000000-0005-0000-0000-0000E7BB0000}"/>
    <cellStyle name="Percent 3 27 4" xfId="4340" xr:uid="{00000000-0005-0000-0000-0000E8BB0000}"/>
    <cellStyle name="Percent 3 27 4 2" xfId="8211" xr:uid="{00000000-0005-0000-0000-0000E9BB0000}"/>
    <cellStyle name="Percent 3 27 4 2 2" xfId="15956" xr:uid="{00000000-0005-0000-0000-0000EABB0000}"/>
    <cellStyle name="Percent 3 27 4 2 2 2" xfId="31548" xr:uid="{00000000-0005-0000-0000-0000EBBB0000}"/>
    <cellStyle name="Percent 3 27 4 2 2 3" xfId="47040" xr:uid="{00000000-0005-0000-0000-0000ECBB0000}"/>
    <cellStyle name="Percent 3 27 4 2 3" xfId="23808" xr:uid="{00000000-0005-0000-0000-0000EDBB0000}"/>
    <cellStyle name="Percent 3 27 4 2 4" xfId="39300" xr:uid="{00000000-0005-0000-0000-0000EEBB0000}"/>
    <cellStyle name="Percent 3 27 4 3" xfId="12086" xr:uid="{00000000-0005-0000-0000-0000EFBB0000}"/>
    <cellStyle name="Percent 3 27 4 3 2" xfId="27678" xr:uid="{00000000-0005-0000-0000-0000F0BB0000}"/>
    <cellStyle name="Percent 3 27 4 3 3" xfId="43170" xr:uid="{00000000-0005-0000-0000-0000F1BB0000}"/>
    <cellStyle name="Percent 3 27 4 4" xfId="19938" xr:uid="{00000000-0005-0000-0000-0000F2BB0000}"/>
    <cellStyle name="Percent 3 27 4 5" xfId="35430" xr:uid="{00000000-0005-0000-0000-0000F3BB0000}"/>
    <cellStyle name="Percent 3 27 5" xfId="6284" xr:uid="{00000000-0005-0000-0000-0000F4BB0000}"/>
    <cellStyle name="Percent 3 27 5 2" xfId="14029" xr:uid="{00000000-0005-0000-0000-0000F5BB0000}"/>
    <cellStyle name="Percent 3 27 5 2 2" xfId="29621" xr:uid="{00000000-0005-0000-0000-0000F6BB0000}"/>
    <cellStyle name="Percent 3 27 5 2 3" xfId="45113" xr:uid="{00000000-0005-0000-0000-0000F7BB0000}"/>
    <cellStyle name="Percent 3 27 5 3" xfId="21881" xr:uid="{00000000-0005-0000-0000-0000F8BB0000}"/>
    <cellStyle name="Percent 3 27 5 4" xfId="37373" xr:uid="{00000000-0005-0000-0000-0000F9BB0000}"/>
    <cellStyle name="Percent 3 27 6" xfId="10159" xr:uid="{00000000-0005-0000-0000-0000FABB0000}"/>
    <cellStyle name="Percent 3 27 6 2" xfId="25751" xr:uid="{00000000-0005-0000-0000-0000FBBB0000}"/>
    <cellStyle name="Percent 3 27 6 3" xfId="41243" xr:uid="{00000000-0005-0000-0000-0000FCBB0000}"/>
    <cellStyle name="Percent 3 27 7" xfId="18011" xr:uid="{00000000-0005-0000-0000-0000FDBB0000}"/>
    <cellStyle name="Percent 3 27 8" xfId="33503" xr:uid="{00000000-0005-0000-0000-0000FEBB0000}"/>
    <cellStyle name="Percent 3 28" xfId="2373" xr:uid="{00000000-0005-0000-0000-0000FFBB0000}"/>
    <cellStyle name="Percent 3 28 2" xfId="2686" xr:uid="{00000000-0005-0000-0000-000000BC0000}"/>
    <cellStyle name="Percent 3 28 2 2" xfId="3694" xr:uid="{00000000-0005-0000-0000-000001BC0000}"/>
    <cellStyle name="Percent 3 28 2 2 2" xfId="5633" xr:uid="{00000000-0005-0000-0000-000002BC0000}"/>
    <cellStyle name="Percent 3 28 2 2 2 2" xfId="9504" xr:uid="{00000000-0005-0000-0000-000003BC0000}"/>
    <cellStyle name="Percent 3 28 2 2 2 2 2" xfId="17249" xr:uid="{00000000-0005-0000-0000-000004BC0000}"/>
    <cellStyle name="Percent 3 28 2 2 2 2 2 2" xfId="32841" xr:uid="{00000000-0005-0000-0000-000005BC0000}"/>
    <cellStyle name="Percent 3 28 2 2 2 2 2 3" xfId="48333" xr:uid="{00000000-0005-0000-0000-000006BC0000}"/>
    <cellStyle name="Percent 3 28 2 2 2 2 3" xfId="25101" xr:uid="{00000000-0005-0000-0000-000007BC0000}"/>
    <cellStyle name="Percent 3 28 2 2 2 2 4" xfId="40593" xr:uid="{00000000-0005-0000-0000-000008BC0000}"/>
    <cellStyle name="Percent 3 28 2 2 2 3" xfId="13379" xr:uid="{00000000-0005-0000-0000-000009BC0000}"/>
    <cellStyle name="Percent 3 28 2 2 2 3 2" xfId="28971" xr:uid="{00000000-0005-0000-0000-00000ABC0000}"/>
    <cellStyle name="Percent 3 28 2 2 2 3 3" xfId="44463" xr:uid="{00000000-0005-0000-0000-00000BBC0000}"/>
    <cellStyle name="Percent 3 28 2 2 2 4" xfId="21231" xr:uid="{00000000-0005-0000-0000-00000CBC0000}"/>
    <cellStyle name="Percent 3 28 2 2 2 5" xfId="36723" xr:uid="{00000000-0005-0000-0000-00000DBC0000}"/>
    <cellStyle name="Percent 3 28 2 2 3" xfId="7577" xr:uid="{00000000-0005-0000-0000-00000EBC0000}"/>
    <cellStyle name="Percent 3 28 2 2 3 2" xfId="15322" xr:uid="{00000000-0005-0000-0000-00000FBC0000}"/>
    <cellStyle name="Percent 3 28 2 2 3 2 2" xfId="30914" xr:uid="{00000000-0005-0000-0000-000010BC0000}"/>
    <cellStyle name="Percent 3 28 2 2 3 2 3" xfId="46406" xr:uid="{00000000-0005-0000-0000-000011BC0000}"/>
    <cellStyle name="Percent 3 28 2 2 3 3" xfId="23174" xr:uid="{00000000-0005-0000-0000-000012BC0000}"/>
    <cellStyle name="Percent 3 28 2 2 3 4" xfId="38666" xr:uid="{00000000-0005-0000-0000-000013BC0000}"/>
    <cellStyle name="Percent 3 28 2 2 4" xfId="11452" xr:uid="{00000000-0005-0000-0000-000014BC0000}"/>
    <cellStyle name="Percent 3 28 2 2 4 2" xfId="27044" xr:uid="{00000000-0005-0000-0000-000015BC0000}"/>
    <cellStyle name="Percent 3 28 2 2 4 3" xfId="42536" xr:uid="{00000000-0005-0000-0000-000016BC0000}"/>
    <cellStyle name="Percent 3 28 2 2 5" xfId="19304" xr:uid="{00000000-0005-0000-0000-000017BC0000}"/>
    <cellStyle name="Percent 3 28 2 2 6" xfId="34796" xr:uid="{00000000-0005-0000-0000-000018BC0000}"/>
    <cellStyle name="Percent 3 28 2 3" xfId="4685" xr:uid="{00000000-0005-0000-0000-000019BC0000}"/>
    <cellStyle name="Percent 3 28 2 3 2" xfId="8556" xr:uid="{00000000-0005-0000-0000-00001ABC0000}"/>
    <cellStyle name="Percent 3 28 2 3 2 2" xfId="16301" xr:uid="{00000000-0005-0000-0000-00001BBC0000}"/>
    <cellStyle name="Percent 3 28 2 3 2 2 2" xfId="31893" xr:uid="{00000000-0005-0000-0000-00001CBC0000}"/>
    <cellStyle name="Percent 3 28 2 3 2 2 3" xfId="47385" xr:uid="{00000000-0005-0000-0000-00001DBC0000}"/>
    <cellStyle name="Percent 3 28 2 3 2 3" xfId="24153" xr:uid="{00000000-0005-0000-0000-00001EBC0000}"/>
    <cellStyle name="Percent 3 28 2 3 2 4" xfId="39645" xr:uid="{00000000-0005-0000-0000-00001FBC0000}"/>
    <cellStyle name="Percent 3 28 2 3 3" xfId="12431" xr:uid="{00000000-0005-0000-0000-000020BC0000}"/>
    <cellStyle name="Percent 3 28 2 3 3 2" xfId="28023" xr:uid="{00000000-0005-0000-0000-000021BC0000}"/>
    <cellStyle name="Percent 3 28 2 3 3 3" xfId="43515" xr:uid="{00000000-0005-0000-0000-000022BC0000}"/>
    <cellStyle name="Percent 3 28 2 3 4" xfId="20283" xr:uid="{00000000-0005-0000-0000-000023BC0000}"/>
    <cellStyle name="Percent 3 28 2 3 5" xfId="35775" xr:uid="{00000000-0005-0000-0000-000024BC0000}"/>
    <cellStyle name="Percent 3 28 2 4" xfId="6629" xr:uid="{00000000-0005-0000-0000-000025BC0000}"/>
    <cellStyle name="Percent 3 28 2 4 2" xfId="14374" xr:uid="{00000000-0005-0000-0000-000026BC0000}"/>
    <cellStyle name="Percent 3 28 2 4 2 2" xfId="29966" xr:uid="{00000000-0005-0000-0000-000027BC0000}"/>
    <cellStyle name="Percent 3 28 2 4 2 3" xfId="45458" xr:uid="{00000000-0005-0000-0000-000028BC0000}"/>
    <cellStyle name="Percent 3 28 2 4 3" xfId="22226" xr:uid="{00000000-0005-0000-0000-000029BC0000}"/>
    <cellStyle name="Percent 3 28 2 4 4" xfId="37718" xr:uid="{00000000-0005-0000-0000-00002ABC0000}"/>
    <cellStyle name="Percent 3 28 2 5" xfId="10504" xr:uid="{00000000-0005-0000-0000-00002BBC0000}"/>
    <cellStyle name="Percent 3 28 2 5 2" xfId="26096" xr:uid="{00000000-0005-0000-0000-00002CBC0000}"/>
    <cellStyle name="Percent 3 28 2 5 3" xfId="41588" xr:uid="{00000000-0005-0000-0000-00002DBC0000}"/>
    <cellStyle name="Percent 3 28 2 6" xfId="18356" xr:uid="{00000000-0005-0000-0000-00002EBC0000}"/>
    <cellStyle name="Percent 3 28 2 7" xfId="33848" xr:uid="{00000000-0005-0000-0000-00002FBC0000}"/>
    <cellStyle name="Percent 3 28 3" xfId="3385" xr:uid="{00000000-0005-0000-0000-000030BC0000}"/>
    <cellStyle name="Percent 3 28 3 2" xfId="5324" xr:uid="{00000000-0005-0000-0000-000031BC0000}"/>
    <cellStyle name="Percent 3 28 3 2 2" xfId="9195" xr:uid="{00000000-0005-0000-0000-000032BC0000}"/>
    <cellStyle name="Percent 3 28 3 2 2 2" xfId="16940" xr:uid="{00000000-0005-0000-0000-000033BC0000}"/>
    <cellStyle name="Percent 3 28 3 2 2 2 2" xfId="32532" xr:uid="{00000000-0005-0000-0000-000034BC0000}"/>
    <cellStyle name="Percent 3 28 3 2 2 2 3" xfId="48024" xr:uid="{00000000-0005-0000-0000-000035BC0000}"/>
    <cellStyle name="Percent 3 28 3 2 2 3" xfId="24792" xr:uid="{00000000-0005-0000-0000-000036BC0000}"/>
    <cellStyle name="Percent 3 28 3 2 2 4" xfId="40284" xr:uid="{00000000-0005-0000-0000-000037BC0000}"/>
    <cellStyle name="Percent 3 28 3 2 3" xfId="13070" xr:uid="{00000000-0005-0000-0000-000038BC0000}"/>
    <cellStyle name="Percent 3 28 3 2 3 2" xfId="28662" xr:uid="{00000000-0005-0000-0000-000039BC0000}"/>
    <cellStyle name="Percent 3 28 3 2 3 3" xfId="44154" xr:uid="{00000000-0005-0000-0000-00003ABC0000}"/>
    <cellStyle name="Percent 3 28 3 2 4" xfId="20922" xr:uid="{00000000-0005-0000-0000-00003BBC0000}"/>
    <cellStyle name="Percent 3 28 3 2 5" xfId="36414" xr:uid="{00000000-0005-0000-0000-00003CBC0000}"/>
    <cellStyle name="Percent 3 28 3 3" xfId="7268" xr:uid="{00000000-0005-0000-0000-00003DBC0000}"/>
    <cellStyle name="Percent 3 28 3 3 2" xfId="15013" xr:uid="{00000000-0005-0000-0000-00003EBC0000}"/>
    <cellStyle name="Percent 3 28 3 3 2 2" xfId="30605" xr:uid="{00000000-0005-0000-0000-00003FBC0000}"/>
    <cellStyle name="Percent 3 28 3 3 2 3" xfId="46097" xr:uid="{00000000-0005-0000-0000-000040BC0000}"/>
    <cellStyle name="Percent 3 28 3 3 3" xfId="22865" xr:uid="{00000000-0005-0000-0000-000041BC0000}"/>
    <cellStyle name="Percent 3 28 3 3 4" xfId="38357" xr:uid="{00000000-0005-0000-0000-000042BC0000}"/>
    <cellStyle name="Percent 3 28 3 4" xfId="11143" xr:uid="{00000000-0005-0000-0000-000043BC0000}"/>
    <cellStyle name="Percent 3 28 3 4 2" xfId="26735" xr:uid="{00000000-0005-0000-0000-000044BC0000}"/>
    <cellStyle name="Percent 3 28 3 4 3" xfId="42227" xr:uid="{00000000-0005-0000-0000-000045BC0000}"/>
    <cellStyle name="Percent 3 28 3 5" xfId="18995" xr:uid="{00000000-0005-0000-0000-000046BC0000}"/>
    <cellStyle name="Percent 3 28 3 6" xfId="34487" xr:uid="{00000000-0005-0000-0000-000047BC0000}"/>
    <cellStyle name="Percent 3 28 4" xfId="4376" xr:uid="{00000000-0005-0000-0000-000048BC0000}"/>
    <cellStyle name="Percent 3 28 4 2" xfId="8247" xr:uid="{00000000-0005-0000-0000-000049BC0000}"/>
    <cellStyle name="Percent 3 28 4 2 2" xfId="15992" xr:uid="{00000000-0005-0000-0000-00004ABC0000}"/>
    <cellStyle name="Percent 3 28 4 2 2 2" xfId="31584" xr:uid="{00000000-0005-0000-0000-00004BBC0000}"/>
    <cellStyle name="Percent 3 28 4 2 2 3" xfId="47076" xr:uid="{00000000-0005-0000-0000-00004CBC0000}"/>
    <cellStyle name="Percent 3 28 4 2 3" xfId="23844" xr:uid="{00000000-0005-0000-0000-00004DBC0000}"/>
    <cellStyle name="Percent 3 28 4 2 4" xfId="39336" xr:uid="{00000000-0005-0000-0000-00004EBC0000}"/>
    <cellStyle name="Percent 3 28 4 3" xfId="12122" xr:uid="{00000000-0005-0000-0000-00004FBC0000}"/>
    <cellStyle name="Percent 3 28 4 3 2" xfId="27714" xr:uid="{00000000-0005-0000-0000-000050BC0000}"/>
    <cellStyle name="Percent 3 28 4 3 3" xfId="43206" xr:uid="{00000000-0005-0000-0000-000051BC0000}"/>
    <cellStyle name="Percent 3 28 4 4" xfId="19974" xr:uid="{00000000-0005-0000-0000-000052BC0000}"/>
    <cellStyle name="Percent 3 28 4 5" xfId="35466" xr:uid="{00000000-0005-0000-0000-000053BC0000}"/>
    <cellStyle name="Percent 3 28 5" xfId="6320" xr:uid="{00000000-0005-0000-0000-000054BC0000}"/>
    <cellStyle name="Percent 3 28 5 2" xfId="14065" xr:uid="{00000000-0005-0000-0000-000055BC0000}"/>
    <cellStyle name="Percent 3 28 5 2 2" xfId="29657" xr:uid="{00000000-0005-0000-0000-000056BC0000}"/>
    <cellStyle name="Percent 3 28 5 2 3" xfId="45149" xr:uid="{00000000-0005-0000-0000-000057BC0000}"/>
    <cellStyle name="Percent 3 28 5 3" xfId="21917" xr:uid="{00000000-0005-0000-0000-000058BC0000}"/>
    <cellStyle name="Percent 3 28 5 4" xfId="37409" xr:uid="{00000000-0005-0000-0000-000059BC0000}"/>
    <cellStyle name="Percent 3 28 6" xfId="10195" xr:uid="{00000000-0005-0000-0000-00005ABC0000}"/>
    <cellStyle name="Percent 3 28 6 2" xfId="25787" xr:uid="{00000000-0005-0000-0000-00005BBC0000}"/>
    <cellStyle name="Percent 3 28 6 3" xfId="41279" xr:uid="{00000000-0005-0000-0000-00005CBC0000}"/>
    <cellStyle name="Percent 3 28 7" xfId="18047" xr:uid="{00000000-0005-0000-0000-00005DBC0000}"/>
    <cellStyle name="Percent 3 28 8" xfId="33539" xr:uid="{00000000-0005-0000-0000-00005EBC0000}"/>
    <cellStyle name="Percent 3 29" xfId="2411" xr:uid="{00000000-0005-0000-0000-00005FBC0000}"/>
    <cellStyle name="Percent 3 29 2" xfId="2722" xr:uid="{00000000-0005-0000-0000-000060BC0000}"/>
    <cellStyle name="Percent 3 29 2 2" xfId="3730" xr:uid="{00000000-0005-0000-0000-000061BC0000}"/>
    <cellStyle name="Percent 3 29 2 2 2" xfId="5669" xr:uid="{00000000-0005-0000-0000-000062BC0000}"/>
    <cellStyle name="Percent 3 29 2 2 2 2" xfId="9540" xr:uid="{00000000-0005-0000-0000-000063BC0000}"/>
    <cellStyle name="Percent 3 29 2 2 2 2 2" xfId="17285" xr:uid="{00000000-0005-0000-0000-000064BC0000}"/>
    <cellStyle name="Percent 3 29 2 2 2 2 2 2" xfId="32877" xr:uid="{00000000-0005-0000-0000-000065BC0000}"/>
    <cellStyle name="Percent 3 29 2 2 2 2 2 3" xfId="48369" xr:uid="{00000000-0005-0000-0000-000066BC0000}"/>
    <cellStyle name="Percent 3 29 2 2 2 2 3" xfId="25137" xr:uid="{00000000-0005-0000-0000-000067BC0000}"/>
    <cellStyle name="Percent 3 29 2 2 2 2 4" xfId="40629" xr:uid="{00000000-0005-0000-0000-000068BC0000}"/>
    <cellStyle name="Percent 3 29 2 2 2 3" xfId="13415" xr:uid="{00000000-0005-0000-0000-000069BC0000}"/>
    <cellStyle name="Percent 3 29 2 2 2 3 2" xfId="29007" xr:uid="{00000000-0005-0000-0000-00006ABC0000}"/>
    <cellStyle name="Percent 3 29 2 2 2 3 3" xfId="44499" xr:uid="{00000000-0005-0000-0000-00006BBC0000}"/>
    <cellStyle name="Percent 3 29 2 2 2 4" xfId="21267" xr:uid="{00000000-0005-0000-0000-00006CBC0000}"/>
    <cellStyle name="Percent 3 29 2 2 2 5" xfId="36759" xr:uid="{00000000-0005-0000-0000-00006DBC0000}"/>
    <cellStyle name="Percent 3 29 2 2 3" xfId="7613" xr:uid="{00000000-0005-0000-0000-00006EBC0000}"/>
    <cellStyle name="Percent 3 29 2 2 3 2" xfId="15358" xr:uid="{00000000-0005-0000-0000-00006FBC0000}"/>
    <cellStyle name="Percent 3 29 2 2 3 2 2" xfId="30950" xr:uid="{00000000-0005-0000-0000-000070BC0000}"/>
    <cellStyle name="Percent 3 29 2 2 3 2 3" xfId="46442" xr:uid="{00000000-0005-0000-0000-000071BC0000}"/>
    <cellStyle name="Percent 3 29 2 2 3 3" xfId="23210" xr:uid="{00000000-0005-0000-0000-000072BC0000}"/>
    <cellStyle name="Percent 3 29 2 2 3 4" xfId="38702" xr:uid="{00000000-0005-0000-0000-000073BC0000}"/>
    <cellStyle name="Percent 3 29 2 2 4" xfId="11488" xr:uid="{00000000-0005-0000-0000-000074BC0000}"/>
    <cellStyle name="Percent 3 29 2 2 4 2" xfId="27080" xr:uid="{00000000-0005-0000-0000-000075BC0000}"/>
    <cellStyle name="Percent 3 29 2 2 4 3" xfId="42572" xr:uid="{00000000-0005-0000-0000-000076BC0000}"/>
    <cellStyle name="Percent 3 29 2 2 5" xfId="19340" xr:uid="{00000000-0005-0000-0000-000077BC0000}"/>
    <cellStyle name="Percent 3 29 2 2 6" xfId="34832" xr:uid="{00000000-0005-0000-0000-000078BC0000}"/>
    <cellStyle name="Percent 3 29 2 3" xfId="4721" xr:uid="{00000000-0005-0000-0000-000079BC0000}"/>
    <cellStyle name="Percent 3 29 2 3 2" xfId="8592" xr:uid="{00000000-0005-0000-0000-00007ABC0000}"/>
    <cellStyle name="Percent 3 29 2 3 2 2" xfId="16337" xr:uid="{00000000-0005-0000-0000-00007BBC0000}"/>
    <cellStyle name="Percent 3 29 2 3 2 2 2" xfId="31929" xr:uid="{00000000-0005-0000-0000-00007CBC0000}"/>
    <cellStyle name="Percent 3 29 2 3 2 2 3" xfId="47421" xr:uid="{00000000-0005-0000-0000-00007DBC0000}"/>
    <cellStyle name="Percent 3 29 2 3 2 3" xfId="24189" xr:uid="{00000000-0005-0000-0000-00007EBC0000}"/>
    <cellStyle name="Percent 3 29 2 3 2 4" xfId="39681" xr:uid="{00000000-0005-0000-0000-00007FBC0000}"/>
    <cellStyle name="Percent 3 29 2 3 3" xfId="12467" xr:uid="{00000000-0005-0000-0000-000080BC0000}"/>
    <cellStyle name="Percent 3 29 2 3 3 2" xfId="28059" xr:uid="{00000000-0005-0000-0000-000081BC0000}"/>
    <cellStyle name="Percent 3 29 2 3 3 3" xfId="43551" xr:uid="{00000000-0005-0000-0000-000082BC0000}"/>
    <cellStyle name="Percent 3 29 2 3 4" xfId="20319" xr:uid="{00000000-0005-0000-0000-000083BC0000}"/>
    <cellStyle name="Percent 3 29 2 3 5" xfId="35811" xr:uid="{00000000-0005-0000-0000-000084BC0000}"/>
    <cellStyle name="Percent 3 29 2 4" xfId="6665" xr:uid="{00000000-0005-0000-0000-000085BC0000}"/>
    <cellStyle name="Percent 3 29 2 4 2" xfId="14410" xr:uid="{00000000-0005-0000-0000-000086BC0000}"/>
    <cellStyle name="Percent 3 29 2 4 2 2" xfId="30002" xr:uid="{00000000-0005-0000-0000-000087BC0000}"/>
    <cellStyle name="Percent 3 29 2 4 2 3" xfId="45494" xr:uid="{00000000-0005-0000-0000-000088BC0000}"/>
    <cellStyle name="Percent 3 29 2 4 3" xfId="22262" xr:uid="{00000000-0005-0000-0000-000089BC0000}"/>
    <cellStyle name="Percent 3 29 2 4 4" xfId="37754" xr:uid="{00000000-0005-0000-0000-00008ABC0000}"/>
    <cellStyle name="Percent 3 29 2 5" xfId="10540" xr:uid="{00000000-0005-0000-0000-00008BBC0000}"/>
    <cellStyle name="Percent 3 29 2 5 2" xfId="26132" xr:uid="{00000000-0005-0000-0000-00008CBC0000}"/>
    <cellStyle name="Percent 3 29 2 5 3" xfId="41624" xr:uid="{00000000-0005-0000-0000-00008DBC0000}"/>
    <cellStyle name="Percent 3 29 2 6" xfId="18392" xr:uid="{00000000-0005-0000-0000-00008EBC0000}"/>
    <cellStyle name="Percent 3 29 2 7" xfId="33884" xr:uid="{00000000-0005-0000-0000-00008FBC0000}"/>
    <cellStyle name="Percent 3 29 3" xfId="3421" xr:uid="{00000000-0005-0000-0000-000090BC0000}"/>
    <cellStyle name="Percent 3 29 3 2" xfId="5360" xr:uid="{00000000-0005-0000-0000-000091BC0000}"/>
    <cellStyle name="Percent 3 29 3 2 2" xfId="9231" xr:uid="{00000000-0005-0000-0000-000092BC0000}"/>
    <cellStyle name="Percent 3 29 3 2 2 2" xfId="16976" xr:uid="{00000000-0005-0000-0000-000093BC0000}"/>
    <cellStyle name="Percent 3 29 3 2 2 2 2" xfId="32568" xr:uid="{00000000-0005-0000-0000-000094BC0000}"/>
    <cellStyle name="Percent 3 29 3 2 2 2 3" xfId="48060" xr:uid="{00000000-0005-0000-0000-000095BC0000}"/>
    <cellStyle name="Percent 3 29 3 2 2 3" xfId="24828" xr:uid="{00000000-0005-0000-0000-000096BC0000}"/>
    <cellStyle name="Percent 3 29 3 2 2 4" xfId="40320" xr:uid="{00000000-0005-0000-0000-000097BC0000}"/>
    <cellStyle name="Percent 3 29 3 2 3" xfId="13106" xr:uid="{00000000-0005-0000-0000-000098BC0000}"/>
    <cellStyle name="Percent 3 29 3 2 3 2" xfId="28698" xr:uid="{00000000-0005-0000-0000-000099BC0000}"/>
    <cellStyle name="Percent 3 29 3 2 3 3" xfId="44190" xr:uid="{00000000-0005-0000-0000-00009ABC0000}"/>
    <cellStyle name="Percent 3 29 3 2 4" xfId="20958" xr:uid="{00000000-0005-0000-0000-00009BBC0000}"/>
    <cellStyle name="Percent 3 29 3 2 5" xfId="36450" xr:uid="{00000000-0005-0000-0000-00009CBC0000}"/>
    <cellStyle name="Percent 3 29 3 3" xfId="7304" xr:uid="{00000000-0005-0000-0000-00009DBC0000}"/>
    <cellStyle name="Percent 3 29 3 3 2" xfId="15049" xr:uid="{00000000-0005-0000-0000-00009EBC0000}"/>
    <cellStyle name="Percent 3 29 3 3 2 2" xfId="30641" xr:uid="{00000000-0005-0000-0000-00009FBC0000}"/>
    <cellStyle name="Percent 3 29 3 3 2 3" xfId="46133" xr:uid="{00000000-0005-0000-0000-0000A0BC0000}"/>
    <cellStyle name="Percent 3 29 3 3 3" xfId="22901" xr:uid="{00000000-0005-0000-0000-0000A1BC0000}"/>
    <cellStyle name="Percent 3 29 3 3 4" xfId="38393" xr:uid="{00000000-0005-0000-0000-0000A2BC0000}"/>
    <cellStyle name="Percent 3 29 3 4" xfId="11179" xr:uid="{00000000-0005-0000-0000-0000A3BC0000}"/>
    <cellStyle name="Percent 3 29 3 4 2" xfId="26771" xr:uid="{00000000-0005-0000-0000-0000A4BC0000}"/>
    <cellStyle name="Percent 3 29 3 4 3" xfId="42263" xr:uid="{00000000-0005-0000-0000-0000A5BC0000}"/>
    <cellStyle name="Percent 3 29 3 5" xfId="19031" xr:uid="{00000000-0005-0000-0000-0000A6BC0000}"/>
    <cellStyle name="Percent 3 29 3 6" xfId="34523" xr:uid="{00000000-0005-0000-0000-0000A7BC0000}"/>
    <cellStyle name="Percent 3 29 4" xfId="4412" xr:uid="{00000000-0005-0000-0000-0000A8BC0000}"/>
    <cellStyle name="Percent 3 29 4 2" xfId="8283" xr:uid="{00000000-0005-0000-0000-0000A9BC0000}"/>
    <cellStyle name="Percent 3 29 4 2 2" xfId="16028" xr:uid="{00000000-0005-0000-0000-0000AABC0000}"/>
    <cellStyle name="Percent 3 29 4 2 2 2" xfId="31620" xr:uid="{00000000-0005-0000-0000-0000ABBC0000}"/>
    <cellStyle name="Percent 3 29 4 2 2 3" xfId="47112" xr:uid="{00000000-0005-0000-0000-0000ACBC0000}"/>
    <cellStyle name="Percent 3 29 4 2 3" xfId="23880" xr:uid="{00000000-0005-0000-0000-0000ADBC0000}"/>
    <cellStyle name="Percent 3 29 4 2 4" xfId="39372" xr:uid="{00000000-0005-0000-0000-0000AEBC0000}"/>
    <cellStyle name="Percent 3 29 4 3" xfId="12158" xr:uid="{00000000-0005-0000-0000-0000AFBC0000}"/>
    <cellStyle name="Percent 3 29 4 3 2" xfId="27750" xr:uid="{00000000-0005-0000-0000-0000B0BC0000}"/>
    <cellStyle name="Percent 3 29 4 3 3" xfId="43242" xr:uid="{00000000-0005-0000-0000-0000B1BC0000}"/>
    <cellStyle name="Percent 3 29 4 4" xfId="20010" xr:uid="{00000000-0005-0000-0000-0000B2BC0000}"/>
    <cellStyle name="Percent 3 29 4 5" xfId="35502" xr:uid="{00000000-0005-0000-0000-0000B3BC0000}"/>
    <cellStyle name="Percent 3 29 5" xfId="6356" xr:uid="{00000000-0005-0000-0000-0000B4BC0000}"/>
    <cellStyle name="Percent 3 29 5 2" xfId="14101" xr:uid="{00000000-0005-0000-0000-0000B5BC0000}"/>
    <cellStyle name="Percent 3 29 5 2 2" xfId="29693" xr:uid="{00000000-0005-0000-0000-0000B6BC0000}"/>
    <cellStyle name="Percent 3 29 5 2 3" xfId="45185" xr:uid="{00000000-0005-0000-0000-0000B7BC0000}"/>
    <cellStyle name="Percent 3 29 5 3" xfId="21953" xr:uid="{00000000-0005-0000-0000-0000B8BC0000}"/>
    <cellStyle name="Percent 3 29 5 4" xfId="37445" xr:uid="{00000000-0005-0000-0000-0000B9BC0000}"/>
    <cellStyle name="Percent 3 29 6" xfId="10231" xr:uid="{00000000-0005-0000-0000-0000BABC0000}"/>
    <cellStyle name="Percent 3 29 6 2" xfId="25823" xr:uid="{00000000-0005-0000-0000-0000BBBC0000}"/>
    <cellStyle name="Percent 3 29 6 3" xfId="41315" xr:uid="{00000000-0005-0000-0000-0000BCBC0000}"/>
    <cellStyle name="Percent 3 29 7" xfId="18083" xr:uid="{00000000-0005-0000-0000-0000BDBC0000}"/>
    <cellStyle name="Percent 3 29 8" xfId="33575" xr:uid="{00000000-0005-0000-0000-0000BEBC0000}"/>
    <cellStyle name="Percent 3 3" xfId="2147" xr:uid="{00000000-0005-0000-0000-0000BFBC0000}"/>
    <cellStyle name="Percent 3 30" xfId="2448" xr:uid="{00000000-0005-0000-0000-0000C0BC0000}"/>
    <cellStyle name="Percent 3 30 2" xfId="2758" xr:uid="{00000000-0005-0000-0000-0000C1BC0000}"/>
    <cellStyle name="Percent 3 30 2 2" xfId="3766" xr:uid="{00000000-0005-0000-0000-0000C2BC0000}"/>
    <cellStyle name="Percent 3 30 2 2 2" xfId="5705" xr:uid="{00000000-0005-0000-0000-0000C3BC0000}"/>
    <cellStyle name="Percent 3 30 2 2 2 2" xfId="9576" xr:uid="{00000000-0005-0000-0000-0000C4BC0000}"/>
    <cellStyle name="Percent 3 30 2 2 2 2 2" xfId="17321" xr:uid="{00000000-0005-0000-0000-0000C5BC0000}"/>
    <cellStyle name="Percent 3 30 2 2 2 2 2 2" xfId="32913" xr:uid="{00000000-0005-0000-0000-0000C6BC0000}"/>
    <cellStyle name="Percent 3 30 2 2 2 2 2 3" xfId="48405" xr:uid="{00000000-0005-0000-0000-0000C7BC0000}"/>
    <cellStyle name="Percent 3 30 2 2 2 2 3" xfId="25173" xr:uid="{00000000-0005-0000-0000-0000C8BC0000}"/>
    <cellStyle name="Percent 3 30 2 2 2 2 4" xfId="40665" xr:uid="{00000000-0005-0000-0000-0000C9BC0000}"/>
    <cellStyle name="Percent 3 30 2 2 2 3" xfId="13451" xr:uid="{00000000-0005-0000-0000-0000CABC0000}"/>
    <cellStyle name="Percent 3 30 2 2 2 3 2" xfId="29043" xr:uid="{00000000-0005-0000-0000-0000CBBC0000}"/>
    <cellStyle name="Percent 3 30 2 2 2 3 3" xfId="44535" xr:uid="{00000000-0005-0000-0000-0000CCBC0000}"/>
    <cellStyle name="Percent 3 30 2 2 2 4" xfId="21303" xr:uid="{00000000-0005-0000-0000-0000CDBC0000}"/>
    <cellStyle name="Percent 3 30 2 2 2 5" xfId="36795" xr:uid="{00000000-0005-0000-0000-0000CEBC0000}"/>
    <cellStyle name="Percent 3 30 2 2 3" xfId="7649" xr:uid="{00000000-0005-0000-0000-0000CFBC0000}"/>
    <cellStyle name="Percent 3 30 2 2 3 2" xfId="15394" xr:uid="{00000000-0005-0000-0000-0000D0BC0000}"/>
    <cellStyle name="Percent 3 30 2 2 3 2 2" xfId="30986" xr:uid="{00000000-0005-0000-0000-0000D1BC0000}"/>
    <cellStyle name="Percent 3 30 2 2 3 2 3" xfId="46478" xr:uid="{00000000-0005-0000-0000-0000D2BC0000}"/>
    <cellStyle name="Percent 3 30 2 2 3 3" xfId="23246" xr:uid="{00000000-0005-0000-0000-0000D3BC0000}"/>
    <cellStyle name="Percent 3 30 2 2 3 4" xfId="38738" xr:uid="{00000000-0005-0000-0000-0000D4BC0000}"/>
    <cellStyle name="Percent 3 30 2 2 4" xfId="11524" xr:uid="{00000000-0005-0000-0000-0000D5BC0000}"/>
    <cellStyle name="Percent 3 30 2 2 4 2" xfId="27116" xr:uid="{00000000-0005-0000-0000-0000D6BC0000}"/>
    <cellStyle name="Percent 3 30 2 2 4 3" xfId="42608" xr:uid="{00000000-0005-0000-0000-0000D7BC0000}"/>
    <cellStyle name="Percent 3 30 2 2 5" xfId="19376" xr:uid="{00000000-0005-0000-0000-0000D8BC0000}"/>
    <cellStyle name="Percent 3 30 2 2 6" xfId="34868" xr:uid="{00000000-0005-0000-0000-0000D9BC0000}"/>
    <cellStyle name="Percent 3 30 2 3" xfId="4757" xr:uid="{00000000-0005-0000-0000-0000DABC0000}"/>
    <cellStyle name="Percent 3 30 2 3 2" xfId="8628" xr:uid="{00000000-0005-0000-0000-0000DBBC0000}"/>
    <cellStyle name="Percent 3 30 2 3 2 2" xfId="16373" xr:uid="{00000000-0005-0000-0000-0000DCBC0000}"/>
    <cellStyle name="Percent 3 30 2 3 2 2 2" xfId="31965" xr:uid="{00000000-0005-0000-0000-0000DDBC0000}"/>
    <cellStyle name="Percent 3 30 2 3 2 2 3" xfId="47457" xr:uid="{00000000-0005-0000-0000-0000DEBC0000}"/>
    <cellStyle name="Percent 3 30 2 3 2 3" xfId="24225" xr:uid="{00000000-0005-0000-0000-0000DFBC0000}"/>
    <cellStyle name="Percent 3 30 2 3 2 4" xfId="39717" xr:uid="{00000000-0005-0000-0000-0000E0BC0000}"/>
    <cellStyle name="Percent 3 30 2 3 3" xfId="12503" xr:uid="{00000000-0005-0000-0000-0000E1BC0000}"/>
    <cellStyle name="Percent 3 30 2 3 3 2" xfId="28095" xr:uid="{00000000-0005-0000-0000-0000E2BC0000}"/>
    <cellStyle name="Percent 3 30 2 3 3 3" xfId="43587" xr:uid="{00000000-0005-0000-0000-0000E3BC0000}"/>
    <cellStyle name="Percent 3 30 2 3 4" xfId="20355" xr:uid="{00000000-0005-0000-0000-0000E4BC0000}"/>
    <cellStyle name="Percent 3 30 2 3 5" xfId="35847" xr:uid="{00000000-0005-0000-0000-0000E5BC0000}"/>
    <cellStyle name="Percent 3 30 2 4" xfId="6701" xr:uid="{00000000-0005-0000-0000-0000E6BC0000}"/>
    <cellStyle name="Percent 3 30 2 4 2" xfId="14446" xr:uid="{00000000-0005-0000-0000-0000E7BC0000}"/>
    <cellStyle name="Percent 3 30 2 4 2 2" xfId="30038" xr:uid="{00000000-0005-0000-0000-0000E8BC0000}"/>
    <cellStyle name="Percent 3 30 2 4 2 3" xfId="45530" xr:uid="{00000000-0005-0000-0000-0000E9BC0000}"/>
    <cellStyle name="Percent 3 30 2 4 3" xfId="22298" xr:uid="{00000000-0005-0000-0000-0000EABC0000}"/>
    <cellStyle name="Percent 3 30 2 4 4" xfId="37790" xr:uid="{00000000-0005-0000-0000-0000EBBC0000}"/>
    <cellStyle name="Percent 3 30 2 5" xfId="10576" xr:uid="{00000000-0005-0000-0000-0000ECBC0000}"/>
    <cellStyle name="Percent 3 30 2 5 2" xfId="26168" xr:uid="{00000000-0005-0000-0000-0000EDBC0000}"/>
    <cellStyle name="Percent 3 30 2 5 3" xfId="41660" xr:uid="{00000000-0005-0000-0000-0000EEBC0000}"/>
    <cellStyle name="Percent 3 30 2 6" xfId="18428" xr:uid="{00000000-0005-0000-0000-0000EFBC0000}"/>
    <cellStyle name="Percent 3 30 2 7" xfId="33920" xr:uid="{00000000-0005-0000-0000-0000F0BC0000}"/>
    <cellStyle name="Percent 3 30 3" xfId="3457" xr:uid="{00000000-0005-0000-0000-0000F1BC0000}"/>
    <cellStyle name="Percent 3 30 3 2" xfId="5396" xr:uid="{00000000-0005-0000-0000-0000F2BC0000}"/>
    <cellStyle name="Percent 3 30 3 2 2" xfId="9267" xr:uid="{00000000-0005-0000-0000-0000F3BC0000}"/>
    <cellStyle name="Percent 3 30 3 2 2 2" xfId="17012" xr:uid="{00000000-0005-0000-0000-0000F4BC0000}"/>
    <cellStyle name="Percent 3 30 3 2 2 2 2" xfId="32604" xr:uid="{00000000-0005-0000-0000-0000F5BC0000}"/>
    <cellStyle name="Percent 3 30 3 2 2 2 3" xfId="48096" xr:uid="{00000000-0005-0000-0000-0000F6BC0000}"/>
    <cellStyle name="Percent 3 30 3 2 2 3" xfId="24864" xr:uid="{00000000-0005-0000-0000-0000F7BC0000}"/>
    <cellStyle name="Percent 3 30 3 2 2 4" xfId="40356" xr:uid="{00000000-0005-0000-0000-0000F8BC0000}"/>
    <cellStyle name="Percent 3 30 3 2 3" xfId="13142" xr:uid="{00000000-0005-0000-0000-0000F9BC0000}"/>
    <cellStyle name="Percent 3 30 3 2 3 2" xfId="28734" xr:uid="{00000000-0005-0000-0000-0000FABC0000}"/>
    <cellStyle name="Percent 3 30 3 2 3 3" xfId="44226" xr:uid="{00000000-0005-0000-0000-0000FBBC0000}"/>
    <cellStyle name="Percent 3 30 3 2 4" xfId="20994" xr:uid="{00000000-0005-0000-0000-0000FCBC0000}"/>
    <cellStyle name="Percent 3 30 3 2 5" xfId="36486" xr:uid="{00000000-0005-0000-0000-0000FDBC0000}"/>
    <cellStyle name="Percent 3 30 3 3" xfId="7340" xr:uid="{00000000-0005-0000-0000-0000FEBC0000}"/>
    <cellStyle name="Percent 3 30 3 3 2" xfId="15085" xr:uid="{00000000-0005-0000-0000-0000FFBC0000}"/>
    <cellStyle name="Percent 3 30 3 3 2 2" xfId="30677" xr:uid="{00000000-0005-0000-0000-000000BD0000}"/>
    <cellStyle name="Percent 3 30 3 3 2 3" xfId="46169" xr:uid="{00000000-0005-0000-0000-000001BD0000}"/>
    <cellStyle name="Percent 3 30 3 3 3" xfId="22937" xr:uid="{00000000-0005-0000-0000-000002BD0000}"/>
    <cellStyle name="Percent 3 30 3 3 4" xfId="38429" xr:uid="{00000000-0005-0000-0000-000003BD0000}"/>
    <cellStyle name="Percent 3 30 3 4" xfId="11215" xr:uid="{00000000-0005-0000-0000-000004BD0000}"/>
    <cellStyle name="Percent 3 30 3 4 2" xfId="26807" xr:uid="{00000000-0005-0000-0000-000005BD0000}"/>
    <cellStyle name="Percent 3 30 3 4 3" xfId="42299" xr:uid="{00000000-0005-0000-0000-000006BD0000}"/>
    <cellStyle name="Percent 3 30 3 5" xfId="19067" xr:uid="{00000000-0005-0000-0000-000007BD0000}"/>
    <cellStyle name="Percent 3 30 3 6" xfId="34559" xr:uid="{00000000-0005-0000-0000-000008BD0000}"/>
    <cellStyle name="Percent 3 30 4" xfId="4448" xr:uid="{00000000-0005-0000-0000-000009BD0000}"/>
    <cellStyle name="Percent 3 30 4 2" xfId="8319" xr:uid="{00000000-0005-0000-0000-00000ABD0000}"/>
    <cellStyle name="Percent 3 30 4 2 2" xfId="16064" xr:uid="{00000000-0005-0000-0000-00000BBD0000}"/>
    <cellStyle name="Percent 3 30 4 2 2 2" xfId="31656" xr:uid="{00000000-0005-0000-0000-00000CBD0000}"/>
    <cellStyle name="Percent 3 30 4 2 2 3" xfId="47148" xr:uid="{00000000-0005-0000-0000-00000DBD0000}"/>
    <cellStyle name="Percent 3 30 4 2 3" xfId="23916" xr:uid="{00000000-0005-0000-0000-00000EBD0000}"/>
    <cellStyle name="Percent 3 30 4 2 4" xfId="39408" xr:uid="{00000000-0005-0000-0000-00000FBD0000}"/>
    <cellStyle name="Percent 3 30 4 3" xfId="12194" xr:uid="{00000000-0005-0000-0000-000010BD0000}"/>
    <cellStyle name="Percent 3 30 4 3 2" xfId="27786" xr:uid="{00000000-0005-0000-0000-000011BD0000}"/>
    <cellStyle name="Percent 3 30 4 3 3" xfId="43278" xr:uid="{00000000-0005-0000-0000-000012BD0000}"/>
    <cellStyle name="Percent 3 30 4 4" xfId="20046" xr:uid="{00000000-0005-0000-0000-000013BD0000}"/>
    <cellStyle name="Percent 3 30 4 5" xfId="35538" xr:uid="{00000000-0005-0000-0000-000014BD0000}"/>
    <cellStyle name="Percent 3 30 5" xfId="6392" xr:uid="{00000000-0005-0000-0000-000015BD0000}"/>
    <cellStyle name="Percent 3 30 5 2" xfId="14137" xr:uid="{00000000-0005-0000-0000-000016BD0000}"/>
    <cellStyle name="Percent 3 30 5 2 2" xfId="29729" xr:uid="{00000000-0005-0000-0000-000017BD0000}"/>
    <cellStyle name="Percent 3 30 5 2 3" xfId="45221" xr:uid="{00000000-0005-0000-0000-000018BD0000}"/>
    <cellStyle name="Percent 3 30 5 3" xfId="21989" xr:uid="{00000000-0005-0000-0000-000019BD0000}"/>
    <cellStyle name="Percent 3 30 5 4" xfId="37481" xr:uid="{00000000-0005-0000-0000-00001ABD0000}"/>
    <cellStyle name="Percent 3 30 6" xfId="10267" xr:uid="{00000000-0005-0000-0000-00001BBD0000}"/>
    <cellStyle name="Percent 3 30 6 2" xfId="25859" xr:uid="{00000000-0005-0000-0000-00001CBD0000}"/>
    <cellStyle name="Percent 3 30 6 3" xfId="41351" xr:uid="{00000000-0005-0000-0000-00001DBD0000}"/>
    <cellStyle name="Percent 3 30 7" xfId="18119" xr:uid="{00000000-0005-0000-0000-00001EBD0000}"/>
    <cellStyle name="Percent 3 30 8" xfId="33611" xr:uid="{00000000-0005-0000-0000-00001FBD0000}"/>
    <cellStyle name="Percent 3 31" xfId="2485" xr:uid="{00000000-0005-0000-0000-000020BD0000}"/>
    <cellStyle name="Percent 3 31 2" xfId="2794" xr:uid="{00000000-0005-0000-0000-000021BD0000}"/>
    <cellStyle name="Percent 3 31 2 2" xfId="3802" xr:uid="{00000000-0005-0000-0000-000022BD0000}"/>
    <cellStyle name="Percent 3 31 2 2 2" xfId="5741" xr:uid="{00000000-0005-0000-0000-000023BD0000}"/>
    <cellStyle name="Percent 3 31 2 2 2 2" xfId="9612" xr:uid="{00000000-0005-0000-0000-000024BD0000}"/>
    <cellStyle name="Percent 3 31 2 2 2 2 2" xfId="17357" xr:uid="{00000000-0005-0000-0000-000025BD0000}"/>
    <cellStyle name="Percent 3 31 2 2 2 2 2 2" xfId="32949" xr:uid="{00000000-0005-0000-0000-000026BD0000}"/>
    <cellStyle name="Percent 3 31 2 2 2 2 2 3" xfId="48441" xr:uid="{00000000-0005-0000-0000-000027BD0000}"/>
    <cellStyle name="Percent 3 31 2 2 2 2 3" xfId="25209" xr:uid="{00000000-0005-0000-0000-000028BD0000}"/>
    <cellStyle name="Percent 3 31 2 2 2 2 4" xfId="40701" xr:uid="{00000000-0005-0000-0000-000029BD0000}"/>
    <cellStyle name="Percent 3 31 2 2 2 3" xfId="13487" xr:uid="{00000000-0005-0000-0000-00002ABD0000}"/>
    <cellStyle name="Percent 3 31 2 2 2 3 2" xfId="29079" xr:uid="{00000000-0005-0000-0000-00002BBD0000}"/>
    <cellStyle name="Percent 3 31 2 2 2 3 3" xfId="44571" xr:uid="{00000000-0005-0000-0000-00002CBD0000}"/>
    <cellStyle name="Percent 3 31 2 2 2 4" xfId="21339" xr:uid="{00000000-0005-0000-0000-00002DBD0000}"/>
    <cellStyle name="Percent 3 31 2 2 2 5" xfId="36831" xr:uid="{00000000-0005-0000-0000-00002EBD0000}"/>
    <cellStyle name="Percent 3 31 2 2 3" xfId="7685" xr:uid="{00000000-0005-0000-0000-00002FBD0000}"/>
    <cellStyle name="Percent 3 31 2 2 3 2" xfId="15430" xr:uid="{00000000-0005-0000-0000-000030BD0000}"/>
    <cellStyle name="Percent 3 31 2 2 3 2 2" xfId="31022" xr:uid="{00000000-0005-0000-0000-000031BD0000}"/>
    <cellStyle name="Percent 3 31 2 2 3 2 3" xfId="46514" xr:uid="{00000000-0005-0000-0000-000032BD0000}"/>
    <cellStyle name="Percent 3 31 2 2 3 3" xfId="23282" xr:uid="{00000000-0005-0000-0000-000033BD0000}"/>
    <cellStyle name="Percent 3 31 2 2 3 4" xfId="38774" xr:uid="{00000000-0005-0000-0000-000034BD0000}"/>
    <cellStyle name="Percent 3 31 2 2 4" xfId="11560" xr:uid="{00000000-0005-0000-0000-000035BD0000}"/>
    <cellStyle name="Percent 3 31 2 2 4 2" xfId="27152" xr:uid="{00000000-0005-0000-0000-000036BD0000}"/>
    <cellStyle name="Percent 3 31 2 2 4 3" xfId="42644" xr:uid="{00000000-0005-0000-0000-000037BD0000}"/>
    <cellStyle name="Percent 3 31 2 2 5" xfId="19412" xr:uid="{00000000-0005-0000-0000-000038BD0000}"/>
    <cellStyle name="Percent 3 31 2 2 6" xfId="34904" xr:uid="{00000000-0005-0000-0000-000039BD0000}"/>
    <cellStyle name="Percent 3 31 2 3" xfId="4793" xr:uid="{00000000-0005-0000-0000-00003ABD0000}"/>
    <cellStyle name="Percent 3 31 2 3 2" xfId="8664" xr:uid="{00000000-0005-0000-0000-00003BBD0000}"/>
    <cellStyle name="Percent 3 31 2 3 2 2" xfId="16409" xr:uid="{00000000-0005-0000-0000-00003CBD0000}"/>
    <cellStyle name="Percent 3 31 2 3 2 2 2" xfId="32001" xr:uid="{00000000-0005-0000-0000-00003DBD0000}"/>
    <cellStyle name="Percent 3 31 2 3 2 2 3" xfId="47493" xr:uid="{00000000-0005-0000-0000-00003EBD0000}"/>
    <cellStyle name="Percent 3 31 2 3 2 3" xfId="24261" xr:uid="{00000000-0005-0000-0000-00003FBD0000}"/>
    <cellStyle name="Percent 3 31 2 3 2 4" xfId="39753" xr:uid="{00000000-0005-0000-0000-000040BD0000}"/>
    <cellStyle name="Percent 3 31 2 3 3" xfId="12539" xr:uid="{00000000-0005-0000-0000-000041BD0000}"/>
    <cellStyle name="Percent 3 31 2 3 3 2" xfId="28131" xr:uid="{00000000-0005-0000-0000-000042BD0000}"/>
    <cellStyle name="Percent 3 31 2 3 3 3" xfId="43623" xr:uid="{00000000-0005-0000-0000-000043BD0000}"/>
    <cellStyle name="Percent 3 31 2 3 4" xfId="20391" xr:uid="{00000000-0005-0000-0000-000044BD0000}"/>
    <cellStyle name="Percent 3 31 2 3 5" xfId="35883" xr:uid="{00000000-0005-0000-0000-000045BD0000}"/>
    <cellStyle name="Percent 3 31 2 4" xfId="6737" xr:uid="{00000000-0005-0000-0000-000046BD0000}"/>
    <cellStyle name="Percent 3 31 2 4 2" xfId="14482" xr:uid="{00000000-0005-0000-0000-000047BD0000}"/>
    <cellStyle name="Percent 3 31 2 4 2 2" xfId="30074" xr:uid="{00000000-0005-0000-0000-000048BD0000}"/>
    <cellStyle name="Percent 3 31 2 4 2 3" xfId="45566" xr:uid="{00000000-0005-0000-0000-000049BD0000}"/>
    <cellStyle name="Percent 3 31 2 4 3" xfId="22334" xr:uid="{00000000-0005-0000-0000-00004ABD0000}"/>
    <cellStyle name="Percent 3 31 2 4 4" xfId="37826" xr:uid="{00000000-0005-0000-0000-00004BBD0000}"/>
    <cellStyle name="Percent 3 31 2 5" xfId="10612" xr:uid="{00000000-0005-0000-0000-00004CBD0000}"/>
    <cellStyle name="Percent 3 31 2 5 2" xfId="26204" xr:uid="{00000000-0005-0000-0000-00004DBD0000}"/>
    <cellStyle name="Percent 3 31 2 5 3" xfId="41696" xr:uid="{00000000-0005-0000-0000-00004EBD0000}"/>
    <cellStyle name="Percent 3 31 2 6" xfId="18464" xr:uid="{00000000-0005-0000-0000-00004FBD0000}"/>
    <cellStyle name="Percent 3 31 2 7" xfId="33956" xr:uid="{00000000-0005-0000-0000-000050BD0000}"/>
    <cellStyle name="Percent 3 31 3" xfId="3493" xr:uid="{00000000-0005-0000-0000-000051BD0000}"/>
    <cellStyle name="Percent 3 31 3 2" xfId="5432" xr:uid="{00000000-0005-0000-0000-000052BD0000}"/>
    <cellStyle name="Percent 3 31 3 2 2" xfId="9303" xr:uid="{00000000-0005-0000-0000-000053BD0000}"/>
    <cellStyle name="Percent 3 31 3 2 2 2" xfId="17048" xr:uid="{00000000-0005-0000-0000-000054BD0000}"/>
    <cellStyle name="Percent 3 31 3 2 2 2 2" xfId="32640" xr:uid="{00000000-0005-0000-0000-000055BD0000}"/>
    <cellStyle name="Percent 3 31 3 2 2 2 3" xfId="48132" xr:uid="{00000000-0005-0000-0000-000056BD0000}"/>
    <cellStyle name="Percent 3 31 3 2 2 3" xfId="24900" xr:uid="{00000000-0005-0000-0000-000057BD0000}"/>
    <cellStyle name="Percent 3 31 3 2 2 4" xfId="40392" xr:uid="{00000000-0005-0000-0000-000058BD0000}"/>
    <cellStyle name="Percent 3 31 3 2 3" xfId="13178" xr:uid="{00000000-0005-0000-0000-000059BD0000}"/>
    <cellStyle name="Percent 3 31 3 2 3 2" xfId="28770" xr:uid="{00000000-0005-0000-0000-00005ABD0000}"/>
    <cellStyle name="Percent 3 31 3 2 3 3" xfId="44262" xr:uid="{00000000-0005-0000-0000-00005BBD0000}"/>
    <cellStyle name="Percent 3 31 3 2 4" xfId="21030" xr:uid="{00000000-0005-0000-0000-00005CBD0000}"/>
    <cellStyle name="Percent 3 31 3 2 5" xfId="36522" xr:uid="{00000000-0005-0000-0000-00005DBD0000}"/>
    <cellStyle name="Percent 3 31 3 3" xfId="7376" xr:uid="{00000000-0005-0000-0000-00005EBD0000}"/>
    <cellStyle name="Percent 3 31 3 3 2" xfId="15121" xr:uid="{00000000-0005-0000-0000-00005FBD0000}"/>
    <cellStyle name="Percent 3 31 3 3 2 2" xfId="30713" xr:uid="{00000000-0005-0000-0000-000060BD0000}"/>
    <cellStyle name="Percent 3 31 3 3 2 3" xfId="46205" xr:uid="{00000000-0005-0000-0000-000061BD0000}"/>
    <cellStyle name="Percent 3 31 3 3 3" xfId="22973" xr:uid="{00000000-0005-0000-0000-000062BD0000}"/>
    <cellStyle name="Percent 3 31 3 3 4" xfId="38465" xr:uid="{00000000-0005-0000-0000-000063BD0000}"/>
    <cellStyle name="Percent 3 31 3 4" xfId="11251" xr:uid="{00000000-0005-0000-0000-000064BD0000}"/>
    <cellStyle name="Percent 3 31 3 4 2" xfId="26843" xr:uid="{00000000-0005-0000-0000-000065BD0000}"/>
    <cellStyle name="Percent 3 31 3 4 3" xfId="42335" xr:uid="{00000000-0005-0000-0000-000066BD0000}"/>
    <cellStyle name="Percent 3 31 3 5" xfId="19103" xr:uid="{00000000-0005-0000-0000-000067BD0000}"/>
    <cellStyle name="Percent 3 31 3 6" xfId="34595" xr:uid="{00000000-0005-0000-0000-000068BD0000}"/>
    <cellStyle name="Percent 3 31 4" xfId="4484" xr:uid="{00000000-0005-0000-0000-000069BD0000}"/>
    <cellStyle name="Percent 3 31 4 2" xfId="8355" xr:uid="{00000000-0005-0000-0000-00006ABD0000}"/>
    <cellStyle name="Percent 3 31 4 2 2" xfId="16100" xr:uid="{00000000-0005-0000-0000-00006BBD0000}"/>
    <cellStyle name="Percent 3 31 4 2 2 2" xfId="31692" xr:uid="{00000000-0005-0000-0000-00006CBD0000}"/>
    <cellStyle name="Percent 3 31 4 2 2 3" xfId="47184" xr:uid="{00000000-0005-0000-0000-00006DBD0000}"/>
    <cellStyle name="Percent 3 31 4 2 3" xfId="23952" xr:uid="{00000000-0005-0000-0000-00006EBD0000}"/>
    <cellStyle name="Percent 3 31 4 2 4" xfId="39444" xr:uid="{00000000-0005-0000-0000-00006FBD0000}"/>
    <cellStyle name="Percent 3 31 4 3" xfId="12230" xr:uid="{00000000-0005-0000-0000-000070BD0000}"/>
    <cellStyle name="Percent 3 31 4 3 2" xfId="27822" xr:uid="{00000000-0005-0000-0000-000071BD0000}"/>
    <cellStyle name="Percent 3 31 4 3 3" xfId="43314" xr:uid="{00000000-0005-0000-0000-000072BD0000}"/>
    <cellStyle name="Percent 3 31 4 4" xfId="20082" xr:uid="{00000000-0005-0000-0000-000073BD0000}"/>
    <cellStyle name="Percent 3 31 4 5" xfId="35574" xr:uid="{00000000-0005-0000-0000-000074BD0000}"/>
    <cellStyle name="Percent 3 31 5" xfId="6428" xr:uid="{00000000-0005-0000-0000-000075BD0000}"/>
    <cellStyle name="Percent 3 31 5 2" xfId="14173" xr:uid="{00000000-0005-0000-0000-000076BD0000}"/>
    <cellStyle name="Percent 3 31 5 2 2" xfId="29765" xr:uid="{00000000-0005-0000-0000-000077BD0000}"/>
    <cellStyle name="Percent 3 31 5 2 3" xfId="45257" xr:uid="{00000000-0005-0000-0000-000078BD0000}"/>
    <cellStyle name="Percent 3 31 5 3" xfId="22025" xr:uid="{00000000-0005-0000-0000-000079BD0000}"/>
    <cellStyle name="Percent 3 31 5 4" xfId="37517" xr:uid="{00000000-0005-0000-0000-00007ABD0000}"/>
    <cellStyle name="Percent 3 31 6" xfId="10303" xr:uid="{00000000-0005-0000-0000-00007BBD0000}"/>
    <cellStyle name="Percent 3 31 6 2" xfId="25895" xr:uid="{00000000-0005-0000-0000-00007CBD0000}"/>
    <cellStyle name="Percent 3 31 6 3" xfId="41387" xr:uid="{00000000-0005-0000-0000-00007DBD0000}"/>
    <cellStyle name="Percent 3 31 7" xfId="18155" xr:uid="{00000000-0005-0000-0000-00007EBD0000}"/>
    <cellStyle name="Percent 3 31 8" xfId="33647" xr:uid="{00000000-0005-0000-0000-00007FBD0000}"/>
    <cellStyle name="Percent 3 32" xfId="2831" xr:uid="{00000000-0005-0000-0000-000080BD0000}"/>
    <cellStyle name="Percent 3 32 2" xfId="3838" xr:uid="{00000000-0005-0000-0000-000081BD0000}"/>
    <cellStyle name="Percent 3 32 2 2" xfId="5777" xr:uid="{00000000-0005-0000-0000-000082BD0000}"/>
    <cellStyle name="Percent 3 32 2 2 2" xfId="9648" xr:uid="{00000000-0005-0000-0000-000083BD0000}"/>
    <cellStyle name="Percent 3 32 2 2 2 2" xfId="17393" xr:uid="{00000000-0005-0000-0000-000084BD0000}"/>
    <cellStyle name="Percent 3 32 2 2 2 2 2" xfId="32985" xr:uid="{00000000-0005-0000-0000-000085BD0000}"/>
    <cellStyle name="Percent 3 32 2 2 2 2 3" xfId="48477" xr:uid="{00000000-0005-0000-0000-000086BD0000}"/>
    <cellStyle name="Percent 3 32 2 2 2 3" xfId="25245" xr:uid="{00000000-0005-0000-0000-000087BD0000}"/>
    <cellStyle name="Percent 3 32 2 2 2 4" xfId="40737" xr:uid="{00000000-0005-0000-0000-000088BD0000}"/>
    <cellStyle name="Percent 3 32 2 2 3" xfId="13523" xr:uid="{00000000-0005-0000-0000-000089BD0000}"/>
    <cellStyle name="Percent 3 32 2 2 3 2" xfId="29115" xr:uid="{00000000-0005-0000-0000-00008ABD0000}"/>
    <cellStyle name="Percent 3 32 2 2 3 3" xfId="44607" xr:uid="{00000000-0005-0000-0000-00008BBD0000}"/>
    <cellStyle name="Percent 3 32 2 2 4" xfId="21375" xr:uid="{00000000-0005-0000-0000-00008CBD0000}"/>
    <cellStyle name="Percent 3 32 2 2 5" xfId="36867" xr:uid="{00000000-0005-0000-0000-00008DBD0000}"/>
    <cellStyle name="Percent 3 32 2 3" xfId="7721" xr:uid="{00000000-0005-0000-0000-00008EBD0000}"/>
    <cellStyle name="Percent 3 32 2 3 2" xfId="15466" xr:uid="{00000000-0005-0000-0000-00008FBD0000}"/>
    <cellStyle name="Percent 3 32 2 3 2 2" xfId="31058" xr:uid="{00000000-0005-0000-0000-000090BD0000}"/>
    <cellStyle name="Percent 3 32 2 3 2 3" xfId="46550" xr:uid="{00000000-0005-0000-0000-000091BD0000}"/>
    <cellStyle name="Percent 3 32 2 3 3" xfId="23318" xr:uid="{00000000-0005-0000-0000-000092BD0000}"/>
    <cellStyle name="Percent 3 32 2 3 4" xfId="38810" xr:uid="{00000000-0005-0000-0000-000093BD0000}"/>
    <cellStyle name="Percent 3 32 2 4" xfId="11596" xr:uid="{00000000-0005-0000-0000-000094BD0000}"/>
    <cellStyle name="Percent 3 32 2 4 2" xfId="27188" xr:uid="{00000000-0005-0000-0000-000095BD0000}"/>
    <cellStyle name="Percent 3 32 2 4 3" xfId="42680" xr:uid="{00000000-0005-0000-0000-000096BD0000}"/>
    <cellStyle name="Percent 3 32 2 5" xfId="19448" xr:uid="{00000000-0005-0000-0000-000097BD0000}"/>
    <cellStyle name="Percent 3 32 2 6" xfId="34940" xr:uid="{00000000-0005-0000-0000-000098BD0000}"/>
    <cellStyle name="Percent 3 32 3" xfId="4829" xr:uid="{00000000-0005-0000-0000-000099BD0000}"/>
    <cellStyle name="Percent 3 32 3 2" xfId="8700" xr:uid="{00000000-0005-0000-0000-00009ABD0000}"/>
    <cellStyle name="Percent 3 32 3 2 2" xfId="16445" xr:uid="{00000000-0005-0000-0000-00009BBD0000}"/>
    <cellStyle name="Percent 3 32 3 2 2 2" xfId="32037" xr:uid="{00000000-0005-0000-0000-00009CBD0000}"/>
    <cellStyle name="Percent 3 32 3 2 2 3" xfId="47529" xr:uid="{00000000-0005-0000-0000-00009DBD0000}"/>
    <cellStyle name="Percent 3 32 3 2 3" xfId="24297" xr:uid="{00000000-0005-0000-0000-00009EBD0000}"/>
    <cellStyle name="Percent 3 32 3 2 4" xfId="39789" xr:uid="{00000000-0005-0000-0000-00009FBD0000}"/>
    <cellStyle name="Percent 3 32 3 3" xfId="12575" xr:uid="{00000000-0005-0000-0000-0000A0BD0000}"/>
    <cellStyle name="Percent 3 32 3 3 2" xfId="28167" xr:uid="{00000000-0005-0000-0000-0000A1BD0000}"/>
    <cellStyle name="Percent 3 32 3 3 3" xfId="43659" xr:uid="{00000000-0005-0000-0000-0000A2BD0000}"/>
    <cellStyle name="Percent 3 32 3 4" xfId="20427" xr:uid="{00000000-0005-0000-0000-0000A3BD0000}"/>
    <cellStyle name="Percent 3 32 3 5" xfId="35919" xr:uid="{00000000-0005-0000-0000-0000A4BD0000}"/>
    <cellStyle name="Percent 3 32 4" xfId="6773" xr:uid="{00000000-0005-0000-0000-0000A5BD0000}"/>
    <cellStyle name="Percent 3 32 4 2" xfId="14518" xr:uid="{00000000-0005-0000-0000-0000A6BD0000}"/>
    <cellStyle name="Percent 3 32 4 2 2" xfId="30110" xr:uid="{00000000-0005-0000-0000-0000A7BD0000}"/>
    <cellStyle name="Percent 3 32 4 2 3" xfId="45602" xr:uid="{00000000-0005-0000-0000-0000A8BD0000}"/>
    <cellStyle name="Percent 3 32 4 3" xfId="22370" xr:uid="{00000000-0005-0000-0000-0000A9BD0000}"/>
    <cellStyle name="Percent 3 32 4 4" xfId="37862" xr:uid="{00000000-0005-0000-0000-0000AABD0000}"/>
    <cellStyle name="Percent 3 32 5" xfId="10648" xr:uid="{00000000-0005-0000-0000-0000ABBD0000}"/>
    <cellStyle name="Percent 3 32 5 2" xfId="26240" xr:uid="{00000000-0005-0000-0000-0000ACBD0000}"/>
    <cellStyle name="Percent 3 32 5 3" xfId="41732" xr:uid="{00000000-0005-0000-0000-0000ADBD0000}"/>
    <cellStyle name="Percent 3 32 6" xfId="18500" xr:uid="{00000000-0005-0000-0000-0000AEBD0000}"/>
    <cellStyle name="Percent 3 32 7" xfId="33992" xr:uid="{00000000-0005-0000-0000-0000AFBD0000}"/>
    <cellStyle name="Percent 3 33" xfId="2870" xr:uid="{00000000-0005-0000-0000-0000B0BD0000}"/>
    <cellStyle name="Percent 3 33 2" xfId="3876" xr:uid="{00000000-0005-0000-0000-0000B1BD0000}"/>
    <cellStyle name="Percent 3 33 2 2" xfId="5815" xr:uid="{00000000-0005-0000-0000-0000B2BD0000}"/>
    <cellStyle name="Percent 3 33 2 2 2" xfId="9686" xr:uid="{00000000-0005-0000-0000-0000B3BD0000}"/>
    <cellStyle name="Percent 3 33 2 2 2 2" xfId="17431" xr:uid="{00000000-0005-0000-0000-0000B4BD0000}"/>
    <cellStyle name="Percent 3 33 2 2 2 2 2" xfId="33023" xr:uid="{00000000-0005-0000-0000-0000B5BD0000}"/>
    <cellStyle name="Percent 3 33 2 2 2 2 3" xfId="48515" xr:uid="{00000000-0005-0000-0000-0000B6BD0000}"/>
    <cellStyle name="Percent 3 33 2 2 2 3" xfId="25283" xr:uid="{00000000-0005-0000-0000-0000B7BD0000}"/>
    <cellStyle name="Percent 3 33 2 2 2 4" xfId="40775" xr:uid="{00000000-0005-0000-0000-0000B8BD0000}"/>
    <cellStyle name="Percent 3 33 2 2 3" xfId="13561" xr:uid="{00000000-0005-0000-0000-0000B9BD0000}"/>
    <cellStyle name="Percent 3 33 2 2 3 2" xfId="29153" xr:uid="{00000000-0005-0000-0000-0000BABD0000}"/>
    <cellStyle name="Percent 3 33 2 2 3 3" xfId="44645" xr:uid="{00000000-0005-0000-0000-0000BBBD0000}"/>
    <cellStyle name="Percent 3 33 2 2 4" xfId="21413" xr:uid="{00000000-0005-0000-0000-0000BCBD0000}"/>
    <cellStyle name="Percent 3 33 2 2 5" xfId="36905" xr:uid="{00000000-0005-0000-0000-0000BDBD0000}"/>
    <cellStyle name="Percent 3 33 2 3" xfId="7759" xr:uid="{00000000-0005-0000-0000-0000BEBD0000}"/>
    <cellStyle name="Percent 3 33 2 3 2" xfId="15504" xr:uid="{00000000-0005-0000-0000-0000BFBD0000}"/>
    <cellStyle name="Percent 3 33 2 3 2 2" xfId="31096" xr:uid="{00000000-0005-0000-0000-0000C0BD0000}"/>
    <cellStyle name="Percent 3 33 2 3 2 3" xfId="46588" xr:uid="{00000000-0005-0000-0000-0000C1BD0000}"/>
    <cellStyle name="Percent 3 33 2 3 3" xfId="23356" xr:uid="{00000000-0005-0000-0000-0000C2BD0000}"/>
    <cellStyle name="Percent 3 33 2 3 4" xfId="38848" xr:uid="{00000000-0005-0000-0000-0000C3BD0000}"/>
    <cellStyle name="Percent 3 33 2 4" xfId="11634" xr:uid="{00000000-0005-0000-0000-0000C4BD0000}"/>
    <cellStyle name="Percent 3 33 2 4 2" xfId="27226" xr:uid="{00000000-0005-0000-0000-0000C5BD0000}"/>
    <cellStyle name="Percent 3 33 2 4 3" xfId="42718" xr:uid="{00000000-0005-0000-0000-0000C6BD0000}"/>
    <cellStyle name="Percent 3 33 2 5" xfId="19486" xr:uid="{00000000-0005-0000-0000-0000C7BD0000}"/>
    <cellStyle name="Percent 3 33 2 6" xfId="34978" xr:uid="{00000000-0005-0000-0000-0000C8BD0000}"/>
    <cellStyle name="Percent 3 33 3" xfId="4867" xr:uid="{00000000-0005-0000-0000-0000C9BD0000}"/>
    <cellStyle name="Percent 3 33 3 2" xfId="8738" xr:uid="{00000000-0005-0000-0000-0000CABD0000}"/>
    <cellStyle name="Percent 3 33 3 2 2" xfId="16483" xr:uid="{00000000-0005-0000-0000-0000CBBD0000}"/>
    <cellStyle name="Percent 3 33 3 2 2 2" xfId="32075" xr:uid="{00000000-0005-0000-0000-0000CCBD0000}"/>
    <cellStyle name="Percent 3 33 3 2 2 3" xfId="47567" xr:uid="{00000000-0005-0000-0000-0000CDBD0000}"/>
    <cellStyle name="Percent 3 33 3 2 3" xfId="24335" xr:uid="{00000000-0005-0000-0000-0000CEBD0000}"/>
    <cellStyle name="Percent 3 33 3 2 4" xfId="39827" xr:uid="{00000000-0005-0000-0000-0000CFBD0000}"/>
    <cellStyle name="Percent 3 33 3 3" xfId="12613" xr:uid="{00000000-0005-0000-0000-0000D0BD0000}"/>
    <cellStyle name="Percent 3 33 3 3 2" xfId="28205" xr:uid="{00000000-0005-0000-0000-0000D1BD0000}"/>
    <cellStyle name="Percent 3 33 3 3 3" xfId="43697" xr:uid="{00000000-0005-0000-0000-0000D2BD0000}"/>
    <cellStyle name="Percent 3 33 3 4" xfId="20465" xr:uid="{00000000-0005-0000-0000-0000D3BD0000}"/>
    <cellStyle name="Percent 3 33 3 5" xfId="35957" xr:uid="{00000000-0005-0000-0000-0000D4BD0000}"/>
    <cellStyle name="Percent 3 33 4" xfId="6811" xr:uid="{00000000-0005-0000-0000-0000D5BD0000}"/>
    <cellStyle name="Percent 3 33 4 2" xfId="14556" xr:uid="{00000000-0005-0000-0000-0000D6BD0000}"/>
    <cellStyle name="Percent 3 33 4 2 2" xfId="30148" xr:uid="{00000000-0005-0000-0000-0000D7BD0000}"/>
    <cellStyle name="Percent 3 33 4 2 3" xfId="45640" xr:uid="{00000000-0005-0000-0000-0000D8BD0000}"/>
    <cellStyle name="Percent 3 33 4 3" xfId="22408" xr:uid="{00000000-0005-0000-0000-0000D9BD0000}"/>
    <cellStyle name="Percent 3 33 4 4" xfId="37900" xr:uid="{00000000-0005-0000-0000-0000DABD0000}"/>
    <cellStyle name="Percent 3 33 5" xfId="10686" xr:uid="{00000000-0005-0000-0000-0000DBBD0000}"/>
    <cellStyle name="Percent 3 33 5 2" xfId="26278" xr:uid="{00000000-0005-0000-0000-0000DCBD0000}"/>
    <cellStyle name="Percent 3 33 5 3" xfId="41770" xr:uid="{00000000-0005-0000-0000-0000DDBD0000}"/>
    <cellStyle name="Percent 3 33 6" xfId="18538" xr:uid="{00000000-0005-0000-0000-0000DEBD0000}"/>
    <cellStyle name="Percent 3 33 7" xfId="34030" xr:uid="{00000000-0005-0000-0000-0000DFBD0000}"/>
    <cellStyle name="Percent 3 34" xfId="2907" xr:uid="{00000000-0005-0000-0000-0000E0BD0000}"/>
    <cellStyle name="Percent 3 34 2" xfId="3912" xr:uid="{00000000-0005-0000-0000-0000E1BD0000}"/>
    <cellStyle name="Percent 3 34 2 2" xfId="5851" xr:uid="{00000000-0005-0000-0000-0000E2BD0000}"/>
    <cellStyle name="Percent 3 34 2 2 2" xfId="9722" xr:uid="{00000000-0005-0000-0000-0000E3BD0000}"/>
    <cellStyle name="Percent 3 34 2 2 2 2" xfId="17467" xr:uid="{00000000-0005-0000-0000-0000E4BD0000}"/>
    <cellStyle name="Percent 3 34 2 2 2 2 2" xfId="33059" xr:uid="{00000000-0005-0000-0000-0000E5BD0000}"/>
    <cellStyle name="Percent 3 34 2 2 2 2 3" xfId="48551" xr:uid="{00000000-0005-0000-0000-0000E6BD0000}"/>
    <cellStyle name="Percent 3 34 2 2 2 3" xfId="25319" xr:uid="{00000000-0005-0000-0000-0000E7BD0000}"/>
    <cellStyle name="Percent 3 34 2 2 2 4" xfId="40811" xr:uid="{00000000-0005-0000-0000-0000E8BD0000}"/>
    <cellStyle name="Percent 3 34 2 2 3" xfId="13597" xr:uid="{00000000-0005-0000-0000-0000E9BD0000}"/>
    <cellStyle name="Percent 3 34 2 2 3 2" xfId="29189" xr:uid="{00000000-0005-0000-0000-0000EABD0000}"/>
    <cellStyle name="Percent 3 34 2 2 3 3" xfId="44681" xr:uid="{00000000-0005-0000-0000-0000EBBD0000}"/>
    <cellStyle name="Percent 3 34 2 2 4" xfId="21449" xr:uid="{00000000-0005-0000-0000-0000ECBD0000}"/>
    <cellStyle name="Percent 3 34 2 2 5" xfId="36941" xr:uid="{00000000-0005-0000-0000-0000EDBD0000}"/>
    <cellStyle name="Percent 3 34 2 3" xfId="7795" xr:uid="{00000000-0005-0000-0000-0000EEBD0000}"/>
    <cellStyle name="Percent 3 34 2 3 2" xfId="15540" xr:uid="{00000000-0005-0000-0000-0000EFBD0000}"/>
    <cellStyle name="Percent 3 34 2 3 2 2" xfId="31132" xr:uid="{00000000-0005-0000-0000-0000F0BD0000}"/>
    <cellStyle name="Percent 3 34 2 3 2 3" xfId="46624" xr:uid="{00000000-0005-0000-0000-0000F1BD0000}"/>
    <cellStyle name="Percent 3 34 2 3 3" xfId="23392" xr:uid="{00000000-0005-0000-0000-0000F2BD0000}"/>
    <cellStyle name="Percent 3 34 2 3 4" xfId="38884" xr:uid="{00000000-0005-0000-0000-0000F3BD0000}"/>
    <cellStyle name="Percent 3 34 2 4" xfId="11670" xr:uid="{00000000-0005-0000-0000-0000F4BD0000}"/>
    <cellStyle name="Percent 3 34 2 4 2" xfId="27262" xr:uid="{00000000-0005-0000-0000-0000F5BD0000}"/>
    <cellStyle name="Percent 3 34 2 4 3" xfId="42754" xr:uid="{00000000-0005-0000-0000-0000F6BD0000}"/>
    <cellStyle name="Percent 3 34 2 5" xfId="19522" xr:uid="{00000000-0005-0000-0000-0000F7BD0000}"/>
    <cellStyle name="Percent 3 34 2 6" xfId="35014" xr:uid="{00000000-0005-0000-0000-0000F8BD0000}"/>
    <cellStyle name="Percent 3 34 3" xfId="4903" xr:uid="{00000000-0005-0000-0000-0000F9BD0000}"/>
    <cellStyle name="Percent 3 34 3 2" xfId="8774" xr:uid="{00000000-0005-0000-0000-0000FABD0000}"/>
    <cellStyle name="Percent 3 34 3 2 2" xfId="16519" xr:uid="{00000000-0005-0000-0000-0000FBBD0000}"/>
    <cellStyle name="Percent 3 34 3 2 2 2" xfId="32111" xr:uid="{00000000-0005-0000-0000-0000FCBD0000}"/>
    <cellStyle name="Percent 3 34 3 2 2 3" xfId="47603" xr:uid="{00000000-0005-0000-0000-0000FDBD0000}"/>
    <cellStyle name="Percent 3 34 3 2 3" xfId="24371" xr:uid="{00000000-0005-0000-0000-0000FEBD0000}"/>
    <cellStyle name="Percent 3 34 3 2 4" xfId="39863" xr:uid="{00000000-0005-0000-0000-0000FFBD0000}"/>
    <cellStyle name="Percent 3 34 3 3" xfId="12649" xr:uid="{00000000-0005-0000-0000-000000BE0000}"/>
    <cellStyle name="Percent 3 34 3 3 2" xfId="28241" xr:uid="{00000000-0005-0000-0000-000001BE0000}"/>
    <cellStyle name="Percent 3 34 3 3 3" xfId="43733" xr:uid="{00000000-0005-0000-0000-000002BE0000}"/>
    <cellStyle name="Percent 3 34 3 4" xfId="20501" xr:uid="{00000000-0005-0000-0000-000003BE0000}"/>
    <cellStyle name="Percent 3 34 3 5" xfId="35993" xr:uid="{00000000-0005-0000-0000-000004BE0000}"/>
    <cellStyle name="Percent 3 34 4" xfId="6847" xr:uid="{00000000-0005-0000-0000-000005BE0000}"/>
    <cellStyle name="Percent 3 34 4 2" xfId="14592" xr:uid="{00000000-0005-0000-0000-000006BE0000}"/>
    <cellStyle name="Percent 3 34 4 2 2" xfId="30184" xr:uid="{00000000-0005-0000-0000-000007BE0000}"/>
    <cellStyle name="Percent 3 34 4 2 3" xfId="45676" xr:uid="{00000000-0005-0000-0000-000008BE0000}"/>
    <cellStyle name="Percent 3 34 4 3" xfId="22444" xr:uid="{00000000-0005-0000-0000-000009BE0000}"/>
    <cellStyle name="Percent 3 34 4 4" xfId="37936" xr:uid="{00000000-0005-0000-0000-00000ABE0000}"/>
    <cellStyle name="Percent 3 34 5" xfId="10722" xr:uid="{00000000-0005-0000-0000-00000BBE0000}"/>
    <cellStyle name="Percent 3 34 5 2" xfId="26314" xr:uid="{00000000-0005-0000-0000-00000CBE0000}"/>
    <cellStyle name="Percent 3 34 5 3" xfId="41806" xr:uid="{00000000-0005-0000-0000-00000DBE0000}"/>
    <cellStyle name="Percent 3 34 6" xfId="18574" xr:uid="{00000000-0005-0000-0000-00000EBE0000}"/>
    <cellStyle name="Percent 3 34 7" xfId="34066" xr:uid="{00000000-0005-0000-0000-00000FBE0000}"/>
    <cellStyle name="Percent 3 35" xfId="2944" xr:uid="{00000000-0005-0000-0000-000010BE0000}"/>
    <cellStyle name="Percent 3 35 2" xfId="3948" xr:uid="{00000000-0005-0000-0000-000011BE0000}"/>
    <cellStyle name="Percent 3 35 2 2" xfId="5887" xr:uid="{00000000-0005-0000-0000-000012BE0000}"/>
    <cellStyle name="Percent 3 35 2 2 2" xfId="9758" xr:uid="{00000000-0005-0000-0000-000013BE0000}"/>
    <cellStyle name="Percent 3 35 2 2 2 2" xfId="17503" xr:uid="{00000000-0005-0000-0000-000014BE0000}"/>
    <cellStyle name="Percent 3 35 2 2 2 2 2" xfId="33095" xr:uid="{00000000-0005-0000-0000-000015BE0000}"/>
    <cellStyle name="Percent 3 35 2 2 2 2 3" xfId="48587" xr:uid="{00000000-0005-0000-0000-000016BE0000}"/>
    <cellStyle name="Percent 3 35 2 2 2 3" xfId="25355" xr:uid="{00000000-0005-0000-0000-000017BE0000}"/>
    <cellStyle name="Percent 3 35 2 2 2 4" xfId="40847" xr:uid="{00000000-0005-0000-0000-000018BE0000}"/>
    <cellStyle name="Percent 3 35 2 2 3" xfId="13633" xr:uid="{00000000-0005-0000-0000-000019BE0000}"/>
    <cellStyle name="Percent 3 35 2 2 3 2" xfId="29225" xr:uid="{00000000-0005-0000-0000-00001ABE0000}"/>
    <cellStyle name="Percent 3 35 2 2 3 3" xfId="44717" xr:uid="{00000000-0005-0000-0000-00001BBE0000}"/>
    <cellStyle name="Percent 3 35 2 2 4" xfId="21485" xr:uid="{00000000-0005-0000-0000-00001CBE0000}"/>
    <cellStyle name="Percent 3 35 2 2 5" xfId="36977" xr:uid="{00000000-0005-0000-0000-00001DBE0000}"/>
    <cellStyle name="Percent 3 35 2 3" xfId="7831" xr:uid="{00000000-0005-0000-0000-00001EBE0000}"/>
    <cellStyle name="Percent 3 35 2 3 2" xfId="15576" xr:uid="{00000000-0005-0000-0000-00001FBE0000}"/>
    <cellStyle name="Percent 3 35 2 3 2 2" xfId="31168" xr:uid="{00000000-0005-0000-0000-000020BE0000}"/>
    <cellStyle name="Percent 3 35 2 3 2 3" xfId="46660" xr:uid="{00000000-0005-0000-0000-000021BE0000}"/>
    <cellStyle name="Percent 3 35 2 3 3" xfId="23428" xr:uid="{00000000-0005-0000-0000-000022BE0000}"/>
    <cellStyle name="Percent 3 35 2 3 4" xfId="38920" xr:uid="{00000000-0005-0000-0000-000023BE0000}"/>
    <cellStyle name="Percent 3 35 2 4" xfId="11706" xr:uid="{00000000-0005-0000-0000-000024BE0000}"/>
    <cellStyle name="Percent 3 35 2 4 2" xfId="27298" xr:uid="{00000000-0005-0000-0000-000025BE0000}"/>
    <cellStyle name="Percent 3 35 2 4 3" xfId="42790" xr:uid="{00000000-0005-0000-0000-000026BE0000}"/>
    <cellStyle name="Percent 3 35 2 5" xfId="19558" xr:uid="{00000000-0005-0000-0000-000027BE0000}"/>
    <cellStyle name="Percent 3 35 2 6" xfId="35050" xr:uid="{00000000-0005-0000-0000-000028BE0000}"/>
    <cellStyle name="Percent 3 35 3" xfId="4939" xr:uid="{00000000-0005-0000-0000-000029BE0000}"/>
    <cellStyle name="Percent 3 35 3 2" xfId="8810" xr:uid="{00000000-0005-0000-0000-00002ABE0000}"/>
    <cellStyle name="Percent 3 35 3 2 2" xfId="16555" xr:uid="{00000000-0005-0000-0000-00002BBE0000}"/>
    <cellStyle name="Percent 3 35 3 2 2 2" xfId="32147" xr:uid="{00000000-0005-0000-0000-00002CBE0000}"/>
    <cellStyle name="Percent 3 35 3 2 2 3" xfId="47639" xr:uid="{00000000-0005-0000-0000-00002DBE0000}"/>
    <cellStyle name="Percent 3 35 3 2 3" xfId="24407" xr:uid="{00000000-0005-0000-0000-00002EBE0000}"/>
    <cellStyle name="Percent 3 35 3 2 4" xfId="39899" xr:uid="{00000000-0005-0000-0000-00002FBE0000}"/>
    <cellStyle name="Percent 3 35 3 3" xfId="12685" xr:uid="{00000000-0005-0000-0000-000030BE0000}"/>
    <cellStyle name="Percent 3 35 3 3 2" xfId="28277" xr:uid="{00000000-0005-0000-0000-000031BE0000}"/>
    <cellStyle name="Percent 3 35 3 3 3" xfId="43769" xr:uid="{00000000-0005-0000-0000-000032BE0000}"/>
    <cellStyle name="Percent 3 35 3 4" xfId="20537" xr:uid="{00000000-0005-0000-0000-000033BE0000}"/>
    <cellStyle name="Percent 3 35 3 5" xfId="36029" xr:uid="{00000000-0005-0000-0000-000034BE0000}"/>
    <cellStyle name="Percent 3 35 4" xfId="6883" xr:uid="{00000000-0005-0000-0000-000035BE0000}"/>
    <cellStyle name="Percent 3 35 4 2" xfId="14628" xr:uid="{00000000-0005-0000-0000-000036BE0000}"/>
    <cellStyle name="Percent 3 35 4 2 2" xfId="30220" xr:uid="{00000000-0005-0000-0000-000037BE0000}"/>
    <cellStyle name="Percent 3 35 4 2 3" xfId="45712" xr:uid="{00000000-0005-0000-0000-000038BE0000}"/>
    <cellStyle name="Percent 3 35 4 3" xfId="22480" xr:uid="{00000000-0005-0000-0000-000039BE0000}"/>
    <cellStyle name="Percent 3 35 4 4" xfId="37972" xr:uid="{00000000-0005-0000-0000-00003ABE0000}"/>
    <cellStyle name="Percent 3 35 5" xfId="10758" xr:uid="{00000000-0005-0000-0000-00003BBE0000}"/>
    <cellStyle name="Percent 3 35 5 2" xfId="26350" xr:uid="{00000000-0005-0000-0000-00003CBE0000}"/>
    <cellStyle name="Percent 3 35 5 3" xfId="41842" xr:uid="{00000000-0005-0000-0000-00003DBE0000}"/>
    <cellStyle name="Percent 3 35 6" xfId="18610" xr:uid="{00000000-0005-0000-0000-00003EBE0000}"/>
    <cellStyle name="Percent 3 35 7" xfId="34102" xr:uid="{00000000-0005-0000-0000-00003FBE0000}"/>
    <cellStyle name="Percent 3 36" xfId="2983" xr:uid="{00000000-0005-0000-0000-000040BE0000}"/>
    <cellStyle name="Percent 3 36 2" xfId="3984" xr:uid="{00000000-0005-0000-0000-000041BE0000}"/>
    <cellStyle name="Percent 3 36 2 2" xfId="5923" xr:uid="{00000000-0005-0000-0000-000042BE0000}"/>
    <cellStyle name="Percent 3 36 2 2 2" xfId="9794" xr:uid="{00000000-0005-0000-0000-000043BE0000}"/>
    <cellStyle name="Percent 3 36 2 2 2 2" xfId="17539" xr:uid="{00000000-0005-0000-0000-000044BE0000}"/>
    <cellStyle name="Percent 3 36 2 2 2 2 2" xfId="33131" xr:uid="{00000000-0005-0000-0000-000045BE0000}"/>
    <cellStyle name="Percent 3 36 2 2 2 2 3" xfId="48623" xr:uid="{00000000-0005-0000-0000-000046BE0000}"/>
    <cellStyle name="Percent 3 36 2 2 2 3" xfId="25391" xr:uid="{00000000-0005-0000-0000-000047BE0000}"/>
    <cellStyle name="Percent 3 36 2 2 2 4" xfId="40883" xr:uid="{00000000-0005-0000-0000-000048BE0000}"/>
    <cellStyle name="Percent 3 36 2 2 3" xfId="13669" xr:uid="{00000000-0005-0000-0000-000049BE0000}"/>
    <cellStyle name="Percent 3 36 2 2 3 2" xfId="29261" xr:uid="{00000000-0005-0000-0000-00004ABE0000}"/>
    <cellStyle name="Percent 3 36 2 2 3 3" xfId="44753" xr:uid="{00000000-0005-0000-0000-00004BBE0000}"/>
    <cellStyle name="Percent 3 36 2 2 4" xfId="21521" xr:uid="{00000000-0005-0000-0000-00004CBE0000}"/>
    <cellStyle name="Percent 3 36 2 2 5" xfId="37013" xr:uid="{00000000-0005-0000-0000-00004DBE0000}"/>
    <cellStyle name="Percent 3 36 2 3" xfId="7867" xr:uid="{00000000-0005-0000-0000-00004EBE0000}"/>
    <cellStyle name="Percent 3 36 2 3 2" xfId="15612" xr:uid="{00000000-0005-0000-0000-00004FBE0000}"/>
    <cellStyle name="Percent 3 36 2 3 2 2" xfId="31204" xr:uid="{00000000-0005-0000-0000-000050BE0000}"/>
    <cellStyle name="Percent 3 36 2 3 2 3" xfId="46696" xr:uid="{00000000-0005-0000-0000-000051BE0000}"/>
    <cellStyle name="Percent 3 36 2 3 3" xfId="23464" xr:uid="{00000000-0005-0000-0000-000052BE0000}"/>
    <cellStyle name="Percent 3 36 2 3 4" xfId="38956" xr:uid="{00000000-0005-0000-0000-000053BE0000}"/>
    <cellStyle name="Percent 3 36 2 4" xfId="11742" xr:uid="{00000000-0005-0000-0000-000054BE0000}"/>
    <cellStyle name="Percent 3 36 2 4 2" xfId="27334" xr:uid="{00000000-0005-0000-0000-000055BE0000}"/>
    <cellStyle name="Percent 3 36 2 4 3" xfId="42826" xr:uid="{00000000-0005-0000-0000-000056BE0000}"/>
    <cellStyle name="Percent 3 36 2 5" xfId="19594" xr:uid="{00000000-0005-0000-0000-000057BE0000}"/>
    <cellStyle name="Percent 3 36 2 6" xfId="35086" xr:uid="{00000000-0005-0000-0000-000058BE0000}"/>
    <cellStyle name="Percent 3 36 3" xfId="4975" xr:uid="{00000000-0005-0000-0000-000059BE0000}"/>
    <cellStyle name="Percent 3 36 3 2" xfId="8846" xr:uid="{00000000-0005-0000-0000-00005ABE0000}"/>
    <cellStyle name="Percent 3 36 3 2 2" xfId="16591" xr:uid="{00000000-0005-0000-0000-00005BBE0000}"/>
    <cellStyle name="Percent 3 36 3 2 2 2" xfId="32183" xr:uid="{00000000-0005-0000-0000-00005CBE0000}"/>
    <cellStyle name="Percent 3 36 3 2 2 3" xfId="47675" xr:uid="{00000000-0005-0000-0000-00005DBE0000}"/>
    <cellStyle name="Percent 3 36 3 2 3" xfId="24443" xr:uid="{00000000-0005-0000-0000-00005EBE0000}"/>
    <cellStyle name="Percent 3 36 3 2 4" xfId="39935" xr:uid="{00000000-0005-0000-0000-00005FBE0000}"/>
    <cellStyle name="Percent 3 36 3 3" xfId="12721" xr:uid="{00000000-0005-0000-0000-000060BE0000}"/>
    <cellStyle name="Percent 3 36 3 3 2" xfId="28313" xr:uid="{00000000-0005-0000-0000-000061BE0000}"/>
    <cellStyle name="Percent 3 36 3 3 3" xfId="43805" xr:uid="{00000000-0005-0000-0000-000062BE0000}"/>
    <cellStyle name="Percent 3 36 3 4" xfId="20573" xr:uid="{00000000-0005-0000-0000-000063BE0000}"/>
    <cellStyle name="Percent 3 36 3 5" xfId="36065" xr:uid="{00000000-0005-0000-0000-000064BE0000}"/>
    <cellStyle name="Percent 3 36 4" xfId="6919" xr:uid="{00000000-0005-0000-0000-000065BE0000}"/>
    <cellStyle name="Percent 3 36 4 2" xfId="14664" xr:uid="{00000000-0005-0000-0000-000066BE0000}"/>
    <cellStyle name="Percent 3 36 4 2 2" xfId="30256" xr:uid="{00000000-0005-0000-0000-000067BE0000}"/>
    <cellStyle name="Percent 3 36 4 2 3" xfId="45748" xr:uid="{00000000-0005-0000-0000-000068BE0000}"/>
    <cellStyle name="Percent 3 36 4 3" xfId="22516" xr:uid="{00000000-0005-0000-0000-000069BE0000}"/>
    <cellStyle name="Percent 3 36 4 4" xfId="38008" xr:uid="{00000000-0005-0000-0000-00006ABE0000}"/>
    <cellStyle name="Percent 3 36 5" xfId="10794" xr:uid="{00000000-0005-0000-0000-00006BBE0000}"/>
    <cellStyle name="Percent 3 36 5 2" xfId="26386" xr:uid="{00000000-0005-0000-0000-00006CBE0000}"/>
    <cellStyle name="Percent 3 36 5 3" xfId="41878" xr:uid="{00000000-0005-0000-0000-00006DBE0000}"/>
    <cellStyle name="Percent 3 36 6" xfId="18646" xr:uid="{00000000-0005-0000-0000-00006EBE0000}"/>
    <cellStyle name="Percent 3 36 7" xfId="34138" xr:uid="{00000000-0005-0000-0000-00006FBE0000}"/>
    <cellStyle name="Percent 3 37" xfId="3023" xr:uid="{00000000-0005-0000-0000-000070BE0000}"/>
    <cellStyle name="Percent 3 37 2" xfId="4020" xr:uid="{00000000-0005-0000-0000-000071BE0000}"/>
    <cellStyle name="Percent 3 37 2 2" xfId="5959" xr:uid="{00000000-0005-0000-0000-000072BE0000}"/>
    <cellStyle name="Percent 3 37 2 2 2" xfId="9830" xr:uid="{00000000-0005-0000-0000-000073BE0000}"/>
    <cellStyle name="Percent 3 37 2 2 2 2" xfId="17575" xr:uid="{00000000-0005-0000-0000-000074BE0000}"/>
    <cellStyle name="Percent 3 37 2 2 2 2 2" xfId="33167" xr:uid="{00000000-0005-0000-0000-000075BE0000}"/>
    <cellStyle name="Percent 3 37 2 2 2 2 3" xfId="48659" xr:uid="{00000000-0005-0000-0000-000076BE0000}"/>
    <cellStyle name="Percent 3 37 2 2 2 3" xfId="25427" xr:uid="{00000000-0005-0000-0000-000077BE0000}"/>
    <cellStyle name="Percent 3 37 2 2 2 4" xfId="40919" xr:uid="{00000000-0005-0000-0000-000078BE0000}"/>
    <cellStyle name="Percent 3 37 2 2 3" xfId="13705" xr:uid="{00000000-0005-0000-0000-000079BE0000}"/>
    <cellStyle name="Percent 3 37 2 2 3 2" xfId="29297" xr:uid="{00000000-0005-0000-0000-00007ABE0000}"/>
    <cellStyle name="Percent 3 37 2 2 3 3" xfId="44789" xr:uid="{00000000-0005-0000-0000-00007BBE0000}"/>
    <cellStyle name="Percent 3 37 2 2 4" xfId="21557" xr:uid="{00000000-0005-0000-0000-00007CBE0000}"/>
    <cellStyle name="Percent 3 37 2 2 5" xfId="37049" xr:uid="{00000000-0005-0000-0000-00007DBE0000}"/>
    <cellStyle name="Percent 3 37 2 3" xfId="7903" xr:uid="{00000000-0005-0000-0000-00007EBE0000}"/>
    <cellStyle name="Percent 3 37 2 3 2" xfId="15648" xr:uid="{00000000-0005-0000-0000-00007FBE0000}"/>
    <cellStyle name="Percent 3 37 2 3 2 2" xfId="31240" xr:uid="{00000000-0005-0000-0000-000080BE0000}"/>
    <cellStyle name="Percent 3 37 2 3 2 3" xfId="46732" xr:uid="{00000000-0005-0000-0000-000081BE0000}"/>
    <cellStyle name="Percent 3 37 2 3 3" xfId="23500" xr:uid="{00000000-0005-0000-0000-000082BE0000}"/>
    <cellStyle name="Percent 3 37 2 3 4" xfId="38992" xr:uid="{00000000-0005-0000-0000-000083BE0000}"/>
    <cellStyle name="Percent 3 37 2 4" xfId="11778" xr:uid="{00000000-0005-0000-0000-000084BE0000}"/>
    <cellStyle name="Percent 3 37 2 4 2" xfId="27370" xr:uid="{00000000-0005-0000-0000-000085BE0000}"/>
    <cellStyle name="Percent 3 37 2 4 3" xfId="42862" xr:uid="{00000000-0005-0000-0000-000086BE0000}"/>
    <cellStyle name="Percent 3 37 2 5" xfId="19630" xr:uid="{00000000-0005-0000-0000-000087BE0000}"/>
    <cellStyle name="Percent 3 37 2 6" xfId="35122" xr:uid="{00000000-0005-0000-0000-000088BE0000}"/>
    <cellStyle name="Percent 3 37 3" xfId="5011" xr:uid="{00000000-0005-0000-0000-000089BE0000}"/>
    <cellStyle name="Percent 3 37 3 2" xfId="8882" xr:uid="{00000000-0005-0000-0000-00008ABE0000}"/>
    <cellStyle name="Percent 3 37 3 2 2" xfId="16627" xr:uid="{00000000-0005-0000-0000-00008BBE0000}"/>
    <cellStyle name="Percent 3 37 3 2 2 2" xfId="32219" xr:uid="{00000000-0005-0000-0000-00008CBE0000}"/>
    <cellStyle name="Percent 3 37 3 2 2 3" xfId="47711" xr:uid="{00000000-0005-0000-0000-00008DBE0000}"/>
    <cellStyle name="Percent 3 37 3 2 3" xfId="24479" xr:uid="{00000000-0005-0000-0000-00008EBE0000}"/>
    <cellStyle name="Percent 3 37 3 2 4" xfId="39971" xr:uid="{00000000-0005-0000-0000-00008FBE0000}"/>
    <cellStyle name="Percent 3 37 3 3" xfId="12757" xr:uid="{00000000-0005-0000-0000-000090BE0000}"/>
    <cellStyle name="Percent 3 37 3 3 2" xfId="28349" xr:uid="{00000000-0005-0000-0000-000091BE0000}"/>
    <cellStyle name="Percent 3 37 3 3 3" xfId="43841" xr:uid="{00000000-0005-0000-0000-000092BE0000}"/>
    <cellStyle name="Percent 3 37 3 4" xfId="20609" xr:uid="{00000000-0005-0000-0000-000093BE0000}"/>
    <cellStyle name="Percent 3 37 3 5" xfId="36101" xr:uid="{00000000-0005-0000-0000-000094BE0000}"/>
    <cellStyle name="Percent 3 37 4" xfId="6955" xr:uid="{00000000-0005-0000-0000-000095BE0000}"/>
    <cellStyle name="Percent 3 37 4 2" xfId="14700" xr:uid="{00000000-0005-0000-0000-000096BE0000}"/>
    <cellStyle name="Percent 3 37 4 2 2" xfId="30292" xr:uid="{00000000-0005-0000-0000-000097BE0000}"/>
    <cellStyle name="Percent 3 37 4 2 3" xfId="45784" xr:uid="{00000000-0005-0000-0000-000098BE0000}"/>
    <cellStyle name="Percent 3 37 4 3" xfId="22552" xr:uid="{00000000-0005-0000-0000-000099BE0000}"/>
    <cellStyle name="Percent 3 37 4 4" xfId="38044" xr:uid="{00000000-0005-0000-0000-00009ABE0000}"/>
    <cellStyle name="Percent 3 37 5" xfId="10830" xr:uid="{00000000-0005-0000-0000-00009BBE0000}"/>
    <cellStyle name="Percent 3 37 5 2" xfId="26422" xr:uid="{00000000-0005-0000-0000-00009CBE0000}"/>
    <cellStyle name="Percent 3 37 5 3" xfId="41914" xr:uid="{00000000-0005-0000-0000-00009DBE0000}"/>
    <cellStyle name="Percent 3 37 6" xfId="18682" xr:uid="{00000000-0005-0000-0000-00009EBE0000}"/>
    <cellStyle name="Percent 3 37 7" xfId="34174" xr:uid="{00000000-0005-0000-0000-00009FBE0000}"/>
    <cellStyle name="Percent 3 38" xfId="3061" xr:uid="{00000000-0005-0000-0000-0000A0BE0000}"/>
    <cellStyle name="Percent 3 38 2" xfId="4056" xr:uid="{00000000-0005-0000-0000-0000A1BE0000}"/>
    <cellStyle name="Percent 3 38 2 2" xfId="5995" xr:uid="{00000000-0005-0000-0000-0000A2BE0000}"/>
    <cellStyle name="Percent 3 38 2 2 2" xfId="9866" xr:uid="{00000000-0005-0000-0000-0000A3BE0000}"/>
    <cellStyle name="Percent 3 38 2 2 2 2" xfId="17611" xr:uid="{00000000-0005-0000-0000-0000A4BE0000}"/>
    <cellStyle name="Percent 3 38 2 2 2 2 2" xfId="33203" xr:uid="{00000000-0005-0000-0000-0000A5BE0000}"/>
    <cellStyle name="Percent 3 38 2 2 2 2 3" xfId="48695" xr:uid="{00000000-0005-0000-0000-0000A6BE0000}"/>
    <cellStyle name="Percent 3 38 2 2 2 3" xfId="25463" xr:uid="{00000000-0005-0000-0000-0000A7BE0000}"/>
    <cellStyle name="Percent 3 38 2 2 2 4" xfId="40955" xr:uid="{00000000-0005-0000-0000-0000A8BE0000}"/>
    <cellStyle name="Percent 3 38 2 2 3" xfId="13741" xr:uid="{00000000-0005-0000-0000-0000A9BE0000}"/>
    <cellStyle name="Percent 3 38 2 2 3 2" xfId="29333" xr:uid="{00000000-0005-0000-0000-0000AABE0000}"/>
    <cellStyle name="Percent 3 38 2 2 3 3" xfId="44825" xr:uid="{00000000-0005-0000-0000-0000ABBE0000}"/>
    <cellStyle name="Percent 3 38 2 2 4" xfId="21593" xr:uid="{00000000-0005-0000-0000-0000ACBE0000}"/>
    <cellStyle name="Percent 3 38 2 2 5" xfId="37085" xr:uid="{00000000-0005-0000-0000-0000ADBE0000}"/>
    <cellStyle name="Percent 3 38 2 3" xfId="7939" xr:uid="{00000000-0005-0000-0000-0000AEBE0000}"/>
    <cellStyle name="Percent 3 38 2 3 2" xfId="15684" xr:uid="{00000000-0005-0000-0000-0000AFBE0000}"/>
    <cellStyle name="Percent 3 38 2 3 2 2" xfId="31276" xr:uid="{00000000-0005-0000-0000-0000B0BE0000}"/>
    <cellStyle name="Percent 3 38 2 3 2 3" xfId="46768" xr:uid="{00000000-0005-0000-0000-0000B1BE0000}"/>
    <cellStyle name="Percent 3 38 2 3 3" xfId="23536" xr:uid="{00000000-0005-0000-0000-0000B2BE0000}"/>
    <cellStyle name="Percent 3 38 2 3 4" xfId="39028" xr:uid="{00000000-0005-0000-0000-0000B3BE0000}"/>
    <cellStyle name="Percent 3 38 2 4" xfId="11814" xr:uid="{00000000-0005-0000-0000-0000B4BE0000}"/>
    <cellStyle name="Percent 3 38 2 4 2" xfId="27406" xr:uid="{00000000-0005-0000-0000-0000B5BE0000}"/>
    <cellStyle name="Percent 3 38 2 4 3" xfId="42898" xr:uid="{00000000-0005-0000-0000-0000B6BE0000}"/>
    <cellStyle name="Percent 3 38 2 5" xfId="19666" xr:uid="{00000000-0005-0000-0000-0000B7BE0000}"/>
    <cellStyle name="Percent 3 38 2 6" xfId="35158" xr:uid="{00000000-0005-0000-0000-0000B8BE0000}"/>
    <cellStyle name="Percent 3 38 3" xfId="5047" xr:uid="{00000000-0005-0000-0000-0000B9BE0000}"/>
    <cellStyle name="Percent 3 38 3 2" xfId="8918" xr:uid="{00000000-0005-0000-0000-0000BABE0000}"/>
    <cellStyle name="Percent 3 38 3 2 2" xfId="16663" xr:uid="{00000000-0005-0000-0000-0000BBBE0000}"/>
    <cellStyle name="Percent 3 38 3 2 2 2" xfId="32255" xr:uid="{00000000-0005-0000-0000-0000BCBE0000}"/>
    <cellStyle name="Percent 3 38 3 2 2 3" xfId="47747" xr:uid="{00000000-0005-0000-0000-0000BDBE0000}"/>
    <cellStyle name="Percent 3 38 3 2 3" xfId="24515" xr:uid="{00000000-0005-0000-0000-0000BEBE0000}"/>
    <cellStyle name="Percent 3 38 3 2 4" xfId="40007" xr:uid="{00000000-0005-0000-0000-0000BFBE0000}"/>
    <cellStyle name="Percent 3 38 3 3" xfId="12793" xr:uid="{00000000-0005-0000-0000-0000C0BE0000}"/>
    <cellStyle name="Percent 3 38 3 3 2" xfId="28385" xr:uid="{00000000-0005-0000-0000-0000C1BE0000}"/>
    <cellStyle name="Percent 3 38 3 3 3" xfId="43877" xr:uid="{00000000-0005-0000-0000-0000C2BE0000}"/>
    <cellStyle name="Percent 3 38 3 4" xfId="20645" xr:uid="{00000000-0005-0000-0000-0000C3BE0000}"/>
    <cellStyle name="Percent 3 38 3 5" xfId="36137" xr:uid="{00000000-0005-0000-0000-0000C4BE0000}"/>
    <cellStyle name="Percent 3 38 4" xfId="6991" xr:uid="{00000000-0005-0000-0000-0000C5BE0000}"/>
    <cellStyle name="Percent 3 38 4 2" xfId="14736" xr:uid="{00000000-0005-0000-0000-0000C6BE0000}"/>
    <cellStyle name="Percent 3 38 4 2 2" xfId="30328" xr:uid="{00000000-0005-0000-0000-0000C7BE0000}"/>
    <cellStyle name="Percent 3 38 4 2 3" xfId="45820" xr:uid="{00000000-0005-0000-0000-0000C8BE0000}"/>
    <cellStyle name="Percent 3 38 4 3" xfId="22588" xr:uid="{00000000-0005-0000-0000-0000C9BE0000}"/>
    <cellStyle name="Percent 3 38 4 4" xfId="38080" xr:uid="{00000000-0005-0000-0000-0000CABE0000}"/>
    <cellStyle name="Percent 3 38 5" xfId="10866" xr:uid="{00000000-0005-0000-0000-0000CBBE0000}"/>
    <cellStyle name="Percent 3 38 5 2" xfId="26458" xr:uid="{00000000-0005-0000-0000-0000CCBE0000}"/>
    <cellStyle name="Percent 3 38 5 3" xfId="41950" xr:uid="{00000000-0005-0000-0000-0000CDBE0000}"/>
    <cellStyle name="Percent 3 38 6" xfId="18718" xr:uid="{00000000-0005-0000-0000-0000CEBE0000}"/>
    <cellStyle name="Percent 3 38 7" xfId="34210" xr:uid="{00000000-0005-0000-0000-0000CFBE0000}"/>
    <cellStyle name="Percent 3 39" xfId="3098" xr:uid="{00000000-0005-0000-0000-0000D0BE0000}"/>
    <cellStyle name="Percent 3 39 2" xfId="4092" xr:uid="{00000000-0005-0000-0000-0000D1BE0000}"/>
    <cellStyle name="Percent 3 39 2 2" xfId="6031" xr:uid="{00000000-0005-0000-0000-0000D2BE0000}"/>
    <cellStyle name="Percent 3 39 2 2 2" xfId="9902" xr:uid="{00000000-0005-0000-0000-0000D3BE0000}"/>
    <cellStyle name="Percent 3 39 2 2 2 2" xfId="17647" xr:uid="{00000000-0005-0000-0000-0000D4BE0000}"/>
    <cellStyle name="Percent 3 39 2 2 2 2 2" xfId="33239" xr:uid="{00000000-0005-0000-0000-0000D5BE0000}"/>
    <cellStyle name="Percent 3 39 2 2 2 2 3" xfId="48731" xr:uid="{00000000-0005-0000-0000-0000D6BE0000}"/>
    <cellStyle name="Percent 3 39 2 2 2 3" xfId="25499" xr:uid="{00000000-0005-0000-0000-0000D7BE0000}"/>
    <cellStyle name="Percent 3 39 2 2 2 4" xfId="40991" xr:uid="{00000000-0005-0000-0000-0000D8BE0000}"/>
    <cellStyle name="Percent 3 39 2 2 3" xfId="13777" xr:uid="{00000000-0005-0000-0000-0000D9BE0000}"/>
    <cellStyle name="Percent 3 39 2 2 3 2" xfId="29369" xr:uid="{00000000-0005-0000-0000-0000DABE0000}"/>
    <cellStyle name="Percent 3 39 2 2 3 3" xfId="44861" xr:uid="{00000000-0005-0000-0000-0000DBBE0000}"/>
    <cellStyle name="Percent 3 39 2 2 4" xfId="21629" xr:uid="{00000000-0005-0000-0000-0000DCBE0000}"/>
    <cellStyle name="Percent 3 39 2 2 5" xfId="37121" xr:uid="{00000000-0005-0000-0000-0000DDBE0000}"/>
    <cellStyle name="Percent 3 39 2 3" xfId="7975" xr:uid="{00000000-0005-0000-0000-0000DEBE0000}"/>
    <cellStyle name="Percent 3 39 2 3 2" xfId="15720" xr:uid="{00000000-0005-0000-0000-0000DFBE0000}"/>
    <cellStyle name="Percent 3 39 2 3 2 2" xfId="31312" xr:uid="{00000000-0005-0000-0000-0000E0BE0000}"/>
    <cellStyle name="Percent 3 39 2 3 2 3" xfId="46804" xr:uid="{00000000-0005-0000-0000-0000E1BE0000}"/>
    <cellStyle name="Percent 3 39 2 3 3" xfId="23572" xr:uid="{00000000-0005-0000-0000-0000E2BE0000}"/>
    <cellStyle name="Percent 3 39 2 3 4" xfId="39064" xr:uid="{00000000-0005-0000-0000-0000E3BE0000}"/>
    <cellStyle name="Percent 3 39 2 4" xfId="11850" xr:uid="{00000000-0005-0000-0000-0000E4BE0000}"/>
    <cellStyle name="Percent 3 39 2 4 2" xfId="27442" xr:uid="{00000000-0005-0000-0000-0000E5BE0000}"/>
    <cellStyle name="Percent 3 39 2 4 3" xfId="42934" xr:uid="{00000000-0005-0000-0000-0000E6BE0000}"/>
    <cellStyle name="Percent 3 39 2 5" xfId="19702" xr:uid="{00000000-0005-0000-0000-0000E7BE0000}"/>
    <cellStyle name="Percent 3 39 2 6" xfId="35194" xr:uid="{00000000-0005-0000-0000-0000E8BE0000}"/>
    <cellStyle name="Percent 3 39 3" xfId="5083" xr:uid="{00000000-0005-0000-0000-0000E9BE0000}"/>
    <cellStyle name="Percent 3 39 3 2" xfId="8954" xr:uid="{00000000-0005-0000-0000-0000EABE0000}"/>
    <cellStyle name="Percent 3 39 3 2 2" xfId="16699" xr:uid="{00000000-0005-0000-0000-0000EBBE0000}"/>
    <cellStyle name="Percent 3 39 3 2 2 2" xfId="32291" xr:uid="{00000000-0005-0000-0000-0000ECBE0000}"/>
    <cellStyle name="Percent 3 39 3 2 2 3" xfId="47783" xr:uid="{00000000-0005-0000-0000-0000EDBE0000}"/>
    <cellStyle name="Percent 3 39 3 2 3" xfId="24551" xr:uid="{00000000-0005-0000-0000-0000EEBE0000}"/>
    <cellStyle name="Percent 3 39 3 2 4" xfId="40043" xr:uid="{00000000-0005-0000-0000-0000EFBE0000}"/>
    <cellStyle name="Percent 3 39 3 3" xfId="12829" xr:uid="{00000000-0005-0000-0000-0000F0BE0000}"/>
    <cellStyle name="Percent 3 39 3 3 2" xfId="28421" xr:uid="{00000000-0005-0000-0000-0000F1BE0000}"/>
    <cellStyle name="Percent 3 39 3 3 3" xfId="43913" xr:uid="{00000000-0005-0000-0000-0000F2BE0000}"/>
    <cellStyle name="Percent 3 39 3 4" xfId="20681" xr:uid="{00000000-0005-0000-0000-0000F3BE0000}"/>
    <cellStyle name="Percent 3 39 3 5" xfId="36173" xr:uid="{00000000-0005-0000-0000-0000F4BE0000}"/>
    <cellStyle name="Percent 3 39 4" xfId="7027" xr:uid="{00000000-0005-0000-0000-0000F5BE0000}"/>
    <cellStyle name="Percent 3 39 4 2" xfId="14772" xr:uid="{00000000-0005-0000-0000-0000F6BE0000}"/>
    <cellStyle name="Percent 3 39 4 2 2" xfId="30364" xr:uid="{00000000-0005-0000-0000-0000F7BE0000}"/>
    <cellStyle name="Percent 3 39 4 2 3" xfId="45856" xr:uid="{00000000-0005-0000-0000-0000F8BE0000}"/>
    <cellStyle name="Percent 3 39 4 3" xfId="22624" xr:uid="{00000000-0005-0000-0000-0000F9BE0000}"/>
    <cellStyle name="Percent 3 39 4 4" xfId="38116" xr:uid="{00000000-0005-0000-0000-0000FABE0000}"/>
    <cellStyle name="Percent 3 39 5" xfId="10902" xr:uid="{00000000-0005-0000-0000-0000FBBE0000}"/>
    <cellStyle name="Percent 3 39 5 2" xfId="26494" xr:uid="{00000000-0005-0000-0000-0000FCBE0000}"/>
    <cellStyle name="Percent 3 39 5 3" xfId="41986" xr:uid="{00000000-0005-0000-0000-0000FDBE0000}"/>
    <cellStyle name="Percent 3 39 6" xfId="18754" xr:uid="{00000000-0005-0000-0000-0000FEBE0000}"/>
    <cellStyle name="Percent 3 39 7" xfId="34246" xr:uid="{00000000-0005-0000-0000-0000FFBE0000}"/>
    <cellStyle name="Percent 3 4" xfId="2148" xr:uid="{00000000-0005-0000-0000-000000BF0000}"/>
    <cellStyle name="Percent 3 40" xfId="3145" xr:uid="{00000000-0005-0000-0000-000001BF0000}"/>
    <cellStyle name="Percent 3 40 2" xfId="4128" xr:uid="{00000000-0005-0000-0000-000002BF0000}"/>
    <cellStyle name="Percent 3 40 2 2" xfId="6067" xr:uid="{00000000-0005-0000-0000-000003BF0000}"/>
    <cellStyle name="Percent 3 40 2 2 2" xfId="9938" xr:uid="{00000000-0005-0000-0000-000004BF0000}"/>
    <cellStyle name="Percent 3 40 2 2 2 2" xfId="17683" xr:uid="{00000000-0005-0000-0000-000005BF0000}"/>
    <cellStyle name="Percent 3 40 2 2 2 2 2" xfId="33275" xr:uid="{00000000-0005-0000-0000-000006BF0000}"/>
    <cellStyle name="Percent 3 40 2 2 2 2 3" xfId="48767" xr:uid="{00000000-0005-0000-0000-000007BF0000}"/>
    <cellStyle name="Percent 3 40 2 2 2 3" xfId="25535" xr:uid="{00000000-0005-0000-0000-000008BF0000}"/>
    <cellStyle name="Percent 3 40 2 2 2 4" xfId="41027" xr:uid="{00000000-0005-0000-0000-000009BF0000}"/>
    <cellStyle name="Percent 3 40 2 2 3" xfId="13813" xr:uid="{00000000-0005-0000-0000-00000ABF0000}"/>
    <cellStyle name="Percent 3 40 2 2 3 2" xfId="29405" xr:uid="{00000000-0005-0000-0000-00000BBF0000}"/>
    <cellStyle name="Percent 3 40 2 2 3 3" xfId="44897" xr:uid="{00000000-0005-0000-0000-00000CBF0000}"/>
    <cellStyle name="Percent 3 40 2 2 4" xfId="21665" xr:uid="{00000000-0005-0000-0000-00000DBF0000}"/>
    <cellStyle name="Percent 3 40 2 2 5" xfId="37157" xr:uid="{00000000-0005-0000-0000-00000EBF0000}"/>
    <cellStyle name="Percent 3 40 2 3" xfId="8011" xr:uid="{00000000-0005-0000-0000-00000FBF0000}"/>
    <cellStyle name="Percent 3 40 2 3 2" xfId="15756" xr:uid="{00000000-0005-0000-0000-000010BF0000}"/>
    <cellStyle name="Percent 3 40 2 3 2 2" xfId="31348" xr:uid="{00000000-0005-0000-0000-000011BF0000}"/>
    <cellStyle name="Percent 3 40 2 3 2 3" xfId="46840" xr:uid="{00000000-0005-0000-0000-000012BF0000}"/>
    <cellStyle name="Percent 3 40 2 3 3" xfId="23608" xr:uid="{00000000-0005-0000-0000-000013BF0000}"/>
    <cellStyle name="Percent 3 40 2 3 4" xfId="39100" xr:uid="{00000000-0005-0000-0000-000014BF0000}"/>
    <cellStyle name="Percent 3 40 2 4" xfId="11886" xr:uid="{00000000-0005-0000-0000-000015BF0000}"/>
    <cellStyle name="Percent 3 40 2 4 2" xfId="27478" xr:uid="{00000000-0005-0000-0000-000016BF0000}"/>
    <cellStyle name="Percent 3 40 2 4 3" xfId="42970" xr:uid="{00000000-0005-0000-0000-000017BF0000}"/>
    <cellStyle name="Percent 3 40 2 5" xfId="19738" xr:uid="{00000000-0005-0000-0000-000018BF0000}"/>
    <cellStyle name="Percent 3 40 2 6" xfId="35230" xr:uid="{00000000-0005-0000-0000-000019BF0000}"/>
    <cellStyle name="Percent 3 40 3" xfId="5119" xr:uid="{00000000-0005-0000-0000-00001ABF0000}"/>
    <cellStyle name="Percent 3 40 3 2" xfId="8990" xr:uid="{00000000-0005-0000-0000-00001BBF0000}"/>
    <cellStyle name="Percent 3 40 3 2 2" xfId="16735" xr:uid="{00000000-0005-0000-0000-00001CBF0000}"/>
    <cellStyle name="Percent 3 40 3 2 2 2" xfId="32327" xr:uid="{00000000-0005-0000-0000-00001DBF0000}"/>
    <cellStyle name="Percent 3 40 3 2 2 3" xfId="47819" xr:uid="{00000000-0005-0000-0000-00001EBF0000}"/>
    <cellStyle name="Percent 3 40 3 2 3" xfId="24587" xr:uid="{00000000-0005-0000-0000-00001FBF0000}"/>
    <cellStyle name="Percent 3 40 3 2 4" xfId="40079" xr:uid="{00000000-0005-0000-0000-000020BF0000}"/>
    <cellStyle name="Percent 3 40 3 3" xfId="12865" xr:uid="{00000000-0005-0000-0000-000021BF0000}"/>
    <cellStyle name="Percent 3 40 3 3 2" xfId="28457" xr:uid="{00000000-0005-0000-0000-000022BF0000}"/>
    <cellStyle name="Percent 3 40 3 3 3" xfId="43949" xr:uid="{00000000-0005-0000-0000-000023BF0000}"/>
    <cellStyle name="Percent 3 40 3 4" xfId="20717" xr:uid="{00000000-0005-0000-0000-000024BF0000}"/>
    <cellStyle name="Percent 3 40 3 5" xfId="36209" xr:uid="{00000000-0005-0000-0000-000025BF0000}"/>
    <cellStyle name="Percent 3 40 4" xfId="7063" xr:uid="{00000000-0005-0000-0000-000026BF0000}"/>
    <cellStyle name="Percent 3 40 4 2" xfId="14808" xr:uid="{00000000-0005-0000-0000-000027BF0000}"/>
    <cellStyle name="Percent 3 40 4 2 2" xfId="30400" xr:uid="{00000000-0005-0000-0000-000028BF0000}"/>
    <cellStyle name="Percent 3 40 4 2 3" xfId="45892" xr:uid="{00000000-0005-0000-0000-000029BF0000}"/>
    <cellStyle name="Percent 3 40 4 3" xfId="22660" xr:uid="{00000000-0005-0000-0000-00002ABF0000}"/>
    <cellStyle name="Percent 3 40 4 4" xfId="38152" xr:uid="{00000000-0005-0000-0000-00002BBF0000}"/>
    <cellStyle name="Percent 3 40 5" xfId="10938" xr:uid="{00000000-0005-0000-0000-00002CBF0000}"/>
    <cellStyle name="Percent 3 40 5 2" xfId="26530" xr:uid="{00000000-0005-0000-0000-00002DBF0000}"/>
    <cellStyle name="Percent 3 40 5 3" xfId="42022" xr:uid="{00000000-0005-0000-0000-00002EBF0000}"/>
    <cellStyle name="Percent 3 40 6" xfId="18790" xr:uid="{00000000-0005-0000-0000-00002FBF0000}"/>
    <cellStyle name="Percent 3 40 7" xfId="34282" xr:uid="{00000000-0005-0000-0000-000030BF0000}"/>
    <cellStyle name="Percent 3 41" xfId="48863" xr:uid="{00000000-0005-0000-0000-000031BF0000}"/>
    <cellStyle name="Percent 3 42" xfId="49095" xr:uid="{8106C498-E45F-4804-8F4D-C5186733FFA8}"/>
    <cellStyle name="Percent 3 5" xfId="2149" xr:uid="{00000000-0005-0000-0000-000032BF0000}"/>
    <cellStyle name="Percent 3 6" xfId="2150" xr:uid="{00000000-0005-0000-0000-000033BF0000}"/>
    <cellStyle name="Percent 3 7" xfId="2151" xr:uid="{00000000-0005-0000-0000-000034BF0000}"/>
    <cellStyle name="Percent 3 8" xfId="2152" xr:uid="{00000000-0005-0000-0000-000035BF0000}"/>
    <cellStyle name="Percent 3 9" xfId="2153" xr:uid="{00000000-0005-0000-0000-000036BF0000}"/>
    <cellStyle name="Percent 4" xfId="17752" xr:uid="{00000000-0005-0000-0000-000037BF0000}"/>
    <cellStyle name="Percent 4 2" xfId="48925" xr:uid="{00000000-0005-0000-0000-000038BF0000}"/>
    <cellStyle name="Percent 4 3" xfId="49097" xr:uid="{E0B01CB3-7005-4AFF-8CFF-86C570982D04}"/>
    <cellStyle name="Percent 5" xfId="48939" xr:uid="{00000000-0005-0000-0000-000039BF0000}"/>
    <cellStyle name="S0" xfId="3101" xr:uid="{00000000-0005-0000-0000-00003ABF0000}"/>
    <cellStyle name="S0 2" xfId="17818" xr:uid="{00000000-0005-0000-0000-00003BBF0000}"/>
    <cellStyle name="S1" xfId="3102" xr:uid="{00000000-0005-0000-0000-00003CBF0000}"/>
    <cellStyle name="S1 2" xfId="17820" xr:uid="{00000000-0005-0000-0000-00003DBF0000}"/>
    <cellStyle name="S10" xfId="3107" xr:uid="{00000000-0005-0000-0000-00003EBF0000}"/>
    <cellStyle name="S10 2" xfId="17819" xr:uid="{00000000-0005-0000-0000-00003FBF0000}"/>
    <cellStyle name="S11" xfId="17821" xr:uid="{00000000-0005-0000-0000-000040BF0000}"/>
    <cellStyle name="S12" xfId="2215" xr:uid="{00000000-0005-0000-0000-000041BF0000}"/>
    <cellStyle name="S12 2" xfId="17822" xr:uid="{00000000-0005-0000-0000-000042BF0000}"/>
    <cellStyle name="S13" xfId="17823" xr:uid="{00000000-0005-0000-0000-000043BF0000}"/>
    <cellStyle name="S14" xfId="17825" xr:uid="{00000000-0005-0000-0000-000044BF0000}"/>
    <cellStyle name="S15" xfId="17808" xr:uid="{00000000-0005-0000-0000-000045BF0000}"/>
    <cellStyle name="S16" xfId="17812" xr:uid="{00000000-0005-0000-0000-000046BF0000}"/>
    <cellStyle name="S17" xfId="17811" xr:uid="{00000000-0005-0000-0000-000047BF0000}"/>
    <cellStyle name="S18" xfId="2216" xr:uid="{00000000-0005-0000-0000-000048BF0000}"/>
    <cellStyle name="S18 2" xfId="17827" xr:uid="{00000000-0005-0000-0000-000049BF0000}"/>
    <cellStyle name="S19" xfId="17828" xr:uid="{00000000-0005-0000-0000-00004ABF0000}"/>
    <cellStyle name="S2" xfId="3103" xr:uid="{00000000-0005-0000-0000-00004BBF0000}"/>
    <cellStyle name="S2 2" xfId="17815" xr:uid="{00000000-0005-0000-0000-00004CBF0000}"/>
    <cellStyle name="S20" xfId="17809" xr:uid="{00000000-0005-0000-0000-00004DBF0000}"/>
    <cellStyle name="S21" xfId="17813" xr:uid="{00000000-0005-0000-0000-00004EBF0000}"/>
    <cellStyle name="S22" xfId="17810" xr:uid="{00000000-0005-0000-0000-00004FBF0000}"/>
    <cellStyle name="S3" xfId="2985" xr:uid="{00000000-0005-0000-0000-000050BF0000}"/>
    <cellStyle name="S4" xfId="3024" xr:uid="{00000000-0005-0000-0000-000051BF0000}"/>
    <cellStyle name="S4 2" xfId="17824" xr:uid="{00000000-0005-0000-0000-000052BF0000}"/>
    <cellStyle name="S5" xfId="3104" xr:uid="{00000000-0005-0000-0000-000053BF0000}"/>
    <cellStyle name="S5 2" xfId="17826" xr:uid="{00000000-0005-0000-0000-000054BF0000}"/>
    <cellStyle name="S6" xfId="2986" xr:uid="{00000000-0005-0000-0000-000055BF0000}"/>
    <cellStyle name="S6 2" xfId="17829" xr:uid="{00000000-0005-0000-0000-000056BF0000}"/>
    <cellStyle name="S6 2 2" xfId="48988" xr:uid="{00000000-0005-0000-0000-000057BF0000}"/>
    <cellStyle name="S7" xfId="2984" xr:uid="{00000000-0005-0000-0000-000058BF0000}"/>
    <cellStyle name="S7 2" xfId="17830" xr:uid="{00000000-0005-0000-0000-000059BF0000}"/>
    <cellStyle name="S8" xfId="3105" xr:uid="{00000000-0005-0000-0000-00005ABF0000}"/>
    <cellStyle name="S8 2" xfId="17831" xr:uid="{00000000-0005-0000-0000-00005BBF0000}"/>
    <cellStyle name="S9" xfId="3106" xr:uid="{00000000-0005-0000-0000-00005CBF0000}"/>
    <cellStyle name="S9 2" xfId="17832" xr:uid="{00000000-0005-0000-0000-00005DBF0000}"/>
    <cellStyle name="Title 2" xfId="48926" xr:uid="{00000000-0005-0000-0000-00005EBF0000}"/>
    <cellStyle name="Title 2 2" xfId="49098" xr:uid="{851A256D-926A-4393-AD9C-6C4960A3797E}"/>
    <cellStyle name="Total 2" xfId="48927" xr:uid="{00000000-0005-0000-0000-00005FBF0000}"/>
    <cellStyle name="Warning Text 2" xfId="48928" xr:uid="{00000000-0005-0000-0000-000060BF0000}"/>
  </cellStyles>
  <dxfs count="0"/>
  <tableStyles count="0" defaultTableStyle="TableStyleMedium9" defaultPivotStyle="PivotStyleLight16"/>
  <colors>
    <mruColors>
      <color rgb="FF0000FF"/>
      <color rgb="FF66FFFF"/>
      <color rgb="FF3333FF"/>
      <color rgb="FF66FF66"/>
      <color rgb="FF33CCFF"/>
      <color rgb="FFFF99FF"/>
      <color rgb="FF0066FF"/>
      <color rgb="FF9933FF"/>
      <color rgb="FFFFFFCC"/>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18">
    <tabColor rgb="FFC00000"/>
  </sheetPr>
  <dimension ref="B1:T84"/>
  <sheetViews>
    <sheetView tabSelected="1" zoomScale="81" zoomScaleNormal="124" workbookViewId="0">
      <selection activeCell="R70" sqref="R70"/>
    </sheetView>
  </sheetViews>
  <sheetFormatPr defaultColWidth="8.7265625" defaultRowHeight="14.5"/>
  <cols>
    <col min="1" max="1" width="3" style="34" customWidth="1"/>
    <col min="2" max="2" width="5.7265625" style="35" customWidth="1"/>
    <col min="3" max="3" width="32.54296875" style="34" customWidth="1"/>
    <col min="4" max="4" width="12.26953125" style="34" customWidth="1"/>
    <col min="5" max="5" width="14.81640625" style="34" customWidth="1"/>
    <col min="6" max="6" width="13.1796875" style="34" customWidth="1"/>
    <col min="7" max="7" width="12.54296875" style="36" customWidth="1"/>
    <col min="8" max="9" width="12.1796875" style="36" customWidth="1"/>
    <col min="10" max="10" width="15.26953125" style="36" customWidth="1"/>
    <col min="11" max="11" width="14.1796875" style="36" customWidth="1"/>
    <col min="12" max="12" width="16.1796875" style="34" customWidth="1"/>
    <col min="13" max="13" width="15.81640625" style="34" customWidth="1"/>
    <col min="14" max="14" width="13.7265625" style="34" customWidth="1"/>
    <col min="15" max="15" width="12.54296875" style="34" customWidth="1"/>
    <col min="16" max="16" width="10.54296875" style="34" customWidth="1"/>
    <col min="17" max="17" width="13.453125" style="34" customWidth="1"/>
    <col min="18" max="18" width="18" style="34" customWidth="1"/>
    <col min="19" max="19" width="5.26953125" style="34" customWidth="1"/>
    <col min="20" max="20" width="24.26953125" style="34" customWidth="1"/>
    <col min="21" max="21" width="21.1796875" style="34" customWidth="1"/>
    <col min="22" max="22" width="23.453125" style="34" customWidth="1"/>
    <col min="23" max="28" width="8.7265625" style="34"/>
    <col min="29" max="29" width="18.81640625" style="34" customWidth="1"/>
    <col min="30" max="30" width="19.453125" style="34" customWidth="1"/>
    <col min="31" max="31" width="18.26953125" style="34" customWidth="1"/>
    <col min="32" max="16384" width="8.7265625" style="34"/>
  </cols>
  <sheetData>
    <row r="1" spans="2:14" ht="15" thickBot="1"/>
    <row r="2" spans="2:14" ht="24" customHeight="1">
      <c r="B2" s="384" t="s">
        <v>155</v>
      </c>
      <c r="C2" s="385"/>
      <c r="D2" s="385"/>
      <c r="E2" s="385"/>
      <c r="F2" s="385"/>
      <c r="G2" s="385"/>
      <c r="H2" s="385"/>
      <c r="I2" s="385"/>
      <c r="J2" s="385"/>
      <c r="K2" s="385"/>
      <c r="L2" s="386"/>
      <c r="M2" s="34" t="s">
        <v>176</v>
      </c>
      <c r="N2" s="34" t="s">
        <v>177</v>
      </c>
    </row>
    <row r="3" spans="2:14" ht="18.75" customHeight="1">
      <c r="B3" s="387" t="s">
        <v>156</v>
      </c>
      <c r="C3" s="388"/>
      <c r="D3" s="388"/>
      <c r="E3" s="388"/>
      <c r="F3" s="388"/>
      <c r="G3" s="388"/>
      <c r="H3" s="388"/>
      <c r="I3" s="388"/>
      <c r="J3" s="388"/>
      <c r="K3" s="388"/>
      <c r="L3" s="389"/>
    </row>
    <row r="4" spans="2:14" ht="22.5" customHeight="1">
      <c r="B4" s="402" t="s">
        <v>90</v>
      </c>
      <c r="C4" s="403"/>
      <c r="D4" s="403"/>
      <c r="E4" s="403"/>
      <c r="F4" s="403"/>
      <c r="G4" s="403"/>
      <c r="H4" s="403"/>
      <c r="I4" s="403"/>
      <c r="J4" s="403"/>
      <c r="K4" s="403"/>
      <c r="L4" s="404"/>
    </row>
    <row r="5" spans="2:14" ht="15.5">
      <c r="B5" s="357" t="str">
        <f>'PER DPM'!B5</f>
        <v>Hari Senin 3 AGS 2026</v>
      </c>
      <c r="C5" s="357"/>
      <c r="D5" s="357" t="str">
        <f>'PER DPM'!E5</f>
        <v>Pukul : 17.00</v>
      </c>
      <c r="E5" s="357"/>
      <c r="F5" s="396"/>
      <c r="G5" s="397"/>
      <c r="H5" s="41"/>
      <c r="I5" s="41"/>
    </row>
    <row r="6" spans="2:14" ht="27" customHeight="1">
      <c r="B6" s="411" t="s">
        <v>16</v>
      </c>
      <c r="C6" s="398" t="s">
        <v>14</v>
      </c>
      <c r="D6" s="399"/>
      <c r="E6" s="398" t="s">
        <v>74</v>
      </c>
      <c r="F6" s="413" t="s">
        <v>36</v>
      </c>
      <c r="G6" s="414"/>
      <c r="H6" s="415"/>
      <c r="I6" s="392" t="s">
        <v>29</v>
      </c>
      <c r="J6" s="393"/>
      <c r="K6" s="393"/>
      <c r="L6" s="394" t="s">
        <v>26</v>
      </c>
    </row>
    <row r="7" spans="2:14" ht="33.75" customHeight="1">
      <c r="B7" s="412"/>
      <c r="C7" s="400"/>
      <c r="D7" s="401"/>
      <c r="E7" s="400"/>
      <c r="F7" s="39" t="s">
        <v>61</v>
      </c>
      <c r="G7" s="38" t="s">
        <v>142</v>
      </c>
      <c r="H7" s="43" t="s">
        <v>77</v>
      </c>
      <c r="I7" s="38" t="s">
        <v>61</v>
      </c>
      <c r="J7" s="38" t="s">
        <v>143</v>
      </c>
      <c r="K7" s="40" t="s">
        <v>77</v>
      </c>
      <c r="L7" s="395"/>
    </row>
    <row r="8" spans="2:14">
      <c r="B8" s="59">
        <v>1</v>
      </c>
      <c r="C8" s="390">
        <v>2</v>
      </c>
      <c r="D8" s="391"/>
      <c r="E8" s="45" t="s">
        <v>32</v>
      </c>
      <c r="F8" s="46" t="s">
        <v>42</v>
      </c>
      <c r="G8" s="47" t="s">
        <v>40</v>
      </c>
      <c r="H8" s="48" t="s">
        <v>43</v>
      </c>
      <c r="I8" s="49" t="s">
        <v>41</v>
      </c>
      <c r="J8" s="47" t="s">
        <v>31</v>
      </c>
      <c r="K8" s="45" t="s">
        <v>72</v>
      </c>
      <c r="L8" s="60" t="s">
        <v>78</v>
      </c>
    </row>
    <row r="9" spans="2:14" ht="23.25" customHeight="1" thickBot="1">
      <c r="B9" s="133">
        <v>1</v>
      </c>
      <c r="C9" s="65" t="s">
        <v>79</v>
      </c>
      <c r="D9" s="66"/>
      <c r="E9" s="73">
        <v>104937.79675199999</v>
      </c>
      <c r="F9" s="67">
        <v>197571.612154</v>
      </c>
      <c r="G9" s="173">
        <v>163396.39411600001</v>
      </c>
      <c r="H9" s="68">
        <f>F9-G9</f>
        <v>34175.218037999992</v>
      </c>
      <c r="I9" s="69">
        <v>202187.829787</v>
      </c>
      <c r="J9" s="173">
        <v>155155.477835</v>
      </c>
      <c r="K9" s="70">
        <f>I9-J9</f>
        <v>47032.351951999997</v>
      </c>
      <c r="L9" s="176">
        <f>F9-I9</f>
        <v>-4616.2176329999929</v>
      </c>
    </row>
    <row r="10" spans="2:14" ht="15" thickBot="1">
      <c r="B10" s="56"/>
      <c r="C10" s="55"/>
      <c r="D10" s="42" t="s">
        <v>11</v>
      </c>
      <c r="E10" s="74">
        <f>SUM(E9)</f>
        <v>104937.79675199999</v>
      </c>
      <c r="F10" s="52">
        <f t="shared" ref="F10:K10" si="0">F9</f>
        <v>197571.612154</v>
      </c>
      <c r="G10" s="174">
        <f t="shared" si="0"/>
        <v>163396.39411600001</v>
      </c>
      <c r="H10" s="57">
        <f t="shared" si="0"/>
        <v>34175.218037999992</v>
      </c>
      <c r="I10" s="52">
        <f t="shared" si="0"/>
        <v>202187.829787</v>
      </c>
      <c r="J10" s="174">
        <f t="shared" si="0"/>
        <v>155155.477835</v>
      </c>
      <c r="K10" s="58">
        <f t="shared" si="0"/>
        <v>47032.351951999997</v>
      </c>
      <c r="L10" s="177">
        <f>F10-I10</f>
        <v>-4616.2176329999929</v>
      </c>
    </row>
    <row r="11" spans="2:14" ht="35.25" customHeight="1">
      <c r="B11" s="405" t="s">
        <v>140</v>
      </c>
      <c r="C11" s="406"/>
      <c r="D11" s="406"/>
      <c r="E11" s="406"/>
      <c r="F11" s="406"/>
      <c r="G11" s="406"/>
      <c r="H11" s="406"/>
      <c r="I11" s="406"/>
      <c r="J11" s="406"/>
      <c r="K11" s="406"/>
      <c r="L11" s="407"/>
    </row>
    <row r="12" spans="2:14" ht="24.75" customHeight="1">
      <c r="B12" s="131" t="s">
        <v>16</v>
      </c>
      <c r="C12" s="61" t="s">
        <v>14</v>
      </c>
      <c r="D12" s="62"/>
      <c r="E12" s="418" t="s">
        <v>71</v>
      </c>
      <c r="F12" s="418"/>
      <c r="G12" s="418" t="s">
        <v>12</v>
      </c>
      <c r="H12" s="419"/>
      <c r="I12" s="408" t="s">
        <v>84</v>
      </c>
      <c r="J12" s="409"/>
      <c r="K12" s="409"/>
      <c r="L12" s="410"/>
    </row>
    <row r="13" spans="2:14" ht="18" customHeight="1">
      <c r="B13" s="132">
        <v>1</v>
      </c>
      <c r="C13" s="435" t="s">
        <v>160</v>
      </c>
      <c r="D13" s="435"/>
      <c r="E13" s="381" t="s">
        <v>38</v>
      </c>
      <c r="F13" s="381"/>
      <c r="G13" s="381">
        <v>2778043702</v>
      </c>
      <c r="H13" s="382"/>
      <c r="I13" s="416" t="s">
        <v>83</v>
      </c>
      <c r="J13" s="417"/>
      <c r="K13" s="417"/>
      <c r="L13" s="117">
        <v>1726878900</v>
      </c>
    </row>
    <row r="14" spans="2:14" ht="18" customHeight="1">
      <c r="B14" s="132">
        <v>2</v>
      </c>
      <c r="C14" s="435" t="s">
        <v>80</v>
      </c>
      <c r="D14" s="435"/>
      <c r="E14" s="381" t="s">
        <v>39</v>
      </c>
      <c r="F14" s="381"/>
      <c r="G14" s="381">
        <v>106397603988</v>
      </c>
      <c r="H14" s="382"/>
      <c r="I14" s="374" t="s">
        <v>89</v>
      </c>
      <c r="J14" s="375"/>
      <c r="K14" s="376"/>
      <c r="L14" s="360"/>
    </row>
    <row r="15" spans="2:14" ht="18" customHeight="1">
      <c r="B15" s="132">
        <v>3</v>
      </c>
      <c r="C15" s="435" t="s">
        <v>81</v>
      </c>
      <c r="D15" s="435"/>
      <c r="E15" s="381" t="s">
        <v>133</v>
      </c>
      <c r="F15" s="381"/>
      <c r="G15" s="381">
        <v>134336160</v>
      </c>
      <c r="H15" s="382"/>
      <c r="I15" s="377"/>
      <c r="J15" s="378"/>
      <c r="K15" s="379"/>
      <c r="L15" s="361"/>
    </row>
    <row r="16" spans="2:14" ht="18" customHeight="1">
      <c r="B16" s="132">
        <v>4</v>
      </c>
      <c r="C16" s="433" t="s">
        <v>146</v>
      </c>
      <c r="D16" s="434"/>
      <c r="E16" s="382" t="s">
        <v>145</v>
      </c>
      <c r="F16" s="383"/>
      <c r="G16" s="381">
        <v>0</v>
      </c>
      <c r="H16" s="382"/>
      <c r="I16" s="377"/>
      <c r="J16" s="378"/>
      <c r="K16" s="379"/>
      <c r="L16" s="361"/>
    </row>
    <row r="17" spans="2:14" ht="18" customHeight="1">
      <c r="B17" s="132">
        <v>5</v>
      </c>
      <c r="C17" s="63" t="s">
        <v>82</v>
      </c>
      <c r="D17" s="64"/>
      <c r="E17" s="381"/>
      <c r="F17" s="381"/>
      <c r="G17" s="381">
        <v>0</v>
      </c>
      <c r="H17" s="382"/>
      <c r="I17" s="377"/>
      <c r="J17" s="378"/>
      <c r="K17" s="379"/>
      <c r="L17" s="361"/>
    </row>
    <row r="18" spans="2:14" ht="18" customHeight="1">
      <c r="B18" s="165"/>
      <c r="C18" s="166"/>
      <c r="D18" s="167"/>
      <c r="E18" s="380" t="s">
        <v>120</v>
      </c>
      <c r="F18" s="380"/>
      <c r="G18" s="426">
        <f>SUM(G13:H17)</f>
        <v>109309983850</v>
      </c>
      <c r="H18" s="427"/>
      <c r="I18" s="362" t="s">
        <v>122</v>
      </c>
      <c r="J18" s="363"/>
      <c r="K18" s="364"/>
      <c r="L18" s="71">
        <f>G18-G20</f>
        <v>104726668442</v>
      </c>
    </row>
    <row r="19" spans="2:14" ht="18" customHeight="1">
      <c r="B19" s="165"/>
      <c r="C19" s="166"/>
      <c r="D19" s="167"/>
      <c r="E19" s="380" t="s">
        <v>141</v>
      </c>
      <c r="F19" s="380"/>
      <c r="G19" s="426">
        <v>104937796752</v>
      </c>
      <c r="H19" s="427"/>
      <c r="I19" s="365" t="s">
        <v>119</v>
      </c>
      <c r="J19" s="366"/>
      <c r="K19" s="367"/>
      <c r="L19" s="175">
        <v>3206272335</v>
      </c>
    </row>
    <row r="20" spans="2:14" ht="18" customHeight="1" thickBot="1">
      <c r="B20" s="168"/>
      <c r="C20" s="169"/>
      <c r="D20" s="170"/>
      <c r="E20" s="430" t="s">
        <v>116</v>
      </c>
      <c r="F20" s="430"/>
      <c r="G20" s="424">
        <v>4583315408</v>
      </c>
      <c r="H20" s="425"/>
      <c r="I20" s="368" t="s">
        <v>148</v>
      </c>
      <c r="J20" s="369"/>
      <c r="K20" s="370"/>
      <c r="L20" s="171">
        <v>0</v>
      </c>
    </row>
    <row r="21" spans="2:14" ht="25.5" customHeight="1" thickBot="1">
      <c r="B21" s="340"/>
      <c r="C21" s="341"/>
      <c r="D21" s="344" t="s">
        <v>173</v>
      </c>
      <c r="E21" s="431" t="s">
        <v>117</v>
      </c>
      <c r="F21" s="432"/>
      <c r="G21" s="428">
        <f>G18-G19-G20</f>
        <v>-211128310</v>
      </c>
      <c r="H21" s="429"/>
      <c r="I21" s="371" t="s">
        <v>118</v>
      </c>
      <c r="J21" s="372"/>
      <c r="K21" s="373"/>
      <c r="L21" s="342">
        <f>L18-L19-L20</f>
        <v>101520396107</v>
      </c>
    </row>
    <row r="22" spans="2:14" ht="27" customHeight="1" thickBot="1">
      <c r="B22" s="343"/>
      <c r="C22" s="346" t="str">
        <f>R80</f>
        <v>Catatan : Saldo Kas Defisit 211 Juta tetapi masih ada kewajiban kepada pihak ke 3 yang belum dibayar kurang lebih sekitar 21 M dokumen dalam proses persetujuan</v>
      </c>
      <c r="D22" s="346"/>
      <c r="E22" s="346"/>
      <c r="F22" s="346"/>
      <c r="G22" s="346"/>
      <c r="H22" s="346"/>
      <c r="I22" s="346"/>
      <c r="J22" s="346"/>
      <c r="K22" s="346"/>
      <c r="L22" s="347"/>
    </row>
    <row r="26" spans="2:14" ht="15" thickBot="1"/>
    <row r="27" spans="2:14" ht="27.75" customHeight="1">
      <c r="B27" s="348" t="s">
        <v>98</v>
      </c>
      <c r="C27" s="349"/>
      <c r="D27" s="349"/>
      <c r="E27" s="349"/>
      <c r="F27" s="349"/>
      <c r="G27" s="349"/>
      <c r="H27" s="349"/>
      <c r="I27" s="349"/>
      <c r="J27" s="349"/>
      <c r="K27" s="349"/>
      <c r="L27" s="349"/>
      <c r="M27" s="349"/>
      <c r="N27" s="350"/>
    </row>
    <row r="28" spans="2:14" ht="18">
      <c r="B28" s="351" t="s">
        <v>134</v>
      </c>
      <c r="C28" s="352"/>
      <c r="D28" s="352"/>
      <c r="E28" s="352"/>
      <c r="F28" s="352"/>
      <c r="G28" s="352"/>
      <c r="H28" s="352"/>
      <c r="I28" s="352"/>
      <c r="J28" s="352"/>
      <c r="K28" s="352"/>
      <c r="L28" s="352"/>
      <c r="M28" s="352"/>
      <c r="N28" s="353"/>
    </row>
    <row r="29" spans="2:14" ht="16" thickBot="1">
      <c r="B29" s="354" t="s">
        <v>69</v>
      </c>
      <c r="C29" s="355"/>
      <c r="D29" s="355"/>
      <c r="E29" s="355"/>
      <c r="F29" s="355"/>
      <c r="G29" s="355"/>
      <c r="H29" s="355"/>
      <c r="I29" s="355"/>
      <c r="J29" s="355"/>
      <c r="K29" s="355"/>
      <c r="L29" s="355"/>
      <c r="M29" s="355"/>
      <c r="N29" s="356"/>
    </row>
    <row r="30" spans="2:14" ht="24.75" customHeight="1" thickBot="1">
      <c r="B30" s="357" t="str">
        <f>B5</f>
        <v>Hari Senin 3 AGS 2026</v>
      </c>
      <c r="C30" s="357"/>
      <c r="D30" s="357" t="str">
        <f>D5</f>
        <v>Pukul : 17.00</v>
      </c>
      <c r="E30" s="357"/>
      <c r="F30" s="358"/>
      <c r="G30" s="359"/>
      <c r="H30" s="160"/>
      <c r="I30" s="142"/>
      <c r="J30" s="142"/>
      <c r="K30" s="142"/>
      <c r="L30" s="143"/>
      <c r="M30" s="143"/>
      <c r="N30" s="143"/>
    </row>
    <row r="31" spans="2:14" ht="30" customHeight="1">
      <c r="B31" s="420" t="s">
        <v>16</v>
      </c>
      <c r="C31" s="422" t="s">
        <v>14</v>
      </c>
      <c r="D31" s="454" t="s">
        <v>13</v>
      </c>
      <c r="E31" s="456" t="s">
        <v>91</v>
      </c>
      <c r="F31" s="457"/>
      <c r="G31" s="458"/>
      <c r="H31" s="459" t="s">
        <v>94</v>
      </c>
      <c r="I31" s="460"/>
      <c r="J31" s="461"/>
      <c r="K31" s="446" t="s">
        <v>35</v>
      </c>
      <c r="L31" s="447"/>
      <c r="M31" s="448"/>
      <c r="N31" s="436" t="s">
        <v>99</v>
      </c>
    </row>
    <row r="32" spans="2:14" ht="25.5" customHeight="1">
      <c r="B32" s="421"/>
      <c r="C32" s="423"/>
      <c r="D32" s="455"/>
      <c r="E32" s="147" t="s">
        <v>92</v>
      </c>
      <c r="F32" s="121" t="s">
        <v>93</v>
      </c>
      <c r="G32" s="148" t="s">
        <v>11</v>
      </c>
      <c r="H32" s="147" t="s">
        <v>92</v>
      </c>
      <c r="I32" s="121" t="s">
        <v>93</v>
      </c>
      <c r="J32" s="148" t="s">
        <v>11</v>
      </c>
      <c r="K32" s="147" t="s">
        <v>92</v>
      </c>
      <c r="L32" s="121" t="s">
        <v>93</v>
      </c>
      <c r="M32" s="148" t="s">
        <v>11</v>
      </c>
      <c r="N32" s="437"/>
    </row>
    <row r="33" spans="2:16">
      <c r="B33" s="128">
        <v>1</v>
      </c>
      <c r="C33" s="44">
        <v>2</v>
      </c>
      <c r="D33" s="50">
        <v>3</v>
      </c>
      <c r="E33" s="128">
        <v>4</v>
      </c>
      <c r="F33" s="47">
        <v>5</v>
      </c>
      <c r="G33" s="129" t="s">
        <v>96</v>
      </c>
      <c r="H33" s="128" t="s">
        <v>41</v>
      </c>
      <c r="I33" s="47">
        <v>8</v>
      </c>
      <c r="J33" s="129" t="s">
        <v>95</v>
      </c>
      <c r="K33" s="128" t="s">
        <v>76</v>
      </c>
      <c r="L33" s="47" t="s">
        <v>97</v>
      </c>
      <c r="M33" s="129" t="s">
        <v>121</v>
      </c>
      <c r="N33" s="196" t="s">
        <v>100</v>
      </c>
    </row>
    <row r="34" spans="2:16">
      <c r="B34" s="130">
        <v>1</v>
      </c>
      <c r="C34" s="75" t="s">
        <v>75</v>
      </c>
      <c r="D34" s="76" t="s">
        <v>45</v>
      </c>
      <c r="E34" s="190">
        <v>2650.4766890000001</v>
      </c>
      <c r="F34" s="120">
        <v>10.799238000000059</v>
      </c>
      <c r="G34" s="191">
        <f>E34+F34</f>
        <v>2661.2759270000001</v>
      </c>
      <c r="H34" s="193">
        <v>2543.8666290000001</v>
      </c>
      <c r="I34" s="127">
        <v>10.799238000000059</v>
      </c>
      <c r="J34" s="194">
        <f>SUM(H34:I34)</f>
        <v>2554.6658670000002</v>
      </c>
      <c r="K34" s="200"/>
      <c r="L34" s="72"/>
      <c r="M34" s="149"/>
      <c r="N34" s="197">
        <f>G34-M34</f>
        <v>2661.2759270000001</v>
      </c>
    </row>
    <row r="35" spans="2:16">
      <c r="B35" s="130"/>
      <c r="C35" s="75" t="s">
        <v>130</v>
      </c>
      <c r="D35" s="76" t="s">
        <v>45</v>
      </c>
      <c r="E35" s="190"/>
      <c r="F35" s="120"/>
      <c r="G35" s="191">
        <f t="shared" ref="G35:G48" si="1">E35+F35</f>
        <v>0</v>
      </c>
      <c r="H35" s="193"/>
      <c r="I35" s="127"/>
      <c r="J35" s="194">
        <f t="shared" ref="J35:J48" si="2">SUM(H35:I35)</f>
        <v>0</v>
      </c>
      <c r="K35" s="200">
        <v>38219.360587000003</v>
      </c>
      <c r="L35" s="72">
        <v>0</v>
      </c>
      <c r="M35" s="149">
        <f>SUM(K35:L35)</f>
        <v>38219.360587000003</v>
      </c>
      <c r="N35" s="198">
        <f>G35-M35</f>
        <v>-38219.360587000003</v>
      </c>
    </row>
    <row r="36" spans="2:16">
      <c r="B36" s="130"/>
      <c r="C36" s="75" t="s">
        <v>131</v>
      </c>
      <c r="D36" s="76" t="s">
        <v>45</v>
      </c>
      <c r="E36" s="190"/>
      <c r="F36" s="120"/>
      <c r="G36" s="191">
        <f t="shared" si="1"/>
        <v>0</v>
      </c>
      <c r="H36" s="193"/>
      <c r="I36" s="127"/>
      <c r="J36" s="194">
        <f t="shared" si="2"/>
        <v>0</v>
      </c>
      <c r="K36" s="200">
        <v>15064.038533000001</v>
      </c>
      <c r="L36" s="72">
        <v>359.68198799999846</v>
      </c>
      <c r="M36" s="149">
        <f t="shared" ref="M36:M48" si="3">SUM(K36:L36)</f>
        <v>15423.720520999999</v>
      </c>
      <c r="N36" s="198">
        <f>G36-M36</f>
        <v>-15423.720520999999</v>
      </c>
    </row>
    <row r="37" spans="2:16">
      <c r="B37" s="130"/>
      <c r="C37" s="75" t="s">
        <v>132</v>
      </c>
      <c r="D37" s="76" t="s">
        <v>45</v>
      </c>
      <c r="E37" s="190"/>
      <c r="F37" s="120"/>
      <c r="G37" s="191">
        <f t="shared" si="1"/>
        <v>0</v>
      </c>
      <c r="H37" s="193"/>
      <c r="I37" s="127"/>
      <c r="J37" s="194">
        <f t="shared" si="2"/>
        <v>0</v>
      </c>
      <c r="K37" s="200">
        <v>3472.8914220000001</v>
      </c>
      <c r="L37" s="72">
        <v>19.466764999999668</v>
      </c>
      <c r="M37" s="149">
        <f t="shared" si="3"/>
        <v>3492.3581869999998</v>
      </c>
      <c r="N37" s="198">
        <f>G37-M37</f>
        <v>-3492.3581869999998</v>
      </c>
    </row>
    <row r="38" spans="2:16">
      <c r="B38" s="130">
        <f>B34+1</f>
        <v>2</v>
      </c>
      <c r="C38" s="75" t="s">
        <v>85</v>
      </c>
      <c r="D38" s="76" t="s">
        <v>45</v>
      </c>
      <c r="E38" s="190">
        <v>331.45378599999998</v>
      </c>
      <c r="F38" s="120">
        <v>16.819999999999993</v>
      </c>
      <c r="G38" s="191">
        <f t="shared" si="1"/>
        <v>348.27378599999997</v>
      </c>
      <c r="H38" s="193">
        <v>307.61528600000003</v>
      </c>
      <c r="I38" s="127">
        <v>0</v>
      </c>
      <c r="J38" s="194">
        <f t="shared" si="2"/>
        <v>307.61528600000003</v>
      </c>
      <c r="K38" s="200">
        <v>6653.9845910000004</v>
      </c>
      <c r="L38" s="72">
        <v>-1.5416420000001381</v>
      </c>
      <c r="M38" s="149">
        <f t="shared" si="3"/>
        <v>6652.4429490000002</v>
      </c>
      <c r="N38" s="198">
        <f t="shared" ref="N38:N47" si="4">G38-M38</f>
        <v>-6304.1691630000005</v>
      </c>
      <c r="P38" s="108"/>
    </row>
    <row r="39" spans="2:16">
      <c r="B39" s="130">
        <f t="shared" ref="B39:B48" si="5">B38+1</f>
        <v>3</v>
      </c>
      <c r="C39" s="75" t="s">
        <v>73</v>
      </c>
      <c r="D39" s="76" t="s">
        <v>46</v>
      </c>
      <c r="E39" s="190">
        <v>2936.5385999999999</v>
      </c>
      <c r="F39" s="120">
        <v>0</v>
      </c>
      <c r="G39" s="191">
        <f t="shared" si="1"/>
        <v>2936.5385999999999</v>
      </c>
      <c r="H39" s="193">
        <v>2827.4985999999999</v>
      </c>
      <c r="I39" s="127">
        <v>0</v>
      </c>
      <c r="J39" s="194">
        <f t="shared" si="2"/>
        <v>2827.4985999999999</v>
      </c>
      <c r="K39" s="200">
        <v>1926.1257410000001</v>
      </c>
      <c r="L39" s="72">
        <v>0</v>
      </c>
      <c r="M39" s="149">
        <f t="shared" si="3"/>
        <v>1926.1257410000001</v>
      </c>
      <c r="N39" s="197">
        <f t="shared" si="4"/>
        <v>1010.4128589999998</v>
      </c>
    </row>
    <row r="40" spans="2:16">
      <c r="B40" s="130">
        <f t="shared" si="5"/>
        <v>4</v>
      </c>
      <c r="C40" s="75" t="s">
        <v>87</v>
      </c>
      <c r="D40" s="76" t="s">
        <v>46</v>
      </c>
      <c r="E40" s="190">
        <v>4454.0671000000002</v>
      </c>
      <c r="F40" s="120">
        <v>0</v>
      </c>
      <c r="G40" s="191">
        <f t="shared" si="1"/>
        <v>4454.0671000000002</v>
      </c>
      <c r="H40" s="193">
        <v>2454.0671000000002</v>
      </c>
      <c r="I40" s="127">
        <v>0</v>
      </c>
      <c r="J40" s="194">
        <f t="shared" si="2"/>
        <v>2454.0671000000002</v>
      </c>
      <c r="K40" s="200">
        <v>32099.61853</v>
      </c>
      <c r="L40" s="72">
        <v>75.180000000000291</v>
      </c>
      <c r="M40" s="149">
        <f t="shared" si="3"/>
        <v>32174.79853</v>
      </c>
      <c r="N40" s="198">
        <f t="shared" si="4"/>
        <v>-27720.73143</v>
      </c>
      <c r="P40" s="108"/>
    </row>
    <row r="41" spans="2:16">
      <c r="B41" s="130">
        <f t="shared" si="5"/>
        <v>5</v>
      </c>
      <c r="C41" s="75" t="s">
        <v>63</v>
      </c>
      <c r="D41" s="76" t="s">
        <v>47</v>
      </c>
      <c r="E41" s="190">
        <v>21307.997491999999</v>
      </c>
      <c r="F41" s="120">
        <v>1368.6165000000001</v>
      </c>
      <c r="G41" s="191">
        <f t="shared" si="1"/>
        <v>22676.613991999999</v>
      </c>
      <c r="H41" s="193">
        <v>18166.634285</v>
      </c>
      <c r="I41" s="127">
        <v>20.009874999999738</v>
      </c>
      <c r="J41" s="194">
        <f t="shared" si="2"/>
        <v>18186.64416</v>
      </c>
      <c r="K41" s="200">
        <v>22497.279675000002</v>
      </c>
      <c r="L41" s="72">
        <v>0</v>
      </c>
      <c r="M41" s="149">
        <f t="shared" si="3"/>
        <v>22497.279675000002</v>
      </c>
      <c r="N41" s="197">
        <f t="shared" si="4"/>
        <v>179.3343169999971</v>
      </c>
    </row>
    <row r="42" spans="2:16">
      <c r="B42" s="130">
        <f t="shared" si="5"/>
        <v>6</v>
      </c>
      <c r="C42" s="75" t="s">
        <v>127</v>
      </c>
      <c r="D42" s="76" t="s">
        <v>47</v>
      </c>
      <c r="E42" s="190">
        <v>0</v>
      </c>
      <c r="F42" s="120">
        <v>0</v>
      </c>
      <c r="G42" s="191">
        <f t="shared" si="1"/>
        <v>0</v>
      </c>
      <c r="H42" s="193">
        <v>0</v>
      </c>
      <c r="I42" s="127">
        <v>0</v>
      </c>
      <c r="J42" s="194">
        <f t="shared" si="2"/>
        <v>0</v>
      </c>
      <c r="K42" s="200">
        <v>0</v>
      </c>
      <c r="L42" s="72">
        <v>0</v>
      </c>
      <c r="M42" s="149">
        <f t="shared" si="3"/>
        <v>0</v>
      </c>
      <c r="N42" s="197">
        <f t="shared" si="4"/>
        <v>0</v>
      </c>
    </row>
    <row r="43" spans="2:16">
      <c r="B43" s="130">
        <f t="shared" si="5"/>
        <v>7</v>
      </c>
      <c r="C43" s="75" t="s">
        <v>64</v>
      </c>
      <c r="D43" s="76" t="s">
        <v>48</v>
      </c>
      <c r="E43" s="190">
        <v>26322.828130000002</v>
      </c>
      <c r="F43" s="120">
        <v>2235.4913729999971</v>
      </c>
      <c r="G43" s="191">
        <f t="shared" si="1"/>
        <v>28558.319502999999</v>
      </c>
      <c r="H43" s="193">
        <v>25631.284629999998</v>
      </c>
      <c r="I43" s="127">
        <v>34.631000000001222</v>
      </c>
      <c r="J43" s="194">
        <f t="shared" si="2"/>
        <v>25665.91563</v>
      </c>
      <c r="K43" s="200">
        <v>43403.747066999997</v>
      </c>
      <c r="L43" s="72">
        <v>877.2677260000055</v>
      </c>
      <c r="M43" s="149">
        <f t="shared" si="3"/>
        <v>44281.014793000002</v>
      </c>
      <c r="N43" s="198">
        <f t="shared" si="4"/>
        <v>-15722.695290000003</v>
      </c>
    </row>
    <row r="44" spans="2:16">
      <c r="B44" s="130">
        <f t="shared" si="5"/>
        <v>8</v>
      </c>
      <c r="C44" s="75" t="s">
        <v>70</v>
      </c>
      <c r="D44" s="76" t="s">
        <v>49</v>
      </c>
      <c r="E44" s="190">
        <v>10963.808523</v>
      </c>
      <c r="F44" s="120">
        <v>333.36349999999948</v>
      </c>
      <c r="G44" s="191">
        <f t="shared" si="1"/>
        <v>11297.172022999999</v>
      </c>
      <c r="H44" s="193">
        <v>6730.0228980000002</v>
      </c>
      <c r="I44" s="127">
        <v>32.087999999999738</v>
      </c>
      <c r="J44" s="194">
        <f t="shared" si="2"/>
        <v>6762.1108979999999</v>
      </c>
      <c r="K44" s="200">
        <v>8959.6203480000004</v>
      </c>
      <c r="L44" s="72">
        <v>21.180000000000291</v>
      </c>
      <c r="M44" s="149">
        <f t="shared" si="3"/>
        <v>8980.8003480000007</v>
      </c>
      <c r="N44" s="197">
        <f t="shared" si="4"/>
        <v>2316.3716749999985</v>
      </c>
    </row>
    <row r="45" spans="2:16">
      <c r="B45" s="130">
        <f t="shared" si="5"/>
        <v>9</v>
      </c>
      <c r="C45" s="75" t="s">
        <v>65</v>
      </c>
      <c r="D45" s="76" t="s">
        <v>50</v>
      </c>
      <c r="E45" s="190">
        <v>50113.551769999998</v>
      </c>
      <c r="F45" s="120">
        <v>223.60501199999999</v>
      </c>
      <c r="G45" s="191">
        <f t="shared" si="1"/>
        <v>50337.156781999998</v>
      </c>
      <c r="H45" s="193">
        <v>46674.685909</v>
      </c>
      <c r="I45" s="127">
        <v>305.57329200000095</v>
      </c>
      <c r="J45" s="194">
        <f t="shared" si="2"/>
        <v>46980.259201000001</v>
      </c>
      <c r="K45" s="200">
        <v>64233.092871000001</v>
      </c>
      <c r="L45" s="72">
        <v>40.005499999999302</v>
      </c>
      <c r="M45" s="149">
        <f t="shared" si="3"/>
        <v>64273.098371</v>
      </c>
      <c r="N45" s="198">
        <f t="shared" si="4"/>
        <v>-13935.941589000002</v>
      </c>
    </row>
    <row r="46" spans="2:16">
      <c r="B46" s="130">
        <f t="shared" si="5"/>
        <v>10</v>
      </c>
      <c r="C46" s="75" t="s">
        <v>66</v>
      </c>
      <c r="D46" s="76" t="s">
        <v>51</v>
      </c>
      <c r="E46" s="190">
        <v>14101.831276999999</v>
      </c>
      <c r="F46" s="120">
        <v>203.24850000000151</v>
      </c>
      <c r="G46" s="191">
        <f t="shared" si="1"/>
        <v>14305.079777000001</v>
      </c>
      <c r="H46" s="193">
        <v>12539.31624</v>
      </c>
      <c r="I46" s="127">
        <v>0</v>
      </c>
      <c r="J46" s="194">
        <f t="shared" si="2"/>
        <v>12539.31624</v>
      </c>
      <c r="K46" s="200">
        <v>9762.5027690000006</v>
      </c>
      <c r="L46" s="72">
        <v>-13.976817000000665</v>
      </c>
      <c r="M46" s="149">
        <f t="shared" si="3"/>
        <v>9748.525952</v>
      </c>
      <c r="N46" s="197">
        <f t="shared" si="4"/>
        <v>4556.5538250000009</v>
      </c>
    </row>
    <row r="47" spans="2:16" ht="15.75" customHeight="1">
      <c r="B47" s="130">
        <f t="shared" si="5"/>
        <v>11</v>
      </c>
      <c r="C47" s="75" t="s">
        <v>128</v>
      </c>
      <c r="D47" s="76" t="s">
        <v>51</v>
      </c>
      <c r="E47" s="190">
        <v>6272.22973</v>
      </c>
      <c r="F47" s="120">
        <v>0</v>
      </c>
      <c r="G47" s="191">
        <f t="shared" si="1"/>
        <v>6272.22973</v>
      </c>
      <c r="H47" s="193">
        <v>6272.22973</v>
      </c>
      <c r="I47" s="127">
        <v>0</v>
      </c>
      <c r="J47" s="194">
        <f t="shared" si="2"/>
        <v>6272.22973</v>
      </c>
      <c r="K47" s="200">
        <v>7319.649797</v>
      </c>
      <c r="L47" s="72">
        <v>1.932901999999558</v>
      </c>
      <c r="M47" s="149">
        <f t="shared" si="3"/>
        <v>7321.5826989999996</v>
      </c>
      <c r="N47" s="198">
        <f t="shared" si="4"/>
        <v>-1049.3529689999996</v>
      </c>
    </row>
    <row r="48" spans="2:16" ht="15" thickBot="1">
      <c r="B48" s="326">
        <f t="shared" si="5"/>
        <v>12</v>
      </c>
      <c r="C48" s="327" t="s">
        <v>67</v>
      </c>
      <c r="D48" s="328" t="s">
        <v>68</v>
      </c>
      <c r="E48" s="329">
        <v>2372.7934449999998</v>
      </c>
      <c r="F48" s="330">
        <v>140</v>
      </c>
      <c r="G48" s="331">
        <f t="shared" si="1"/>
        <v>2512.7934449999998</v>
      </c>
      <c r="H48" s="332">
        <v>2372.7934449999998</v>
      </c>
      <c r="I48" s="333">
        <v>0</v>
      </c>
      <c r="J48" s="334">
        <f t="shared" si="2"/>
        <v>2372.7934449999998</v>
      </c>
      <c r="K48" s="335">
        <v>5385.0209100000002</v>
      </c>
      <c r="L48" s="336">
        <v>298.42768400000023</v>
      </c>
      <c r="M48" s="337">
        <f t="shared" si="3"/>
        <v>5683.4485940000004</v>
      </c>
      <c r="N48" s="338">
        <f>G48-M48</f>
        <v>-3170.6551490000006</v>
      </c>
      <c r="O48" s="108"/>
    </row>
    <row r="49" spans="2:18">
      <c r="B49" s="235" t="s">
        <v>161</v>
      </c>
      <c r="C49" s="323" t="s">
        <v>163</v>
      </c>
      <c r="D49" s="324"/>
      <c r="E49" s="237">
        <f>SUM(E34:E48)</f>
        <v>141827.57654199997</v>
      </c>
      <c r="F49" s="238">
        <f t="shared" ref="F49:M49" si="6">SUM(F34:F48)</f>
        <v>4531.9441229999984</v>
      </c>
      <c r="G49" s="239">
        <f t="shared" si="6"/>
        <v>146359.52066499999</v>
      </c>
      <c r="H49" s="237">
        <f t="shared" si="6"/>
        <v>126520.014752</v>
      </c>
      <c r="I49" s="238">
        <f t="shared" si="6"/>
        <v>403.10140500000171</v>
      </c>
      <c r="J49" s="239">
        <f t="shared" si="6"/>
        <v>126923.116157</v>
      </c>
      <c r="K49" s="237">
        <f t="shared" si="6"/>
        <v>258996.932841</v>
      </c>
      <c r="L49" s="238">
        <f t="shared" si="6"/>
        <v>1677.6241060000025</v>
      </c>
      <c r="M49" s="239">
        <f t="shared" si="6"/>
        <v>260674.55694699995</v>
      </c>
      <c r="N49" s="325">
        <f>SUM(N34:N48)</f>
        <v>-114315.036282</v>
      </c>
      <c r="O49" s="108"/>
    </row>
    <row r="50" spans="2:18" ht="18" customHeight="1" thickBot="1">
      <c r="B50" s="202" t="s">
        <v>162</v>
      </c>
      <c r="C50" s="185" t="s">
        <v>164</v>
      </c>
      <c r="D50" s="189"/>
      <c r="E50" s="192">
        <v>0</v>
      </c>
      <c r="F50" s="186"/>
      <c r="G50" s="188">
        <f>E50+F50</f>
        <v>0</v>
      </c>
      <c r="H50" s="195"/>
      <c r="I50" s="187"/>
      <c r="J50" s="188"/>
      <c r="K50" s="192"/>
      <c r="L50" s="186"/>
      <c r="M50" s="188"/>
      <c r="N50" s="199">
        <f>G50-M50</f>
        <v>0</v>
      </c>
      <c r="O50" s="108"/>
    </row>
    <row r="51" spans="2:18" ht="27" customHeight="1" thickBot="1">
      <c r="B51" s="317"/>
      <c r="C51" s="318"/>
      <c r="D51" s="319" t="s">
        <v>165</v>
      </c>
      <c r="E51" s="317">
        <f>E49+E50</f>
        <v>141827.57654199997</v>
      </c>
      <c r="F51" s="320">
        <f>F49+F50</f>
        <v>4531.9441229999984</v>
      </c>
      <c r="G51" s="321">
        <f>+G49+G50</f>
        <v>146359.52066499999</v>
      </c>
      <c r="H51" s="317">
        <f t="shared" ref="H51:N51" si="7">H49+H50</f>
        <v>126520.014752</v>
      </c>
      <c r="I51" s="320">
        <f t="shared" si="7"/>
        <v>403.10140500000171</v>
      </c>
      <c r="J51" s="321">
        <f t="shared" si="7"/>
        <v>126923.116157</v>
      </c>
      <c r="K51" s="317">
        <f t="shared" si="7"/>
        <v>258996.932841</v>
      </c>
      <c r="L51" s="320">
        <f t="shared" si="7"/>
        <v>1677.6241060000025</v>
      </c>
      <c r="M51" s="321">
        <f t="shared" si="7"/>
        <v>260674.55694699995</v>
      </c>
      <c r="N51" s="322">
        <f t="shared" si="7"/>
        <v>-114315.036282</v>
      </c>
      <c r="O51" s="36"/>
    </row>
    <row r="52" spans="2:18" ht="49.5" customHeight="1" thickBot="1">
      <c r="B52" s="140"/>
      <c r="C52" s="141"/>
      <c r="D52" s="451" t="s">
        <v>158</v>
      </c>
      <c r="E52" s="452"/>
      <c r="F52" s="452"/>
      <c r="G52" s="452"/>
      <c r="H52" s="452"/>
      <c r="I52" s="452"/>
      <c r="J52" s="452"/>
      <c r="K52" s="452"/>
      <c r="L52" s="453"/>
      <c r="M52" s="449"/>
      <c r="N52" s="450"/>
      <c r="O52" s="109"/>
    </row>
    <row r="53" spans="2:18" ht="25" customHeight="1">
      <c r="C53" s="144"/>
      <c r="D53" s="145"/>
      <c r="E53" s="145"/>
      <c r="F53" s="145"/>
      <c r="G53" s="145"/>
      <c r="H53" s="145"/>
      <c r="I53" s="145"/>
      <c r="J53" s="145"/>
      <c r="K53" s="145"/>
      <c r="L53" s="145"/>
      <c r="M53" s="107"/>
      <c r="N53" s="107"/>
      <c r="O53" s="109"/>
    </row>
    <row r="54" spans="2:18" ht="25" customHeight="1" thickBot="1">
      <c r="C54" s="144"/>
      <c r="D54" s="145"/>
      <c r="E54" s="145"/>
      <c r="F54" s="145"/>
      <c r="G54" s="145"/>
      <c r="H54" s="145"/>
      <c r="I54" s="145"/>
      <c r="J54" s="145"/>
      <c r="K54" s="145"/>
      <c r="L54" s="145"/>
      <c r="M54" s="107"/>
      <c r="N54" s="107"/>
      <c r="O54" s="109"/>
    </row>
    <row r="55" spans="2:18" ht="21" customHeight="1">
      <c r="B55" s="348" t="s">
        <v>157</v>
      </c>
      <c r="C55" s="349"/>
      <c r="D55" s="349"/>
      <c r="E55" s="349"/>
      <c r="F55" s="349"/>
      <c r="G55" s="349"/>
      <c r="H55" s="349"/>
      <c r="I55" s="349"/>
      <c r="J55" s="349"/>
      <c r="K55" s="349"/>
      <c r="L55" s="349"/>
      <c r="M55" s="349"/>
      <c r="N55" s="349"/>
      <c r="O55" s="349"/>
      <c r="P55" s="349"/>
      <c r="Q55" s="349"/>
      <c r="R55" s="350"/>
    </row>
    <row r="56" spans="2:18" ht="21.75" customHeight="1">
      <c r="B56" s="351" t="s">
        <v>135</v>
      </c>
      <c r="C56" s="352"/>
      <c r="D56" s="352"/>
      <c r="E56" s="352"/>
      <c r="F56" s="352"/>
      <c r="G56" s="352"/>
      <c r="H56" s="352"/>
      <c r="I56" s="352"/>
      <c r="J56" s="352"/>
      <c r="K56" s="352"/>
      <c r="L56" s="352"/>
      <c r="M56" s="352"/>
      <c r="N56" s="352"/>
      <c r="O56" s="352"/>
      <c r="P56" s="352"/>
      <c r="Q56" s="352"/>
      <c r="R56" s="353"/>
    </row>
    <row r="57" spans="2:18" ht="25" customHeight="1" thickBot="1">
      <c r="B57" s="476" t="s">
        <v>69</v>
      </c>
      <c r="C57" s="477"/>
      <c r="D57" s="477"/>
      <c r="E57" s="477"/>
      <c r="F57" s="477"/>
      <c r="G57" s="477"/>
      <c r="H57" s="477"/>
      <c r="I57" s="477"/>
      <c r="J57" s="477"/>
      <c r="K57" s="477"/>
      <c r="L57" s="477"/>
      <c r="M57" s="477"/>
      <c r="N57" s="477"/>
      <c r="O57" s="477"/>
      <c r="P57" s="477"/>
      <c r="Q57" s="477"/>
      <c r="R57" s="478"/>
    </row>
    <row r="58" spans="2:18" ht="24" customHeight="1" thickBot="1">
      <c r="B58" s="357" t="str">
        <f>B30</f>
        <v>Hari Senin 3 AGS 2026</v>
      </c>
      <c r="C58" s="357"/>
      <c r="D58" s="357" t="str">
        <f>D30</f>
        <v>Pukul : 17.00</v>
      </c>
      <c r="E58" s="357"/>
      <c r="F58" s="396"/>
      <c r="G58" s="397"/>
      <c r="H58" s="126"/>
      <c r="I58" s="160"/>
      <c r="J58" s="160"/>
      <c r="K58" s="157"/>
      <c r="L58" s="158"/>
      <c r="M58" s="158"/>
      <c r="N58" s="158"/>
      <c r="O58" s="159"/>
    </row>
    <row r="59" spans="2:18" ht="23.15" customHeight="1">
      <c r="B59" s="420" t="s">
        <v>16</v>
      </c>
      <c r="C59" s="454" t="s">
        <v>14</v>
      </c>
      <c r="D59" s="483" t="s">
        <v>13</v>
      </c>
      <c r="E59" s="487" t="s">
        <v>52</v>
      </c>
      <c r="F59" s="457"/>
      <c r="G59" s="458"/>
      <c r="H59" s="460" t="s">
        <v>104</v>
      </c>
      <c r="I59" s="460"/>
      <c r="J59" s="460"/>
      <c r="K59" s="446" t="s">
        <v>107</v>
      </c>
      <c r="L59" s="447"/>
      <c r="M59" s="448"/>
      <c r="N59" s="447" t="s">
        <v>34</v>
      </c>
      <c r="O59" s="447"/>
      <c r="P59" s="447"/>
      <c r="Q59" s="485" t="s">
        <v>111</v>
      </c>
      <c r="R59" s="436" t="s">
        <v>110</v>
      </c>
    </row>
    <row r="60" spans="2:18" ht="23.15" customHeight="1">
      <c r="B60" s="421"/>
      <c r="C60" s="455"/>
      <c r="D60" s="484"/>
      <c r="E60" s="121" t="s">
        <v>30</v>
      </c>
      <c r="F60" s="121" t="s">
        <v>27</v>
      </c>
      <c r="G60" s="148" t="s">
        <v>19</v>
      </c>
      <c r="H60" s="122" t="s">
        <v>105</v>
      </c>
      <c r="I60" s="121" t="s">
        <v>106</v>
      </c>
      <c r="J60" s="123" t="s">
        <v>22</v>
      </c>
      <c r="K60" s="147" t="s">
        <v>17</v>
      </c>
      <c r="L60" s="121" t="s">
        <v>15</v>
      </c>
      <c r="M60" s="148" t="s">
        <v>11</v>
      </c>
      <c r="N60" s="122" t="s">
        <v>17</v>
      </c>
      <c r="O60" s="121" t="s">
        <v>15</v>
      </c>
      <c r="P60" s="123" t="s">
        <v>11</v>
      </c>
      <c r="Q60" s="486"/>
      <c r="R60" s="437"/>
    </row>
    <row r="61" spans="2:18" ht="16.5" customHeight="1">
      <c r="B61" s="128">
        <v>1</v>
      </c>
      <c r="C61" s="50">
        <v>2</v>
      </c>
      <c r="D61" s="213">
        <v>3</v>
      </c>
      <c r="E61" s="47">
        <v>4</v>
      </c>
      <c r="F61" s="47">
        <v>5</v>
      </c>
      <c r="G61" s="129" t="s">
        <v>43</v>
      </c>
      <c r="H61" s="51" t="s">
        <v>41</v>
      </c>
      <c r="I61" s="47">
        <v>8</v>
      </c>
      <c r="J61" s="45" t="s">
        <v>72</v>
      </c>
      <c r="K61" s="128" t="s">
        <v>76</v>
      </c>
      <c r="L61" s="47" t="s">
        <v>97</v>
      </c>
      <c r="M61" s="129" t="s">
        <v>121</v>
      </c>
      <c r="N61" s="51" t="s">
        <v>103</v>
      </c>
      <c r="O61" s="47" t="s">
        <v>108</v>
      </c>
      <c r="P61" s="45" t="s">
        <v>109</v>
      </c>
      <c r="Q61" s="222" t="s">
        <v>115</v>
      </c>
      <c r="R61" s="196" t="s">
        <v>129</v>
      </c>
    </row>
    <row r="62" spans="2:18" ht="20.149999999999999" customHeight="1">
      <c r="B62" s="130">
        <v>1</v>
      </c>
      <c r="C62" s="209" t="s">
        <v>75</v>
      </c>
      <c r="D62" s="214" t="s">
        <v>45</v>
      </c>
      <c r="E62" s="125">
        <v>2661.2759270000001</v>
      </c>
      <c r="F62" s="125">
        <v>0</v>
      </c>
      <c r="G62" s="215">
        <v>2650.4766890000001</v>
      </c>
      <c r="H62" s="210">
        <v>2661.2759270000001</v>
      </c>
      <c r="I62" s="151">
        <v>2554.6658670000002</v>
      </c>
      <c r="J62" s="218">
        <f>H62-I62</f>
        <v>106.61005999999998</v>
      </c>
      <c r="K62" s="150"/>
      <c r="L62" s="124"/>
      <c r="M62" s="149">
        <f>SUM(K62:L62)</f>
        <v>0</v>
      </c>
      <c r="N62" s="220"/>
      <c r="O62" s="124"/>
      <c r="P62" s="152"/>
      <c r="Q62" s="223"/>
      <c r="R62" s="197">
        <f>H62-Q62</f>
        <v>2661.2759270000001</v>
      </c>
    </row>
    <row r="63" spans="2:18" ht="20.149999999999999" customHeight="1">
      <c r="B63" s="130"/>
      <c r="C63" s="209" t="s">
        <v>130</v>
      </c>
      <c r="D63" s="214" t="s">
        <v>45</v>
      </c>
      <c r="E63" s="125"/>
      <c r="F63" s="125"/>
      <c r="G63" s="215"/>
      <c r="H63" s="210"/>
      <c r="I63" s="151"/>
      <c r="J63" s="218">
        <f t="shared" ref="J63:J76" si="8">H63-I63</f>
        <v>0</v>
      </c>
      <c r="K63" s="150"/>
      <c r="L63" s="124"/>
      <c r="M63" s="149"/>
      <c r="N63" s="220">
        <v>38219.360587000003</v>
      </c>
      <c r="O63" s="124"/>
      <c r="P63" s="152">
        <f>SUM(N63:O63)</f>
        <v>38219.360587000003</v>
      </c>
      <c r="Q63" s="223">
        <f>M63+P63</f>
        <v>38219.360587000003</v>
      </c>
      <c r="R63" s="198">
        <f>H63-Q63</f>
        <v>-38219.360587000003</v>
      </c>
    </row>
    <row r="64" spans="2:18" ht="20.149999999999999" customHeight="1">
      <c r="B64" s="130"/>
      <c r="C64" s="209" t="s">
        <v>131</v>
      </c>
      <c r="D64" s="214" t="s">
        <v>45</v>
      </c>
      <c r="E64" s="125"/>
      <c r="F64" s="125"/>
      <c r="G64" s="215"/>
      <c r="H64" s="210"/>
      <c r="I64" s="151"/>
      <c r="J64" s="218">
        <f t="shared" si="8"/>
        <v>0</v>
      </c>
      <c r="K64" s="150"/>
      <c r="L64" s="124"/>
      <c r="M64" s="149"/>
      <c r="N64" s="220">
        <v>12988.304216</v>
      </c>
      <c r="O64" s="124">
        <v>2435.4163050000002</v>
      </c>
      <c r="P64" s="152">
        <f>SUM(N64:O64)</f>
        <v>15423.720521000001</v>
      </c>
      <c r="Q64" s="223">
        <f t="shared" ref="Q64:Q76" si="9">M64+P64</f>
        <v>15423.720521000001</v>
      </c>
      <c r="R64" s="198">
        <f>H64-Q64</f>
        <v>-15423.720521000001</v>
      </c>
    </row>
    <row r="65" spans="2:20" ht="20.149999999999999" customHeight="1">
      <c r="B65" s="130"/>
      <c r="C65" s="209" t="s">
        <v>132</v>
      </c>
      <c r="D65" s="214" t="s">
        <v>45</v>
      </c>
      <c r="E65" s="125"/>
      <c r="F65" s="125"/>
      <c r="G65" s="215"/>
      <c r="H65" s="210"/>
      <c r="I65" s="151"/>
      <c r="J65" s="218">
        <f t="shared" si="8"/>
        <v>0</v>
      </c>
      <c r="K65" s="150"/>
      <c r="L65" s="124"/>
      <c r="M65" s="149"/>
      <c r="N65" s="220">
        <v>3492.3581869999998</v>
      </c>
      <c r="O65" s="124">
        <v>0</v>
      </c>
      <c r="P65" s="152">
        <f>SUM(N65:O65)</f>
        <v>3492.3581869999998</v>
      </c>
      <c r="Q65" s="223">
        <f t="shared" si="9"/>
        <v>3492.3581869999998</v>
      </c>
      <c r="R65" s="198">
        <f>H65-Q65</f>
        <v>-3492.3581869999998</v>
      </c>
    </row>
    <row r="66" spans="2:20" ht="20.149999999999999" customHeight="1">
      <c r="B66" s="130">
        <f>B62+1</f>
        <v>2</v>
      </c>
      <c r="C66" s="209" t="s">
        <v>85</v>
      </c>
      <c r="D66" s="214" t="s">
        <v>45</v>
      </c>
      <c r="E66" s="125">
        <v>8508.2601250000007</v>
      </c>
      <c r="F66" s="125">
        <v>7116.2283630000002</v>
      </c>
      <c r="G66" s="215">
        <v>1391.4701620000005</v>
      </c>
      <c r="H66" s="210">
        <v>348.27378599999997</v>
      </c>
      <c r="I66" s="151">
        <v>307.61528600000003</v>
      </c>
      <c r="J66" s="218">
        <f t="shared" si="8"/>
        <v>40.658499999999947</v>
      </c>
      <c r="K66" s="150">
        <v>6536.1235489999999</v>
      </c>
      <c r="L66" s="124">
        <v>116.3194</v>
      </c>
      <c r="M66" s="149">
        <f t="shared" ref="M66:M76" si="10">SUM(K66:L66)</f>
        <v>6652.4429490000002</v>
      </c>
      <c r="N66" s="220">
        <v>0</v>
      </c>
      <c r="O66" s="124">
        <v>0</v>
      </c>
      <c r="P66" s="152">
        <f t="shared" ref="P66:P76" si="11">SUM(N66:O66)</f>
        <v>0</v>
      </c>
      <c r="Q66" s="223">
        <f t="shared" si="9"/>
        <v>6652.4429490000002</v>
      </c>
      <c r="R66" s="198">
        <f t="shared" ref="R66:R76" si="12">H66-Q66</f>
        <v>-6304.1691630000005</v>
      </c>
    </row>
    <row r="67" spans="2:20" ht="20.149999999999999" customHeight="1">
      <c r="B67" s="130">
        <f t="shared" ref="B67:B76" si="13">B66+1</f>
        <v>3</v>
      </c>
      <c r="C67" s="209" t="s">
        <v>73</v>
      </c>
      <c r="D67" s="214" t="s">
        <v>46</v>
      </c>
      <c r="E67" s="125">
        <v>4469.1774999999998</v>
      </c>
      <c r="F67" s="125">
        <v>2816.4501409999998</v>
      </c>
      <c r="G67" s="215">
        <v>1652.727359</v>
      </c>
      <c r="H67" s="210">
        <v>2936.5385999999999</v>
      </c>
      <c r="I67" s="151">
        <v>2827.4985999999999</v>
      </c>
      <c r="J67" s="218">
        <f t="shared" si="8"/>
        <v>109.03999999999996</v>
      </c>
      <c r="K67" s="150">
        <v>1899.1527410000001</v>
      </c>
      <c r="L67" s="124">
        <v>26.972999999999999</v>
      </c>
      <c r="M67" s="149">
        <f t="shared" si="10"/>
        <v>1926.1257410000001</v>
      </c>
      <c r="N67" s="220">
        <v>0</v>
      </c>
      <c r="O67" s="124">
        <v>0</v>
      </c>
      <c r="P67" s="152">
        <f t="shared" si="11"/>
        <v>0</v>
      </c>
      <c r="Q67" s="223">
        <f t="shared" si="9"/>
        <v>1926.1257410000001</v>
      </c>
      <c r="R67" s="197">
        <f t="shared" si="12"/>
        <v>1010.4128589999998</v>
      </c>
    </row>
    <row r="68" spans="2:20" ht="20.149999999999999" customHeight="1">
      <c r="B68" s="130">
        <f t="shared" si="13"/>
        <v>4</v>
      </c>
      <c r="C68" s="209" t="s">
        <v>87</v>
      </c>
      <c r="D68" s="214" t="s">
        <v>46</v>
      </c>
      <c r="E68" s="125">
        <v>30520.926029999999</v>
      </c>
      <c r="F68" s="125">
        <v>30520.926029999999</v>
      </c>
      <c r="G68" s="215">
        <v>0</v>
      </c>
      <c r="H68" s="210">
        <v>4454.0671000000002</v>
      </c>
      <c r="I68" s="151">
        <v>2454.0671000000002</v>
      </c>
      <c r="J68" s="218">
        <f t="shared" si="8"/>
        <v>2000</v>
      </c>
      <c r="K68" s="150">
        <v>20622.663349999999</v>
      </c>
      <c r="L68" s="124">
        <v>11552.135179999999</v>
      </c>
      <c r="M68" s="149">
        <f t="shared" si="10"/>
        <v>32174.79853</v>
      </c>
      <c r="N68" s="220">
        <v>0</v>
      </c>
      <c r="O68" s="124">
        <v>0</v>
      </c>
      <c r="P68" s="152">
        <f t="shared" si="11"/>
        <v>0</v>
      </c>
      <c r="Q68" s="223">
        <f t="shared" si="9"/>
        <v>32174.79853</v>
      </c>
      <c r="R68" s="198">
        <f t="shared" si="12"/>
        <v>-27720.73143</v>
      </c>
      <c r="T68" s="37"/>
    </row>
    <row r="69" spans="2:20" ht="20.149999999999999" customHeight="1">
      <c r="B69" s="130">
        <f t="shared" si="13"/>
        <v>5</v>
      </c>
      <c r="C69" s="209" t="s">
        <v>63</v>
      </c>
      <c r="D69" s="214" t="s">
        <v>47</v>
      </c>
      <c r="E69" s="125">
        <v>39728.823724000002</v>
      </c>
      <c r="F69" s="125">
        <v>26716.853488000001</v>
      </c>
      <c r="G69" s="215">
        <v>13011.970236000001</v>
      </c>
      <c r="H69" s="210">
        <v>22676.613991999999</v>
      </c>
      <c r="I69" s="151">
        <v>18186.64416</v>
      </c>
      <c r="J69" s="218">
        <f t="shared" si="8"/>
        <v>4489.9698319999989</v>
      </c>
      <c r="K69" s="150">
        <v>18058.833782000002</v>
      </c>
      <c r="L69" s="124">
        <v>811.40368000000001</v>
      </c>
      <c r="M69" s="149">
        <f t="shared" si="10"/>
        <v>18870.237462000001</v>
      </c>
      <c r="N69" s="220">
        <v>3597.405213</v>
      </c>
      <c r="O69" s="124">
        <v>29.637</v>
      </c>
      <c r="P69" s="152">
        <f t="shared" si="11"/>
        <v>3627.0422130000002</v>
      </c>
      <c r="Q69" s="223">
        <f t="shared" si="9"/>
        <v>22497.279675000002</v>
      </c>
      <c r="R69" s="197">
        <f t="shared" si="12"/>
        <v>179.3343169999971</v>
      </c>
    </row>
    <row r="70" spans="2:20" ht="20.149999999999999" customHeight="1">
      <c r="B70" s="130">
        <f t="shared" si="13"/>
        <v>6</v>
      </c>
      <c r="C70" s="209" t="s">
        <v>127</v>
      </c>
      <c r="D70" s="214" t="s">
        <v>47</v>
      </c>
      <c r="E70" s="125">
        <v>0</v>
      </c>
      <c r="F70" s="125">
        <v>0</v>
      </c>
      <c r="G70" s="215">
        <v>0</v>
      </c>
      <c r="H70" s="210">
        <v>0</v>
      </c>
      <c r="I70" s="151">
        <v>0</v>
      </c>
      <c r="J70" s="218">
        <f t="shared" si="8"/>
        <v>0</v>
      </c>
      <c r="K70" s="150">
        <v>0</v>
      </c>
      <c r="L70" s="124">
        <v>0</v>
      </c>
      <c r="M70" s="149">
        <f t="shared" si="10"/>
        <v>0</v>
      </c>
      <c r="N70" s="220"/>
      <c r="O70" s="124"/>
      <c r="P70" s="152"/>
      <c r="Q70" s="223">
        <f t="shared" si="9"/>
        <v>0</v>
      </c>
      <c r="R70" s="198">
        <f t="shared" si="12"/>
        <v>0</v>
      </c>
    </row>
    <row r="71" spans="2:20" ht="20.149999999999999" customHeight="1">
      <c r="B71" s="130">
        <f t="shared" si="13"/>
        <v>7</v>
      </c>
      <c r="C71" s="209" t="s">
        <v>64</v>
      </c>
      <c r="D71" s="214" t="s">
        <v>48</v>
      </c>
      <c r="E71" s="125">
        <v>102742.72431799999</v>
      </c>
      <c r="F71" s="125">
        <v>79622.301517999993</v>
      </c>
      <c r="G71" s="215">
        <v>23425.354303</v>
      </c>
      <c r="H71" s="210">
        <v>28558.319502999999</v>
      </c>
      <c r="I71" s="151">
        <v>25665.91563</v>
      </c>
      <c r="J71" s="218">
        <f t="shared" si="8"/>
        <v>2892.4038729999993</v>
      </c>
      <c r="K71" s="150">
        <v>28362.702314999999</v>
      </c>
      <c r="L71" s="124">
        <v>12014.14301</v>
      </c>
      <c r="M71" s="149">
        <f t="shared" si="10"/>
        <v>40376.845325000002</v>
      </c>
      <c r="N71" s="220">
        <v>3817.352339</v>
      </c>
      <c r="O71" s="124">
        <v>86.817128999999994</v>
      </c>
      <c r="P71" s="152">
        <f t="shared" si="11"/>
        <v>3904.1694680000001</v>
      </c>
      <c r="Q71" s="223">
        <f t="shared" si="9"/>
        <v>44281.014793000002</v>
      </c>
      <c r="R71" s="198">
        <f t="shared" si="12"/>
        <v>-15722.695290000003</v>
      </c>
    </row>
    <row r="72" spans="2:20" ht="20.149999999999999" customHeight="1">
      <c r="B72" s="130">
        <f t="shared" si="13"/>
        <v>8</v>
      </c>
      <c r="C72" s="209" t="s">
        <v>70</v>
      </c>
      <c r="D72" s="214" t="s">
        <v>49</v>
      </c>
      <c r="E72" s="125">
        <v>22521.923710999999</v>
      </c>
      <c r="F72" s="125">
        <v>10317.866970999999</v>
      </c>
      <c r="G72" s="215">
        <v>12204.05674</v>
      </c>
      <c r="H72" s="210">
        <v>11297.172022999999</v>
      </c>
      <c r="I72" s="151">
        <v>6762.1108979999999</v>
      </c>
      <c r="J72" s="218">
        <f t="shared" si="8"/>
        <v>4535.0611249999993</v>
      </c>
      <c r="K72" s="150">
        <v>4949.9720960000004</v>
      </c>
      <c r="L72" s="124">
        <v>2013.040714</v>
      </c>
      <c r="M72" s="149">
        <f t="shared" si="10"/>
        <v>6963.0128100000002</v>
      </c>
      <c r="N72" s="220">
        <v>2017.787538</v>
      </c>
      <c r="O72" s="124">
        <v>0</v>
      </c>
      <c r="P72" s="152">
        <f t="shared" si="11"/>
        <v>2017.787538</v>
      </c>
      <c r="Q72" s="223">
        <f t="shared" si="9"/>
        <v>8980.8003480000007</v>
      </c>
      <c r="R72" s="197">
        <f t="shared" si="12"/>
        <v>2316.3716749999985</v>
      </c>
    </row>
    <row r="73" spans="2:20" ht="20.149999999999999" customHeight="1">
      <c r="B73" s="130">
        <f t="shared" si="13"/>
        <v>9</v>
      </c>
      <c r="C73" s="209" t="s">
        <v>65</v>
      </c>
      <c r="D73" s="214" t="s">
        <v>50</v>
      </c>
      <c r="E73" s="125">
        <v>98967.424310000002</v>
      </c>
      <c r="F73" s="125">
        <v>74929.254730519999</v>
      </c>
      <c r="G73" s="215">
        <v>24038.169579480003</v>
      </c>
      <c r="H73" s="210">
        <v>50337.156781999998</v>
      </c>
      <c r="I73" s="151">
        <v>46980.259201000001</v>
      </c>
      <c r="J73" s="218">
        <f t="shared" si="8"/>
        <v>3356.8975809999974</v>
      </c>
      <c r="K73" s="150">
        <v>33555.136001999999</v>
      </c>
      <c r="L73" s="124">
        <v>27069.831999999999</v>
      </c>
      <c r="M73" s="149">
        <f t="shared" si="10"/>
        <v>60624.968001999994</v>
      </c>
      <c r="N73" s="220">
        <v>3648.130369</v>
      </c>
      <c r="O73" s="124">
        <v>0</v>
      </c>
      <c r="P73" s="152">
        <f t="shared" si="11"/>
        <v>3648.130369</v>
      </c>
      <c r="Q73" s="223">
        <f t="shared" si="9"/>
        <v>64273.098370999993</v>
      </c>
      <c r="R73" s="198">
        <f t="shared" si="12"/>
        <v>-13935.941588999995</v>
      </c>
    </row>
    <row r="74" spans="2:20" ht="20.149999999999999" customHeight="1">
      <c r="B74" s="130">
        <f t="shared" si="13"/>
        <v>10</v>
      </c>
      <c r="C74" s="209" t="s">
        <v>66</v>
      </c>
      <c r="D74" s="214" t="s">
        <v>51</v>
      </c>
      <c r="E74" s="125">
        <v>9985.7477639999997</v>
      </c>
      <c r="F74" s="125">
        <v>6370.0442910000002</v>
      </c>
      <c r="G74" s="215">
        <v>3617.636375</v>
      </c>
      <c r="H74" s="210">
        <v>14305.079777000001</v>
      </c>
      <c r="I74" s="151">
        <v>12539.31624</v>
      </c>
      <c r="J74" s="218">
        <f t="shared" si="8"/>
        <v>1765.7635370000007</v>
      </c>
      <c r="K74" s="150">
        <v>6850.9180909999995</v>
      </c>
      <c r="L74" s="124">
        <v>1047.884554</v>
      </c>
      <c r="M74" s="149">
        <f t="shared" si="10"/>
        <v>7898.8026449999998</v>
      </c>
      <c r="N74" s="220">
        <v>1849.723307</v>
      </c>
      <c r="O74" s="124">
        <v>0</v>
      </c>
      <c r="P74" s="152">
        <f t="shared" si="11"/>
        <v>1849.723307</v>
      </c>
      <c r="Q74" s="223">
        <f t="shared" si="9"/>
        <v>9748.525952</v>
      </c>
      <c r="R74" s="197">
        <f t="shared" si="12"/>
        <v>4556.5538250000009</v>
      </c>
    </row>
    <row r="75" spans="2:20" ht="20.149999999999999" customHeight="1">
      <c r="B75" s="130">
        <f t="shared" si="13"/>
        <v>11</v>
      </c>
      <c r="C75" s="209" t="s">
        <v>126</v>
      </c>
      <c r="D75" s="214" t="s">
        <v>51</v>
      </c>
      <c r="E75" s="125">
        <v>7321.5826989999996</v>
      </c>
      <c r="F75" s="125">
        <v>7321.5826989999996</v>
      </c>
      <c r="G75" s="215">
        <v>0</v>
      </c>
      <c r="H75" s="210">
        <v>6272.22973</v>
      </c>
      <c r="I75" s="151">
        <v>6272.22973</v>
      </c>
      <c r="J75" s="218">
        <f t="shared" si="8"/>
        <v>0</v>
      </c>
      <c r="K75" s="150">
        <v>7321.5826989999996</v>
      </c>
      <c r="L75" s="124">
        <v>0</v>
      </c>
      <c r="M75" s="149">
        <f t="shared" si="10"/>
        <v>7321.5826989999996</v>
      </c>
      <c r="N75" s="220"/>
      <c r="O75" s="124"/>
      <c r="P75" s="152"/>
      <c r="Q75" s="223">
        <f t="shared" si="9"/>
        <v>7321.5826989999996</v>
      </c>
      <c r="R75" s="198">
        <f t="shared" si="12"/>
        <v>-1049.3529689999996</v>
      </c>
    </row>
    <row r="76" spans="2:20" ht="20.149999999999999" customHeight="1" thickBot="1">
      <c r="B76" s="241">
        <f t="shared" si="13"/>
        <v>12</v>
      </c>
      <c r="C76" s="242" t="s">
        <v>67</v>
      </c>
      <c r="D76" s="243" t="s">
        <v>68</v>
      </c>
      <c r="E76" s="244">
        <v>22490.993428000002</v>
      </c>
      <c r="F76" s="244">
        <v>19128.237796000001</v>
      </c>
      <c r="G76" s="245">
        <v>3362.7556320000003</v>
      </c>
      <c r="H76" s="246">
        <v>2512.7934449999998</v>
      </c>
      <c r="I76" s="247">
        <v>2372.7934449999998</v>
      </c>
      <c r="J76" s="248">
        <f t="shared" si="8"/>
        <v>140</v>
      </c>
      <c r="K76" s="249">
        <v>2124.1178249999998</v>
      </c>
      <c r="L76" s="250">
        <v>2863.7660000000001</v>
      </c>
      <c r="M76" s="251">
        <f t="shared" si="10"/>
        <v>4987.8838249999999</v>
      </c>
      <c r="N76" s="252">
        <v>695.56476899999996</v>
      </c>
      <c r="O76" s="250">
        <v>0</v>
      </c>
      <c r="P76" s="253">
        <f t="shared" si="11"/>
        <v>695.56476899999996</v>
      </c>
      <c r="Q76" s="254">
        <f t="shared" si="9"/>
        <v>5683.4485939999995</v>
      </c>
      <c r="R76" s="255">
        <f t="shared" si="12"/>
        <v>-3170.6551489999997</v>
      </c>
    </row>
    <row r="77" spans="2:20" ht="20.149999999999999" customHeight="1">
      <c r="B77" s="235" t="s">
        <v>161</v>
      </c>
      <c r="C77" s="236" t="s">
        <v>168</v>
      </c>
      <c r="D77" s="237" t="s">
        <v>166</v>
      </c>
      <c r="E77" s="238">
        <f>SUM(E62:E76)</f>
        <v>349918.85953600006</v>
      </c>
      <c r="F77" s="238">
        <f t="shared" ref="F77:R77" si="14">SUM(F62:F76)</f>
        <v>264859.74602751998</v>
      </c>
      <c r="G77" s="240">
        <f t="shared" si="14"/>
        <v>85354.617075480011</v>
      </c>
      <c r="H77" s="256">
        <f t="shared" si="14"/>
        <v>146359.52066499999</v>
      </c>
      <c r="I77" s="257">
        <f t="shared" si="14"/>
        <v>126923.116157</v>
      </c>
      <c r="J77" s="264">
        <f t="shared" si="14"/>
        <v>19436.404507999992</v>
      </c>
      <c r="K77" s="256">
        <f t="shared" si="14"/>
        <v>130281.20245</v>
      </c>
      <c r="L77" s="261">
        <f t="shared" si="14"/>
        <v>57515.497537999996</v>
      </c>
      <c r="M77" s="258">
        <f t="shared" si="14"/>
        <v>187796.69998799998</v>
      </c>
      <c r="N77" s="256">
        <f t="shared" si="14"/>
        <v>70325.986525</v>
      </c>
      <c r="O77" s="261">
        <f t="shared" si="14"/>
        <v>2551.8704340000004</v>
      </c>
      <c r="P77" s="258">
        <f t="shared" si="14"/>
        <v>72877.856959000012</v>
      </c>
      <c r="Q77" s="262">
        <f t="shared" si="14"/>
        <v>260674.55694699998</v>
      </c>
      <c r="R77" s="263">
        <f t="shared" si="14"/>
        <v>-114315.036282</v>
      </c>
    </row>
    <row r="78" spans="2:20" ht="20.149999999999999" customHeight="1" thickBot="1">
      <c r="B78" s="225" t="s">
        <v>162</v>
      </c>
      <c r="C78" s="226" t="s">
        <v>11</v>
      </c>
      <c r="D78" s="227" t="s">
        <v>167</v>
      </c>
      <c r="E78" s="228">
        <v>1089462.9131839999</v>
      </c>
      <c r="F78" s="228">
        <v>1089462.9131839999</v>
      </c>
      <c r="G78" s="233">
        <f>E78-F78</f>
        <v>0</v>
      </c>
      <c r="H78" s="259">
        <v>1089462.9131839999</v>
      </c>
      <c r="I78" s="230">
        <v>0</v>
      </c>
      <c r="J78" s="260">
        <f>H78-I78</f>
        <v>1089462.9131839999</v>
      </c>
      <c r="K78" s="231">
        <v>0</v>
      </c>
      <c r="L78" s="232">
        <v>0</v>
      </c>
      <c r="M78" s="229">
        <f>K78-L78</f>
        <v>0</v>
      </c>
      <c r="N78" s="231">
        <v>0</v>
      </c>
      <c r="O78" s="232">
        <v>0</v>
      </c>
      <c r="P78" s="229">
        <f>N78-O78</f>
        <v>0</v>
      </c>
      <c r="Q78" s="234">
        <f>M78+P78</f>
        <v>0</v>
      </c>
      <c r="R78" s="234">
        <f>J78-Q78</f>
        <v>1089462.9131839999</v>
      </c>
    </row>
    <row r="79" spans="2:20" ht="25" customHeight="1" thickBot="1">
      <c r="B79" s="481"/>
      <c r="C79" s="479"/>
      <c r="D79" s="216">
        <v>1</v>
      </c>
      <c r="E79" s="203">
        <f t="shared" ref="E79:R79" si="15">E77+E78</f>
        <v>1439381.77272</v>
      </c>
      <c r="F79" s="204">
        <f t="shared" si="15"/>
        <v>1354322.6592115199</v>
      </c>
      <c r="G79" s="205">
        <f t="shared" si="15"/>
        <v>85354.617075480011</v>
      </c>
      <c r="H79" s="211">
        <f t="shared" si="15"/>
        <v>1235822.4338489999</v>
      </c>
      <c r="I79" s="155">
        <f t="shared" si="15"/>
        <v>126923.116157</v>
      </c>
      <c r="J79" s="219">
        <f t="shared" si="15"/>
        <v>1108899.317692</v>
      </c>
      <c r="K79" s="206">
        <f t="shared" si="15"/>
        <v>130281.20245</v>
      </c>
      <c r="L79" s="207">
        <f t="shared" si="15"/>
        <v>57515.497537999996</v>
      </c>
      <c r="M79" s="201">
        <f t="shared" si="15"/>
        <v>187796.69998799998</v>
      </c>
      <c r="N79" s="221">
        <f t="shared" si="15"/>
        <v>70325.986525</v>
      </c>
      <c r="O79" s="207">
        <f t="shared" si="15"/>
        <v>2551.8704340000004</v>
      </c>
      <c r="P79" s="208">
        <f t="shared" si="15"/>
        <v>72877.856959000012</v>
      </c>
      <c r="Q79" s="224">
        <f t="shared" si="15"/>
        <v>260674.55694699998</v>
      </c>
      <c r="R79" s="339">
        <f t="shared" si="15"/>
        <v>975147.87690199993</v>
      </c>
    </row>
    <row r="80" spans="2:20" ht="25" customHeight="1" thickBot="1">
      <c r="B80" s="481"/>
      <c r="C80" s="479"/>
      <c r="D80" s="217">
        <v>2</v>
      </c>
      <c r="E80" s="438" t="s">
        <v>139</v>
      </c>
      <c r="F80" s="439"/>
      <c r="G80" s="440"/>
      <c r="H80" s="212"/>
      <c r="I80" s="153">
        <f>'PER DPM'!L10/1000000</f>
        <v>70648.495997000005</v>
      </c>
      <c r="J80" s="154"/>
      <c r="K80" s="462" t="s">
        <v>112</v>
      </c>
      <c r="L80" s="463"/>
      <c r="M80" s="463"/>
      <c r="N80" s="463"/>
      <c r="O80" s="463"/>
      <c r="P80" s="463"/>
      <c r="Q80" s="161">
        <f>G18/1000000</f>
        <v>109309.98385</v>
      </c>
      <c r="R80" s="466" t="s">
        <v>174</v>
      </c>
    </row>
    <row r="81" spans="2:18" ht="25" customHeight="1" thickBot="1">
      <c r="B81" s="482"/>
      <c r="C81" s="480"/>
      <c r="D81" s="216">
        <v>3</v>
      </c>
      <c r="E81" s="441" t="s">
        <v>11</v>
      </c>
      <c r="F81" s="442"/>
      <c r="G81" s="443"/>
      <c r="H81" s="211">
        <f>SUM(H79)</f>
        <v>1235822.4338489999</v>
      </c>
      <c r="I81" s="155">
        <f>SUM(I79:I80)</f>
        <v>197571.612154</v>
      </c>
      <c r="J81" s="156">
        <f>SUM(J79:J80)</f>
        <v>1108899.317692</v>
      </c>
      <c r="K81" s="464" t="s">
        <v>154</v>
      </c>
      <c r="L81" s="465"/>
      <c r="M81" s="465"/>
      <c r="N81" s="465"/>
      <c r="O81" s="465"/>
      <c r="P81" s="465"/>
      <c r="Q81" s="162">
        <f>G19/1000000</f>
        <v>104937.79675199999</v>
      </c>
      <c r="R81" s="467"/>
    </row>
    <row r="82" spans="2:18" ht="39.75" customHeight="1" thickBot="1">
      <c r="B82" s="473" t="str">
        <f>D52</f>
        <v xml:space="preserve">Catatan : Saran dan masukan diperlukan dukungan Pimpinan dan kerjasama seluruh Koordinator DPM Teknis untuk segera melakukan identifikasi atas Projec projec yang sudah selesai dikerjakan untuk segera mendorong diterbitkan Invoice untuk menutupi minus </v>
      </c>
      <c r="C82" s="474"/>
      <c r="D82" s="474"/>
      <c r="E82" s="474"/>
      <c r="F82" s="474"/>
      <c r="G82" s="474"/>
      <c r="H82" s="474"/>
      <c r="I82" s="474"/>
      <c r="J82" s="475"/>
      <c r="K82" s="470" t="s">
        <v>114</v>
      </c>
      <c r="L82" s="471"/>
      <c r="M82" s="471"/>
      <c r="N82" s="471"/>
      <c r="O82" s="471"/>
      <c r="P82" s="472"/>
      <c r="Q82" s="163">
        <f>G20/1000000</f>
        <v>4583.3154080000004</v>
      </c>
      <c r="R82" s="467"/>
    </row>
    <row r="83" spans="2:18" ht="33" customHeight="1" thickBot="1">
      <c r="C83" s="144"/>
      <c r="D83" s="145"/>
      <c r="E83" s="145"/>
      <c r="F83" s="145"/>
      <c r="G83" s="145"/>
      <c r="H83" s="145"/>
      <c r="I83" s="164"/>
      <c r="J83" s="145"/>
      <c r="K83" s="444" t="s">
        <v>113</v>
      </c>
      <c r="L83" s="445"/>
      <c r="M83" s="445"/>
      <c r="N83" s="469" t="s">
        <v>175</v>
      </c>
      <c r="O83" s="469"/>
      <c r="P83" s="469"/>
      <c r="Q83" s="345">
        <f>Q80-Q81-Q82</f>
        <v>-211.12830999999096</v>
      </c>
      <c r="R83" s="468"/>
    </row>
    <row r="84" spans="2:18" ht="19.5" customHeight="1">
      <c r="C84" s="144"/>
      <c r="D84" s="145"/>
      <c r="E84" s="145"/>
      <c r="F84" s="145"/>
      <c r="G84" s="145"/>
      <c r="H84" s="145"/>
      <c r="I84" s="164"/>
      <c r="J84" s="145"/>
      <c r="K84" s="145"/>
      <c r="L84" s="145"/>
      <c r="M84" s="107"/>
      <c r="N84" s="107"/>
      <c r="O84" s="109"/>
    </row>
  </sheetData>
  <mergeCells count="88">
    <mergeCell ref="R80:R83"/>
    <mergeCell ref="N83:P83"/>
    <mergeCell ref="K82:P82"/>
    <mergeCell ref="B82:J82"/>
    <mergeCell ref="B56:R56"/>
    <mergeCell ref="B57:R57"/>
    <mergeCell ref="C79:C81"/>
    <mergeCell ref="B79:B81"/>
    <mergeCell ref="B58:C58"/>
    <mergeCell ref="D58:E58"/>
    <mergeCell ref="F58:G58"/>
    <mergeCell ref="B59:B60"/>
    <mergeCell ref="C59:C60"/>
    <mergeCell ref="D59:D60"/>
    <mergeCell ref="Q59:Q60"/>
    <mergeCell ref="E59:G59"/>
    <mergeCell ref="R59:R60"/>
    <mergeCell ref="E80:G80"/>
    <mergeCell ref="E81:G81"/>
    <mergeCell ref="K83:M83"/>
    <mergeCell ref="K31:M31"/>
    <mergeCell ref="M52:N52"/>
    <mergeCell ref="D52:L52"/>
    <mergeCell ref="N31:N32"/>
    <mergeCell ref="D31:D32"/>
    <mergeCell ref="E31:G31"/>
    <mergeCell ref="H31:J31"/>
    <mergeCell ref="H59:J59"/>
    <mergeCell ref="K59:M59"/>
    <mergeCell ref="K80:P80"/>
    <mergeCell ref="K81:P81"/>
    <mergeCell ref="N59:P59"/>
    <mergeCell ref="B55:R55"/>
    <mergeCell ref="B31:B32"/>
    <mergeCell ref="C31:C32"/>
    <mergeCell ref="E13:F13"/>
    <mergeCell ref="G20:H20"/>
    <mergeCell ref="E19:F19"/>
    <mergeCell ref="G19:H19"/>
    <mergeCell ref="G21:H21"/>
    <mergeCell ref="E20:F20"/>
    <mergeCell ref="E21:F21"/>
    <mergeCell ref="C16:D16"/>
    <mergeCell ref="C15:D15"/>
    <mergeCell ref="C14:D14"/>
    <mergeCell ref="G18:H18"/>
    <mergeCell ref="G15:H15"/>
    <mergeCell ref="C13:D13"/>
    <mergeCell ref="G13:H13"/>
    <mergeCell ref="B11:L11"/>
    <mergeCell ref="I12:L12"/>
    <mergeCell ref="B6:B7"/>
    <mergeCell ref="E6:E7"/>
    <mergeCell ref="F6:H6"/>
    <mergeCell ref="I13:K13"/>
    <mergeCell ref="E12:F12"/>
    <mergeCell ref="G12:H12"/>
    <mergeCell ref="B2:L2"/>
    <mergeCell ref="B3:L3"/>
    <mergeCell ref="B5:C5"/>
    <mergeCell ref="C8:D8"/>
    <mergeCell ref="I6:K6"/>
    <mergeCell ref="L6:L7"/>
    <mergeCell ref="D5:E5"/>
    <mergeCell ref="F5:G5"/>
    <mergeCell ref="C6:D7"/>
    <mergeCell ref="B4:L4"/>
    <mergeCell ref="E18:F18"/>
    <mergeCell ref="G16:H16"/>
    <mergeCell ref="E17:F17"/>
    <mergeCell ref="G17:H17"/>
    <mergeCell ref="E14:F14"/>
    <mergeCell ref="E15:F15"/>
    <mergeCell ref="E16:F16"/>
    <mergeCell ref="G14:H14"/>
    <mergeCell ref="L14:L17"/>
    <mergeCell ref="I18:K18"/>
    <mergeCell ref="I19:K19"/>
    <mergeCell ref="I20:K20"/>
    <mergeCell ref="I21:K21"/>
    <mergeCell ref="I14:K17"/>
    <mergeCell ref="C22:L22"/>
    <mergeCell ref="B27:N27"/>
    <mergeCell ref="B28:N28"/>
    <mergeCell ref="B29:N29"/>
    <mergeCell ref="B30:C30"/>
    <mergeCell ref="D30:E30"/>
    <mergeCell ref="F30:G30"/>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25"/>
  <dimension ref="B1:T32"/>
  <sheetViews>
    <sheetView topLeftCell="A16" zoomScale="62" zoomScaleNormal="136" workbookViewId="0">
      <selection activeCell="O6" sqref="O6:S6"/>
    </sheetView>
  </sheetViews>
  <sheetFormatPr defaultRowHeight="14.5"/>
  <cols>
    <col min="1" max="1" width="2.7265625" customWidth="1"/>
    <col min="2" max="2" width="5.81640625" customWidth="1"/>
    <col min="3" max="3" width="3.7265625" customWidth="1"/>
    <col min="4" max="4" width="31.26953125" customWidth="1"/>
    <col min="5" max="5" width="8.453125" customWidth="1"/>
    <col min="6" max="6" width="10.7265625" customWidth="1"/>
    <col min="7" max="7" width="17.7265625" customWidth="1"/>
    <col min="8" max="8" width="17.1796875" customWidth="1"/>
    <col min="9" max="9" width="15.81640625" customWidth="1"/>
    <col min="10" max="10" width="9.7265625" customWidth="1"/>
    <col min="11" max="11" width="17.453125" customWidth="1"/>
    <col min="12" max="12" width="17" customWidth="1"/>
    <col min="13" max="13" width="16.453125" customWidth="1"/>
    <col min="14" max="15" width="19.1796875" customWidth="1"/>
    <col min="16" max="16" width="17.453125" customWidth="1"/>
    <col min="17" max="17" width="17.54296875" customWidth="1"/>
    <col min="18" max="19" width="17.81640625" customWidth="1"/>
    <col min="20" max="20" width="17.26953125" customWidth="1"/>
  </cols>
  <sheetData>
    <row r="1" spans="2:20" ht="10.5" customHeight="1"/>
    <row r="2" spans="2:20" ht="30" customHeight="1">
      <c r="B2" s="491" t="s">
        <v>147</v>
      </c>
      <c r="C2" s="491"/>
      <c r="D2" s="491"/>
      <c r="E2" s="491"/>
      <c r="F2" s="491"/>
      <c r="G2" s="491"/>
      <c r="H2" s="491"/>
      <c r="I2" s="491"/>
      <c r="J2" s="491"/>
      <c r="K2" s="491"/>
      <c r="L2" s="491"/>
      <c r="M2" s="491"/>
      <c r="N2" s="491"/>
      <c r="O2" s="491"/>
      <c r="P2" s="491"/>
      <c r="Q2" s="491"/>
      <c r="R2" s="491"/>
      <c r="S2" s="491"/>
      <c r="T2" s="491"/>
    </row>
    <row r="3" spans="2:20" ht="30" customHeight="1">
      <c r="B3" s="492" t="s">
        <v>24</v>
      </c>
      <c r="C3" s="492"/>
      <c r="D3" s="492"/>
      <c r="E3" s="492"/>
      <c r="F3" s="492"/>
      <c r="G3" s="492"/>
      <c r="H3" s="492"/>
      <c r="I3" s="492"/>
      <c r="J3" s="492"/>
      <c r="K3" s="492"/>
      <c r="L3" s="492"/>
      <c r="M3" s="492"/>
      <c r="N3" s="492"/>
      <c r="O3" s="492"/>
      <c r="P3" s="492"/>
      <c r="Q3" s="492"/>
      <c r="R3" s="492"/>
      <c r="S3" s="492"/>
      <c r="T3" s="492"/>
    </row>
    <row r="4" spans="2:20" ht="10.5" customHeight="1" thickBot="1"/>
    <row r="5" spans="2:20" ht="45.75" customHeight="1" thickBot="1">
      <c r="B5" s="104" t="s">
        <v>171</v>
      </c>
      <c r="C5" s="105"/>
      <c r="D5" s="106"/>
      <c r="E5" s="508" t="s">
        <v>172</v>
      </c>
      <c r="F5" s="509"/>
      <c r="G5" s="510"/>
      <c r="H5" s="78"/>
      <c r="I5" s="2"/>
      <c r="J5" s="1"/>
      <c r="K5" s="137"/>
      <c r="L5" s="139">
        <f>K9+L10</f>
        <v>217008016662</v>
      </c>
      <c r="M5" s="138"/>
      <c r="N5" s="134">
        <f>L11*36/100</f>
        <v>45692321816.519997</v>
      </c>
      <c r="O5" s="134"/>
      <c r="P5" s="135"/>
      <c r="Q5" s="135"/>
      <c r="R5" s="134">
        <f>Q9+S9</f>
        <v>2078059413.3611538</v>
      </c>
      <c r="S5" s="183"/>
      <c r="T5" s="1"/>
    </row>
    <row r="6" spans="2:20" ht="33.75" customHeight="1">
      <c r="B6" s="506" t="s">
        <v>149</v>
      </c>
      <c r="C6" s="498" t="s">
        <v>14</v>
      </c>
      <c r="D6" s="499"/>
      <c r="E6" s="500"/>
      <c r="F6" s="504" t="s">
        <v>44</v>
      </c>
      <c r="G6" s="495" t="s">
        <v>137</v>
      </c>
      <c r="H6" s="496"/>
      <c r="I6" s="496"/>
      <c r="J6" s="497"/>
      <c r="K6" s="511" t="s">
        <v>136</v>
      </c>
      <c r="L6" s="512"/>
      <c r="M6" s="513"/>
      <c r="N6" s="519" t="s">
        <v>19</v>
      </c>
      <c r="O6" s="516" t="s">
        <v>153</v>
      </c>
      <c r="P6" s="517"/>
      <c r="Q6" s="517"/>
      <c r="R6" s="517"/>
      <c r="S6" s="518"/>
      <c r="T6" s="514" t="s">
        <v>11</v>
      </c>
    </row>
    <row r="7" spans="2:20" ht="52.5" customHeight="1">
      <c r="B7" s="507"/>
      <c r="C7" s="501"/>
      <c r="D7" s="502"/>
      <c r="E7" s="503"/>
      <c r="F7" s="505"/>
      <c r="G7" s="79" t="s">
        <v>23</v>
      </c>
      <c r="H7" s="102" t="s">
        <v>101</v>
      </c>
      <c r="I7" s="103" t="s">
        <v>19</v>
      </c>
      <c r="J7" s="80" t="s">
        <v>9</v>
      </c>
      <c r="K7" s="81" t="s">
        <v>28</v>
      </c>
      <c r="L7" s="81" t="s">
        <v>21</v>
      </c>
      <c r="M7" s="81" t="s">
        <v>22</v>
      </c>
      <c r="N7" s="520"/>
      <c r="O7" s="296" t="s">
        <v>10</v>
      </c>
      <c r="P7" s="82" t="s">
        <v>150</v>
      </c>
      <c r="Q7" s="82" t="s">
        <v>151</v>
      </c>
      <c r="R7" s="82" t="s">
        <v>88</v>
      </c>
      <c r="S7" s="297" t="s">
        <v>152</v>
      </c>
      <c r="T7" s="515"/>
    </row>
    <row r="8" spans="2:20" ht="20.25" customHeight="1">
      <c r="B8" s="83">
        <v>1</v>
      </c>
      <c r="C8" s="493">
        <v>2</v>
      </c>
      <c r="D8" s="494"/>
      <c r="E8" s="85"/>
      <c r="F8" s="86">
        <v>3</v>
      </c>
      <c r="G8" s="86">
        <v>4</v>
      </c>
      <c r="H8" s="87">
        <v>5</v>
      </c>
      <c r="I8" s="86" t="s">
        <v>25</v>
      </c>
      <c r="J8" s="84">
        <v>7</v>
      </c>
      <c r="K8" s="84">
        <v>8</v>
      </c>
      <c r="L8" s="84">
        <v>9</v>
      </c>
      <c r="M8" s="84" t="s">
        <v>20</v>
      </c>
      <c r="N8" s="278" t="s">
        <v>144</v>
      </c>
      <c r="O8" s="298">
        <v>12</v>
      </c>
      <c r="P8" s="88">
        <v>13</v>
      </c>
      <c r="Q8" s="88">
        <v>14</v>
      </c>
      <c r="R8" s="88">
        <v>15</v>
      </c>
      <c r="S8" s="299">
        <v>16</v>
      </c>
      <c r="T8" s="287" t="s">
        <v>33</v>
      </c>
    </row>
    <row r="9" spans="2:20" ht="27.75" customHeight="1" thickBot="1">
      <c r="B9" s="3"/>
      <c r="C9" s="53"/>
      <c r="D9" s="110" t="s">
        <v>0</v>
      </c>
      <c r="E9" s="111"/>
      <c r="F9" s="112"/>
      <c r="G9" s="112">
        <f>G10+G11</f>
        <v>349918859536</v>
      </c>
      <c r="H9" s="112">
        <f>H10+H11</f>
        <v>264859746027.52002</v>
      </c>
      <c r="I9" s="113">
        <f>I11</f>
        <v>85059113508.479996</v>
      </c>
      <c r="J9" s="54">
        <f>+I9/G9</f>
        <v>0.24308239236167559</v>
      </c>
      <c r="K9" s="114">
        <f>K10+K11</f>
        <v>146359520665</v>
      </c>
      <c r="L9" s="114">
        <f>L10+L11</f>
        <v>197571612154</v>
      </c>
      <c r="M9" s="115">
        <f>SUM(M12:M28)</f>
        <v>19436404508</v>
      </c>
      <c r="N9" s="279">
        <f>+N10+N11</f>
        <v>41561188267.223083</v>
      </c>
      <c r="O9" s="300">
        <f t="shared" ref="O9:S9" si="0">O10+O11</f>
        <v>19949370368.267078</v>
      </c>
      <c r="P9" s="116">
        <f t="shared" si="0"/>
        <v>12468356480.166925</v>
      </c>
      <c r="Q9" s="116">
        <f t="shared" si="0"/>
        <v>1039029706.6805769</v>
      </c>
      <c r="R9" s="116">
        <f t="shared" si="0"/>
        <v>7065402005.4279242</v>
      </c>
      <c r="S9" s="301">
        <f t="shared" si="0"/>
        <v>1039029706.6805769</v>
      </c>
      <c r="T9" s="288">
        <f>T11+T10</f>
        <v>41561188267.223083</v>
      </c>
    </row>
    <row r="10" spans="2:20" ht="20.149999999999999" customHeight="1" thickTop="1" thickBot="1">
      <c r="B10" s="6"/>
      <c r="C10" s="12"/>
      <c r="D10" s="8" t="s">
        <v>138</v>
      </c>
      <c r="E10" s="9"/>
      <c r="F10" s="10"/>
      <c r="G10" s="10"/>
      <c r="H10" s="10"/>
      <c r="I10" s="11"/>
      <c r="J10" s="13"/>
      <c r="K10" s="7"/>
      <c r="L10" s="146">
        <v>70648495997</v>
      </c>
      <c r="M10" s="7"/>
      <c r="N10" s="280"/>
      <c r="O10" s="302">
        <f>N10*48/100</f>
        <v>0</v>
      </c>
      <c r="P10" s="136">
        <f>N10*28/100</f>
        <v>0</v>
      </c>
      <c r="Q10" s="136">
        <f>N10*3/100</f>
        <v>0</v>
      </c>
      <c r="R10" s="136">
        <f>N10*17/100</f>
        <v>0</v>
      </c>
      <c r="S10" s="303">
        <f>N10*3/100</f>
        <v>0</v>
      </c>
      <c r="T10" s="289">
        <f t="shared" ref="T10:T30" si="1">SUM(O10:S10)</f>
        <v>0</v>
      </c>
    </row>
    <row r="11" spans="2:20" ht="20.149999999999999" customHeight="1" thickBot="1">
      <c r="B11" s="14"/>
      <c r="C11" s="19"/>
      <c r="D11" s="17" t="s">
        <v>123</v>
      </c>
      <c r="E11" s="20"/>
      <c r="F11" s="21"/>
      <c r="G11" s="16">
        <f>SUM(G12:G28)</f>
        <v>349918859536</v>
      </c>
      <c r="H11" s="16">
        <f>SUM(H12:H28)</f>
        <v>264859746027.52002</v>
      </c>
      <c r="I11" s="22">
        <f>SUM(I12:I28)</f>
        <v>85059113508.479996</v>
      </c>
      <c r="J11" s="18">
        <f t="shared" ref="J11:J31" si="2">+I11/G11</f>
        <v>0.24308239236167559</v>
      </c>
      <c r="K11" s="15">
        <f>SUM(K12:K28)</f>
        <v>146359520665</v>
      </c>
      <c r="L11" s="15">
        <f t="shared" ref="L11:S11" si="3">SUM(L12:L28)</f>
        <v>126923116157</v>
      </c>
      <c r="M11" s="15">
        <f t="shared" si="3"/>
        <v>19436404508</v>
      </c>
      <c r="N11" s="281">
        <f>SUM(N12:N28)</f>
        <v>41561188267.223083</v>
      </c>
      <c r="O11" s="304">
        <f t="shared" si="3"/>
        <v>19949370368.267078</v>
      </c>
      <c r="P11" s="23">
        <f t="shared" si="3"/>
        <v>12468356480.166925</v>
      </c>
      <c r="Q11" s="23">
        <f t="shared" si="3"/>
        <v>1039029706.6805769</v>
      </c>
      <c r="R11" s="23">
        <f t="shared" si="3"/>
        <v>7065402005.4279242</v>
      </c>
      <c r="S11" s="305">
        <f t="shared" si="3"/>
        <v>1039029706.6805769</v>
      </c>
      <c r="T11" s="290">
        <f t="shared" si="1"/>
        <v>41561188267.223083</v>
      </c>
    </row>
    <row r="12" spans="2:20" ht="20.149999999999999" customHeight="1" thickTop="1">
      <c r="B12" s="4">
        <v>1</v>
      </c>
      <c r="C12" s="33" t="s">
        <v>37</v>
      </c>
      <c r="D12" s="32" t="s">
        <v>60</v>
      </c>
      <c r="E12" s="5"/>
      <c r="F12" s="26" t="s">
        <v>3</v>
      </c>
      <c r="G12" s="25">
        <v>2661275927</v>
      </c>
      <c r="H12" s="27">
        <v>0</v>
      </c>
      <c r="I12" s="28">
        <f>G12-H12</f>
        <v>2661275927</v>
      </c>
      <c r="J12" s="91">
        <f t="shared" si="2"/>
        <v>1</v>
      </c>
      <c r="K12" s="29">
        <v>2661275927</v>
      </c>
      <c r="L12" s="30">
        <v>2554665867</v>
      </c>
      <c r="M12" s="31">
        <f>K12-L12</f>
        <v>106610060</v>
      </c>
      <c r="N12" s="282">
        <f>K12*J12</f>
        <v>2661275927</v>
      </c>
      <c r="O12" s="306">
        <f>N12*48/100</f>
        <v>1277412444.96</v>
      </c>
      <c r="P12" s="90">
        <f>N12*30/100</f>
        <v>798382778.10000002</v>
      </c>
      <c r="Q12" s="89">
        <f>N12*2.5/100</f>
        <v>66531898.174999997</v>
      </c>
      <c r="R12" s="89">
        <f t="shared" ref="R12:R28" si="4">N12*17/100</f>
        <v>452416907.58999997</v>
      </c>
      <c r="S12" s="307">
        <f>N12*2.5/100</f>
        <v>66531898.174999997</v>
      </c>
      <c r="T12" s="291">
        <f t="shared" si="1"/>
        <v>2661275927</v>
      </c>
    </row>
    <row r="13" spans="2:20" ht="20.149999999999999" customHeight="1">
      <c r="B13" s="4"/>
      <c r="C13" s="33" t="s">
        <v>37</v>
      </c>
      <c r="D13" s="32" t="s">
        <v>102</v>
      </c>
      <c r="E13" s="5"/>
      <c r="F13" s="26">
        <v>1</v>
      </c>
      <c r="G13" s="25">
        <v>8508260125</v>
      </c>
      <c r="H13" s="27">
        <v>7116228363</v>
      </c>
      <c r="I13" s="28">
        <f>G13-H13</f>
        <v>1392031762</v>
      </c>
      <c r="J13" s="91">
        <f t="shared" si="2"/>
        <v>0.16360945029287055</v>
      </c>
      <c r="K13" s="92">
        <v>348273786</v>
      </c>
      <c r="L13" s="30">
        <v>307615286</v>
      </c>
      <c r="M13" s="93">
        <f>K13-L13</f>
        <v>40658500</v>
      </c>
      <c r="N13" s="282">
        <f>K13*J13</f>
        <v>56980882.678876832</v>
      </c>
      <c r="O13" s="306">
        <f t="shared" ref="O13:O30" si="5">N13*48/100</f>
        <v>27350823.685860883</v>
      </c>
      <c r="P13" s="90">
        <f>N13*30/100</f>
        <v>17094264.803663049</v>
      </c>
      <c r="Q13" s="89">
        <f>N13*2.5/100</f>
        <v>1424522.0669719207</v>
      </c>
      <c r="R13" s="89">
        <f t="shared" si="4"/>
        <v>9686750.0554090627</v>
      </c>
      <c r="S13" s="307">
        <f>N13*2.5/100</f>
        <v>1424522.0669719207</v>
      </c>
      <c r="T13" s="292">
        <f t="shared" si="1"/>
        <v>56980882.67887684</v>
      </c>
    </row>
    <row r="14" spans="2:20" ht="20.149999999999999" customHeight="1">
      <c r="B14" s="94"/>
      <c r="C14" s="118" t="s">
        <v>4</v>
      </c>
      <c r="D14" s="119" t="s">
        <v>7</v>
      </c>
      <c r="E14" s="95">
        <v>0.48</v>
      </c>
      <c r="F14" s="96"/>
      <c r="G14" s="97"/>
      <c r="H14" s="98"/>
      <c r="I14" s="24"/>
      <c r="J14" s="91"/>
      <c r="K14" s="92"/>
      <c r="L14" s="99"/>
      <c r="M14" s="93"/>
      <c r="N14" s="283"/>
      <c r="O14" s="306">
        <f t="shared" si="5"/>
        <v>0</v>
      </c>
      <c r="P14" s="90">
        <f t="shared" ref="P14:P20" si="6">N14*28/100</f>
        <v>0</v>
      </c>
      <c r="Q14" s="89">
        <f t="shared" ref="Q14:Q20" si="7">N14*3/100</f>
        <v>0</v>
      </c>
      <c r="R14" s="89">
        <f t="shared" si="4"/>
        <v>0</v>
      </c>
      <c r="S14" s="307">
        <f t="shared" ref="S14:S20" si="8">N14*3/100</f>
        <v>0</v>
      </c>
      <c r="T14" s="292">
        <f t="shared" si="1"/>
        <v>0</v>
      </c>
    </row>
    <row r="15" spans="2:20" ht="20.149999999999999" customHeight="1">
      <c r="B15" s="94"/>
      <c r="C15" s="118" t="s">
        <v>6</v>
      </c>
      <c r="D15" s="119" t="s">
        <v>1</v>
      </c>
      <c r="E15" s="95">
        <v>0.17</v>
      </c>
      <c r="F15" s="96"/>
      <c r="G15" s="97"/>
      <c r="H15" s="98"/>
      <c r="I15" s="24"/>
      <c r="J15" s="91"/>
      <c r="K15" s="92"/>
      <c r="L15" s="99"/>
      <c r="M15" s="93"/>
      <c r="N15" s="283"/>
      <c r="O15" s="306">
        <f t="shared" si="5"/>
        <v>0</v>
      </c>
      <c r="P15" s="90">
        <f t="shared" si="6"/>
        <v>0</v>
      </c>
      <c r="Q15" s="89">
        <f t="shared" si="7"/>
        <v>0</v>
      </c>
      <c r="R15" s="89">
        <f t="shared" si="4"/>
        <v>0</v>
      </c>
      <c r="S15" s="307">
        <f t="shared" si="8"/>
        <v>0</v>
      </c>
      <c r="T15" s="292">
        <f t="shared" si="1"/>
        <v>0</v>
      </c>
    </row>
    <row r="16" spans="2:20" ht="20.149999999999999" customHeight="1">
      <c r="B16" s="94"/>
      <c r="C16" s="118" t="s">
        <v>5</v>
      </c>
      <c r="D16" s="119" t="s">
        <v>18</v>
      </c>
      <c r="E16" s="184" t="s">
        <v>159</v>
      </c>
      <c r="F16" s="96"/>
      <c r="G16" s="97"/>
      <c r="H16" s="98"/>
      <c r="I16" s="24"/>
      <c r="J16" s="91"/>
      <c r="K16" s="92"/>
      <c r="L16" s="99"/>
      <c r="M16" s="93"/>
      <c r="N16" s="283"/>
      <c r="O16" s="306">
        <f t="shared" si="5"/>
        <v>0</v>
      </c>
      <c r="P16" s="90">
        <f t="shared" si="6"/>
        <v>0</v>
      </c>
      <c r="Q16" s="89">
        <f t="shared" si="7"/>
        <v>0</v>
      </c>
      <c r="R16" s="89">
        <f t="shared" si="4"/>
        <v>0</v>
      </c>
      <c r="S16" s="307">
        <f t="shared" si="8"/>
        <v>0</v>
      </c>
      <c r="T16" s="292">
        <f t="shared" si="1"/>
        <v>0</v>
      </c>
    </row>
    <row r="17" spans="2:20" ht="20.149999999999999" customHeight="1">
      <c r="B17" s="94"/>
      <c r="C17" s="118" t="s">
        <v>8</v>
      </c>
      <c r="D17" s="119" t="s">
        <v>2</v>
      </c>
      <c r="E17" s="95">
        <v>0.01</v>
      </c>
      <c r="F17" s="96"/>
      <c r="G17" s="97"/>
      <c r="H17" s="98"/>
      <c r="I17" s="24"/>
      <c r="J17" s="91"/>
      <c r="K17" s="92"/>
      <c r="L17" s="99"/>
      <c r="M17" s="93"/>
      <c r="N17" s="283"/>
      <c r="O17" s="306">
        <f t="shared" si="5"/>
        <v>0</v>
      </c>
      <c r="P17" s="90">
        <f t="shared" si="6"/>
        <v>0</v>
      </c>
      <c r="Q17" s="89">
        <f t="shared" si="7"/>
        <v>0</v>
      </c>
      <c r="R17" s="89">
        <f t="shared" si="4"/>
        <v>0</v>
      </c>
      <c r="S17" s="307">
        <f t="shared" si="8"/>
        <v>0</v>
      </c>
      <c r="T17" s="292">
        <f t="shared" si="1"/>
        <v>0</v>
      </c>
    </row>
    <row r="18" spans="2:20" ht="20.149999999999999" customHeight="1">
      <c r="B18" s="77">
        <v>2</v>
      </c>
      <c r="C18" s="97" t="s">
        <v>58</v>
      </c>
      <c r="D18" s="100"/>
      <c r="E18" s="101"/>
      <c r="F18" s="96">
        <v>3</v>
      </c>
      <c r="G18" s="98">
        <v>4469177500</v>
      </c>
      <c r="H18" s="98">
        <v>2816450141</v>
      </c>
      <c r="I18" s="24">
        <f>G18-H18</f>
        <v>1652727359</v>
      </c>
      <c r="J18" s="91">
        <f t="shared" si="2"/>
        <v>0.36980571011108865</v>
      </c>
      <c r="K18" s="92">
        <v>2936538600</v>
      </c>
      <c r="L18" s="99">
        <v>2827498600</v>
      </c>
      <c r="M18" s="93">
        <f t="shared" ref="M18:M28" si="9">K18-L18</f>
        <v>109040000</v>
      </c>
      <c r="N18" s="282">
        <f>K18*J18</f>
        <v>1085948742.2416222</v>
      </c>
      <c r="O18" s="306">
        <f t="shared" si="5"/>
        <v>521255396.27597868</v>
      </c>
      <c r="P18" s="90">
        <f>N18*30/100</f>
        <v>325784622.67248666</v>
      </c>
      <c r="Q18" s="89">
        <f>N18*2.5/100</f>
        <v>27148718.556040555</v>
      </c>
      <c r="R18" s="89">
        <f t="shared" si="4"/>
        <v>184611286.18107578</v>
      </c>
      <c r="S18" s="307">
        <f>N18*2.5/100</f>
        <v>27148718.556040555</v>
      </c>
      <c r="T18" s="292">
        <f t="shared" si="1"/>
        <v>1085948742.2416222</v>
      </c>
    </row>
    <row r="19" spans="2:20" ht="20.149999999999999" customHeight="1">
      <c r="B19" s="77"/>
      <c r="C19" s="97" t="s">
        <v>86</v>
      </c>
      <c r="D19" s="100"/>
      <c r="E19" s="101"/>
      <c r="F19" s="96">
        <v>3</v>
      </c>
      <c r="G19" s="98">
        <v>30520926030</v>
      </c>
      <c r="H19" s="98">
        <v>30520926030</v>
      </c>
      <c r="I19" s="24">
        <f>G19-H19</f>
        <v>0</v>
      </c>
      <c r="J19" s="91">
        <f t="shared" si="2"/>
        <v>0</v>
      </c>
      <c r="K19" s="92">
        <v>4454067100</v>
      </c>
      <c r="L19" s="99">
        <v>2454067100</v>
      </c>
      <c r="M19" s="93">
        <f>K19-L19</f>
        <v>2000000000</v>
      </c>
      <c r="N19" s="282">
        <f>K19*J19</f>
        <v>0</v>
      </c>
      <c r="O19" s="306">
        <f t="shared" si="5"/>
        <v>0</v>
      </c>
      <c r="P19" s="90">
        <f t="shared" si="6"/>
        <v>0</v>
      </c>
      <c r="Q19" s="89">
        <f t="shared" si="7"/>
        <v>0</v>
      </c>
      <c r="R19" s="89">
        <f t="shared" si="4"/>
        <v>0</v>
      </c>
      <c r="S19" s="307">
        <f t="shared" si="8"/>
        <v>0</v>
      </c>
      <c r="T19" s="292">
        <f t="shared" si="1"/>
        <v>0</v>
      </c>
    </row>
    <row r="20" spans="2:20" ht="20.149999999999999" customHeight="1">
      <c r="B20" s="77">
        <f>B18+1</f>
        <v>3</v>
      </c>
      <c r="C20" s="97" t="s">
        <v>59</v>
      </c>
      <c r="D20" s="100"/>
      <c r="E20" s="101"/>
      <c r="F20" s="96">
        <v>4</v>
      </c>
      <c r="G20" s="98">
        <v>0</v>
      </c>
      <c r="H20" s="98">
        <v>0</v>
      </c>
      <c r="I20" s="24">
        <f>G20-H20</f>
        <v>0</v>
      </c>
      <c r="J20" s="91">
        <v>0</v>
      </c>
      <c r="K20" s="92"/>
      <c r="L20" s="99"/>
      <c r="M20" s="93">
        <f t="shared" si="9"/>
        <v>0</v>
      </c>
      <c r="N20" s="283"/>
      <c r="O20" s="306">
        <f t="shared" si="5"/>
        <v>0</v>
      </c>
      <c r="P20" s="90">
        <f t="shared" si="6"/>
        <v>0</v>
      </c>
      <c r="Q20" s="89">
        <f t="shared" si="7"/>
        <v>0</v>
      </c>
      <c r="R20" s="89">
        <f t="shared" si="4"/>
        <v>0</v>
      </c>
      <c r="S20" s="307">
        <f t="shared" si="8"/>
        <v>0</v>
      </c>
      <c r="T20" s="292">
        <f t="shared" si="1"/>
        <v>0</v>
      </c>
    </row>
    <row r="21" spans="2:20" ht="20.149999999999999" customHeight="1">
      <c r="B21" s="77">
        <f t="shared" ref="B21:B28" si="10">B20+1</f>
        <v>4</v>
      </c>
      <c r="C21" s="97" t="s">
        <v>53</v>
      </c>
      <c r="D21" s="100"/>
      <c r="E21" s="101"/>
      <c r="F21" s="96">
        <v>5</v>
      </c>
      <c r="G21" s="97">
        <v>39728823724</v>
      </c>
      <c r="H21" s="98">
        <v>26716853488</v>
      </c>
      <c r="I21" s="24">
        <f t="shared" ref="I21:I28" si="11">G21-H21</f>
        <v>13011970236</v>
      </c>
      <c r="J21" s="91">
        <f t="shared" si="2"/>
        <v>0.32751964484011464</v>
      </c>
      <c r="K21" s="92">
        <v>22676613992</v>
      </c>
      <c r="L21" s="99">
        <v>18186644160</v>
      </c>
      <c r="M21" s="93">
        <f t="shared" si="9"/>
        <v>4489969832</v>
      </c>
      <c r="N21" s="282">
        <f t="shared" ref="N21:N30" si="12">K21*J21</f>
        <v>7427036560.8362141</v>
      </c>
      <c r="O21" s="306">
        <f t="shared" si="5"/>
        <v>3564977549.2013831</v>
      </c>
      <c r="P21" s="90">
        <f>N21*30/100</f>
        <v>2228110968.250864</v>
      </c>
      <c r="Q21" s="89">
        <f>N21*2.5/100</f>
        <v>185675914.02090535</v>
      </c>
      <c r="R21" s="89">
        <f t="shared" si="4"/>
        <v>1262596215.3421564</v>
      </c>
      <c r="S21" s="307">
        <f>N21*2.5/100</f>
        <v>185675914.02090535</v>
      </c>
      <c r="T21" s="292">
        <f t="shared" si="1"/>
        <v>7427036560.836215</v>
      </c>
    </row>
    <row r="22" spans="2:20" ht="20.149999999999999" customHeight="1">
      <c r="B22" s="77">
        <f t="shared" si="10"/>
        <v>5</v>
      </c>
      <c r="C22" s="97" t="s">
        <v>125</v>
      </c>
      <c r="D22" s="100"/>
      <c r="E22" s="101"/>
      <c r="F22" s="96">
        <v>5</v>
      </c>
      <c r="G22" s="97">
        <v>0</v>
      </c>
      <c r="H22" s="98">
        <v>0</v>
      </c>
      <c r="I22" s="24">
        <f>G22-H22</f>
        <v>0</v>
      </c>
      <c r="J22" s="91">
        <v>0</v>
      </c>
      <c r="K22" s="92"/>
      <c r="L22" s="99"/>
      <c r="M22" s="93">
        <f t="shared" si="9"/>
        <v>0</v>
      </c>
      <c r="N22" s="282">
        <f>K22*J22</f>
        <v>0</v>
      </c>
      <c r="O22" s="306">
        <f>N22*48/100</f>
        <v>0</v>
      </c>
      <c r="P22" s="90">
        <f>N22*28/100</f>
        <v>0</v>
      </c>
      <c r="Q22" s="89">
        <f>N22*3/100</f>
        <v>0</v>
      </c>
      <c r="R22" s="89">
        <f>N22*17/100</f>
        <v>0</v>
      </c>
      <c r="S22" s="307">
        <f>N22*3/100</f>
        <v>0</v>
      </c>
      <c r="T22" s="292">
        <f t="shared" si="1"/>
        <v>0</v>
      </c>
    </row>
    <row r="23" spans="2:20" ht="20.149999999999999" customHeight="1">
      <c r="B23" s="77">
        <f t="shared" si="10"/>
        <v>6</v>
      </c>
      <c r="C23" s="97" t="s">
        <v>54</v>
      </c>
      <c r="D23" s="100"/>
      <c r="E23" s="101"/>
      <c r="F23" s="96">
        <v>6</v>
      </c>
      <c r="G23" s="97">
        <v>102742724318</v>
      </c>
      <c r="H23" s="98">
        <v>79622301518</v>
      </c>
      <c r="I23" s="24">
        <f t="shared" si="11"/>
        <v>23120422800</v>
      </c>
      <c r="J23" s="91">
        <f t="shared" si="2"/>
        <v>0.22503221472344606</v>
      </c>
      <c r="K23" s="92">
        <v>28558319503</v>
      </c>
      <c r="L23" s="99">
        <v>25665915630</v>
      </c>
      <c r="M23" s="93">
        <f t="shared" si="9"/>
        <v>2892403873</v>
      </c>
      <c r="N23" s="282">
        <f t="shared" si="12"/>
        <v>6426541886.5398731</v>
      </c>
      <c r="O23" s="306">
        <f t="shared" si="5"/>
        <v>3084740105.5391393</v>
      </c>
      <c r="P23" s="90">
        <f t="shared" ref="P23:P28" si="13">N23*30/100</f>
        <v>1927962565.961962</v>
      </c>
      <c r="Q23" s="89">
        <f t="shared" ref="Q23:Q28" si="14">N23*2.5/100</f>
        <v>160663547.16349682</v>
      </c>
      <c r="R23" s="89">
        <f t="shared" si="4"/>
        <v>1092512120.7117784</v>
      </c>
      <c r="S23" s="307">
        <f t="shared" ref="S23:S28" si="15">N23*2.5/100</f>
        <v>160663547.16349682</v>
      </c>
      <c r="T23" s="292">
        <f t="shared" si="1"/>
        <v>6426541886.5398741</v>
      </c>
    </row>
    <row r="24" spans="2:20" ht="20.149999999999999" customHeight="1">
      <c r="B24" s="77">
        <f t="shared" si="10"/>
        <v>7</v>
      </c>
      <c r="C24" s="97" t="s">
        <v>55</v>
      </c>
      <c r="D24" s="100"/>
      <c r="E24" s="101"/>
      <c r="F24" s="96">
        <v>7</v>
      </c>
      <c r="G24" s="97">
        <v>22521923711</v>
      </c>
      <c r="H24" s="98">
        <v>10317866971</v>
      </c>
      <c r="I24" s="24">
        <f t="shared" si="11"/>
        <v>12204056740</v>
      </c>
      <c r="J24" s="91">
        <f t="shared" si="2"/>
        <v>0.54187452619952625</v>
      </c>
      <c r="K24" s="92">
        <v>11297172023</v>
      </c>
      <c r="L24" s="99">
        <v>6762110898</v>
      </c>
      <c r="M24" s="93">
        <f t="shared" si="9"/>
        <v>4535061125</v>
      </c>
      <c r="N24" s="282">
        <f t="shared" si="12"/>
        <v>6121649737.3576689</v>
      </c>
      <c r="O24" s="306">
        <f t="shared" si="5"/>
        <v>2938391873.9316807</v>
      </c>
      <c r="P24" s="90">
        <f t="shared" si="13"/>
        <v>1836494921.2073007</v>
      </c>
      <c r="Q24" s="89">
        <f t="shared" si="14"/>
        <v>153041243.43394172</v>
      </c>
      <c r="R24" s="89">
        <f t="shared" si="4"/>
        <v>1040680455.3508037</v>
      </c>
      <c r="S24" s="307">
        <f t="shared" si="15"/>
        <v>153041243.43394172</v>
      </c>
      <c r="T24" s="292">
        <f t="shared" si="1"/>
        <v>6121649737.3576679</v>
      </c>
    </row>
    <row r="25" spans="2:20" ht="20.149999999999999" customHeight="1">
      <c r="B25" s="77">
        <f t="shared" si="10"/>
        <v>8</v>
      </c>
      <c r="C25" s="97" t="s">
        <v>56</v>
      </c>
      <c r="D25" s="100"/>
      <c r="E25" s="101"/>
      <c r="F25" s="96">
        <v>8</v>
      </c>
      <c r="G25" s="97">
        <v>98967424310</v>
      </c>
      <c r="H25" s="98">
        <v>74929254730.520004</v>
      </c>
      <c r="I25" s="24">
        <f t="shared" si="11"/>
        <v>24038169579.479996</v>
      </c>
      <c r="J25" s="91">
        <f t="shared" si="2"/>
        <v>0.24288971595526407</v>
      </c>
      <c r="K25" s="92">
        <v>50337156782</v>
      </c>
      <c r="L25" s="99">
        <v>46980259201</v>
      </c>
      <c r="M25" s="93">
        <f t="shared" si="9"/>
        <v>3356897581</v>
      </c>
      <c r="N25" s="282">
        <f t="shared" si="12"/>
        <v>12226377712.775574</v>
      </c>
      <c r="O25" s="306">
        <f t="shared" si="5"/>
        <v>5868661302.1322756</v>
      </c>
      <c r="P25" s="90">
        <f t="shared" si="13"/>
        <v>3667913313.8326721</v>
      </c>
      <c r="Q25" s="89">
        <f t="shared" si="14"/>
        <v>305659442.81938934</v>
      </c>
      <c r="R25" s="89">
        <f t="shared" si="4"/>
        <v>2078484211.1718476</v>
      </c>
      <c r="S25" s="307">
        <f t="shared" si="15"/>
        <v>305659442.81938934</v>
      </c>
      <c r="T25" s="292">
        <f t="shared" si="1"/>
        <v>12226377712.775574</v>
      </c>
    </row>
    <row r="26" spans="2:20" ht="20.149999999999999" customHeight="1">
      <c r="B26" s="77">
        <f t="shared" si="10"/>
        <v>9</v>
      </c>
      <c r="C26" s="97" t="s">
        <v>57</v>
      </c>
      <c r="D26" s="100"/>
      <c r="E26" s="101"/>
      <c r="F26" s="96">
        <v>9</v>
      </c>
      <c r="G26" s="97">
        <v>9985747764</v>
      </c>
      <c r="H26" s="98">
        <v>6370044291</v>
      </c>
      <c r="I26" s="24">
        <f t="shared" si="11"/>
        <v>3615703473</v>
      </c>
      <c r="J26" s="91">
        <f t="shared" si="2"/>
        <v>0.36208640138449227</v>
      </c>
      <c r="K26" s="92">
        <v>14305079777</v>
      </c>
      <c r="L26" s="99">
        <v>12539316240</v>
      </c>
      <c r="M26" s="93">
        <f t="shared" si="9"/>
        <v>1765763537</v>
      </c>
      <c r="N26" s="282">
        <f t="shared" si="12"/>
        <v>5179674857.9720049</v>
      </c>
      <c r="O26" s="306">
        <f t="shared" si="5"/>
        <v>2486243931.8265624</v>
      </c>
      <c r="P26" s="90">
        <f t="shared" si="13"/>
        <v>1553902457.3916016</v>
      </c>
      <c r="Q26" s="89">
        <f t="shared" si="14"/>
        <v>129491871.44930011</v>
      </c>
      <c r="R26" s="89">
        <f t="shared" si="4"/>
        <v>880544725.85524082</v>
      </c>
      <c r="S26" s="307">
        <f t="shared" si="15"/>
        <v>129491871.44930011</v>
      </c>
      <c r="T26" s="292">
        <f t="shared" si="1"/>
        <v>5179674857.9720049</v>
      </c>
    </row>
    <row r="27" spans="2:20" ht="20.149999999999999" customHeight="1">
      <c r="B27" s="77">
        <f t="shared" si="10"/>
        <v>10</v>
      </c>
      <c r="C27" s="97" t="s">
        <v>124</v>
      </c>
      <c r="D27" s="100"/>
      <c r="E27" s="101"/>
      <c r="F27" s="96">
        <v>9</v>
      </c>
      <c r="G27" s="97">
        <v>7321582699</v>
      </c>
      <c r="H27" s="98">
        <v>7321582699</v>
      </c>
      <c r="I27" s="24">
        <f>G27-H27</f>
        <v>0</v>
      </c>
      <c r="J27" s="91">
        <f>+I27/G27</f>
        <v>0</v>
      </c>
      <c r="K27" s="92">
        <v>6272229730</v>
      </c>
      <c r="L27" s="99">
        <v>6272229730</v>
      </c>
      <c r="M27" s="93">
        <f t="shared" si="9"/>
        <v>0</v>
      </c>
      <c r="N27" s="282">
        <f>K27*J27</f>
        <v>0</v>
      </c>
      <c r="O27" s="306">
        <f>N27*48/100</f>
        <v>0</v>
      </c>
      <c r="P27" s="90">
        <f>N27*28/100</f>
        <v>0</v>
      </c>
      <c r="Q27" s="89">
        <f>N27*3/100</f>
        <v>0</v>
      </c>
      <c r="R27" s="89">
        <f>N27*17/100</f>
        <v>0</v>
      </c>
      <c r="S27" s="307">
        <f>N27*3/100</f>
        <v>0</v>
      </c>
      <c r="T27" s="292">
        <f t="shared" si="1"/>
        <v>0</v>
      </c>
    </row>
    <row r="28" spans="2:20" ht="20.149999999999999" customHeight="1">
      <c r="B28" s="77">
        <f t="shared" si="10"/>
        <v>11</v>
      </c>
      <c r="C28" s="97" t="s">
        <v>62</v>
      </c>
      <c r="D28" s="172"/>
      <c r="E28" s="101"/>
      <c r="F28" s="96">
        <v>11</v>
      </c>
      <c r="G28" s="97">
        <v>22490993428</v>
      </c>
      <c r="H28" s="98">
        <v>19128237796</v>
      </c>
      <c r="I28" s="24">
        <f t="shared" si="11"/>
        <v>3362755632</v>
      </c>
      <c r="J28" s="91">
        <f t="shared" si="2"/>
        <v>0.14951565580084877</v>
      </c>
      <c r="K28" s="92">
        <v>2512793445</v>
      </c>
      <c r="L28" s="99">
        <v>2372793445</v>
      </c>
      <c r="M28" s="93">
        <f t="shared" si="9"/>
        <v>140000000</v>
      </c>
      <c r="N28" s="283">
        <f t="shared" si="12"/>
        <v>375701959.82124901</v>
      </c>
      <c r="O28" s="308">
        <f t="shared" si="5"/>
        <v>180336940.71419951</v>
      </c>
      <c r="P28" s="90">
        <f t="shared" si="13"/>
        <v>112710587.9463747</v>
      </c>
      <c r="Q28" s="89">
        <f t="shared" si="14"/>
        <v>9392548.9955312256</v>
      </c>
      <c r="R28" s="90">
        <f t="shared" si="4"/>
        <v>63869333.169612333</v>
      </c>
      <c r="S28" s="307">
        <f t="shared" si="15"/>
        <v>9392548.9955312256</v>
      </c>
      <c r="T28" s="292">
        <f t="shared" si="1"/>
        <v>375701959.82124895</v>
      </c>
    </row>
    <row r="29" spans="2:20" ht="20.149999999999999" customHeight="1">
      <c r="B29" s="265" t="s">
        <v>161</v>
      </c>
      <c r="C29" s="266" t="s">
        <v>169</v>
      </c>
      <c r="D29" s="267"/>
      <c r="E29" s="268"/>
      <c r="F29" s="276" t="s">
        <v>11</v>
      </c>
      <c r="G29" s="270">
        <f>SUM(G12:G28)</f>
        <v>349918859536</v>
      </c>
      <c r="H29" s="270">
        <f t="shared" ref="H29:I29" si="16">SUM(H12:H28)</f>
        <v>264859746027.52002</v>
      </c>
      <c r="I29" s="270">
        <f t="shared" si="16"/>
        <v>85059113508.479996</v>
      </c>
      <c r="J29" s="273">
        <f t="shared" si="2"/>
        <v>0.24308239236167559</v>
      </c>
      <c r="K29" s="270">
        <f t="shared" ref="K29" si="17">SUM(K12:K28)</f>
        <v>146359520665</v>
      </c>
      <c r="L29" s="270">
        <f t="shared" ref="L29" si="18">SUM(L12:L28)</f>
        <v>126923116157</v>
      </c>
      <c r="M29" s="272">
        <f>K29-L29</f>
        <v>19436404508</v>
      </c>
      <c r="N29" s="284">
        <f>SUM(N12:N28)</f>
        <v>41561188267.223083</v>
      </c>
      <c r="O29" s="309">
        <f t="shared" ref="O29" si="19">SUM(O12:O28)</f>
        <v>19949370368.267078</v>
      </c>
      <c r="P29" s="270">
        <f t="shared" ref="P29" si="20">SUM(P12:P28)</f>
        <v>12468356480.166925</v>
      </c>
      <c r="Q29" s="270">
        <f t="shared" ref="Q29" si="21">SUM(Q12:Q28)</f>
        <v>1039029706.6805769</v>
      </c>
      <c r="R29" s="270">
        <f t="shared" ref="R29" si="22">SUM(R12:R28)</f>
        <v>7065402005.4279242</v>
      </c>
      <c r="S29" s="310">
        <f t="shared" ref="S29" si="23">SUM(S12:S28)</f>
        <v>1039029706.6805769</v>
      </c>
      <c r="T29" s="293">
        <f t="shared" si="1"/>
        <v>41561188267.223083</v>
      </c>
    </row>
    <row r="30" spans="2:20" ht="20.149999999999999" customHeight="1">
      <c r="B30" s="265" t="s">
        <v>162</v>
      </c>
      <c r="C30" s="266" t="s">
        <v>170</v>
      </c>
      <c r="D30" s="267"/>
      <c r="E30" s="268"/>
      <c r="F30" s="276" t="s">
        <v>11</v>
      </c>
      <c r="G30" s="270">
        <f>K30</f>
        <v>0</v>
      </c>
      <c r="H30" s="271">
        <f>K30</f>
        <v>0</v>
      </c>
      <c r="I30" s="272">
        <f>G30-H30</f>
        <v>0</v>
      </c>
      <c r="J30" s="273" t="e">
        <f t="shared" si="2"/>
        <v>#DIV/0!</v>
      </c>
      <c r="K30" s="270">
        <v>0</v>
      </c>
      <c r="L30" s="274">
        <v>0</v>
      </c>
      <c r="M30" s="272">
        <f>K30-L30</f>
        <v>0</v>
      </c>
      <c r="N30" s="285" t="e">
        <f t="shared" si="12"/>
        <v>#DIV/0!</v>
      </c>
      <c r="O30" s="311" t="e">
        <f t="shared" si="5"/>
        <v>#DIV/0!</v>
      </c>
      <c r="P30" s="275" t="e">
        <f t="shared" ref="P30" si="24">O30*48/100</f>
        <v>#DIV/0!</v>
      </c>
      <c r="Q30" s="275" t="e">
        <f t="shared" ref="Q30" si="25">P30*48/100</f>
        <v>#DIV/0!</v>
      </c>
      <c r="R30" s="275" t="e">
        <f t="shared" ref="R30" si="26">Q30*48/100</f>
        <v>#DIV/0!</v>
      </c>
      <c r="S30" s="312" t="e">
        <f t="shared" ref="S30" si="27">R30*48/100</f>
        <v>#DIV/0!</v>
      </c>
      <c r="T30" s="293" t="e">
        <f t="shared" si="1"/>
        <v>#DIV/0!</v>
      </c>
    </row>
    <row r="31" spans="2:20" ht="20.149999999999999" customHeight="1">
      <c r="B31" s="265"/>
      <c r="C31" s="266"/>
      <c r="D31" s="267"/>
      <c r="E31" s="268"/>
      <c r="F31" s="269" t="s">
        <v>165</v>
      </c>
      <c r="G31" s="270">
        <f>SUM(G29:G30)</f>
        <v>349918859536</v>
      </c>
      <c r="H31" s="270">
        <f>SUM(H29:H30)</f>
        <v>264859746027.52002</v>
      </c>
      <c r="I31" s="270">
        <f>SUM(I29:I30)</f>
        <v>85059113508.479996</v>
      </c>
      <c r="J31" s="273">
        <f t="shared" si="2"/>
        <v>0.24308239236167559</v>
      </c>
      <c r="K31" s="270">
        <f t="shared" ref="K31:N31" si="28">SUM(K29:K30)</f>
        <v>146359520665</v>
      </c>
      <c r="L31" s="270">
        <f t="shared" si="28"/>
        <v>126923116157</v>
      </c>
      <c r="M31" s="272">
        <f>K31-L31</f>
        <v>19436404508</v>
      </c>
      <c r="N31" s="266" t="e">
        <f t="shared" si="28"/>
        <v>#DIV/0!</v>
      </c>
      <c r="O31" s="313" t="e">
        <f>O29+O30</f>
        <v>#DIV/0!</v>
      </c>
      <c r="P31" s="277" t="e">
        <f t="shared" ref="P31:S31" si="29">P29+P30</f>
        <v>#DIV/0!</v>
      </c>
      <c r="Q31" s="277" t="e">
        <f t="shared" si="29"/>
        <v>#DIV/0!</v>
      </c>
      <c r="R31" s="277" t="e">
        <f t="shared" si="29"/>
        <v>#DIV/0!</v>
      </c>
      <c r="S31" s="314" t="e">
        <f t="shared" si="29"/>
        <v>#DIV/0!</v>
      </c>
      <c r="T31" s="294" t="e">
        <f>T29+T30</f>
        <v>#DIV/0!</v>
      </c>
    </row>
    <row r="32" spans="2:20" ht="27.75" customHeight="1" thickBot="1">
      <c r="B32" s="178"/>
      <c r="C32" s="488" t="str">
        <f>'BAHAN RAPAT'!D52</f>
        <v xml:space="preserve">Catatan : Saran dan masukan diperlukan dukungan Pimpinan dan kerjasama seluruh Koordinator DPM Teknis untuk segera melakukan identifikasi atas Projec projec yang sudah selesai dikerjakan untuk segera mendorong diterbitkan Invoice untuk menutupi minus </v>
      </c>
      <c r="D32" s="489"/>
      <c r="E32" s="489"/>
      <c r="F32" s="489"/>
      <c r="G32" s="489"/>
      <c r="H32" s="489"/>
      <c r="I32" s="489"/>
      <c r="J32" s="490"/>
      <c r="K32" s="179"/>
      <c r="L32" s="180"/>
      <c r="M32" s="181"/>
      <c r="N32" s="286"/>
      <c r="O32" s="315"/>
      <c r="P32" s="182"/>
      <c r="Q32" s="182"/>
      <c r="R32" s="182"/>
      <c r="S32" s="316"/>
      <c r="T32" s="295"/>
    </row>
  </sheetData>
  <mergeCells count="13">
    <mergeCell ref="C32:J32"/>
    <mergeCell ref="B2:T2"/>
    <mergeCell ref="B3:T3"/>
    <mergeCell ref="C8:D8"/>
    <mergeCell ref="G6:J6"/>
    <mergeCell ref="C6:E7"/>
    <mergeCell ref="F6:F7"/>
    <mergeCell ref="B6:B7"/>
    <mergeCell ref="E5:G5"/>
    <mergeCell ref="K6:M6"/>
    <mergeCell ref="T6:T7"/>
    <mergeCell ref="O6:S6"/>
    <mergeCell ref="N6:N7"/>
  </mergeCells>
  <pageMargins left="0.2" right="0.23" top="0.74803149606299213" bottom="0.74803149606299213" header="0.31496062992125984" footer="0.31496062992125984"/>
  <pageSetup scale="6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BAHAN RAPAT</vt:lpstr>
      <vt:lpstr>PER DPM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8</dc:creator>
  <cp:lastModifiedBy>satriyorizkyansah</cp:lastModifiedBy>
  <cp:lastPrinted>2026-05-20T04:01:52Z</cp:lastPrinted>
  <dcterms:created xsi:type="dcterms:W3CDTF">2017-02-18T18:38:55Z</dcterms:created>
  <dcterms:modified xsi:type="dcterms:W3CDTF">2026-10-09T02:39:48Z</dcterms:modified>
</cp:coreProperties>
</file>