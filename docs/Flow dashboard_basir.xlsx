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Ayah\LEMIGAS\"/>
    </mc:Choice>
  </mc:AlternateContent>
  <xr:revisionPtr revIDLastSave="0" documentId="13_ncr:1_{D5DCF435-CDF7-4659-B1CB-5CCAB9F9A850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A " sheetId="1" r:id="rId1"/>
    <sheet name="Sheet1 (2)" sheetId="3" r:id="rId2"/>
    <sheet name="Detail RO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5" i="4" l="1"/>
  <c r="H25" i="4"/>
  <c r="J25" i="4" s="1"/>
  <c r="J14" i="4" s="1"/>
</calcChain>
</file>

<file path=xl/sharedStrings.xml><?xml version="1.0" encoding="utf-8"?>
<sst xmlns="http://schemas.openxmlformats.org/spreadsheetml/2006/main" count="85" uniqueCount="65">
  <si>
    <t>NAMA</t>
  </si>
  <si>
    <t>NO.</t>
  </si>
  <si>
    <t>STATUS</t>
  </si>
  <si>
    <t>MULAI SK</t>
  </si>
  <si>
    <t>BERAKHIR SK</t>
  </si>
  <si>
    <t>NO. SK</t>
  </si>
  <si>
    <t>A</t>
  </si>
  <si>
    <t>KOOR</t>
  </si>
  <si>
    <t>TA RO</t>
  </si>
  <si>
    <t>B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</si>
  <si>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</si>
  <si>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</si>
  <si>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</si>
  <si>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</si>
  <si>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</si>
  <si>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</si>
  <si>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</si>
  <si>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</si>
  <si>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</si>
  <si>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</si>
  <si>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</si>
  <si>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</si>
  <si>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</si>
  <si>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</si>
  <si>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</si>
  <si>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NAMA RO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</si>
  <si>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</si>
  <si>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</si>
  <si>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</si>
  <si>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</si>
  <si>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</si>
  <si>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</si>
  <si>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</si>
  <si>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</si>
  <si>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</si>
  <si>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</si>
  <si>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</si>
  <si>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</si>
  <si>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</si>
  <si>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</si>
  <si>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</si>
  <si>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s</t>
  </si>
  <si>
    <t>ANGGARAN</t>
  </si>
  <si>
    <t>BLU</t>
  </si>
  <si>
    <t>OUTSOURCING</t>
  </si>
  <si>
    <t>KONTRAK</t>
  </si>
  <si>
    <t>C</t>
  </si>
  <si>
    <t>:</t>
  </si>
  <si>
    <t>PJ</t>
  </si>
  <si>
    <t>NO. KONTRAK</t>
  </si>
  <si>
    <t>NAMA KEGIATAN</t>
  </si>
  <si>
    <t>TANGGAL</t>
  </si>
  <si>
    <t>Uang Masuk Kontrak</t>
  </si>
  <si>
    <t>TOTAL</t>
  </si>
  <si>
    <t>Beli A</t>
  </si>
  <si>
    <t>DEBIT
(Rp)</t>
  </si>
  <si>
    <t>KREDIT
(Rp)</t>
  </si>
  <si>
    <t>SALDO
(Rp)</t>
  </si>
  <si>
    <t>Honor B</t>
  </si>
  <si>
    <t>Rapat C</t>
  </si>
  <si>
    <t>UPLOAD RAB</t>
  </si>
  <si>
    <t>KETERANGAN</t>
  </si>
  <si>
    <t>NO. KUITANSI</t>
  </si>
  <si>
    <t>HONOR</t>
  </si>
  <si>
    <t>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</si>
</sst>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[$-13809]d\ mmm\ 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1" fontId="0" fillId="0" borderId="0" xfId="1" applyFont="1"/>
    <xf numFmtId="41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3" fontId="0" fillId="0" borderId="0" xfId="0" applyNumberFormat="1"/>
    <xf numFmtId="164" fontId="0" fillId="0" borderId="0" xfId="0" applyNumberFormat="1"/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20"/>
  <sheetViews>
    <sheetView workbookViewId="0">
      <selection activeCell="J7" sqref="J7"/>
    </sheetView>
  </sheetViews>
  <sheetFormatPr defaultRowHeight="15" x14ac:dyDescent="0.25"/>
  <cols>
    <col min="2" max="2" width="6.5703125" style="1" customWidth="1"/>
    <col min="3" max="3" width="9.7109375" customWidth="1"/>
    <col min="4" max="4" width="14.85546875" customWidth="1"/>
    <col min="5" max="6" width="12.28515625" customWidth="1"/>
    <col min="7" max="7" width="10.7109375" customWidth="1"/>
    <col min="8" max="8" width="12.28515625" customWidth="1"/>
    <col min="9" max="9" width="16.28515625" customWidth="1"/>
  </cols>
  <sheetData>
    <row r="5" spans="2:9" x14ac:dyDescent="0.25">
      <c r="B5" s="6" t="s">
        <v>1</v>
      </c>
      <c r="C5" s="8" t="s">
        <v>0</v>
      </c>
      <c r="D5" s="8" t="s">
        <v>2</v>
      </c>
      <c r="E5" s="8" t="s">
        <v>7</v>
      </c>
      <c r="F5" s="8" t="s">
        <v>63</v>
      </c>
      <c r="G5" s="8" t="s">
        <v>5</v>
      </c>
      <c r="H5" s="8" t="s">
        <v>3</v>
      </c>
      <c r="I5" s="8" t="s">
        <v>4</v>
      </c>
    </row>
    <row r="6" spans="2:9" x14ac:dyDescent="0.25">
      <c r="B6" s="1">
        <v>1</v>
      </c>
      <c r="C6" t="s">
        <v>10</v>
      </c>
      <c r="D6" t="s">
        <v>8</v>
      </c>
      <c r="E6" t="s">
        <v>6</v>
      </c>
      <c r="F6" s="3">
        <v>4000000</v>
      </c>
      <c r="G6" s="9">
        <v>2302026</v>
      </c>
      <c r="H6" s="10">
        <v>46014</v>
      </c>
    </row>
    <row r="7" spans="2:9" x14ac:dyDescent="0.25">
      <c r="B7" s="1">
        <v>2</v>
      </c>
      <c r="C7" t="s">
        <v>11</v>
      </c>
      <c r="D7" t="s">
        <v>43</v>
      </c>
      <c r="E7" t="s">
        <v>9</v>
      </c>
      <c r="F7" s="3">
        <v>1000000</v>
      </c>
      <c r="H7" s="10">
        <v>46015</v>
      </c>
    </row>
    <row r="8" spans="2:9" x14ac:dyDescent="0.25">
      <c r="B8" s="1">
        <v>3</v>
      </c>
      <c r="C8" t="s">
        <v>12</v>
      </c>
      <c r="D8" t="s">
        <v>43</v>
      </c>
      <c r="E8" t="s">
        <v>46</v>
      </c>
      <c r="F8" s="3">
        <v>2000000</v>
      </c>
      <c r="H8" s="10"/>
    </row>
    <row r="9" spans="2:9" x14ac:dyDescent="0.25">
      <c r="B9" s="1">
        <v>4</v>
      </c>
      <c r="C9" t="s">
        <v>13</v>
      </c>
      <c r="D9" t="s">
        <v>44</v>
      </c>
      <c r="E9" t="s">
        <v>6</v>
      </c>
      <c r="F9" s="3">
        <v>1000000</v>
      </c>
      <c r="H9" s="10"/>
    </row>
    <row r="10" spans="2:9" x14ac:dyDescent="0.25">
      <c r="B10" s="1">
        <v>5</v>
      </c>
      <c r="C10" t="s">
        <v>14</v>
      </c>
      <c r="D10" t="s">
        <v>45</v>
      </c>
      <c r="E10" t="s">
        <v>6</v>
      </c>
      <c r="F10" s="3">
        <v>1000000</v>
      </c>
      <c r="H10" s="10"/>
    </row>
    <row r="11" spans="2:9" x14ac:dyDescent="0.25">
      <c r="B11" s="1">
        <v>6</v>
      </c>
      <c r="C11" t="s">
        <v>15</v>
      </c>
      <c r="D11" t="s">
        <v>64</v>
      </c>
    </row>
    <row r="12" spans="2:9" x14ac:dyDescent="0.25">
      <c r="B12" s="1">
        <v>7</v>
      </c>
      <c r="C12" t="s">
        <v>16</v>
      </c>
    </row>
    <row r="13" spans="2:9" x14ac:dyDescent="0.25">
      <c r="B13" s="1">
        <v>8</v>
      </c>
      <c r="C13" t="s">
        <v>17</v>
      </c>
    </row>
    <row r="14" spans="2:9" x14ac:dyDescent="0.25">
      <c r="B14" s="1">
        <v>9</v>
      </c>
      <c r="C14" t="s">
        <v>18</v>
      </c>
    </row>
    <row r="15" spans="2:9" x14ac:dyDescent="0.25">
      <c r="B15" s="1">
        <v>10</v>
      </c>
      <c r="C15" t="s">
        <v>19</v>
      </c>
    </row>
    <row r="16" spans="2:9" x14ac:dyDescent="0.25">
      <c r="B16" s="1">
        <v>11</v>
      </c>
      <c r="C16" t="s">
        <v>20</v>
      </c>
    </row>
    <row r="17" spans="2:3" x14ac:dyDescent="0.25">
      <c r="B17" s="1">
        <v>12</v>
      </c>
      <c r="C17" t="s">
        <v>21</v>
      </c>
    </row>
    <row r="18" spans="2:3" x14ac:dyDescent="0.25">
      <c r="B18" s="1">
        <v>13</v>
      </c>
      <c r="C18" t="s">
        <v>22</v>
      </c>
    </row>
    <row r="19" spans="2:3" x14ac:dyDescent="0.25">
      <c r="B19" s="1">
        <v>14</v>
      </c>
      <c r="C19" t="s">
        <v>23</v>
      </c>
    </row>
    <row r="20" spans="2:3" x14ac:dyDescent="0.25">
      <c r="B20" s="1">
        <v>15</v>
      </c>
      <c r="C20" t="s">
        <v>24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B994A-9820-445F-A747-E10CECF09F80}">
  <dimension ref="B5:I20"/>
  <sheetViews>
    <sheetView workbookViewId="0">
      <selection activeCell="C7" sqref="C7"/>
    </sheetView>
  </sheetViews>
  <sheetFormatPr defaultRowHeight="15" x14ac:dyDescent="0.25"/>
  <cols>
    <col min="2" max="2" width="6.5703125" style="1" customWidth="1"/>
    <col min="3" max="3" width="9.7109375" customWidth="1"/>
    <col min="4" max="5" width="12.28515625" customWidth="1"/>
    <col min="6" max="6" width="10.7109375" customWidth="1"/>
    <col min="7" max="7" width="12.28515625" customWidth="1"/>
    <col min="8" max="8" width="16.28515625" customWidth="1"/>
    <col min="9" max="9" width="12" customWidth="1"/>
  </cols>
  <sheetData>
    <row r="5" spans="2:9" x14ac:dyDescent="0.25">
      <c r="B5" s="1" t="s">
        <v>1</v>
      </c>
      <c r="C5" t="s">
        <v>25</v>
      </c>
      <c r="D5" t="s">
        <v>2</v>
      </c>
      <c r="E5" t="s">
        <v>7</v>
      </c>
      <c r="F5" t="s">
        <v>5</v>
      </c>
      <c r="G5" t="s">
        <v>3</v>
      </c>
      <c r="H5" t="s">
        <v>4</v>
      </c>
      <c r="I5" t="s">
        <v>42</v>
      </c>
    </row>
    <row r="6" spans="2:9" x14ac:dyDescent="0.25">
      <c r="B6" s="1">
        <v>1</v>
      </c>
      <c r="C6" t="s">
        <v>26</v>
      </c>
      <c r="D6" t="s">
        <v>41</v>
      </c>
      <c r="E6" t="s">
        <v>6</v>
      </c>
    </row>
    <row r="7" spans="2:9" x14ac:dyDescent="0.25">
      <c r="B7" s="1">
        <v>2</v>
      </c>
      <c r="C7" t="s">
        <v>27</v>
      </c>
    </row>
    <row r="8" spans="2:9" x14ac:dyDescent="0.25">
      <c r="B8" s="1">
        <v>3</v>
      </c>
      <c r="C8" t="s">
        <v>28</v>
      </c>
    </row>
    <row r="9" spans="2:9" x14ac:dyDescent="0.25">
      <c r="B9" s="1">
        <v>4</v>
      </c>
      <c r="C9" t="s">
        <v>29</v>
      </c>
    </row>
    <row r="10" spans="2:9" x14ac:dyDescent="0.25">
      <c r="B10" s="1">
        <v>5</v>
      </c>
      <c r="C10" t="s">
        <v>30</v>
      </c>
    </row>
    <row r="11" spans="2:9" x14ac:dyDescent="0.25">
      <c r="B11" s="1">
        <v>6</v>
      </c>
      <c r="C11" t="s">
        <v>31</v>
      </c>
    </row>
    <row r="12" spans="2:9" x14ac:dyDescent="0.25">
      <c r="B12" s="1">
        <v>7</v>
      </c>
      <c r="C12" t="s">
        <v>32</v>
      </c>
    </row>
    <row r="13" spans="2:9" x14ac:dyDescent="0.25">
      <c r="B13" s="1">
        <v>8</v>
      </c>
      <c r="C13" t="s">
        <v>33</v>
      </c>
    </row>
    <row r="14" spans="2:9" x14ac:dyDescent="0.25">
      <c r="B14" s="1">
        <v>9</v>
      </c>
      <c r="C14" t="s">
        <v>34</v>
      </c>
    </row>
    <row r="15" spans="2:9" x14ac:dyDescent="0.25">
      <c r="B15" s="1">
        <v>10</v>
      </c>
      <c r="C15" t="s">
        <v>35</v>
      </c>
    </row>
    <row r="16" spans="2:9" x14ac:dyDescent="0.25">
      <c r="B16" s="1">
        <v>11</v>
      </c>
      <c r="C16" t="s">
        <v>36</v>
      </c>
    </row>
    <row r="17" spans="2:3" x14ac:dyDescent="0.25">
      <c r="B17" s="1">
        <v>12</v>
      </c>
      <c r="C17" t="s">
        <v>37</v>
      </c>
    </row>
    <row r="18" spans="2:3" x14ac:dyDescent="0.25">
      <c r="B18" s="1">
        <v>13</v>
      </c>
      <c r="C18" t="s">
        <v>38</v>
      </c>
    </row>
    <row r="19" spans="2:3" x14ac:dyDescent="0.25">
      <c r="B19" s="1">
        <v>14</v>
      </c>
      <c r="C19" t="s">
        <v>39</v>
      </c>
    </row>
    <row r="20" spans="2:3" x14ac:dyDescent="0.25">
      <c r="B20" s="1">
        <v>15</v>
      </c>
      <c r="C20" t="s">
        <v>40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BCA8-9E13-4C99-BE7E-851336B3727F}">
  <dimension ref="B5:K25"/>
  <sheetViews>
    <sheetView tabSelected="1" topLeftCell="A4" workbookViewId="0">
      <selection activeCell="I16" sqref="I16"/>
    </sheetView>
  </sheetViews>
  <sheetFormatPr defaultRowHeight="15" x14ac:dyDescent="0.25"/>
  <cols>
    <col min="1" max="1" width="3" customWidth="1"/>
    <col min="2" max="2" width="4.7109375" customWidth="1"/>
    <col min="3" max="3" width="12.140625" customWidth="1"/>
    <col min="4" max="4" width="2.140625" customWidth="1"/>
    <col min="5" max="5" width="9.7109375" customWidth="1"/>
    <col min="6" max="6" width="10.85546875" customWidth="1"/>
    <col min="7" max="7" width="10" customWidth="1"/>
    <col min="8" max="8" width="10.7109375" customWidth="1"/>
    <col min="9" max="9" width="12.28515625" customWidth="1"/>
    <col min="10" max="10" width="14" customWidth="1"/>
    <col min="11" max="11" width="13.28515625" customWidth="1"/>
  </cols>
  <sheetData>
    <row r="5" spans="2:11" x14ac:dyDescent="0.25">
      <c r="B5" s="14" t="s">
        <v>25</v>
      </c>
      <c r="C5" s="14"/>
      <c r="D5" t="s">
        <v>47</v>
      </c>
    </row>
    <row r="6" spans="2:11" x14ac:dyDescent="0.25">
      <c r="B6" s="14" t="s">
        <v>49</v>
      </c>
      <c r="C6" s="14"/>
      <c r="D6" t="s">
        <v>47</v>
      </c>
    </row>
    <row r="7" spans="2:11" x14ac:dyDescent="0.25">
      <c r="B7" s="14" t="s">
        <v>7</v>
      </c>
      <c r="C7" s="14"/>
      <c r="D7" t="s">
        <v>47</v>
      </c>
    </row>
    <row r="8" spans="2:11" x14ac:dyDescent="0.25">
      <c r="B8" s="14" t="s">
        <v>48</v>
      </c>
      <c r="C8" s="14"/>
      <c r="D8" t="s">
        <v>47</v>
      </c>
    </row>
    <row r="9" spans="2:11" x14ac:dyDescent="0.25">
      <c r="B9" s="14" t="s">
        <v>42</v>
      </c>
      <c r="C9" s="14"/>
      <c r="D9" t="s">
        <v>47</v>
      </c>
    </row>
    <row r="10" spans="2:11" x14ac:dyDescent="0.25">
      <c r="B10" s="14" t="s">
        <v>60</v>
      </c>
      <c r="C10" s="14"/>
      <c r="D10" t="s">
        <v>47</v>
      </c>
    </row>
    <row r="13" spans="2:11" ht="30" x14ac:dyDescent="0.25">
      <c r="B13" s="6" t="s">
        <v>1</v>
      </c>
      <c r="C13" s="15" t="s">
        <v>50</v>
      </c>
      <c r="D13" s="15"/>
      <c r="E13" s="15"/>
      <c r="F13" s="7" t="s">
        <v>62</v>
      </c>
      <c r="G13" s="6" t="s">
        <v>51</v>
      </c>
      <c r="H13" s="7" t="s">
        <v>55</v>
      </c>
      <c r="I13" s="7" t="s">
        <v>56</v>
      </c>
      <c r="J13" s="7" t="s">
        <v>57</v>
      </c>
      <c r="K13" s="7" t="s">
        <v>61</v>
      </c>
    </row>
    <row r="14" spans="2:11" x14ac:dyDescent="0.25">
      <c r="C14" s="12" t="s">
        <v>53</v>
      </c>
      <c r="D14" s="12"/>
      <c r="E14" s="12"/>
      <c r="F14" s="2"/>
      <c r="J14" s="4">
        <f>J25</f>
        <v>6000000</v>
      </c>
    </row>
    <row r="15" spans="2:11" x14ac:dyDescent="0.25">
      <c r="C15" s="12"/>
      <c r="D15" s="12"/>
      <c r="E15" s="12"/>
      <c r="F15" s="2"/>
    </row>
    <row r="16" spans="2:11" x14ac:dyDescent="0.25">
      <c r="B16" s="1">
        <v>1</v>
      </c>
      <c r="C16" s="13" t="s">
        <v>52</v>
      </c>
      <c r="D16" s="13"/>
      <c r="E16" s="13"/>
      <c r="F16" s="5"/>
      <c r="H16" s="3"/>
      <c r="I16" s="3">
        <v>10000000</v>
      </c>
      <c r="J16" s="3"/>
    </row>
    <row r="17" spans="2:10" x14ac:dyDescent="0.25">
      <c r="B17" s="1">
        <v>2</v>
      </c>
      <c r="C17" s="11" t="s">
        <v>54</v>
      </c>
      <c r="D17" s="11"/>
      <c r="E17" s="11"/>
      <c r="H17" s="3">
        <v>1500000</v>
      </c>
      <c r="I17" s="3"/>
      <c r="J17" s="3"/>
    </row>
    <row r="18" spans="2:10" x14ac:dyDescent="0.25">
      <c r="B18" s="1">
        <v>3</v>
      </c>
      <c r="C18" s="11" t="s">
        <v>58</v>
      </c>
      <c r="D18" s="11"/>
      <c r="E18" s="11"/>
      <c r="H18" s="3">
        <v>500000</v>
      </c>
      <c r="I18" s="3"/>
      <c r="J18" s="3"/>
    </row>
    <row r="19" spans="2:10" x14ac:dyDescent="0.25">
      <c r="B19" s="1">
        <v>4</v>
      </c>
      <c r="C19" s="11" t="s">
        <v>59</v>
      </c>
      <c r="D19" s="11"/>
      <c r="E19" s="11"/>
      <c r="H19" s="3">
        <v>2000000</v>
      </c>
      <c r="I19" s="3"/>
      <c r="J19" s="3"/>
    </row>
    <row r="20" spans="2:10" x14ac:dyDescent="0.25">
      <c r="B20" s="1">
        <v>5</v>
      </c>
      <c r="C20" s="11"/>
      <c r="D20" s="11"/>
      <c r="E20" s="11"/>
      <c r="H20" s="3"/>
      <c r="I20" s="3"/>
      <c r="J20" s="3"/>
    </row>
    <row r="21" spans="2:10" x14ac:dyDescent="0.25">
      <c r="B21" s="1">
        <v>6</v>
      </c>
      <c r="C21" s="11"/>
      <c r="D21" s="11"/>
      <c r="E21" s="11"/>
      <c r="H21" s="3"/>
      <c r="I21" s="3"/>
      <c r="J21" s="3"/>
    </row>
    <row r="22" spans="2:10" x14ac:dyDescent="0.25">
      <c r="B22" s="1">
        <v>7</v>
      </c>
      <c r="C22" s="11"/>
      <c r="D22" s="11"/>
      <c r="E22" s="11"/>
      <c r="H22" s="3"/>
      <c r="I22" s="3"/>
      <c r="J22" s="3"/>
    </row>
    <row r="23" spans="2:10" x14ac:dyDescent="0.25">
      <c r="B23" s="1">
        <v>8</v>
      </c>
      <c r="C23" s="11"/>
      <c r="D23" s="11"/>
      <c r="E23" s="11"/>
      <c r="H23" s="3"/>
      <c r="I23" s="3"/>
      <c r="J23" s="3"/>
    </row>
    <row r="24" spans="2:10" x14ac:dyDescent="0.25">
      <c r="B24" s="1">
        <v>9</v>
      </c>
      <c r="C24" s="11"/>
      <c r="D24" s="11"/>
      <c r="E24" s="11"/>
      <c r="H24" s="3"/>
      <c r="I24" s="3"/>
      <c r="J24" s="3"/>
    </row>
    <row r="25" spans="2:10" x14ac:dyDescent="0.25">
      <c r="C25" s="11"/>
      <c r="D25" s="11"/>
      <c r="E25" s="11"/>
      <c r="G25" t="s">
        <v>53</v>
      </c>
      <c r="H25" s="3">
        <f>SUM(H16:H24)</f>
        <v>4000000</v>
      </c>
      <c r="I25" s="3">
        <f>SUM(I16:I24)</f>
        <v>10000000</v>
      </c>
      <c r="J25" s="3">
        <f>I25-H25</f>
        <v>6000000</v>
      </c>
    </row>
  </sheetData>
  <mergeCells count="19">
    <mergeCell ref="C13:E13"/>
    <mergeCell ref="B10:C10"/>
    <mergeCell ref="B5:C5"/>
    <mergeCell ref="B6:C6"/>
    <mergeCell ref="B7:C7"/>
    <mergeCell ref="B8:C8"/>
    <mergeCell ref="B9:C9"/>
    <mergeCell ref="C14:E14"/>
    <mergeCell ref="C15:E15"/>
    <mergeCell ref="C16:E16"/>
    <mergeCell ref="C17:E17"/>
    <mergeCell ref="C21:E21"/>
    <mergeCell ref="C23:E23"/>
    <mergeCell ref="C24:E24"/>
    <mergeCell ref="C25:E25"/>
    <mergeCell ref="C18:E18"/>
    <mergeCell ref="C19:E19"/>
    <mergeCell ref="C20:E20"/>
    <mergeCell ref="C22:E22"/>
  </mergeCells>
  <pageMargins left="0.11811023622047245" right="0.11811023622047245" top="0.15748031496062992" bottom="0.15748031496062992" header="0" footer="0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</vt:lpstr>
      <vt:lpstr>Sheet1 (2)</vt:lpstr>
      <vt:lpstr>Detail 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Choirul Basir</dc:creator>
  <cp:lastModifiedBy>Choirul Basir</cp:lastModifiedBy>
  <cp:lastPrinted>2026-10-05T07:56:53Z</cp:lastPrinted>
  <dcterms:created xsi:type="dcterms:W3CDTF">2015-06-05T18:17:20Z</dcterms:created>
  <dcterms:modified xsi:type="dcterms:W3CDTF">2026-10-05T12:49:57Z</dcterms:modified>
</cp:coreProperties>
</file>